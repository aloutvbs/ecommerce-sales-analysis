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JOB\ecommerce-sales-analysis\data\"/>
    </mc:Choice>
  </mc:AlternateContent>
  <xr:revisionPtr revIDLastSave="0" documentId="13_ncr:1_{DC15F798-7867-42BA-AF61-F2C024A37EAA}" xr6:coauthVersionLast="36" xr6:coauthVersionMax="36" xr10:uidLastSave="{00000000-0000-0000-0000-000000000000}"/>
  <bookViews>
    <workbookView xWindow="0" yWindow="0" windowWidth="12870" windowHeight="3465" activeTab="2" xr2:uid="{00000000-000D-0000-FFFF-FFFF00000000}"/>
  </bookViews>
  <sheets>
    <sheet name="cleaned_sales_data" sheetId="1" r:id="rId1"/>
    <sheet name="Cleaning Log" sheetId="2" r:id="rId2"/>
    <sheet name="pivot_tabels" sheetId="4" r:id="rId3"/>
    <sheet name="Summary" sheetId="3" r:id="rId4"/>
    <sheet name="Charts" sheetId="5" r:id="rId5"/>
    <sheet name="Insights" sheetId="6" r:id="rId6"/>
  </sheets>
  <calcPr calcId="191029" iterateDelta="1E-4"/>
  <pivotCaches>
    <pivotCache cacheId="0" r:id="rId7"/>
  </pivotCaches>
</workbook>
</file>

<file path=xl/calcChain.xml><?xml version="1.0" encoding="utf-8"?>
<calcChain xmlns="http://schemas.openxmlformats.org/spreadsheetml/2006/main">
  <c r="D13" i="3" l="1"/>
  <c r="D8" i="3"/>
  <c r="D7" i="3"/>
  <c r="D5" i="3"/>
  <c r="D4" i="3"/>
  <c r="D3" i="3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M2221" i="1"/>
  <c r="N2221" i="1" s="1"/>
  <c r="M2222" i="1"/>
  <c r="N2222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29" i="1"/>
  <c r="N2229" i="1" s="1"/>
  <c r="M2230" i="1"/>
  <c r="N2230" i="1" s="1"/>
  <c r="M2231" i="1"/>
  <c r="N2231" i="1" s="1"/>
  <c r="M2232" i="1"/>
  <c r="N2232" i="1" s="1"/>
  <c r="M2233" i="1"/>
  <c r="N2233" i="1" s="1"/>
  <c r="M2234" i="1"/>
  <c r="N2234" i="1" s="1"/>
  <c r="M2235" i="1"/>
  <c r="N2235" i="1" s="1"/>
  <c r="M2236" i="1"/>
  <c r="N2236" i="1" s="1"/>
  <c r="M2237" i="1"/>
  <c r="N2237" i="1" s="1"/>
  <c r="M2238" i="1"/>
  <c r="N2238" i="1" s="1"/>
  <c r="M2239" i="1"/>
  <c r="N2239" i="1" s="1"/>
  <c r="M2240" i="1"/>
  <c r="N2240" i="1" s="1"/>
  <c r="M2241" i="1"/>
  <c r="N2241" i="1" s="1"/>
  <c r="M2242" i="1"/>
  <c r="N2242" i="1" s="1"/>
  <c r="M2243" i="1"/>
  <c r="N2243" i="1" s="1"/>
  <c r="M2244" i="1"/>
  <c r="N2244" i="1" s="1"/>
  <c r="M2245" i="1"/>
  <c r="N2245" i="1" s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3" i="1"/>
  <c r="N2253" i="1" s="1"/>
  <c r="M2254" i="1"/>
  <c r="N2254" i="1" s="1"/>
  <c r="M2255" i="1"/>
  <c r="N2255" i="1" s="1"/>
  <c r="M2256" i="1"/>
  <c r="N2256" i="1" s="1"/>
  <c r="M2257" i="1"/>
  <c r="N2257" i="1" s="1"/>
  <c r="M2258" i="1"/>
  <c r="N2258" i="1" s="1"/>
  <c r="M2259" i="1"/>
  <c r="N2259" i="1" s="1"/>
  <c r="M2260" i="1"/>
  <c r="N2260" i="1" s="1"/>
  <c r="M2261" i="1"/>
  <c r="N2261" i="1" s="1"/>
  <c r="M2262" i="1"/>
  <c r="N2262" i="1" s="1"/>
  <c r="M2263" i="1"/>
  <c r="N2263" i="1" s="1"/>
  <c r="M2264" i="1"/>
  <c r="N2264" i="1" s="1"/>
  <c r="M2265" i="1"/>
  <c r="N2265" i="1" s="1"/>
  <c r="M2266" i="1"/>
  <c r="N2266" i="1" s="1"/>
  <c r="M2267" i="1"/>
  <c r="N2267" i="1" s="1"/>
  <c r="M2268" i="1"/>
  <c r="N2268" i="1" s="1"/>
  <c r="M2269" i="1"/>
  <c r="N2269" i="1" s="1"/>
  <c r="M2270" i="1"/>
  <c r="N2270" i="1" s="1"/>
  <c r="M2271" i="1"/>
  <c r="N2271" i="1" s="1"/>
  <c r="M2272" i="1"/>
  <c r="N2272" i="1" s="1"/>
  <c r="M2273" i="1"/>
  <c r="N2273" i="1" s="1"/>
  <c r="M2274" i="1"/>
  <c r="N2274" i="1" s="1"/>
  <c r="M2275" i="1"/>
  <c r="N2275" i="1" s="1"/>
  <c r="M2276" i="1"/>
  <c r="N2276" i="1" s="1"/>
  <c r="M2277" i="1"/>
  <c r="N2277" i="1" s="1"/>
  <c r="M2278" i="1"/>
  <c r="N2278" i="1" s="1"/>
  <c r="M2279" i="1"/>
  <c r="N2279" i="1" s="1"/>
  <c r="M2280" i="1"/>
  <c r="N2280" i="1" s="1"/>
  <c r="M2281" i="1"/>
  <c r="N2281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89" i="1"/>
  <c r="N2289" i="1" s="1"/>
  <c r="M2290" i="1"/>
  <c r="N2290" i="1" s="1"/>
  <c r="M2291" i="1"/>
  <c r="N2291" i="1" s="1"/>
  <c r="M2292" i="1"/>
  <c r="N2292" i="1" s="1"/>
  <c r="M2293" i="1"/>
  <c r="N2293" i="1" s="1"/>
  <c r="M2294" i="1"/>
  <c r="N2294" i="1" s="1"/>
  <c r="M2295" i="1"/>
  <c r="N2295" i="1" s="1"/>
  <c r="M2296" i="1"/>
  <c r="N2296" i="1" s="1"/>
  <c r="M2297" i="1"/>
  <c r="N2297" i="1" s="1"/>
  <c r="M2298" i="1"/>
  <c r="N2298" i="1" s="1"/>
  <c r="M2299" i="1"/>
  <c r="N2299" i="1" s="1"/>
  <c r="M2300" i="1"/>
  <c r="N2300" i="1" s="1"/>
  <c r="M2301" i="1"/>
  <c r="N2301" i="1" s="1"/>
  <c r="M2302" i="1"/>
  <c r="N2302" i="1" s="1"/>
  <c r="M2303" i="1"/>
  <c r="N2303" i="1" s="1"/>
  <c r="M2304" i="1"/>
  <c r="N2304" i="1" s="1"/>
  <c r="M2305" i="1"/>
  <c r="N2305" i="1" s="1"/>
  <c r="M2306" i="1"/>
  <c r="N2306" i="1" s="1"/>
  <c r="M2307" i="1"/>
  <c r="N2307" i="1" s="1"/>
  <c r="M2308" i="1"/>
  <c r="N2308" i="1" s="1"/>
  <c r="M2309" i="1"/>
  <c r="N2309" i="1" s="1"/>
  <c r="M2310" i="1"/>
  <c r="N2310" i="1" s="1"/>
  <c r="M2311" i="1"/>
  <c r="N2311" i="1" s="1"/>
  <c r="M2312" i="1"/>
  <c r="N2312" i="1" s="1"/>
  <c r="M2313" i="1"/>
  <c r="N2313" i="1" s="1"/>
  <c r="M2314" i="1"/>
  <c r="N2314" i="1" s="1"/>
  <c r="M2315" i="1"/>
  <c r="N2315" i="1" s="1"/>
  <c r="M2316" i="1"/>
  <c r="N2316" i="1" s="1"/>
  <c r="M2317" i="1"/>
  <c r="N2317" i="1" s="1"/>
  <c r="M2318" i="1"/>
  <c r="N2318" i="1" s="1"/>
  <c r="M2319" i="1"/>
  <c r="N2319" i="1" s="1"/>
  <c r="M2320" i="1"/>
  <c r="N2320" i="1" s="1"/>
  <c r="M2321" i="1"/>
  <c r="N2321" i="1" s="1"/>
  <c r="M2322" i="1"/>
  <c r="N2322" i="1" s="1"/>
  <c r="M2323" i="1"/>
  <c r="N2323" i="1" s="1"/>
  <c r="M2324" i="1"/>
  <c r="N2324" i="1" s="1"/>
  <c r="M2325" i="1"/>
  <c r="N2325" i="1" s="1"/>
  <c r="M2326" i="1"/>
  <c r="N2326" i="1" s="1"/>
  <c r="M2327" i="1"/>
  <c r="N2327" i="1" s="1"/>
  <c r="M2328" i="1"/>
  <c r="N2328" i="1" s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37" i="1"/>
  <c r="N2337" i="1" s="1"/>
  <c r="M2338" i="1"/>
  <c r="N2338" i="1" s="1"/>
  <c r="M2339" i="1"/>
  <c r="N2339" i="1" s="1"/>
  <c r="M2340" i="1"/>
  <c r="N2340" i="1" s="1"/>
  <c r="M2341" i="1"/>
  <c r="N2341" i="1" s="1"/>
  <c r="M2342" i="1"/>
  <c r="N2342" i="1" s="1"/>
  <c r="M2343" i="1"/>
  <c r="N2343" i="1" s="1"/>
  <c r="M2344" i="1"/>
  <c r="N2344" i="1" s="1"/>
  <c r="M2345" i="1"/>
  <c r="N2345" i="1" s="1"/>
  <c r="M2346" i="1"/>
  <c r="N2346" i="1" s="1"/>
  <c r="M2347" i="1"/>
  <c r="N2347" i="1" s="1"/>
  <c r="M2348" i="1"/>
  <c r="N2348" i="1" s="1"/>
  <c r="M2349" i="1"/>
  <c r="N2349" i="1" s="1"/>
  <c r="M2350" i="1"/>
  <c r="N2350" i="1" s="1"/>
  <c r="M2351" i="1"/>
  <c r="N2351" i="1" s="1"/>
  <c r="M2352" i="1"/>
  <c r="N2352" i="1" s="1"/>
  <c r="M2353" i="1"/>
  <c r="N2353" i="1" s="1"/>
  <c r="M2354" i="1"/>
  <c r="N2354" i="1" s="1"/>
  <c r="M2355" i="1"/>
  <c r="N2355" i="1" s="1"/>
  <c r="M2356" i="1"/>
  <c r="N2356" i="1" s="1"/>
  <c r="M2357" i="1"/>
  <c r="N2357" i="1" s="1"/>
  <c r="M2358" i="1"/>
  <c r="N2358" i="1" s="1"/>
  <c r="M2359" i="1"/>
  <c r="N2359" i="1" s="1"/>
  <c r="M2360" i="1"/>
  <c r="N2360" i="1" s="1"/>
  <c r="M2361" i="1"/>
  <c r="N2361" i="1" s="1"/>
  <c r="M2362" i="1"/>
  <c r="N2362" i="1" s="1"/>
  <c r="M2363" i="1"/>
  <c r="N2363" i="1" s="1"/>
  <c r="M2364" i="1"/>
  <c r="N2364" i="1" s="1"/>
  <c r="M2365" i="1"/>
  <c r="N2365" i="1" s="1"/>
  <c r="M2366" i="1"/>
  <c r="N2366" i="1" s="1"/>
  <c r="M2367" i="1"/>
  <c r="N2367" i="1" s="1"/>
  <c r="M2368" i="1"/>
  <c r="N2368" i="1" s="1"/>
  <c r="M2369" i="1"/>
  <c r="N2369" i="1" s="1"/>
  <c r="M2370" i="1"/>
  <c r="N2370" i="1" s="1"/>
  <c r="M2371" i="1"/>
  <c r="N2371" i="1" s="1"/>
  <c r="M2372" i="1"/>
  <c r="N2372" i="1" s="1"/>
  <c r="M2373" i="1"/>
  <c r="N2373" i="1" s="1"/>
  <c r="M2374" i="1"/>
  <c r="N2374" i="1" s="1"/>
  <c r="M2375" i="1"/>
  <c r="N2375" i="1" s="1"/>
  <c r="M2376" i="1"/>
  <c r="N2376" i="1" s="1"/>
  <c r="M2377" i="1"/>
  <c r="N2377" i="1" s="1"/>
  <c r="M2378" i="1"/>
  <c r="N2378" i="1" s="1"/>
  <c r="M2379" i="1"/>
  <c r="N2379" i="1" s="1"/>
  <c r="M2380" i="1"/>
  <c r="N2380" i="1" s="1"/>
  <c r="M2381" i="1"/>
  <c r="N2381" i="1" s="1"/>
  <c r="M2382" i="1"/>
  <c r="N2382" i="1" s="1"/>
  <c r="M2383" i="1"/>
  <c r="N2383" i="1" s="1"/>
  <c r="M2384" i="1"/>
  <c r="N2384" i="1" s="1"/>
  <c r="M2385" i="1"/>
  <c r="N2385" i="1" s="1"/>
  <c r="M2386" i="1"/>
  <c r="N2386" i="1" s="1"/>
  <c r="M2387" i="1"/>
  <c r="N2387" i="1" s="1"/>
  <c r="M2388" i="1"/>
  <c r="N2388" i="1" s="1"/>
  <c r="M2389" i="1"/>
  <c r="N2389" i="1" s="1"/>
  <c r="M2390" i="1"/>
  <c r="N2390" i="1" s="1"/>
  <c r="M2391" i="1"/>
  <c r="N2391" i="1" s="1"/>
  <c r="M2392" i="1"/>
  <c r="N2392" i="1" s="1"/>
  <c r="M2393" i="1"/>
  <c r="N2393" i="1" s="1"/>
  <c r="M2394" i="1"/>
  <c r="N2394" i="1" s="1"/>
  <c r="M2395" i="1"/>
  <c r="N2395" i="1" s="1"/>
  <c r="M2396" i="1"/>
  <c r="N2396" i="1" s="1"/>
  <c r="M2397" i="1"/>
  <c r="N2397" i="1" s="1"/>
  <c r="M2398" i="1"/>
  <c r="N2398" i="1" s="1"/>
  <c r="M2399" i="1"/>
  <c r="N2399" i="1" s="1"/>
  <c r="M2400" i="1"/>
  <c r="N2400" i="1" s="1"/>
  <c r="M2401" i="1"/>
  <c r="N2401" i="1" s="1"/>
  <c r="M2402" i="1"/>
  <c r="N2402" i="1" s="1"/>
  <c r="M2403" i="1"/>
  <c r="N2403" i="1" s="1"/>
  <c r="M2404" i="1"/>
  <c r="N2404" i="1" s="1"/>
  <c r="M2405" i="1"/>
  <c r="N2405" i="1" s="1"/>
  <c r="M2406" i="1"/>
  <c r="N2406" i="1" s="1"/>
  <c r="M2407" i="1"/>
  <c r="N2407" i="1" s="1"/>
  <c r="M2408" i="1"/>
  <c r="N2408" i="1" s="1"/>
  <c r="M2409" i="1"/>
  <c r="N2409" i="1" s="1"/>
  <c r="M2410" i="1"/>
  <c r="N2410" i="1" s="1"/>
  <c r="M2411" i="1"/>
  <c r="N2411" i="1" s="1"/>
  <c r="M2412" i="1"/>
  <c r="N2412" i="1" s="1"/>
  <c r="M2413" i="1"/>
  <c r="N2413" i="1" s="1"/>
  <c r="M2414" i="1"/>
  <c r="N2414" i="1" s="1"/>
  <c r="M2415" i="1"/>
  <c r="N2415" i="1" s="1"/>
  <c r="M2416" i="1"/>
  <c r="N2416" i="1" s="1"/>
  <c r="M2417" i="1"/>
  <c r="N2417" i="1" s="1"/>
  <c r="M2418" i="1"/>
  <c r="N2418" i="1" s="1"/>
  <c r="M2419" i="1"/>
  <c r="N2419" i="1" s="1"/>
  <c r="M2420" i="1"/>
  <c r="N2420" i="1" s="1"/>
  <c r="M2421" i="1"/>
  <c r="N2421" i="1" s="1"/>
  <c r="M2422" i="1"/>
  <c r="N2422" i="1" s="1"/>
  <c r="M2423" i="1"/>
  <c r="N2423" i="1" s="1"/>
  <c r="M2424" i="1"/>
  <c r="N2424" i="1" s="1"/>
  <c r="M2425" i="1"/>
  <c r="N2425" i="1" s="1"/>
  <c r="M2426" i="1"/>
  <c r="N2426" i="1" s="1"/>
  <c r="M2427" i="1"/>
  <c r="N2427" i="1" s="1"/>
  <c r="M2428" i="1"/>
  <c r="N2428" i="1" s="1"/>
  <c r="M2429" i="1"/>
  <c r="N2429" i="1" s="1"/>
  <c r="M2430" i="1"/>
  <c r="N2430" i="1" s="1"/>
  <c r="M2431" i="1"/>
  <c r="N2431" i="1" s="1"/>
  <c r="M2432" i="1"/>
  <c r="N2432" i="1" s="1"/>
  <c r="M2433" i="1"/>
  <c r="N2433" i="1" s="1"/>
  <c r="M2434" i="1"/>
  <c r="N2434" i="1" s="1"/>
  <c r="M2435" i="1"/>
  <c r="N2435" i="1" s="1"/>
  <c r="M2436" i="1"/>
  <c r="N2436" i="1" s="1"/>
  <c r="M2437" i="1"/>
  <c r="N2437" i="1" s="1"/>
  <c r="M2438" i="1"/>
  <c r="N2438" i="1" s="1"/>
  <c r="M2439" i="1"/>
  <c r="N2439" i="1" s="1"/>
  <c r="M2440" i="1"/>
  <c r="N2440" i="1" s="1"/>
  <c r="M2441" i="1"/>
  <c r="N2441" i="1" s="1"/>
  <c r="M2442" i="1"/>
  <c r="N2442" i="1" s="1"/>
  <c r="M2443" i="1"/>
  <c r="N2443" i="1" s="1"/>
  <c r="M2444" i="1"/>
  <c r="N2444" i="1" s="1"/>
  <c r="M2445" i="1"/>
  <c r="N2445" i="1" s="1"/>
  <c r="M2446" i="1"/>
  <c r="N2446" i="1" s="1"/>
  <c r="M2447" i="1"/>
  <c r="N2447" i="1" s="1"/>
  <c r="M2448" i="1"/>
  <c r="N2448" i="1" s="1"/>
  <c r="M2449" i="1"/>
  <c r="N2449" i="1" s="1"/>
  <c r="M2450" i="1"/>
  <c r="N2450" i="1" s="1"/>
  <c r="M2451" i="1"/>
  <c r="N2451" i="1" s="1"/>
  <c r="M2452" i="1"/>
  <c r="N2452" i="1" s="1"/>
  <c r="M2453" i="1"/>
  <c r="N2453" i="1" s="1"/>
  <c r="M2454" i="1"/>
  <c r="N2454" i="1" s="1"/>
  <c r="M2455" i="1"/>
  <c r="N2455" i="1" s="1"/>
  <c r="M2456" i="1"/>
  <c r="N2456" i="1" s="1"/>
  <c r="M2457" i="1"/>
  <c r="N2457" i="1" s="1"/>
  <c r="M2458" i="1"/>
  <c r="N2458" i="1" s="1"/>
  <c r="M2459" i="1"/>
  <c r="N2459" i="1" s="1"/>
  <c r="M2460" i="1"/>
  <c r="N2460" i="1" s="1"/>
  <c r="M2461" i="1"/>
  <c r="N2461" i="1" s="1"/>
  <c r="M2462" i="1"/>
  <c r="N2462" i="1" s="1"/>
  <c r="M2463" i="1"/>
  <c r="N2463" i="1" s="1"/>
  <c r="M2464" i="1"/>
  <c r="N2464" i="1" s="1"/>
  <c r="M2465" i="1"/>
  <c r="N2465" i="1" s="1"/>
  <c r="M2466" i="1"/>
  <c r="N2466" i="1" s="1"/>
  <c r="M2467" i="1"/>
  <c r="N2467" i="1" s="1"/>
  <c r="M2468" i="1"/>
  <c r="N2468" i="1" s="1"/>
  <c r="M2469" i="1"/>
  <c r="N2469" i="1" s="1"/>
  <c r="M2470" i="1"/>
  <c r="N2470" i="1" s="1"/>
  <c r="M2471" i="1"/>
  <c r="N2471" i="1" s="1"/>
  <c r="M2472" i="1"/>
  <c r="N2472" i="1" s="1"/>
  <c r="M2473" i="1"/>
  <c r="N2473" i="1" s="1"/>
  <c r="M2474" i="1"/>
  <c r="N2474" i="1" s="1"/>
  <c r="M2475" i="1"/>
  <c r="N2475" i="1" s="1"/>
  <c r="M2476" i="1"/>
  <c r="N2476" i="1" s="1"/>
  <c r="M2477" i="1"/>
  <c r="N2477" i="1" s="1"/>
  <c r="M2478" i="1"/>
  <c r="N2478" i="1" s="1"/>
  <c r="M2479" i="1"/>
  <c r="N2479" i="1" s="1"/>
  <c r="M2480" i="1"/>
  <c r="N2480" i="1" s="1"/>
  <c r="M2481" i="1"/>
  <c r="N2481" i="1" s="1"/>
  <c r="M2482" i="1"/>
  <c r="N2482" i="1" s="1"/>
  <c r="M2483" i="1"/>
  <c r="N2483" i="1" s="1"/>
  <c r="M2484" i="1"/>
  <c r="N2484" i="1" s="1"/>
  <c r="M2485" i="1"/>
  <c r="N2485" i="1" s="1"/>
  <c r="M2486" i="1"/>
  <c r="N2486" i="1" s="1"/>
  <c r="M2487" i="1"/>
  <c r="N2487" i="1" s="1"/>
  <c r="M2488" i="1"/>
  <c r="N2488" i="1" s="1"/>
  <c r="M2489" i="1"/>
  <c r="N2489" i="1" s="1"/>
  <c r="M2490" i="1"/>
  <c r="N2490" i="1" s="1"/>
  <c r="M2491" i="1"/>
  <c r="N2491" i="1" s="1"/>
  <c r="M2492" i="1"/>
  <c r="N2492" i="1" s="1"/>
  <c r="M2493" i="1"/>
  <c r="N2493" i="1" s="1"/>
  <c r="M2494" i="1"/>
  <c r="N2494" i="1" s="1"/>
  <c r="M2495" i="1"/>
  <c r="N2495" i="1" s="1"/>
  <c r="M2496" i="1"/>
  <c r="N2496" i="1" s="1"/>
  <c r="M2497" i="1"/>
  <c r="N2497" i="1" s="1"/>
  <c r="M2498" i="1"/>
  <c r="N2498" i="1" s="1"/>
  <c r="M2499" i="1"/>
  <c r="N2499" i="1" s="1"/>
  <c r="M2500" i="1"/>
  <c r="N2500" i="1" s="1"/>
  <c r="M2501" i="1"/>
  <c r="N2501" i="1" s="1"/>
  <c r="M2502" i="1"/>
  <c r="N2502" i="1" s="1"/>
  <c r="M2503" i="1"/>
  <c r="N2503" i="1" s="1"/>
  <c r="M2504" i="1"/>
  <c r="N2504" i="1" s="1"/>
  <c r="M2505" i="1"/>
  <c r="N2505" i="1" s="1"/>
  <c r="M2506" i="1"/>
  <c r="N2506" i="1" s="1"/>
  <c r="M2507" i="1"/>
  <c r="N2507" i="1" s="1"/>
  <c r="M2508" i="1"/>
  <c r="N2508" i="1" s="1"/>
  <c r="M2509" i="1"/>
  <c r="N2509" i="1" s="1"/>
  <c r="M2510" i="1"/>
  <c r="N2510" i="1" s="1"/>
  <c r="M2511" i="1"/>
  <c r="N2511" i="1" s="1"/>
  <c r="M2512" i="1"/>
  <c r="N2512" i="1" s="1"/>
  <c r="M2513" i="1"/>
  <c r="N2513" i="1" s="1"/>
  <c r="M2514" i="1"/>
  <c r="N2514" i="1" s="1"/>
  <c r="M2515" i="1"/>
  <c r="N2515" i="1" s="1"/>
  <c r="M2516" i="1"/>
  <c r="N2516" i="1" s="1"/>
  <c r="M2517" i="1"/>
  <c r="N2517" i="1" s="1"/>
  <c r="M2518" i="1"/>
  <c r="N2518" i="1" s="1"/>
  <c r="M2519" i="1"/>
  <c r="N2519" i="1" s="1"/>
  <c r="M2520" i="1"/>
  <c r="N2520" i="1" s="1"/>
  <c r="M2521" i="1"/>
  <c r="N2521" i="1" s="1"/>
  <c r="M2522" i="1"/>
  <c r="N2522" i="1" s="1"/>
  <c r="M2523" i="1"/>
  <c r="N2523" i="1" s="1"/>
  <c r="M2524" i="1"/>
  <c r="N2524" i="1" s="1"/>
  <c r="M2525" i="1"/>
  <c r="N2525" i="1" s="1"/>
  <c r="M2526" i="1"/>
  <c r="N2526" i="1" s="1"/>
  <c r="M2527" i="1"/>
  <c r="N2527" i="1" s="1"/>
  <c r="M2528" i="1"/>
  <c r="N2528" i="1" s="1"/>
  <c r="M2529" i="1"/>
  <c r="N2529" i="1" s="1"/>
  <c r="M2530" i="1"/>
  <c r="N2530" i="1" s="1"/>
  <c r="M2531" i="1"/>
  <c r="N2531" i="1" s="1"/>
  <c r="M2532" i="1"/>
  <c r="N2532" i="1" s="1"/>
  <c r="M2533" i="1"/>
  <c r="N2533" i="1" s="1"/>
  <c r="M2534" i="1"/>
  <c r="N2534" i="1" s="1"/>
  <c r="M2535" i="1"/>
  <c r="N2535" i="1" s="1"/>
  <c r="M2536" i="1"/>
  <c r="N2536" i="1" s="1"/>
  <c r="M2537" i="1"/>
  <c r="N2537" i="1" s="1"/>
  <c r="M2538" i="1"/>
  <c r="N2538" i="1" s="1"/>
  <c r="M2539" i="1"/>
  <c r="N2539" i="1" s="1"/>
  <c r="M2540" i="1"/>
  <c r="N2540" i="1" s="1"/>
  <c r="M2541" i="1"/>
  <c r="N2541" i="1" s="1"/>
  <c r="M2542" i="1"/>
  <c r="N2542" i="1" s="1"/>
  <c r="M2543" i="1"/>
  <c r="N2543" i="1" s="1"/>
  <c r="M2544" i="1"/>
  <c r="N2544" i="1" s="1"/>
  <c r="M2545" i="1"/>
  <c r="N2545" i="1" s="1"/>
  <c r="M2546" i="1"/>
  <c r="N2546" i="1" s="1"/>
  <c r="M2547" i="1"/>
  <c r="N2547" i="1" s="1"/>
  <c r="M2548" i="1"/>
  <c r="N2548" i="1" s="1"/>
  <c r="M2549" i="1"/>
  <c r="N2549" i="1" s="1"/>
  <c r="M2550" i="1"/>
  <c r="N2550" i="1" s="1"/>
  <c r="M2551" i="1"/>
  <c r="N2551" i="1" s="1"/>
  <c r="M2552" i="1"/>
  <c r="N2552" i="1" s="1"/>
  <c r="M2553" i="1"/>
  <c r="N2553" i="1" s="1"/>
  <c r="M2554" i="1"/>
  <c r="N2554" i="1" s="1"/>
  <c r="M2555" i="1"/>
  <c r="N2555" i="1" s="1"/>
  <c r="M2556" i="1"/>
  <c r="N2556" i="1" s="1"/>
  <c r="M2557" i="1"/>
  <c r="N2557" i="1" s="1"/>
  <c r="M2558" i="1"/>
  <c r="N2558" i="1" s="1"/>
  <c r="M2559" i="1"/>
  <c r="N2559" i="1" s="1"/>
  <c r="M2560" i="1"/>
  <c r="N2560" i="1" s="1"/>
  <c r="M2561" i="1"/>
  <c r="N2561" i="1" s="1"/>
  <c r="M2562" i="1"/>
  <c r="N2562" i="1" s="1"/>
  <c r="M2563" i="1"/>
  <c r="N2563" i="1" s="1"/>
  <c r="M2564" i="1"/>
  <c r="N2564" i="1" s="1"/>
  <c r="M2565" i="1"/>
  <c r="N2565" i="1" s="1"/>
  <c r="M2566" i="1"/>
  <c r="N2566" i="1" s="1"/>
  <c r="M2567" i="1"/>
  <c r="N2567" i="1" s="1"/>
  <c r="M2568" i="1"/>
  <c r="N2568" i="1" s="1"/>
  <c r="M2569" i="1"/>
  <c r="N2569" i="1" s="1"/>
  <c r="M2570" i="1"/>
  <c r="N2570" i="1" s="1"/>
  <c r="M2571" i="1"/>
  <c r="N2571" i="1" s="1"/>
  <c r="M2572" i="1"/>
  <c r="N2572" i="1" s="1"/>
  <c r="M2573" i="1"/>
  <c r="N2573" i="1" s="1"/>
  <c r="M2574" i="1"/>
  <c r="N2574" i="1" s="1"/>
  <c r="M2575" i="1"/>
  <c r="N2575" i="1" s="1"/>
  <c r="M2576" i="1"/>
  <c r="N2576" i="1" s="1"/>
  <c r="M2577" i="1"/>
  <c r="N2577" i="1" s="1"/>
  <c r="M2578" i="1"/>
  <c r="N2578" i="1" s="1"/>
  <c r="M2579" i="1"/>
  <c r="N2579" i="1" s="1"/>
  <c r="M2580" i="1"/>
  <c r="N2580" i="1" s="1"/>
  <c r="M2581" i="1"/>
  <c r="N2581" i="1" s="1"/>
  <c r="M2582" i="1"/>
  <c r="N2582" i="1" s="1"/>
  <c r="M2583" i="1"/>
  <c r="N2583" i="1" s="1"/>
  <c r="M2584" i="1"/>
  <c r="N2584" i="1" s="1"/>
  <c r="M2585" i="1"/>
  <c r="N2585" i="1" s="1"/>
  <c r="M2586" i="1"/>
  <c r="N2586" i="1" s="1"/>
  <c r="M2587" i="1"/>
  <c r="N2587" i="1" s="1"/>
  <c r="M2588" i="1"/>
  <c r="N2588" i="1" s="1"/>
  <c r="M2589" i="1"/>
  <c r="N2589" i="1" s="1"/>
  <c r="M2590" i="1"/>
  <c r="N2590" i="1" s="1"/>
  <c r="M2591" i="1"/>
  <c r="N2591" i="1" s="1"/>
  <c r="M2592" i="1"/>
  <c r="N2592" i="1" s="1"/>
  <c r="M2593" i="1"/>
  <c r="N2593" i="1" s="1"/>
  <c r="M2594" i="1"/>
  <c r="N2594" i="1" s="1"/>
  <c r="M2595" i="1"/>
  <c r="N2595" i="1" s="1"/>
  <c r="M2596" i="1"/>
  <c r="N2596" i="1" s="1"/>
  <c r="M2597" i="1"/>
  <c r="N2597" i="1" s="1"/>
  <c r="M2598" i="1"/>
  <c r="N2598" i="1" s="1"/>
  <c r="M2599" i="1"/>
  <c r="N2599" i="1" s="1"/>
  <c r="M2600" i="1"/>
  <c r="N2600" i="1" s="1"/>
  <c r="M2601" i="1"/>
  <c r="N2601" i="1" s="1"/>
  <c r="M2602" i="1"/>
  <c r="N2602" i="1" s="1"/>
  <c r="M2603" i="1"/>
  <c r="N2603" i="1" s="1"/>
  <c r="M2604" i="1"/>
  <c r="N2604" i="1" s="1"/>
  <c r="M2605" i="1"/>
  <c r="N2605" i="1" s="1"/>
  <c r="M2606" i="1"/>
  <c r="N2606" i="1" s="1"/>
  <c r="M2607" i="1"/>
  <c r="N2607" i="1" s="1"/>
  <c r="M2608" i="1"/>
  <c r="N2608" i="1" s="1"/>
  <c r="M2609" i="1"/>
  <c r="N2609" i="1" s="1"/>
  <c r="M2610" i="1"/>
  <c r="N2610" i="1" s="1"/>
  <c r="M2611" i="1"/>
  <c r="N2611" i="1" s="1"/>
  <c r="M2612" i="1"/>
  <c r="N2612" i="1" s="1"/>
  <c r="M2613" i="1"/>
  <c r="N2613" i="1" s="1"/>
  <c r="M2614" i="1"/>
  <c r="N2614" i="1" s="1"/>
  <c r="M2615" i="1"/>
  <c r="N2615" i="1" s="1"/>
  <c r="M2616" i="1"/>
  <c r="N2616" i="1" s="1"/>
  <c r="M2617" i="1"/>
  <c r="N2617" i="1" s="1"/>
  <c r="M2618" i="1"/>
  <c r="N2618" i="1" s="1"/>
  <c r="M2619" i="1"/>
  <c r="N2619" i="1" s="1"/>
  <c r="M2620" i="1"/>
  <c r="N2620" i="1" s="1"/>
  <c r="M2621" i="1"/>
  <c r="N2621" i="1" s="1"/>
  <c r="M2622" i="1"/>
  <c r="N2622" i="1" s="1"/>
  <c r="M2623" i="1"/>
  <c r="N2623" i="1" s="1"/>
  <c r="M2624" i="1"/>
  <c r="N2624" i="1" s="1"/>
  <c r="M2625" i="1"/>
  <c r="N2625" i="1" s="1"/>
  <c r="M2626" i="1"/>
  <c r="N2626" i="1" s="1"/>
  <c r="M2627" i="1"/>
  <c r="N2627" i="1" s="1"/>
  <c r="M2628" i="1"/>
  <c r="N2628" i="1" s="1"/>
  <c r="M2629" i="1"/>
  <c r="N2629" i="1" s="1"/>
  <c r="M2630" i="1"/>
  <c r="N2630" i="1" s="1"/>
  <c r="M2631" i="1"/>
  <c r="N2631" i="1" s="1"/>
  <c r="M2632" i="1"/>
  <c r="N2632" i="1" s="1"/>
  <c r="M2633" i="1"/>
  <c r="N2633" i="1" s="1"/>
  <c r="M2634" i="1"/>
  <c r="N2634" i="1" s="1"/>
  <c r="M2635" i="1"/>
  <c r="N2635" i="1" s="1"/>
  <c r="M2636" i="1"/>
  <c r="N2636" i="1" s="1"/>
  <c r="M2637" i="1"/>
  <c r="N2637" i="1" s="1"/>
  <c r="M2638" i="1"/>
  <c r="N2638" i="1" s="1"/>
  <c r="M2639" i="1"/>
  <c r="N2639" i="1" s="1"/>
  <c r="M2640" i="1"/>
  <c r="N2640" i="1" s="1"/>
  <c r="M2641" i="1"/>
  <c r="N2641" i="1" s="1"/>
  <c r="M2642" i="1"/>
  <c r="N2642" i="1" s="1"/>
  <c r="M2643" i="1"/>
  <c r="N2643" i="1" s="1"/>
  <c r="M2644" i="1"/>
  <c r="N2644" i="1" s="1"/>
  <c r="M2645" i="1"/>
  <c r="N2645" i="1" s="1"/>
  <c r="M2646" i="1"/>
  <c r="N2646" i="1" s="1"/>
  <c r="M2647" i="1"/>
  <c r="N2647" i="1" s="1"/>
  <c r="M2648" i="1"/>
  <c r="N2648" i="1" s="1"/>
  <c r="M2649" i="1"/>
  <c r="N2649" i="1" s="1"/>
  <c r="M2650" i="1"/>
  <c r="N2650" i="1" s="1"/>
  <c r="M2651" i="1"/>
  <c r="N2651" i="1" s="1"/>
  <c r="M2652" i="1"/>
  <c r="N2652" i="1" s="1"/>
  <c r="M2653" i="1"/>
  <c r="N2653" i="1" s="1"/>
  <c r="M2654" i="1"/>
  <c r="N2654" i="1" s="1"/>
  <c r="M2655" i="1"/>
  <c r="N2655" i="1" s="1"/>
  <c r="M2656" i="1"/>
  <c r="N2656" i="1" s="1"/>
  <c r="M2657" i="1"/>
  <c r="N2657" i="1" s="1"/>
  <c r="M2658" i="1"/>
  <c r="N2658" i="1" s="1"/>
  <c r="M2659" i="1"/>
  <c r="N2659" i="1" s="1"/>
  <c r="M2660" i="1"/>
  <c r="N2660" i="1" s="1"/>
  <c r="M2661" i="1"/>
  <c r="N2661" i="1" s="1"/>
  <c r="M2662" i="1"/>
  <c r="N2662" i="1" s="1"/>
  <c r="M2663" i="1"/>
  <c r="N2663" i="1" s="1"/>
  <c r="M2664" i="1"/>
  <c r="N2664" i="1" s="1"/>
  <c r="M2665" i="1"/>
  <c r="N2665" i="1" s="1"/>
  <c r="M2666" i="1"/>
  <c r="N2666" i="1" s="1"/>
  <c r="M2667" i="1"/>
  <c r="N2667" i="1" s="1"/>
  <c r="M2668" i="1"/>
  <c r="N2668" i="1" s="1"/>
  <c r="M2669" i="1"/>
  <c r="N2669" i="1" s="1"/>
  <c r="M2670" i="1"/>
  <c r="N2670" i="1" s="1"/>
  <c r="M2671" i="1"/>
  <c r="N2671" i="1" s="1"/>
  <c r="M2672" i="1"/>
  <c r="N2672" i="1" s="1"/>
  <c r="M2673" i="1"/>
  <c r="N2673" i="1" s="1"/>
  <c r="M2674" i="1"/>
  <c r="N2674" i="1" s="1"/>
  <c r="M2675" i="1"/>
  <c r="N2675" i="1" s="1"/>
  <c r="M2676" i="1"/>
  <c r="N2676" i="1" s="1"/>
  <c r="M2677" i="1"/>
  <c r="N2677" i="1" s="1"/>
  <c r="M2678" i="1"/>
  <c r="N2678" i="1" s="1"/>
  <c r="M2679" i="1"/>
  <c r="N2679" i="1" s="1"/>
  <c r="M2680" i="1"/>
  <c r="N2680" i="1" s="1"/>
  <c r="M2681" i="1"/>
  <c r="N2681" i="1" s="1"/>
  <c r="M2682" i="1"/>
  <c r="N2682" i="1" s="1"/>
  <c r="M2683" i="1"/>
  <c r="N2683" i="1" s="1"/>
  <c r="M2684" i="1"/>
  <c r="N2684" i="1" s="1"/>
  <c r="M2685" i="1"/>
  <c r="N2685" i="1" s="1"/>
  <c r="M2686" i="1"/>
  <c r="N2686" i="1" s="1"/>
  <c r="M2687" i="1"/>
  <c r="N2687" i="1" s="1"/>
  <c r="M2688" i="1"/>
  <c r="N2688" i="1" s="1"/>
  <c r="M2689" i="1"/>
  <c r="N2689" i="1" s="1"/>
  <c r="M2690" i="1"/>
  <c r="N2690" i="1" s="1"/>
  <c r="M2691" i="1"/>
  <c r="N2691" i="1" s="1"/>
  <c r="M2692" i="1"/>
  <c r="N2692" i="1" s="1"/>
  <c r="M2693" i="1"/>
  <c r="N2693" i="1" s="1"/>
  <c r="M2694" i="1"/>
  <c r="N2694" i="1" s="1"/>
  <c r="M2695" i="1"/>
  <c r="N2695" i="1" s="1"/>
  <c r="M2696" i="1"/>
  <c r="N2696" i="1" s="1"/>
  <c r="M2697" i="1"/>
  <c r="N2697" i="1" s="1"/>
  <c r="M2698" i="1"/>
  <c r="N2698" i="1" s="1"/>
  <c r="M2699" i="1"/>
  <c r="N2699" i="1" s="1"/>
  <c r="M2700" i="1"/>
  <c r="N2700" i="1" s="1"/>
  <c r="M2701" i="1"/>
  <c r="N2701" i="1" s="1"/>
  <c r="M2702" i="1"/>
  <c r="N2702" i="1" s="1"/>
  <c r="M2703" i="1"/>
  <c r="N2703" i="1" s="1"/>
  <c r="M2704" i="1"/>
  <c r="N2704" i="1" s="1"/>
  <c r="M2705" i="1"/>
  <c r="N2705" i="1" s="1"/>
  <c r="M2706" i="1"/>
  <c r="N2706" i="1" s="1"/>
  <c r="M2707" i="1"/>
  <c r="N2707" i="1" s="1"/>
  <c r="M2708" i="1"/>
  <c r="N2708" i="1" s="1"/>
  <c r="M2709" i="1"/>
  <c r="N2709" i="1" s="1"/>
  <c r="M2710" i="1"/>
  <c r="N2710" i="1" s="1"/>
  <c r="M2711" i="1"/>
  <c r="N2711" i="1" s="1"/>
  <c r="M2712" i="1"/>
  <c r="N2712" i="1" s="1"/>
  <c r="M2713" i="1"/>
  <c r="N2713" i="1" s="1"/>
  <c r="M2714" i="1"/>
  <c r="N2714" i="1" s="1"/>
  <c r="M2715" i="1"/>
  <c r="N2715" i="1" s="1"/>
  <c r="M2716" i="1"/>
  <c r="N2716" i="1" s="1"/>
  <c r="M2717" i="1"/>
  <c r="N2717" i="1" s="1"/>
  <c r="M2718" i="1"/>
  <c r="N2718" i="1" s="1"/>
  <c r="M2719" i="1"/>
  <c r="N2719" i="1" s="1"/>
  <c r="M2720" i="1"/>
  <c r="N2720" i="1" s="1"/>
  <c r="M2721" i="1"/>
  <c r="N2721" i="1" s="1"/>
  <c r="M2722" i="1"/>
  <c r="N2722" i="1" s="1"/>
  <c r="M2723" i="1"/>
  <c r="N2723" i="1" s="1"/>
  <c r="M2724" i="1"/>
  <c r="N2724" i="1" s="1"/>
  <c r="M2725" i="1"/>
  <c r="N2725" i="1" s="1"/>
  <c r="M2726" i="1"/>
  <c r="N2726" i="1" s="1"/>
  <c r="M2727" i="1"/>
  <c r="N2727" i="1" s="1"/>
  <c r="M2728" i="1"/>
  <c r="N2728" i="1" s="1"/>
  <c r="M2729" i="1"/>
  <c r="N2729" i="1" s="1"/>
  <c r="M2730" i="1"/>
  <c r="N2730" i="1" s="1"/>
  <c r="M2731" i="1"/>
  <c r="N2731" i="1" s="1"/>
  <c r="M2732" i="1"/>
  <c r="N2732" i="1" s="1"/>
  <c r="M2733" i="1"/>
  <c r="N2733" i="1" s="1"/>
  <c r="M2734" i="1"/>
  <c r="N2734" i="1" s="1"/>
  <c r="M2735" i="1"/>
  <c r="N2735" i="1" s="1"/>
  <c r="M2736" i="1"/>
  <c r="N2736" i="1" s="1"/>
  <c r="M2737" i="1"/>
  <c r="N2737" i="1" s="1"/>
  <c r="M2738" i="1"/>
  <c r="N2738" i="1" s="1"/>
  <c r="M2739" i="1"/>
  <c r="N2739" i="1" s="1"/>
  <c r="M2740" i="1"/>
  <c r="N2740" i="1" s="1"/>
  <c r="M2741" i="1"/>
  <c r="N2741" i="1" s="1"/>
  <c r="M2742" i="1"/>
  <c r="N2742" i="1" s="1"/>
  <c r="M2743" i="1"/>
  <c r="N2743" i="1" s="1"/>
  <c r="M2744" i="1"/>
  <c r="N2744" i="1" s="1"/>
  <c r="M2745" i="1"/>
  <c r="N2745" i="1" s="1"/>
  <c r="M2746" i="1"/>
  <c r="N2746" i="1" s="1"/>
  <c r="M2747" i="1"/>
  <c r="N2747" i="1" s="1"/>
  <c r="M2748" i="1"/>
  <c r="N2748" i="1" s="1"/>
  <c r="M2749" i="1"/>
  <c r="N2749" i="1" s="1"/>
  <c r="M2750" i="1"/>
  <c r="N2750" i="1" s="1"/>
  <c r="M2751" i="1"/>
  <c r="N2751" i="1" s="1"/>
  <c r="M2752" i="1"/>
  <c r="N2752" i="1" s="1"/>
  <c r="M2753" i="1"/>
  <c r="N2753" i="1" s="1"/>
  <c r="M2754" i="1"/>
  <c r="N2754" i="1" s="1"/>
  <c r="M2755" i="1"/>
  <c r="N2755" i="1" s="1"/>
  <c r="M2756" i="1"/>
  <c r="N2756" i="1" s="1"/>
  <c r="M2757" i="1"/>
  <c r="N2757" i="1" s="1"/>
  <c r="M2758" i="1"/>
  <c r="N2758" i="1" s="1"/>
  <c r="M2759" i="1"/>
  <c r="N2759" i="1" s="1"/>
  <c r="M2760" i="1"/>
  <c r="N2760" i="1" s="1"/>
  <c r="M2761" i="1"/>
  <c r="N2761" i="1" s="1"/>
  <c r="M2762" i="1"/>
  <c r="N2762" i="1" s="1"/>
  <c r="M2763" i="1"/>
  <c r="N2763" i="1" s="1"/>
  <c r="M2764" i="1"/>
  <c r="N2764" i="1" s="1"/>
  <c r="M2765" i="1"/>
  <c r="N2765" i="1" s="1"/>
  <c r="M2766" i="1"/>
  <c r="N2766" i="1" s="1"/>
  <c r="M2767" i="1"/>
  <c r="N2767" i="1" s="1"/>
  <c r="M2768" i="1"/>
  <c r="N2768" i="1" s="1"/>
  <c r="M2769" i="1"/>
  <c r="N2769" i="1" s="1"/>
  <c r="M2770" i="1"/>
  <c r="N2770" i="1" s="1"/>
  <c r="M2771" i="1"/>
  <c r="N2771" i="1" s="1"/>
  <c r="M2772" i="1"/>
  <c r="N2772" i="1" s="1"/>
  <c r="M2773" i="1"/>
  <c r="N2773" i="1" s="1"/>
  <c r="M2774" i="1"/>
  <c r="N2774" i="1" s="1"/>
  <c r="M2775" i="1"/>
  <c r="N2775" i="1" s="1"/>
  <c r="M2776" i="1"/>
  <c r="N2776" i="1" s="1"/>
  <c r="M2777" i="1"/>
  <c r="N2777" i="1" s="1"/>
  <c r="M2778" i="1"/>
  <c r="N2778" i="1" s="1"/>
  <c r="M2779" i="1"/>
  <c r="N2779" i="1" s="1"/>
  <c r="M2780" i="1"/>
  <c r="N2780" i="1" s="1"/>
  <c r="M2781" i="1"/>
  <c r="N2781" i="1" s="1"/>
  <c r="M2782" i="1"/>
  <c r="N2782" i="1" s="1"/>
  <c r="M2783" i="1"/>
  <c r="N2783" i="1" s="1"/>
  <c r="M2784" i="1"/>
  <c r="N2784" i="1" s="1"/>
  <c r="M2785" i="1"/>
  <c r="N2785" i="1" s="1"/>
  <c r="M2786" i="1"/>
  <c r="N2786" i="1" s="1"/>
  <c r="M2787" i="1"/>
  <c r="N2787" i="1" s="1"/>
  <c r="M2788" i="1"/>
  <c r="N2788" i="1" s="1"/>
  <c r="M2789" i="1"/>
  <c r="N2789" i="1" s="1"/>
  <c r="M2790" i="1"/>
  <c r="N2790" i="1" s="1"/>
  <c r="M2791" i="1"/>
  <c r="N2791" i="1" s="1"/>
  <c r="M2792" i="1"/>
  <c r="N2792" i="1" s="1"/>
  <c r="M2793" i="1"/>
  <c r="N2793" i="1" s="1"/>
  <c r="M2794" i="1"/>
  <c r="N2794" i="1" s="1"/>
  <c r="M2795" i="1"/>
  <c r="N2795" i="1" s="1"/>
  <c r="M2796" i="1"/>
  <c r="N2796" i="1" s="1"/>
  <c r="M2797" i="1"/>
  <c r="N2797" i="1" s="1"/>
  <c r="M2798" i="1"/>
  <c r="N2798" i="1" s="1"/>
  <c r="M2799" i="1"/>
  <c r="N2799" i="1" s="1"/>
  <c r="M2800" i="1"/>
  <c r="N2800" i="1" s="1"/>
  <c r="M2801" i="1"/>
  <c r="N2801" i="1" s="1"/>
  <c r="M2802" i="1"/>
  <c r="N2802" i="1" s="1"/>
  <c r="M2803" i="1"/>
  <c r="N2803" i="1" s="1"/>
  <c r="M2804" i="1"/>
  <c r="N2804" i="1" s="1"/>
  <c r="M2805" i="1"/>
  <c r="N2805" i="1" s="1"/>
  <c r="M2806" i="1"/>
  <c r="N2806" i="1" s="1"/>
  <c r="M2807" i="1"/>
  <c r="N2807" i="1" s="1"/>
  <c r="M2808" i="1"/>
  <c r="N2808" i="1" s="1"/>
  <c r="M2809" i="1"/>
  <c r="N2809" i="1" s="1"/>
  <c r="M2810" i="1"/>
  <c r="N2810" i="1" s="1"/>
  <c r="M2811" i="1"/>
  <c r="N2811" i="1" s="1"/>
  <c r="M2812" i="1"/>
  <c r="N2812" i="1" s="1"/>
  <c r="M2813" i="1"/>
  <c r="N2813" i="1" s="1"/>
  <c r="M2814" i="1"/>
  <c r="N2814" i="1" s="1"/>
  <c r="M2815" i="1"/>
  <c r="N2815" i="1" s="1"/>
  <c r="M2816" i="1"/>
  <c r="N2816" i="1" s="1"/>
  <c r="M2817" i="1"/>
  <c r="N2817" i="1" s="1"/>
  <c r="M2818" i="1"/>
  <c r="N2818" i="1" s="1"/>
  <c r="M2819" i="1"/>
  <c r="N2819" i="1" s="1"/>
  <c r="M2820" i="1"/>
  <c r="N2820" i="1" s="1"/>
  <c r="M2821" i="1"/>
  <c r="N2821" i="1" s="1"/>
  <c r="M2822" i="1"/>
  <c r="N2822" i="1" s="1"/>
  <c r="M2823" i="1"/>
  <c r="N2823" i="1" s="1"/>
  <c r="M2824" i="1"/>
  <c r="N2824" i="1" s="1"/>
  <c r="M2825" i="1"/>
  <c r="N2825" i="1" s="1"/>
  <c r="M2826" i="1"/>
  <c r="N2826" i="1" s="1"/>
  <c r="M2827" i="1"/>
  <c r="N2827" i="1" s="1"/>
  <c r="M2828" i="1"/>
  <c r="N2828" i="1" s="1"/>
  <c r="M2829" i="1"/>
  <c r="N2829" i="1" s="1"/>
  <c r="M2830" i="1"/>
  <c r="N2830" i="1" s="1"/>
  <c r="M2831" i="1"/>
  <c r="N2831" i="1" s="1"/>
  <c r="M2832" i="1"/>
  <c r="N2832" i="1" s="1"/>
  <c r="M2833" i="1"/>
  <c r="N2833" i="1" s="1"/>
  <c r="M2834" i="1"/>
  <c r="N2834" i="1" s="1"/>
  <c r="M2835" i="1"/>
  <c r="N2835" i="1" s="1"/>
  <c r="M2836" i="1"/>
  <c r="N2836" i="1" s="1"/>
  <c r="M2837" i="1"/>
  <c r="N2837" i="1" s="1"/>
  <c r="M2838" i="1"/>
  <c r="N2838" i="1" s="1"/>
  <c r="M2839" i="1"/>
  <c r="N2839" i="1" s="1"/>
  <c r="M2840" i="1"/>
  <c r="N2840" i="1" s="1"/>
  <c r="M2841" i="1"/>
  <c r="N2841" i="1" s="1"/>
  <c r="M2842" i="1"/>
  <c r="N2842" i="1" s="1"/>
  <c r="M2843" i="1"/>
  <c r="N2843" i="1" s="1"/>
  <c r="M2844" i="1"/>
  <c r="N2844" i="1" s="1"/>
  <c r="M2845" i="1"/>
  <c r="N2845" i="1" s="1"/>
  <c r="M2846" i="1"/>
  <c r="N2846" i="1" s="1"/>
  <c r="M2847" i="1"/>
  <c r="N2847" i="1" s="1"/>
  <c r="M2848" i="1"/>
  <c r="N2848" i="1" s="1"/>
  <c r="M2849" i="1"/>
  <c r="N2849" i="1" s="1"/>
  <c r="M2850" i="1"/>
  <c r="N2850" i="1" s="1"/>
  <c r="M2851" i="1"/>
  <c r="N2851" i="1" s="1"/>
  <c r="M2852" i="1"/>
  <c r="N2852" i="1" s="1"/>
  <c r="M2853" i="1"/>
  <c r="N2853" i="1" s="1"/>
  <c r="M2854" i="1"/>
  <c r="N2854" i="1" s="1"/>
  <c r="M2855" i="1"/>
  <c r="N2855" i="1" s="1"/>
  <c r="M2856" i="1"/>
  <c r="N2856" i="1" s="1"/>
  <c r="M2857" i="1"/>
  <c r="N2857" i="1" s="1"/>
  <c r="M2858" i="1"/>
  <c r="N2858" i="1" s="1"/>
  <c r="M2859" i="1"/>
  <c r="N2859" i="1" s="1"/>
  <c r="M2860" i="1"/>
  <c r="N2860" i="1" s="1"/>
  <c r="M2861" i="1"/>
  <c r="N2861" i="1" s="1"/>
  <c r="M2862" i="1"/>
  <c r="N2862" i="1" s="1"/>
  <c r="M2863" i="1"/>
  <c r="N2863" i="1" s="1"/>
  <c r="M2864" i="1"/>
  <c r="N2864" i="1" s="1"/>
  <c r="M2865" i="1"/>
  <c r="N2865" i="1" s="1"/>
  <c r="M2866" i="1"/>
  <c r="N2866" i="1" s="1"/>
  <c r="M2867" i="1"/>
  <c r="N2867" i="1" s="1"/>
  <c r="M2868" i="1"/>
  <c r="N2868" i="1" s="1"/>
  <c r="M2869" i="1"/>
  <c r="N2869" i="1" s="1"/>
  <c r="M2870" i="1"/>
  <c r="N2870" i="1" s="1"/>
  <c r="M2871" i="1"/>
  <c r="N2871" i="1" s="1"/>
  <c r="M2872" i="1"/>
  <c r="N2872" i="1" s="1"/>
  <c r="M2873" i="1"/>
  <c r="N2873" i="1" s="1"/>
  <c r="M2874" i="1"/>
  <c r="N2874" i="1" s="1"/>
  <c r="M2875" i="1"/>
  <c r="N2875" i="1" s="1"/>
  <c r="M2876" i="1"/>
  <c r="N2876" i="1" s="1"/>
  <c r="M2877" i="1"/>
  <c r="N2877" i="1" s="1"/>
  <c r="M2878" i="1"/>
  <c r="N2878" i="1" s="1"/>
  <c r="M2879" i="1"/>
  <c r="N2879" i="1" s="1"/>
  <c r="M2880" i="1"/>
  <c r="N2880" i="1" s="1"/>
  <c r="M2881" i="1"/>
  <c r="N2881" i="1" s="1"/>
  <c r="M2882" i="1"/>
  <c r="N2882" i="1" s="1"/>
  <c r="M2883" i="1"/>
  <c r="N2883" i="1" s="1"/>
  <c r="M2884" i="1"/>
  <c r="N2884" i="1" s="1"/>
  <c r="M2885" i="1"/>
  <c r="N2885" i="1" s="1"/>
  <c r="M2886" i="1"/>
  <c r="N2886" i="1" s="1"/>
  <c r="M2887" i="1"/>
  <c r="N2887" i="1" s="1"/>
  <c r="M2888" i="1"/>
  <c r="N2888" i="1" s="1"/>
  <c r="M2889" i="1"/>
  <c r="N2889" i="1" s="1"/>
  <c r="M2890" i="1"/>
  <c r="N2890" i="1" s="1"/>
  <c r="M2891" i="1"/>
  <c r="N2891" i="1" s="1"/>
  <c r="M2892" i="1"/>
  <c r="N2892" i="1" s="1"/>
  <c r="M2893" i="1"/>
  <c r="N2893" i="1" s="1"/>
  <c r="M2894" i="1"/>
  <c r="N2894" i="1" s="1"/>
  <c r="M2895" i="1"/>
  <c r="N2895" i="1" s="1"/>
  <c r="M2896" i="1"/>
  <c r="N2896" i="1" s="1"/>
  <c r="M2897" i="1"/>
  <c r="N2897" i="1" s="1"/>
  <c r="M2898" i="1"/>
  <c r="N2898" i="1" s="1"/>
  <c r="M2899" i="1"/>
  <c r="N2899" i="1" s="1"/>
  <c r="M2900" i="1"/>
  <c r="N2900" i="1" s="1"/>
  <c r="M2901" i="1"/>
  <c r="N2901" i="1" s="1"/>
  <c r="M2902" i="1"/>
  <c r="N2902" i="1" s="1"/>
  <c r="M2903" i="1"/>
  <c r="N2903" i="1" s="1"/>
  <c r="M2904" i="1"/>
  <c r="N2904" i="1" s="1"/>
  <c r="M2905" i="1"/>
  <c r="N2905" i="1" s="1"/>
  <c r="M2906" i="1"/>
  <c r="N2906" i="1" s="1"/>
  <c r="M2907" i="1"/>
  <c r="N2907" i="1" s="1"/>
  <c r="M2908" i="1"/>
  <c r="N2908" i="1" s="1"/>
  <c r="M2909" i="1"/>
  <c r="N2909" i="1" s="1"/>
  <c r="M2910" i="1"/>
  <c r="N2910" i="1" s="1"/>
  <c r="M2911" i="1"/>
  <c r="N2911" i="1" s="1"/>
  <c r="M2912" i="1"/>
  <c r="N2912" i="1" s="1"/>
  <c r="M2913" i="1"/>
  <c r="N2913" i="1" s="1"/>
  <c r="M2914" i="1"/>
  <c r="N2914" i="1" s="1"/>
  <c r="M2915" i="1"/>
  <c r="N2915" i="1" s="1"/>
  <c r="M2916" i="1"/>
  <c r="N2916" i="1" s="1"/>
  <c r="M2917" i="1"/>
  <c r="N2917" i="1" s="1"/>
  <c r="M2918" i="1"/>
  <c r="N2918" i="1" s="1"/>
  <c r="M2919" i="1"/>
  <c r="N2919" i="1" s="1"/>
  <c r="M2920" i="1"/>
  <c r="N2920" i="1" s="1"/>
  <c r="M2921" i="1"/>
  <c r="N2921" i="1" s="1"/>
  <c r="M2922" i="1"/>
  <c r="N2922" i="1" s="1"/>
  <c r="M2923" i="1"/>
  <c r="N2923" i="1" s="1"/>
  <c r="M2924" i="1"/>
  <c r="N2924" i="1" s="1"/>
  <c r="M2925" i="1"/>
  <c r="N2925" i="1" s="1"/>
  <c r="M2926" i="1"/>
  <c r="N2926" i="1" s="1"/>
  <c r="M2927" i="1"/>
  <c r="N2927" i="1" s="1"/>
  <c r="M2928" i="1"/>
  <c r="N2928" i="1" s="1"/>
  <c r="M2929" i="1"/>
  <c r="N2929" i="1" s="1"/>
  <c r="M2930" i="1"/>
  <c r="N2930" i="1" s="1"/>
  <c r="M2931" i="1"/>
  <c r="N2931" i="1" s="1"/>
  <c r="M2932" i="1"/>
  <c r="N2932" i="1" s="1"/>
  <c r="M2933" i="1"/>
  <c r="N2933" i="1" s="1"/>
  <c r="M2934" i="1"/>
  <c r="N2934" i="1" s="1"/>
  <c r="M2935" i="1"/>
  <c r="N2935" i="1" s="1"/>
  <c r="M2936" i="1"/>
  <c r="N2936" i="1" s="1"/>
  <c r="M2937" i="1"/>
  <c r="N2937" i="1" s="1"/>
  <c r="M2938" i="1"/>
  <c r="N2938" i="1" s="1"/>
  <c r="M2939" i="1"/>
  <c r="N2939" i="1" s="1"/>
  <c r="M2940" i="1"/>
  <c r="N2940" i="1" s="1"/>
  <c r="M2941" i="1"/>
  <c r="N2941" i="1" s="1"/>
  <c r="M2942" i="1"/>
  <c r="N2942" i="1" s="1"/>
  <c r="M2943" i="1"/>
  <c r="N2943" i="1" s="1"/>
  <c r="M2944" i="1"/>
  <c r="N2944" i="1" s="1"/>
  <c r="M2945" i="1"/>
  <c r="N2945" i="1" s="1"/>
  <c r="M2946" i="1"/>
  <c r="N2946" i="1" s="1"/>
  <c r="M2947" i="1"/>
  <c r="N2947" i="1" s="1"/>
  <c r="M2948" i="1"/>
  <c r="N2948" i="1" s="1"/>
  <c r="M2949" i="1"/>
  <c r="N2949" i="1" s="1"/>
  <c r="M2950" i="1"/>
  <c r="N2950" i="1" s="1"/>
  <c r="M2951" i="1"/>
  <c r="N2951" i="1" s="1"/>
  <c r="M2952" i="1"/>
  <c r="N2952" i="1" s="1"/>
  <c r="M2953" i="1"/>
  <c r="N2953" i="1" s="1"/>
  <c r="M2954" i="1"/>
  <c r="N2954" i="1" s="1"/>
  <c r="M2955" i="1"/>
  <c r="N2955" i="1" s="1"/>
  <c r="M2956" i="1"/>
  <c r="N2956" i="1" s="1"/>
  <c r="M2957" i="1"/>
  <c r="N2957" i="1" s="1"/>
  <c r="M2958" i="1"/>
  <c r="N2958" i="1" s="1"/>
  <c r="M2959" i="1"/>
  <c r="N2959" i="1" s="1"/>
  <c r="M2960" i="1"/>
  <c r="N2960" i="1" s="1"/>
  <c r="M2961" i="1"/>
  <c r="N2961" i="1" s="1"/>
  <c r="M2962" i="1"/>
  <c r="N2962" i="1" s="1"/>
  <c r="M2963" i="1"/>
  <c r="N2963" i="1" s="1"/>
  <c r="M2964" i="1"/>
  <c r="N2964" i="1" s="1"/>
  <c r="M2965" i="1"/>
  <c r="N2965" i="1" s="1"/>
  <c r="M2966" i="1"/>
  <c r="N2966" i="1" s="1"/>
  <c r="M2967" i="1"/>
  <c r="N2967" i="1" s="1"/>
  <c r="M2968" i="1"/>
  <c r="N2968" i="1" s="1"/>
  <c r="M2969" i="1"/>
  <c r="N2969" i="1" s="1"/>
  <c r="M2970" i="1"/>
  <c r="N2970" i="1" s="1"/>
  <c r="M2971" i="1"/>
  <c r="N2971" i="1" s="1"/>
  <c r="M2972" i="1"/>
  <c r="N2972" i="1" s="1"/>
  <c r="M2973" i="1"/>
  <c r="N2973" i="1" s="1"/>
  <c r="M2974" i="1"/>
  <c r="N2974" i="1" s="1"/>
  <c r="M2975" i="1"/>
  <c r="N2975" i="1" s="1"/>
  <c r="M2976" i="1"/>
  <c r="N2976" i="1" s="1"/>
  <c r="M2977" i="1"/>
  <c r="N2977" i="1" s="1"/>
  <c r="M2978" i="1"/>
  <c r="N2978" i="1" s="1"/>
  <c r="M2979" i="1"/>
  <c r="N2979" i="1" s="1"/>
  <c r="M2980" i="1"/>
  <c r="N2980" i="1" s="1"/>
  <c r="M2981" i="1"/>
  <c r="N2981" i="1" s="1"/>
  <c r="M2982" i="1"/>
  <c r="N2982" i="1" s="1"/>
  <c r="M2983" i="1"/>
  <c r="N2983" i="1" s="1"/>
  <c r="M2984" i="1"/>
  <c r="N2984" i="1" s="1"/>
  <c r="M2985" i="1"/>
  <c r="N2985" i="1" s="1"/>
  <c r="M2986" i="1"/>
  <c r="N2986" i="1" s="1"/>
  <c r="M2987" i="1"/>
  <c r="N2987" i="1" s="1"/>
  <c r="M2988" i="1"/>
  <c r="N2988" i="1" s="1"/>
  <c r="M2989" i="1"/>
  <c r="N2989" i="1" s="1"/>
  <c r="M2990" i="1"/>
  <c r="N2990" i="1" s="1"/>
  <c r="M2991" i="1"/>
  <c r="N2991" i="1" s="1"/>
  <c r="M2992" i="1"/>
  <c r="N2992" i="1" s="1"/>
  <c r="M2993" i="1"/>
  <c r="N2993" i="1" s="1"/>
  <c r="M2994" i="1"/>
  <c r="N2994" i="1" s="1"/>
  <c r="M2995" i="1"/>
  <c r="N2995" i="1" s="1"/>
  <c r="M2996" i="1"/>
  <c r="N2996" i="1" s="1"/>
  <c r="M2997" i="1"/>
  <c r="N2997" i="1" s="1"/>
  <c r="M2998" i="1"/>
  <c r="N2998" i="1" s="1"/>
  <c r="M2999" i="1"/>
  <c r="N2999" i="1" s="1"/>
  <c r="M3000" i="1"/>
  <c r="N3000" i="1" s="1"/>
  <c r="M3001" i="1"/>
  <c r="N3001" i="1" s="1"/>
  <c r="M3002" i="1"/>
  <c r="N3002" i="1" s="1"/>
  <c r="M3003" i="1"/>
  <c r="N3003" i="1" s="1"/>
  <c r="M3004" i="1"/>
  <c r="N3004" i="1" s="1"/>
  <c r="M3005" i="1"/>
  <c r="N3005" i="1" s="1"/>
  <c r="M3006" i="1"/>
  <c r="N3006" i="1" s="1"/>
  <c r="M3007" i="1"/>
  <c r="N3007" i="1" s="1"/>
  <c r="M3008" i="1"/>
  <c r="N3008" i="1" s="1"/>
  <c r="M3009" i="1"/>
  <c r="N3009" i="1" s="1"/>
  <c r="M3010" i="1"/>
  <c r="N3010" i="1" s="1"/>
  <c r="M3011" i="1"/>
  <c r="N3011" i="1" s="1"/>
  <c r="M3012" i="1"/>
  <c r="N3012" i="1" s="1"/>
  <c r="M3013" i="1"/>
  <c r="N3013" i="1" s="1"/>
  <c r="M3014" i="1"/>
  <c r="N3014" i="1" s="1"/>
  <c r="M3015" i="1"/>
  <c r="N3015" i="1" s="1"/>
  <c r="M3016" i="1"/>
  <c r="N3016" i="1" s="1"/>
  <c r="M3017" i="1"/>
  <c r="N3017" i="1" s="1"/>
  <c r="M3018" i="1"/>
  <c r="N3018" i="1" s="1"/>
  <c r="M3019" i="1"/>
  <c r="N3019" i="1" s="1"/>
  <c r="M3020" i="1"/>
  <c r="N3020" i="1" s="1"/>
  <c r="M3021" i="1"/>
  <c r="N3021" i="1" s="1"/>
  <c r="M3022" i="1"/>
  <c r="N3022" i="1" s="1"/>
  <c r="M3023" i="1"/>
  <c r="N3023" i="1" s="1"/>
  <c r="M3024" i="1"/>
  <c r="N3024" i="1" s="1"/>
  <c r="M3025" i="1"/>
  <c r="N3025" i="1" s="1"/>
  <c r="M3026" i="1"/>
  <c r="N3026" i="1" s="1"/>
  <c r="M3027" i="1"/>
  <c r="N3027" i="1" s="1"/>
  <c r="M3028" i="1"/>
  <c r="N3028" i="1" s="1"/>
  <c r="M3029" i="1"/>
  <c r="N3029" i="1" s="1"/>
  <c r="M3030" i="1"/>
  <c r="N3030" i="1" s="1"/>
  <c r="M3031" i="1"/>
  <c r="N3031" i="1" s="1"/>
  <c r="M3032" i="1"/>
  <c r="N3032" i="1" s="1"/>
  <c r="M3033" i="1"/>
  <c r="N3033" i="1" s="1"/>
  <c r="M3034" i="1"/>
  <c r="N3034" i="1" s="1"/>
  <c r="M3035" i="1"/>
  <c r="N3035" i="1" s="1"/>
  <c r="M3036" i="1"/>
  <c r="N3036" i="1" s="1"/>
  <c r="M3037" i="1"/>
  <c r="N3037" i="1" s="1"/>
  <c r="M3038" i="1"/>
  <c r="N3038" i="1" s="1"/>
  <c r="M3039" i="1"/>
  <c r="N3039" i="1" s="1"/>
  <c r="M3040" i="1"/>
  <c r="N3040" i="1" s="1"/>
  <c r="M3041" i="1"/>
  <c r="N3041" i="1" s="1"/>
  <c r="M3042" i="1"/>
  <c r="N3042" i="1" s="1"/>
  <c r="M3043" i="1"/>
  <c r="N3043" i="1" s="1"/>
  <c r="M3044" i="1"/>
  <c r="N3044" i="1" s="1"/>
  <c r="M3045" i="1"/>
  <c r="N3045" i="1" s="1"/>
  <c r="M3046" i="1"/>
  <c r="N3046" i="1" s="1"/>
  <c r="M3047" i="1"/>
  <c r="N3047" i="1" s="1"/>
  <c r="M3048" i="1"/>
  <c r="N3048" i="1" s="1"/>
  <c r="M3049" i="1"/>
  <c r="N3049" i="1" s="1"/>
  <c r="M3050" i="1"/>
  <c r="N3050" i="1" s="1"/>
  <c r="M3051" i="1"/>
  <c r="N3051" i="1" s="1"/>
  <c r="M3052" i="1"/>
  <c r="N3052" i="1" s="1"/>
  <c r="M3053" i="1"/>
  <c r="N3053" i="1" s="1"/>
  <c r="M3054" i="1"/>
  <c r="N3054" i="1" s="1"/>
  <c r="M3055" i="1"/>
  <c r="N3055" i="1" s="1"/>
  <c r="M3056" i="1"/>
  <c r="N3056" i="1" s="1"/>
  <c r="M3057" i="1"/>
  <c r="N3057" i="1" s="1"/>
  <c r="M3058" i="1"/>
  <c r="N3058" i="1" s="1"/>
  <c r="M3059" i="1"/>
  <c r="N3059" i="1" s="1"/>
  <c r="M3060" i="1"/>
  <c r="N3060" i="1" s="1"/>
  <c r="M3061" i="1"/>
  <c r="N3061" i="1" s="1"/>
  <c r="M3062" i="1"/>
  <c r="N3062" i="1" s="1"/>
  <c r="M3063" i="1"/>
  <c r="N3063" i="1" s="1"/>
  <c r="M3064" i="1"/>
  <c r="N3064" i="1" s="1"/>
  <c r="M3065" i="1"/>
  <c r="N3065" i="1" s="1"/>
  <c r="M3066" i="1"/>
  <c r="N3066" i="1" s="1"/>
  <c r="M3067" i="1"/>
  <c r="N3067" i="1" s="1"/>
  <c r="M3068" i="1"/>
  <c r="N3068" i="1" s="1"/>
  <c r="M3069" i="1"/>
  <c r="N3069" i="1" s="1"/>
  <c r="M3070" i="1"/>
  <c r="N3070" i="1" s="1"/>
  <c r="M3071" i="1"/>
  <c r="N3071" i="1" s="1"/>
  <c r="M3072" i="1"/>
  <c r="N3072" i="1" s="1"/>
  <c r="M3073" i="1"/>
  <c r="N3073" i="1" s="1"/>
  <c r="M3074" i="1"/>
  <c r="N3074" i="1" s="1"/>
  <c r="M3075" i="1"/>
  <c r="N3075" i="1" s="1"/>
  <c r="M3076" i="1"/>
  <c r="N3076" i="1" s="1"/>
  <c r="M3077" i="1"/>
  <c r="N3077" i="1" s="1"/>
  <c r="M3078" i="1"/>
  <c r="N3078" i="1" s="1"/>
  <c r="M3079" i="1"/>
  <c r="N3079" i="1" s="1"/>
  <c r="M3080" i="1"/>
  <c r="N3080" i="1" s="1"/>
  <c r="M3081" i="1"/>
  <c r="N3081" i="1" s="1"/>
  <c r="M3082" i="1"/>
  <c r="N3082" i="1" s="1"/>
  <c r="M3083" i="1"/>
  <c r="N3083" i="1" s="1"/>
  <c r="M3084" i="1"/>
  <c r="N3084" i="1" s="1"/>
  <c r="M3085" i="1"/>
  <c r="N3085" i="1" s="1"/>
  <c r="M3086" i="1"/>
  <c r="N3086" i="1" s="1"/>
  <c r="M3087" i="1"/>
  <c r="N3087" i="1" s="1"/>
  <c r="M3088" i="1"/>
  <c r="N3088" i="1" s="1"/>
  <c r="M3089" i="1"/>
  <c r="N3089" i="1" s="1"/>
  <c r="M3090" i="1"/>
  <c r="N3090" i="1" s="1"/>
  <c r="M3091" i="1"/>
  <c r="N3091" i="1" s="1"/>
  <c r="M3092" i="1"/>
  <c r="N3092" i="1" s="1"/>
  <c r="M3093" i="1"/>
  <c r="N3093" i="1" s="1"/>
  <c r="M3094" i="1"/>
  <c r="N3094" i="1" s="1"/>
  <c r="M3095" i="1"/>
  <c r="N3095" i="1" s="1"/>
  <c r="M3096" i="1"/>
  <c r="N3096" i="1" s="1"/>
  <c r="M3097" i="1"/>
  <c r="N3097" i="1" s="1"/>
  <c r="M3098" i="1"/>
  <c r="N3098" i="1" s="1"/>
  <c r="M3099" i="1"/>
  <c r="N3099" i="1" s="1"/>
  <c r="M3100" i="1"/>
  <c r="N3100" i="1" s="1"/>
  <c r="M3101" i="1"/>
  <c r="N3101" i="1" s="1"/>
  <c r="M3102" i="1"/>
  <c r="N3102" i="1" s="1"/>
  <c r="M3103" i="1"/>
  <c r="N3103" i="1" s="1"/>
  <c r="M3104" i="1"/>
  <c r="N3104" i="1" s="1"/>
  <c r="M3105" i="1"/>
  <c r="N3105" i="1" s="1"/>
  <c r="M3106" i="1"/>
  <c r="N3106" i="1" s="1"/>
  <c r="M3107" i="1"/>
  <c r="N3107" i="1" s="1"/>
  <c r="M3108" i="1"/>
  <c r="N3108" i="1" s="1"/>
  <c r="M3109" i="1"/>
  <c r="N3109" i="1" s="1"/>
  <c r="M3110" i="1"/>
  <c r="N3110" i="1" s="1"/>
  <c r="M3111" i="1"/>
  <c r="N3111" i="1" s="1"/>
  <c r="M3112" i="1"/>
  <c r="N3112" i="1" s="1"/>
  <c r="M3113" i="1"/>
  <c r="N3113" i="1" s="1"/>
  <c r="M3114" i="1"/>
  <c r="N3114" i="1" s="1"/>
  <c r="M3115" i="1"/>
  <c r="N3115" i="1" s="1"/>
  <c r="M3116" i="1"/>
  <c r="N3116" i="1" s="1"/>
  <c r="M3117" i="1"/>
  <c r="N3117" i="1" s="1"/>
  <c r="M3118" i="1"/>
  <c r="N3118" i="1" s="1"/>
  <c r="M3119" i="1"/>
  <c r="N3119" i="1" s="1"/>
  <c r="M3120" i="1"/>
  <c r="N3120" i="1" s="1"/>
  <c r="M3121" i="1"/>
  <c r="N3121" i="1" s="1"/>
  <c r="M3122" i="1"/>
  <c r="N3122" i="1" s="1"/>
  <c r="M3123" i="1"/>
  <c r="N3123" i="1" s="1"/>
  <c r="M3124" i="1"/>
  <c r="N3124" i="1" s="1"/>
  <c r="M3125" i="1"/>
  <c r="N3125" i="1" s="1"/>
  <c r="M3126" i="1"/>
  <c r="N3126" i="1" s="1"/>
  <c r="M3127" i="1"/>
  <c r="N3127" i="1" s="1"/>
  <c r="M3128" i="1"/>
  <c r="N3128" i="1" s="1"/>
  <c r="M3129" i="1"/>
  <c r="N3129" i="1" s="1"/>
  <c r="M3130" i="1"/>
  <c r="N3130" i="1" s="1"/>
  <c r="M3131" i="1"/>
  <c r="N3131" i="1" s="1"/>
  <c r="M3132" i="1"/>
  <c r="N3132" i="1" s="1"/>
  <c r="M3133" i="1"/>
  <c r="N3133" i="1" s="1"/>
  <c r="M3134" i="1"/>
  <c r="N3134" i="1" s="1"/>
  <c r="M3135" i="1"/>
  <c r="N3135" i="1" s="1"/>
  <c r="M3136" i="1"/>
  <c r="N3136" i="1" s="1"/>
  <c r="M3137" i="1"/>
  <c r="N3137" i="1" s="1"/>
  <c r="M3138" i="1"/>
  <c r="N3138" i="1" s="1"/>
  <c r="M3139" i="1"/>
  <c r="N3139" i="1" s="1"/>
  <c r="M3140" i="1"/>
  <c r="N3140" i="1" s="1"/>
  <c r="M3141" i="1"/>
  <c r="N3141" i="1" s="1"/>
  <c r="M3142" i="1"/>
  <c r="N3142" i="1" s="1"/>
  <c r="M3143" i="1"/>
  <c r="N3143" i="1" s="1"/>
  <c r="M3144" i="1"/>
  <c r="N3144" i="1" s="1"/>
  <c r="M3145" i="1"/>
  <c r="N3145" i="1" s="1"/>
  <c r="M3146" i="1"/>
  <c r="N3146" i="1" s="1"/>
  <c r="M3147" i="1"/>
  <c r="N3147" i="1" s="1"/>
  <c r="M3148" i="1"/>
  <c r="N3148" i="1" s="1"/>
  <c r="M3149" i="1"/>
  <c r="N3149" i="1" s="1"/>
  <c r="M3150" i="1"/>
  <c r="N3150" i="1" s="1"/>
  <c r="M3151" i="1"/>
  <c r="N3151" i="1" s="1"/>
  <c r="M3152" i="1"/>
  <c r="N3152" i="1" s="1"/>
  <c r="M3153" i="1"/>
  <c r="N3153" i="1" s="1"/>
  <c r="M3154" i="1"/>
  <c r="N3154" i="1" s="1"/>
  <c r="M3155" i="1"/>
  <c r="N3155" i="1" s="1"/>
  <c r="M3156" i="1"/>
  <c r="N3156" i="1" s="1"/>
  <c r="M3157" i="1"/>
  <c r="N3157" i="1" s="1"/>
  <c r="M3158" i="1"/>
  <c r="N3158" i="1" s="1"/>
  <c r="M3159" i="1"/>
  <c r="N3159" i="1" s="1"/>
  <c r="M3160" i="1"/>
  <c r="N3160" i="1" s="1"/>
  <c r="M3161" i="1"/>
  <c r="N3161" i="1" s="1"/>
  <c r="M3162" i="1"/>
  <c r="N3162" i="1" s="1"/>
  <c r="M3163" i="1"/>
  <c r="N3163" i="1" s="1"/>
  <c r="M3164" i="1"/>
  <c r="N3164" i="1" s="1"/>
  <c r="M3165" i="1"/>
  <c r="N3165" i="1" s="1"/>
  <c r="M3166" i="1"/>
  <c r="N3166" i="1" s="1"/>
  <c r="M3167" i="1"/>
  <c r="N3167" i="1" s="1"/>
  <c r="M3168" i="1"/>
  <c r="N3168" i="1" s="1"/>
  <c r="M3169" i="1"/>
  <c r="N3169" i="1" s="1"/>
  <c r="M3170" i="1"/>
  <c r="N3170" i="1" s="1"/>
  <c r="M3171" i="1"/>
  <c r="N3171" i="1" s="1"/>
  <c r="M3172" i="1"/>
  <c r="N3172" i="1" s="1"/>
  <c r="M3173" i="1"/>
  <c r="N3173" i="1" s="1"/>
  <c r="M3174" i="1"/>
  <c r="N3174" i="1" s="1"/>
  <c r="M3175" i="1"/>
  <c r="N3175" i="1" s="1"/>
  <c r="M3176" i="1"/>
  <c r="N3176" i="1" s="1"/>
  <c r="M3177" i="1"/>
  <c r="N3177" i="1" s="1"/>
  <c r="M3178" i="1"/>
  <c r="N3178" i="1" s="1"/>
  <c r="M3179" i="1"/>
  <c r="N3179" i="1" s="1"/>
  <c r="M3180" i="1"/>
  <c r="N3180" i="1" s="1"/>
  <c r="M3181" i="1"/>
  <c r="N3181" i="1" s="1"/>
  <c r="M3182" i="1"/>
  <c r="N3182" i="1" s="1"/>
  <c r="M3183" i="1"/>
  <c r="N3183" i="1" s="1"/>
  <c r="M3184" i="1"/>
  <c r="N3184" i="1" s="1"/>
  <c r="M3185" i="1"/>
  <c r="N3185" i="1" s="1"/>
  <c r="M3186" i="1"/>
  <c r="N3186" i="1" s="1"/>
  <c r="M3187" i="1"/>
  <c r="N3187" i="1" s="1"/>
  <c r="M3188" i="1"/>
  <c r="N3188" i="1" s="1"/>
  <c r="M3189" i="1"/>
  <c r="N3189" i="1" s="1"/>
  <c r="M3190" i="1"/>
  <c r="N3190" i="1" s="1"/>
  <c r="M3191" i="1"/>
  <c r="N3191" i="1" s="1"/>
  <c r="M3192" i="1"/>
  <c r="N3192" i="1" s="1"/>
  <c r="M3193" i="1"/>
  <c r="N3193" i="1" s="1"/>
  <c r="M3194" i="1"/>
  <c r="N3194" i="1" s="1"/>
  <c r="M3195" i="1"/>
  <c r="N3195" i="1" s="1"/>
  <c r="M3196" i="1"/>
  <c r="N3196" i="1" s="1"/>
  <c r="M3197" i="1"/>
  <c r="N3197" i="1" s="1"/>
  <c r="M3198" i="1"/>
  <c r="N3198" i="1" s="1"/>
  <c r="M3199" i="1"/>
  <c r="N3199" i="1" s="1"/>
  <c r="M3200" i="1"/>
  <c r="N3200" i="1" s="1"/>
  <c r="M3201" i="1"/>
  <c r="N3201" i="1" s="1"/>
  <c r="M3202" i="1"/>
  <c r="N3202" i="1" s="1"/>
  <c r="M3203" i="1"/>
  <c r="N3203" i="1" s="1"/>
  <c r="M3204" i="1"/>
  <c r="N3204" i="1" s="1"/>
  <c r="M3205" i="1"/>
  <c r="N3205" i="1" s="1"/>
  <c r="M3206" i="1"/>
  <c r="N3206" i="1" s="1"/>
  <c r="M3207" i="1"/>
  <c r="N3207" i="1" s="1"/>
  <c r="M3208" i="1"/>
  <c r="N3208" i="1" s="1"/>
  <c r="M3209" i="1"/>
  <c r="N3209" i="1" s="1"/>
  <c r="M3210" i="1"/>
  <c r="N3210" i="1" s="1"/>
  <c r="M3211" i="1"/>
  <c r="N3211" i="1" s="1"/>
  <c r="M3212" i="1"/>
  <c r="N3212" i="1" s="1"/>
  <c r="M3213" i="1"/>
  <c r="N3213" i="1" s="1"/>
  <c r="M3214" i="1"/>
  <c r="N3214" i="1" s="1"/>
  <c r="M3215" i="1"/>
  <c r="N3215" i="1" s="1"/>
  <c r="M3216" i="1"/>
  <c r="N3216" i="1" s="1"/>
  <c r="M3217" i="1"/>
  <c r="N3217" i="1" s="1"/>
  <c r="M3218" i="1"/>
  <c r="N3218" i="1" s="1"/>
  <c r="M3219" i="1"/>
  <c r="N3219" i="1" s="1"/>
  <c r="M3220" i="1"/>
  <c r="N3220" i="1" s="1"/>
  <c r="M3221" i="1"/>
  <c r="N3221" i="1" s="1"/>
  <c r="M3222" i="1"/>
  <c r="N3222" i="1" s="1"/>
  <c r="M3223" i="1"/>
  <c r="N3223" i="1" s="1"/>
  <c r="M3224" i="1"/>
  <c r="N3224" i="1" s="1"/>
  <c r="M3225" i="1"/>
  <c r="N3225" i="1" s="1"/>
  <c r="M3226" i="1"/>
  <c r="N3226" i="1" s="1"/>
  <c r="M3227" i="1"/>
  <c r="N3227" i="1" s="1"/>
  <c r="M3228" i="1"/>
  <c r="N3228" i="1" s="1"/>
  <c r="M3229" i="1"/>
  <c r="N3229" i="1" s="1"/>
  <c r="M3230" i="1"/>
  <c r="N3230" i="1" s="1"/>
  <c r="M3231" i="1"/>
  <c r="N3231" i="1" s="1"/>
  <c r="M3232" i="1"/>
  <c r="N3232" i="1" s="1"/>
  <c r="M3233" i="1"/>
  <c r="N3233" i="1" s="1"/>
  <c r="M3234" i="1"/>
  <c r="N3234" i="1" s="1"/>
  <c r="M3235" i="1"/>
  <c r="N3235" i="1" s="1"/>
  <c r="M3236" i="1"/>
  <c r="N3236" i="1" s="1"/>
  <c r="M3237" i="1"/>
  <c r="N3237" i="1" s="1"/>
  <c r="M3238" i="1"/>
  <c r="N3238" i="1" s="1"/>
  <c r="M3239" i="1"/>
  <c r="N3239" i="1" s="1"/>
  <c r="M3240" i="1"/>
  <c r="N3240" i="1" s="1"/>
  <c r="M3241" i="1"/>
  <c r="N3241" i="1" s="1"/>
  <c r="M3242" i="1"/>
  <c r="N3242" i="1" s="1"/>
  <c r="M3243" i="1"/>
  <c r="N3243" i="1" s="1"/>
  <c r="M3244" i="1"/>
  <c r="N3244" i="1" s="1"/>
  <c r="M3245" i="1"/>
  <c r="N3245" i="1" s="1"/>
  <c r="M3246" i="1"/>
  <c r="N3246" i="1" s="1"/>
  <c r="M3247" i="1"/>
  <c r="N3247" i="1" s="1"/>
  <c r="M3248" i="1"/>
  <c r="N3248" i="1" s="1"/>
  <c r="M3249" i="1"/>
  <c r="N3249" i="1" s="1"/>
  <c r="M3250" i="1"/>
  <c r="N3250" i="1" s="1"/>
  <c r="M3251" i="1"/>
  <c r="N3251" i="1" s="1"/>
  <c r="M3252" i="1"/>
  <c r="N3252" i="1" s="1"/>
  <c r="M3253" i="1"/>
  <c r="N3253" i="1" s="1"/>
  <c r="M3254" i="1"/>
  <c r="N3254" i="1" s="1"/>
  <c r="M3255" i="1"/>
  <c r="N3255" i="1" s="1"/>
  <c r="M3256" i="1"/>
  <c r="N3256" i="1" s="1"/>
  <c r="M3257" i="1"/>
  <c r="N3257" i="1" s="1"/>
  <c r="M3258" i="1"/>
  <c r="N3258" i="1" s="1"/>
  <c r="M3259" i="1"/>
  <c r="N3259" i="1" s="1"/>
  <c r="M3260" i="1"/>
  <c r="N3260" i="1" s="1"/>
  <c r="M3261" i="1"/>
  <c r="N3261" i="1" s="1"/>
  <c r="M3262" i="1"/>
  <c r="N3262" i="1" s="1"/>
  <c r="M3263" i="1"/>
  <c r="N3263" i="1" s="1"/>
  <c r="M3264" i="1"/>
  <c r="N3264" i="1" s="1"/>
  <c r="M3265" i="1"/>
  <c r="N3265" i="1" s="1"/>
  <c r="M3266" i="1"/>
  <c r="N3266" i="1" s="1"/>
  <c r="M3267" i="1"/>
  <c r="N3267" i="1" s="1"/>
  <c r="M3268" i="1"/>
  <c r="N3268" i="1" s="1"/>
  <c r="M3269" i="1"/>
  <c r="N3269" i="1" s="1"/>
  <c r="M3270" i="1"/>
  <c r="N3270" i="1" s="1"/>
  <c r="M3271" i="1"/>
  <c r="N3271" i="1" s="1"/>
  <c r="M3272" i="1"/>
  <c r="N3272" i="1" s="1"/>
  <c r="M3273" i="1"/>
  <c r="N3273" i="1" s="1"/>
  <c r="M3274" i="1"/>
  <c r="N3274" i="1" s="1"/>
  <c r="M3275" i="1"/>
  <c r="N3275" i="1" s="1"/>
  <c r="M3276" i="1"/>
  <c r="N3276" i="1" s="1"/>
  <c r="M3277" i="1"/>
  <c r="N3277" i="1" s="1"/>
  <c r="M3278" i="1"/>
  <c r="N3278" i="1" s="1"/>
  <c r="M3279" i="1"/>
  <c r="N3279" i="1" s="1"/>
  <c r="M3280" i="1"/>
  <c r="N3280" i="1" s="1"/>
  <c r="M3281" i="1"/>
  <c r="N3281" i="1" s="1"/>
  <c r="M3282" i="1"/>
  <c r="N3282" i="1" s="1"/>
  <c r="M3283" i="1"/>
  <c r="N3283" i="1" s="1"/>
  <c r="M3284" i="1"/>
  <c r="N3284" i="1" s="1"/>
  <c r="M3285" i="1"/>
  <c r="N3285" i="1" s="1"/>
  <c r="M3286" i="1"/>
  <c r="N3286" i="1" s="1"/>
  <c r="M3287" i="1"/>
  <c r="N3287" i="1" s="1"/>
  <c r="M3288" i="1"/>
  <c r="N3288" i="1" s="1"/>
  <c r="M3289" i="1"/>
  <c r="N3289" i="1" s="1"/>
  <c r="M3290" i="1"/>
  <c r="N3290" i="1" s="1"/>
  <c r="M3291" i="1"/>
  <c r="N3291" i="1" s="1"/>
  <c r="M3292" i="1"/>
  <c r="N3292" i="1" s="1"/>
  <c r="M3293" i="1"/>
  <c r="N3293" i="1" s="1"/>
  <c r="M3294" i="1"/>
  <c r="N3294" i="1" s="1"/>
  <c r="M3295" i="1"/>
  <c r="N3295" i="1" s="1"/>
  <c r="M3296" i="1"/>
  <c r="N3296" i="1" s="1"/>
  <c r="M3297" i="1"/>
  <c r="N3297" i="1" s="1"/>
  <c r="M3298" i="1"/>
  <c r="N3298" i="1" s="1"/>
  <c r="M3299" i="1"/>
  <c r="N3299" i="1" s="1"/>
  <c r="M3300" i="1"/>
  <c r="N3300" i="1" s="1"/>
  <c r="M3301" i="1"/>
  <c r="N3301" i="1" s="1"/>
  <c r="M3302" i="1"/>
  <c r="N3302" i="1" s="1"/>
  <c r="M3303" i="1"/>
  <c r="N3303" i="1" s="1"/>
  <c r="M3304" i="1"/>
  <c r="N3304" i="1" s="1"/>
  <c r="M3305" i="1"/>
  <c r="N3305" i="1" s="1"/>
  <c r="M3306" i="1"/>
  <c r="N3306" i="1" s="1"/>
  <c r="M3307" i="1"/>
  <c r="N3307" i="1" s="1"/>
  <c r="M3308" i="1"/>
  <c r="N3308" i="1" s="1"/>
  <c r="M3309" i="1"/>
  <c r="N3309" i="1" s="1"/>
  <c r="M3310" i="1"/>
  <c r="N3310" i="1" s="1"/>
  <c r="M3311" i="1"/>
  <c r="N3311" i="1" s="1"/>
  <c r="M3312" i="1"/>
  <c r="N3312" i="1" s="1"/>
  <c r="M3313" i="1"/>
  <c r="N3313" i="1" s="1"/>
  <c r="M3314" i="1"/>
  <c r="N3314" i="1" s="1"/>
  <c r="M3315" i="1"/>
  <c r="N3315" i="1" s="1"/>
  <c r="M3316" i="1"/>
  <c r="N3316" i="1" s="1"/>
  <c r="M3317" i="1"/>
  <c r="N3317" i="1" s="1"/>
  <c r="M3318" i="1"/>
  <c r="N3318" i="1" s="1"/>
  <c r="M3319" i="1"/>
  <c r="N3319" i="1" s="1"/>
  <c r="M3320" i="1"/>
  <c r="N3320" i="1" s="1"/>
  <c r="M3321" i="1"/>
  <c r="N3321" i="1" s="1"/>
  <c r="M3322" i="1"/>
  <c r="N3322" i="1" s="1"/>
  <c r="M3323" i="1"/>
  <c r="N3323" i="1" s="1"/>
  <c r="M3324" i="1"/>
  <c r="N3324" i="1" s="1"/>
  <c r="M3325" i="1"/>
  <c r="N3325" i="1" s="1"/>
  <c r="M3326" i="1"/>
  <c r="N3326" i="1" s="1"/>
  <c r="M3327" i="1"/>
  <c r="N3327" i="1" s="1"/>
  <c r="M3328" i="1"/>
  <c r="N3328" i="1" s="1"/>
  <c r="M3329" i="1"/>
  <c r="N3329" i="1" s="1"/>
  <c r="M3330" i="1"/>
  <c r="N3330" i="1" s="1"/>
  <c r="M3331" i="1"/>
  <c r="N3331" i="1" s="1"/>
  <c r="M3332" i="1"/>
  <c r="N3332" i="1" s="1"/>
  <c r="M3333" i="1"/>
  <c r="N3333" i="1" s="1"/>
  <c r="M3334" i="1"/>
  <c r="N3334" i="1" s="1"/>
  <c r="M3335" i="1"/>
  <c r="N3335" i="1" s="1"/>
  <c r="M3336" i="1"/>
  <c r="N3336" i="1" s="1"/>
  <c r="M3337" i="1"/>
  <c r="N3337" i="1" s="1"/>
  <c r="M3338" i="1"/>
  <c r="N3338" i="1" s="1"/>
  <c r="M3339" i="1"/>
  <c r="N3339" i="1" s="1"/>
  <c r="M3340" i="1"/>
  <c r="N3340" i="1" s="1"/>
  <c r="M3341" i="1"/>
  <c r="N3341" i="1" s="1"/>
  <c r="M3342" i="1"/>
  <c r="N3342" i="1" s="1"/>
  <c r="M3343" i="1"/>
  <c r="N3343" i="1" s="1"/>
  <c r="M3344" i="1"/>
  <c r="N3344" i="1" s="1"/>
  <c r="M3345" i="1"/>
  <c r="N3345" i="1" s="1"/>
  <c r="M3346" i="1"/>
  <c r="N3346" i="1" s="1"/>
  <c r="M3347" i="1"/>
  <c r="N3347" i="1" s="1"/>
  <c r="M3348" i="1"/>
  <c r="N3348" i="1" s="1"/>
  <c r="M3349" i="1"/>
  <c r="N3349" i="1" s="1"/>
  <c r="M3350" i="1"/>
  <c r="N3350" i="1" s="1"/>
  <c r="M3351" i="1"/>
  <c r="N3351" i="1" s="1"/>
  <c r="M3352" i="1"/>
  <c r="N3352" i="1" s="1"/>
  <c r="M3353" i="1"/>
  <c r="N3353" i="1" s="1"/>
  <c r="M3354" i="1"/>
  <c r="N3354" i="1" s="1"/>
  <c r="M3355" i="1"/>
  <c r="N3355" i="1" s="1"/>
  <c r="M3356" i="1"/>
  <c r="N3356" i="1" s="1"/>
  <c r="M3357" i="1"/>
  <c r="N3357" i="1" s="1"/>
  <c r="M3358" i="1"/>
  <c r="N3358" i="1" s="1"/>
  <c r="M3359" i="1"/>
  <c r="N3359" i="1" s="1"/>
  <c r="M3360" i="1"/>
  <c r="N3360" i="1" s="1"/>
  <c r="M3361" i="1"/>
  <c r="N3361" i="1" s="1"/>
  <c r="M3362" i="1"/>
  <c r="N3362" i="1" s="1"/>
  <c r="M3363" i="1"/>
  <c r="N3363" i="1" s="1"/>
  <c r="M3364" i="1"/>
  <c r="N3364" i="1" s="1"/>
  <c r="M3365" i="1"/>
  <c r="N3365" i="1" s="1"/>
  <c r="M3366" i="1"/>
  <c r="N3366" i="1" s="1"/>
  <c r="M3367" i="1"/>
  <c r="N3367" i="1" s="1"/>
  <c r="M3368" i="1"/>
  <c r="N3368" i="1" s="1"/>
  <c r="M3369" i="1"/>
  <c r="N3369" i="1" s="1"/>
  <c r="M3370" i="1"/>
  <c r="N3370" i="1" s="1"/>
  <c r="M3371" i="1"/>
  <c r="N3371" i="1" s="1"/>
  <c r="M3372" i="1"/>
  <c r="N3372" i="1" s="1"/>
  <c r="M3373" i="1"/>
  <c r="N3373" i="1" s="1"/>
  <c r="M3374" i="1"/>
  <c r="N3374" i="1" s="1"/>
  <c r="M3375" i="1"/>
  <c r="N3375" i="1" s="1"/>
  <c r="M3376" i="1"/>
  <c r="N3376" i="1" s="1"/>
  <c r="M3377" i="1"/>
  <c r="N3377" i="1" s="1"/>
  <c r="M3378" i="1"/>
  <c r="N3378" i="1" s="1"/>
  <c r="M3379" i="1"/>
  <c r="N3379" i="1" s="1"/>
  <c r="M3380" i="1"/>
  <c r="N3380" i="1" s="1"/>
  <c r="M3381" i="1"/>
  <c r="N3381" i="1" s="1"/>
  <c r="M3382" i="1"/>
  <c r="N3382" i="1" s="1"/>
  <c r="M3383" i="1"/>
  <c r="N3383" i="1" s="1"/>
  <c r="M3384" i="1"/>
  <c r="N3384" i="1" s="1"/>
  <c r="M3385" i="1"/>
  <c r="N3385" i="1" s="1"/>
  <c r="M3386" i="1"/>
  <c r="N3386" i="1" s="1"/>
  <c r="M3387" i="1"/>
  <c r="N3387" i="1" s="1"/>
  <c r="M3388" i="1"/>
  <c r="N3388" i="1" s="1"/>
  <c r="M3389" i="1"/>
  <c r="N3389" i="1" s="1"/>
  <c r="M3390" i="1"/>
  <c r="N3390" i="1" s="1"/>
  <c r="M3391" i="1"/>
  <c r="N3391" i="1" s="1"/>
  <c r="M3392" i="1"/>
  <c r="N3392" i="1" s="1"/>
  <c r="M3393" i="1"/>
  <c r="N3393" i="1" s="1"/>
  <c r="M3394" i="1"/>
  <c r="N3394" i="1" s="1"/>
  <c r="M3395" i="1"/>
  <c r="N3395" i="1" s="1"/>
  <c r="M3396" i="1"/>
  <c r="N3396" i="1" s="1"/>
  <c r="M3397" i="1"/>
  <c r="N3397" i="1" s="1"/>
  <c r="M3398" i="1"/>
  <c r="N3398" i="1" s="1"/>
  <c r="M3399" i="1"/>
  <c r="N3399" i="1" s="1"/>
  <c r="M3400" i="1"/>
  <c r="N3400" i="1" s="1"/>
  <c r="M3401" i="1"/>
  <c r="N3401" i="1" s="1"/>
  <c r="M3402" i="1"/>
  <c r="N3402" i="1" s="1"/>
  <c r="M3403" i="1"/>
  <c r="N3403" i="1" s="1"/>
  <c r="M3404" i="1"/>
  <c r="N3404" i="1" s="1"/>
  <c r="M3405" i="1"/>
  <c r="N3405" i="1" s="1"/>
  <c r="M3406" i="1"/>
  <c r="N3406" i="1" s="1"/>
  <c r="M3407" i="1"/>
  <c r="N3407" i="1" s="1"/>
  <c r="M3408" i="1"/>
  <c r="N3408" i="1" s="1"/>
  <c r="M3409" i="1"/>
  <c r="N3409" i="1" s="1"/>
  <c r="M3410" i="1"/>
  <c r="N3410" i="1" s="1"/>
  <c r="M3411" i="1"/>
  <c r="N3411" i="1" s="1"/>
  <c r="M3412" i="1"/>
  <c r="N3412" i="1" s="1"/>
  <c r="M3413" i="1"/>
  <c r="N3413" i="1" s="1"/>
  <c r="M3414" i="1"/>
  <c r="N3414" i="1" s="1"/>
  <c r="M3415" i="1"/>
  <c r="N3415" i="1" s="1"/>
  <c r="M3416" i="1"/>
  <c r="N3416" i="1" s="1"/>
  <c r="M3417" i="1"/>
  <c r="N3417" i="1" s="1"/>
  <c r="M3418" i="1"/>
  <c r="N3418" i="1" s="1"/>
  <c r="M3419" i="1"/>
  <c r="N3419" i="1" s="1"/>
  <c r="M3420" i="1"/>
  <c r="N3420" i="1" s="1"/>
  <c r="M3421" i="1"/>
  <c r="N3421" i="1" s="1"/>
  <c r="M3422" i="1"/>
  <c r="N3422" i="1" s="1"/>
  <c r="M3423" i="1"/>
  <c r="N3423" i="1" s="1"/>
  <c r="M3424" i="1"/>
  <c r="N3424" i="1" s="1"/>
  <c r="M3425" i="1"/>
  <c r="N3425" i="1" s="1"/>
  <c r="M3426" i="1"/>
  <c r="N3426" i="1" s="1"/>
  <c r="M3427" i="1"/>
  <c r="N3427" i="1" s="1"/>
  <c r="M3428" i="1"/>
  <c r="N3428" i="1" s="1"/>
  <c r="M3429" i="1"/>
  <c r="N3429" i="1" s="1"/>
  <c r="M3430" i="1"/>
  <c r="N3430" i="1" s="1"/>
  <c r="M3431" i="1"/>
  <c r="N3431" i="1" s="1"/>
  <c r="M3432" i="1"/>
  <c r="N3432" i="1" s="1"/>
  <c r="M3433" i="1"/>
  <c r="N3433" i="1" s="1"/>
  <c r="M3434" i="1"/>
  <c r="N3434" i="1" s="1"/>
  <c r="M3435" i="1"/>
  <c r="N3435" i="1" s="1"/>
  <c r="M3436" i="1"/>
  <c r="N3436" i="1" s="1"/>
  <c r="M3437" i="1"/>
  <c r="N3437" i="1" s="1"/>
  <c r="M3438" i="1"/>
  <c r="N3438" i="1" s="1"/>
  <c r="M3439" i="1"/>
  <c r="N3439" i="1" s="1"/>
  <c r="M3440" i="1"/>
  <c r="N3440" i="1" s="1"/>
  <c r="M3441" i="1"/>
  <c r="N3441" i="1" s="1"/>
  <c r="M3442" i="1"/>
  <c r="N3442" i="1" s="1"/>
  <c r="M3443" i="1"/>
  <c r="N3443" i="1" s="1"/>
  <c r="M3444" i="1"/>
  <c r="N3444" i="1" s="1"/>
  <c r="M3445" i="1"/>
  <c r="N3445" i="1" s="1"/>
  <c r="M3446" i="1"/>
  <c r="N3446" i="1" s="1"/>
  <c r="M3447" i="1"/>
  <c r="N3447" i="1" s="1"/>
  <c r="M3448" i="1"/>
  <c r="N3448" i="1" s="1"/>
  <c r="M3449" i="1"/>
  <c r="N3449" i="1" s="1"/>
  <c r="M3450" i="1"/>
  <c r="N3450" i="1" s="1"/>
  <c r="M3451" i="1"/>
  <c r="N3451" i="1" s="1"/>
  <c r="M3452" i="1"/>
  <c r="N3452" i="1" s="1"/>
  <c r="M3453" i="1"/>
  <c r="N3453" i="1" s="1"/>
  <c r="M3454" i="1"/>
  <c r="N3454" i="1" s="1"/>
  <c r="M3455" i="1"/>
  <c r="N3455" i="1" s="1"/>
  <c r="M3456" i="1"/>
  <c r="N3456" i="1" s="1"/>
  <c r="M3457" i="1"/>
  <c r="N3457" i="1" s="1"/>
  <c r="M3458" i="1"/>
  <c r="N3458" i="1" s="1"/>
  <c r="M3459" i="1"/>
  <c r="N3459" i="1" s="1"/>
  <c r="M3460" i="1"/>
  <c r="N3460" i="1" s="1"/>
  <c r="M3461" i="1"/>
  <c r="N3461" i="1" s="1"/>
  <c r="M3462" i="1"/>
  <c r="N3462" i="1" s="1"/>
  <c r="M3463" i="1"/>
  <c r="N3463" i="1" s="1"/>
  <c r="M3464" i="1"/>
  <c r="N3464" i="1" s="1"/>
  <c r="M3465" i="1"/>
  <c r="N3465" i="1" s="1"/>
  <c r="M3466" i="1"/>
  <c r="N3466" i="1" s="1"/>
  <c r="M3467" i="1"/>
  <c r="N3467" i="1" s="1"/>
  <c r="M3468" i="1"/>
  <c r="N3468" i="1" s="1"/>
  <c r="M3469" i="1"/>
  <c r="N3469" i="1" s="1"/>
  <c r="M3470" i="1"/>
  <c r="N3470" i="1" s="1"/>
  <c r="M3471" i="1"/>
  <c r="N3471" i="1" s="1"/>
  <c r="M3472" i="1"/>
  <c r="N3472" i="1" s="1"/>
  <c r="M3473" i="1"/>
  <c r="N3473" i="1" s="1"/>
  <c r="M3474" i="1"/>
  <c r="N3474" i="1" s="1"/>
  <c r="M3475" i="1"/>
  <c r="N3475" i="1" s="1"/>
  <c r="M3476" i="1"/>
  <c r="N3476" i="1" s="1"/>
  <c r="M3477" i="1"/>
  <c r="N3477" i="1" s="1"/>
  <c r="M3478" i="1"/>
  <c r="N3478" i="1" s="1"/>
  <c r="M3479" i="1"/>
  <c r="N3479" i="1" s="1"/>
  <c r="M3480" i="1"/>
  <c r="N3480" i="1" s="1"/>
  <c r="M3481" i="1"/>
  <c r="N3481" i="1" s="1"/>
  <c r="M3482" i="1"/>
  <c r="N3482" i="1" s="1"/>
  <c r="M3483" i="1"/>
  <c r="N3483" i="1" s="1"/>
  <c r="M3484" i="1"/>
  <c r="N3484" i="1" s="1"/>
  <c r="M3485" i="1"/>
  <c r="N3485" i="1" s="1"/>
  <c r="M3486" i="1"/>
  <c r="N3486" i="1" s="1"/>
  <c r="M3487" i="1"/>
  <c r="N3487" i="1" s="1"/>
  <c r="M3488" i="1"/>
  <c r="N3488" i="1" s="1"/>
  <c r="M3489" i="1"/>
  <c r="N3489" i="1" s="1"/>
  <c r="M3490" i="1"/>
  <c r="N3490" i="1" s="1"/>
  <c r="M3491" i="1"/>
  <c r="N3491" i="1" s="1"/>
  <c r="M3492" i="1"/>
  <c r="N3492" i="1" s="1"/>
  <c r="M3493" i="1"/>
  <c r="N3493" i="1" s="1"/>
  <c r="M3494" i="1"/>
  <c r="N3494" i="1" s="1"/>
  <c r="M3495" i="1"/>
  <c r="N3495" i="1" s="1"/>
  <c r="M3496" i="1"/>
  <c r="N3496" i="1" s="1"/>
  <c r="M3497" i="1"/>
  <c r="N3497" i="1" s="1"/>
  <c r="M3498" i="1"/>
  <c r="N3498" i="1" s="1"/>
  <c r="M3499" i="1"/>
  <c r="N3499" i="1" s="1"/>
  <c r="M3500" i="1"/>
  <c r="N3500" i="1" s="1"/>
  <c r="M3501" i="1"/>
  <c r="N3501" i="1" s="1"/>
  <c r="M3502" i="1"/>
  <c r="N3502" i="1" s="1"/>
  <c r="M3503" i="1"/>
  <c r="N3503" i="1" s="1"/>
  <c r="M3504" i="1"/>
  <c r="N3504" i="1" s="1"/>
  <c r="M3505" i="1"/>
  <c r="N3505" i="1" s="1"/>
  <c r="M3506" i="1"/>
  <c r="N3506" i="1" s="1"/>
  <c r="M3507" i="1"/>
  <c r="N3507" i="1" s="1"/>
  <c r="M3508" i="1"/>
  <c r="N3508" i="1" s="1"/>
  <c r="M3509" i="1"/>
  <c r="N3509" i="1" s="1"/>
  <c r="M3510" i="1"/>
  <c r="N3510" i="1" s="1"/>
  <c r="M3511" i="1"/>
  <c r="N3511" i="1" s="1"/>
  <c r="M3512" i="1"/>
  <c r="N3512" i="1" s="1"/>
  <c r="M3513" i="1"/>
  <c r="N3513" i="1" s="1"/>
  <c r="M3514" i="1"/>
  <c r="N3514" i="1" s="1"/>
  <c r="M3515" i="1"/>
  <c r="N3515" i="1" s="1"/>
  <c r="M3516" i="1"/>
  <c r="N3516" i="1" s="1"/>
  <c r="M3517" i="1"/>
  <c r="N3517" i="1" s="1"/>
  <c r="M3518" i="1"/>
  <c r="N3518" i="1" s="1"/>
  <c r="M3519" i="1"/>
  <c r="N3519" i="1" s="1"/>
  <c r="M3520" i="1"/>
  <c r="N3520" i="1" s="1"/>
  <c r="M3521" i="1"/>
  <c r="N3521" i="1" s="1"/>
  <c r="M3522" i="1"/>
  <c r="N3522" i="1" s="1"/>
  <c r="M3523" i="1"/>
  <c r="N3523" i="1" s="1"/>
  <c r="M3524" i="1"/>
  <c r="N3524" i="1" s="1"/>
  <c r="M3525" i="1"/>
  <c r="N3525" i="1" s="1"/>
  <c r="M3526" i="1"/>
  <c r="N3526" i="1" s="1"/>
  <c r="M3527" i="1"/>
  <c r="N3527" i="1" s="1"/>
  <c r="M3528" i="1"/>
  <c r="N3528" i="1" s="1"/>
  <c r="M3529" i="1"/>
  <c r="N3529" i="1" s="1"/>
  <c r="M3530" i="1"/>
  <c r="N3530" i="1" s="1"/>
  <c r="M3531" i="1"/>
  <c r="N3531" i="1" s="1"/>
  <c r="M3532" i="1"/>
  <c r="N3532" i="1" s="1"/>
  <c r="M3533" i="1"/>
  <c r="N3533" i="1" s="1"/>
  <c r="M3534" i="1"/>
  <c r="N3534" i="1" s="1"/>
  <c r="M3535" i="1"/>
  <c r="N3535" i="1" s="1"/>
  <c r="M3536" i="1"/>
  <c r="N3536" i="1" s="1"/>
  <c r="M3537" i="1"/>
  <c r="N3537" i="1" s="1"/>
  <c r="M3538" i="1"/>
  <c r="N3538" i="1" s="1"/>
  <c r="M3539" i="1"/>
  <c r="N3539" i="1" s="1"/>
  <c r="M3540" i="1"/>
  <c r="N3540" i="1" s="1"/>
  <c r="M3541" i="1"/>
  <c r="N3541" i="1" s="1"/>
  <c r="M3542" i="1"/>
  <c r="N3542" i="1" s="1"/>
  <c r="M3543" i="1"/>
  <c r="N3543" i="1" s="1"/>
  <c r="M3544" i="1"/>
  <c r="N3544" i="1" s="1"/>
  <c r="M3545" i="1"/>
  <c r="N3545" i="1" s="1"/>
  <c r="M3546" i="1"/>
  <c r="N3546" i="1" s="1"/>
  <c r="M3547" i="1"/>
  <c r="N3547" i="1" s="1"/>
  <c r="M3548" i="1"/>
  <c r="N3548" i="1" s="1"/>
  <c r="M3549" i="1"/>
  <c r="N3549" i="1" s="1"/>
  <c r="M3550" i="1"/>
  <c r="N3550" i="1" s="1"/>
  <c r="M3551" i="1"/>
  <c r="N3551" i="1" s="1"/>
  <c r="M3552" i="1"/>
  <c r="N3552" i="1" s="1"/>
  <c r="M3553" i="1"/>
  <c r="N3553" i="1" s="1"/>
  <c r="M3554" i="1"/>
  <c r="N3554" i="1" s="1"/>
  <c r="M3555" i="1"/>
  <c r="N3555" i="1" s="1"/>
  <c r="M3556" i="1"/>
  <c r="N3556" i="1" s="1"/>
  <c r="M3557" i="1"/>
  <c r="N3557" i="1" s="1"/>
  <c r="M3558" i="1"/>
  <c r="N3558" i="1" s="1"/>
  <c r="M3559" i="1"/>
  <c r="N3559" i="1" s="1"/>
  <c r="M3560" i="1"/>
  <c r="N3560" i="1" s="1"/>
  <c r="M3561" i="1"/>
  <c r="N3561" i="1" s="1"/>
  <c r="M3562" i="1"/>
  <c r="N3562" i="1" s="1"/>
  <c r="M3563" i="1"/>
  <c r="N3563" i="1" s="1"/>
  <c r="M3564" i="1"/>
  <c r="N3564" i="1" s="1"/>
  <c r="M3565" i="1"/>
  <c r="N3565" i="1" s="1"/>
  <c r="M3566" i="1"/>
  <c r="N3566" i="1" s="1"/>
  <c r="M3567" i="1"/>
  <c r="N3567" i="1" s="1"/>
  <c r="M3568" i="1"/>
  <c r="N3568" i="1" s="1"/>
  <c r="M3569" i="1"/>
  <c r="N3569" i="1" s="1"/>
  <c r="M3570" i="1"/>
  <c r="N3570" i="1" s="1"/>
  <c r="M3571" i="1"/>
  <c r="N3571" i="1" s="1"/>
  <c r="M3572" i="1"/>
  <c r="N3572" i="1" s="1"/>
  <c r="M3573" i="1"/>
  <c r="N3573" i="1" s="1"/>
  <c r="M3574" i="1"/>
  <c r="N3574" i="1" s="1"/>
  <c r="M3575" i="1"/>
  <c r="N3575" i="1" s="1"/>
  <c r="M3576" i="1"/>
  <c r="N3576" i="1" s="1"/>
  <c r="M3577" i="1"/>
  <c r="N3577" i="1" s="1"/>
  <c r="M3578" i="1"/>
  <c r="N3578" i="1" s="1"/>
  <c r="M3579" i="1"/>
  <c r="N3579" i="1" s="1"/>
  <c r="M3580" i="1"/>
  <c r="N3580" i="1" s="1"/>
  <c r="M3581" i="1"/>
  <c r="N3581" i="1" s="1"/>
  <c r="M3582" i="1"/>
  <c r="N3582" i="1" s="1"/>
  <c r="M3583" i="1"/>
  <c r="N3583" i="1" s="1"/>
  <c r="M3584" i="1"/>
  <c r="N3584" i="1" s="1"/>
  <c r="M3585" i="1"/>
  <c r="N3585" i="1" s="1"/>
  <c r="M3586" i="1"/>
  <c r="N3586" i="1" s="1"/>
  <c r="M3587" i="1"/>
  <c r="N3587" i="1" s="1"/>
  <c r="M3588" i="1"/>
  <c r="N3588" i="1" s="1"/>
  <c r="M3589" i="1"/>
  <c r="N3589" i="1" s="1"/>
  <c r="M3590" i="1"/>
  <c r="N3590" i="1" s="1"/>
  <c r="M3591" i="1"/>
  <c r="N3591" i="1" s="1"/>
  <c r="M3592" i="1"/>
  <c r="N3592" i="1" s="1"/>
  <c r="M3593" i="1"/>
  <c r="N3593" i="1" s="1"/>
  <c r="M3594" i="1"/>
  <c r="N3594" i="1" s="1"/>
  <c r="M3595" i="1"/>
  <c r="N3595" i="1" s="1"/>
  <c r="M3596" i="1"/>
  <c r="N3596" i="1" s="1"/>
  <c r="M3597" i="1"/>
  <c r="N3597" i="1" s="1"/>
  <c r="M3598" i="1"/>
  <c r="N3598" i="1" s="1"/>
  <c r="M3599" i="1"/>
  <c r="N3599" i="1" s="1"/>
  <c r="M3600" i="1"/>
  <c r="N3600" i="1" s="1"/>
  <c r="M3601" i="1"/>
  <c r="N3601" i="1" s="1"/>
  <c r="M3602" i="1"/>
  <c r="N3602" i="1" s="1"/>
  <c r="M3603" i="1"/>
  <c r="N3603" i="1" s="1"/>
  <c r="M3604" i="1"/>
  <c r="N3604" i="1" s="1"/>
  <c r="M3605" i="1"/>
  <c r="N3605" i="1" s="1"/>
  <c r="M3606" i="1"/>
  <c r="N3606" i="1" s="1"/>
  <c r="M3607" i="1"/>
  <c r="N3607" i="1" s="1"/>
  <c r="M3608" i="1"/>
  <c r="N3608" i="1" s="1"/>
  <c r="M3609" i="1"/>
  <c r="N3609" i="1" s="1"/>
  <c r="M3610" i="1"/>
  <c r="N3610" i="1" s="1"/>
  <c r="M3611" i="1"/>
  <c r="N3611" i="1" s="1"/>
  <c r="M3612" i="1"/>
  <c r="N3612" i="1" s="1"/>
  <c r="M3613" i="1"/>
  <c r="N3613" i="1" s="1"/>
  <c r="M3614" i="1"/>
  <c r="N3614" i="1" s="1"/>
  <c r="M3615" i="1"/>
  <c r="N3615" i="1" s="1"/>
  <c r="M3616" i="1"/>
  <c r="N3616" i="1" s="1"/>
  <c r="M3617" i="1"/>
  <c r="N3617" i="1" s="1"/>
  <c r="M3618" i="1"/>
  <c r="N3618" i="1" s="1"/>
  <c r="M3619" i="1"/>
  <c r="N3619" i="1" s="1"/>
  <c r="M3620" i="1"/>
  <c r="N3620" i="1" s="1"/>
  <c r="M3621" i="1"/>
  <c r="N3621" i="1" s="1"/>
  <c r="M3622" i="1"/>
  <c r="N3622" i="1" s="1"/>
  <c r="M3623" i="1"/>
  <c r="N3623" i="1" s="1"/>
  <c r="M3624" i="1"/>
  <c r="N3624" i="1" s="1"/>
  <c r="M3625" i="1"/>
  <c r="N3625" i="1" s="1"/>
  <c r="M3626" i="1"/>
  <c r="N3626" i="1" s="1"/>
  <c r="M3627" i="1"/>
  <c r="N3627" i="1" s="1"/>
  <c r="M3628" i="1"/>
  <c r="N3628" i="1" s="1"/>
  <c r="M3629" i="1"/>
  <c r="N3629" i="1" s="1"/>
  <c r="M3630" i="1"/>
  <c r="N3630" i="1" s="1"/>
  <c r="M3631" i="1"/>
  <c r="N3631" i="1" s="1"/>
  <c r="M3632" i="1"/>
  <c r="N3632" i="1" s="1"/>
  <c r="M3633" i="1"/>
  <c r="N3633" i="1" s="1"/>
  <c r="M3634" i="1"/>
  <c r="N3634" i="1" s="1"/>
  <c r="M3635" i="1"/>
  <c r="N3635" i="1" s="1"/>
  <c r="M3636" i="1"/>
  <c r="N3636" i="1" s="1"/>
  <c r="M3637" i="1"/>
  <c r="N3637" i="1" s="1"/>
  <c r="M3638" i="1"/>
  <c r="N3638" i="1" s="1"/>
  <c r="M3639" i="1"/>
  <c r="N3639" i="1" s="1"/>
  <c r="M3640" i="1"/>
  <c r="N3640" i="1" s="1"/>
  <c r="M3641" i="1"/>
  <c r="N3641" i="1" s="1"/>
  <c r="M3642" i="1"/>
  <c r="N3642" i="1" s="1"/>
  <c r="M3643" i="1"/>
  <c r="N3643" i="1" s="1"/>
  <c r="M3644" i="1"/>
  <c r="N3644" i="1" s="1"/>
  <c r="M3645" i="1"/>
  <c r="N3645" i="1" s="1"/>
  <c r="M3646" i="1"/>
  <c r="N3646" i="1" s="1"/>
  <c r="M3647" i="1"/>
  <c r="N3647" i="1" s="1"/>
  <c r="M3648" i="1"/>
  <c r="N3648" i="1" s="1"/>
  <c r="M3649" i="1"/>
  <c r="N3649" i="1" s="1"/>
  <c r="M3650" i="1"/>
  <c r="N3650" i="1" s="1"/>
  <c r="M3651" i="1"/>
  <c r="N3651" i="1" s="1"/>
  <c r="M3652" i="1"/>
  <c r="N3652" i="1" s="1"/>
  <c r="M3653" i="1"/>
  <c r="N3653" i="1" s="1"/>
  <c r="M3654" i="1"/>
  <c r="N3654" i="1" s="1"/>
  <c r="M3655" i="1"/>
  <c r="N3655" i="1" s="1"/>
  <c r="M3656" i="1"/>
  <c r="N3656" i="1" s="1"/>
  <c r="M3657" i="1"/>
  <c r="N3657" i="1" s="1"/>
  <c r="M3658" i="1"/>
  <c r="N3658" i="1" s="1"/>
  <c r="M3659" i="1"/>
  <c r="N3659" i="1" s="1"/>
  <c r="M3660" i="1"/>
  <c r="N3660" i="1" s="1"/>
  <c r="M3661" i="1"/>
  <c r="N3661" i="1" s="1"/>
  <c r="M3662" i="1"/>
  <c r="N3662" i="1" s="1"/>
  <c r="M3663" i="1"/>
  <c r="N3663" i="1" s="1"/>
  <c r="M3664" i="1"/>
  <c r="N3664" i="1" s="1"/>
  <c r="M3665" i="1"/>
  <c r="N3665" i="1" s="1"/>
  <c r="M3666" i="1"/>
  <c r="N3666" i="1" s="1"/>
  <c r="M3667" i="1"/>
  <c r="N3667" i="1" s="1"/>
  <c r="M3668" i="1"/>
  <c r="N3668" i="1" s="1"/>
  <c r="M3669" i="1"/>
  <c r="N3669" i="1" s="1"/>
  <c r="M3670" i="1"/>
  <c r="N3670" i="1" s="1"/>
  <c r="M3671" i="1"/>
  <c r="N3671" i="1" s="1"/>
  <c r="M3672" i="1"/>
  <c r="N3672" i="1" s="1"/>
  <c r="M3673" i="1"/>
  <c r="N3673" i="1" s="1"/>
  <c r="M3674" i="1"/>
  <c r="N3674" i="1" s="1"/>
  <c r="M3675" i="1"/>
  <c r="N3675" i="1" s="1"/>
  <c r="M3676" i="1"/>
  <c r="N3676" i="1" s="1"/>
  <c r="M3677" i="1"/>
  <c r="N3677" i="1" s="1"/>
  <c r="M3678" i="1"/>
  <c r="N3678" i="1" s="1"/>
  <c r="M3679" i="1"/>
  <c r="N3679" i="1" s="1"/>
  <c r="M3680" i="1"/>
  <c r="N3680" i="1" s="1"/>
  <c r="M3681" i="1"/>
  <c r="N3681" i="1" s="1"/>
  <c r="M3682" i="1"/>
  <c r="N3682" i="1" s="1"/>
  <c r="M3683" i="1"/>
  <c r="N3683" i="1" s="1"/>
  <c r="M3684" i="1"/>
  <c r="N3684" i="1" s="1"/>
  <c r="M3685" i="1"/>
  <c r="N3685" i="1" s="1"/>
  <c r="M3686" i="1"/>
  <c r="N3686" i="1" s="1"/>
  <c r="M3687" i="1"/>
  <c r="N3687" i="1" s="1"/>
  <c r="M3688" i="1"/>
  <c r="N3688" i="1" s="1"/>
  <c r="M3689" i="1"/>
  <c r="N3689" i="1" s="1"/>
  <c r="M3690" i="1"/>
  <c r="N3690" i="1" s="1"/>
  <c r="M3691" i="1"/>
  <c r="N3691" i="1" s="1"/>
  <c r="M3692" i="1"/>
  <c r="N3692" i="1" s="1"/>
  <c r="M3693" i="1"/>
  <c r="N3693" i="1" s="1"/>
  <c r="M3694" i="1"/>
  <c r="N3694" i="1" s="1"/>
  <c r="M3695" i="1"/>
  <c r="N3695" i="1" s="1"/>
  <c r="M3696" i="1"/>
  <c r="N3696" i="1" s="1"/>
  <c r="M3697" i="1"/>
  <c r="N3697" i="1" s="1"/>
  <c r="M3698" i="1"/>
  <c r="N3698" i="1" s="1"/>
  <c r="M3699" i="1"/>
  <c r="N3699" i="1" s="1"/>
  <c r="M3700" i="1"/>
  <c r="N3700" i="1" s="1"/>
  <c r="M3701" i="1"/>
  <c r="N3701" i="1" s="1"/>
  <c r="M3702" i="1"/>
  <c r="N3702" i="1" s="1"/>
  <c r="M3703" i="1"/>
  <c r="N3703" i="1" s="1"/>
  <c r="M3704" i="1"/>
  <c r="N3704" i="1" s="1"/>
  <c r="M3705" i="1"/>
  <c r="N3705" i="1" s="1"/>
  <c r="M3706" i="1"/>
  <c r="N3706" i="1" s="1"/>
  <c r="M3707" i="1"/>
  <c r="N3707" i="1" s="1"/>
  <c r="M3708" i="1"/>
  <c r="N3708" i="1" s="1"/>
  <c r="M3709" i="1"/>
  <c r="N3709" i="1" s="1"/>
  <c r="M3710" i="1"/>
  <c r="N3710" i="1" s="1"/>
  <c r="M3711" i="1"/>
  <c r="N3711" i="1" s="1"/>
  <c r="M3712" i="1"/>
  <c r="N3712" i="1" s="1"/>
  <c r="M3713" i="1"/>
  <c r="N3713" i="1" s="1"/>
  <c r="M3714" i="1"/>
  <c r="N3714" i="1" s="1"/>
  <c r="M3715" i="1"/>
  <c r="N3715" i="1" s="1"/>
  <c r="M3716" i="1"/>
  <c r="N3716" i="1" s="1"/>
  <c r="M3717" i="1"/>
  <c r="N3717" i="1" s="1"/>
  <c r="M3718" i="1"/>
  <c r="N3718" i="1" s="1"/>
  <c r="M3719" i="1"/>
  <c r="N3719" i="1" s="1"/>
  <c r="M3720" i="1"/>
  <c r="N3720" i="1" s="1"/>
  <c r="M3721" i="1"/>
  <c r="N3721" i="1" s="1"/>
  <c r="M3722" i="1"/>
  <c r="N3722" i="1" s="1"/>
  <c r="M3723" i="1"/>
  <c r="N3723" i="1" s="1"/>
  <c r="M3724" i="1"/>
  <c r="N3724" i="1" s="1"/>
  <c r="M3725" i="1"/>
  <c r="N3725" i="1" s="1"/>
  <c r="M3726" i="1"/>
  <c r="N3726" i="1" s="1"/>
  <c r="M3727" i="1"/>
  <c r="N3727" i="1" s="1"/>
  <c r="M3728" i="1"/>
  <c r="N3728" i="1" s="1"/>
  <c r="M3729" i="1"/>
  <c r="N3729" i="1" s="1"/>
  <c r="M3730" i="1"/>
  <c r="N3730" i="1" s="1"/>
  <c r="M3731" i="1"/>
  <c r="N3731" i="1" s="1"/>
  <c r="M3732" i="1"/>
  <c r="N3732" i="1" s="1"/>
  <c r="M3733" i="1"/>
  <c r="N3733" i="1" s="1"/>
  <c r="M3734" i="1"/>
  <c r="N3734" i="1" s="1"/>
  <c r="M3735" i="1"/>
  <c r="N3735" i="1" s="1"/>
  <c r="M3736" i="1"/>
  <c r="N3736" i="1" s="1"/>
  <c r="M3737" i="1"/>
  <c r="N3737" i="1" s="1"/>
  <c r="M3738" i="1"/>
  <c r="N3738" i="1" s="1"/>
  <c r="M3739" i="1"/>
  <c r="N3739" i="1" s="1"/>
  <c r="M3740" i="1"/>
  <c r="N3740" i="1" s="1"/>
  <c r="M3741" i="1"/>
  <c r="N3741" i="1" s="1"/>
  <c r="M3742" i="1"/>
  <c r="N3742" i="1" s="1"/>
  <c r="M3743" i="1"/>
  <c r="N3743" i="1" s="1"/>
  <c r="M3744" i="1"/>
  <c r="N3744" i="1" s="1"/>
  <c r="M3745" i="1"/>
  <c r="N3745" i="1" s="1"/>
  <c r="M3746" i="1"/>
  <c r="N3746" i="1" s="1"/>
  <c r="M3747" i="1"/>
  <c r="N3747" i="1" s="1"/>
  <c r="M3748" i="1"/>
  <c r="N3748" i="1" s="1"/>
  <c r="M3749" i="1"/>
  <c r="N3749" i="1" s="1"/>
  <c r="M3750" i="1"/>
  <c r="N3750" i="1" s="1"/>
  <c r="M3751" i="1"/>
  <c r="N3751" i="1" s="1"/>
  <c r="M3752" i="1"/>
  <c r="N3752" i="1" s="1"/>
  <c r="M3753" i="1"/>
  <c r="N3753" i="1" s="1"/>
  <c r="M3754" i="1"/>
  <c r="N3754" i="1" s="1"/>
  <c r="M3755" i="1"/>
  <c r="N3755" i="1" s="1"/>
  <c r="M3756" i="1"/>
  <c r="N3756" i="1" s="1"/>
  <c r="M3757" i="1"/>
  <c r="N3757" i="1" s="1"/>
  <c r="M3758" i="1"/>
  <c r="N3758" i="1" s="1"/>
  <c r="M3759" i="1"/>
  <c r="N3759" i="1" s="1"/>
  <c r="M3760" i="1"/>
  <c r="N3760" i="1" s="1"/>
  <c r="M3761" i="1"/>
  <c r="N3761" i="1" s="1"/>
  <c r="M3762" i="1"/>
  <c r="N3762" i="1" s="1"/>
  <c r="M3763" i="1"/>
  <c r="N3763" i="1" s="1"/>
  <c r="M3764" i="1"/>
  <c r="N3764" i="1" s="1"/>
  <c r="M3765" i="1"/>
  <c r="N3765" i="1" s="1"/>
  <c r="M3766" i="1"/>
  <c r="N3766" i="1" s="1"/>
  <c r="M3767" i="1"/>
  <c r="N3767" i="1" s="1"/>
  <c r="M3768" i="1"/>
  <c r="N3768" i="1" s="1"/>
  <c r="M3769" i="1"/>
  <c r="N3769" i="1" s="1"/>
  <c r="M3770" i="1"/>
  <c r="N3770" i="1" s="1"/>
  <c r="M3771" i="1"/>
  <c r="N3771" i="1" s="1"/>
  <c r="M3772" i="1"/>
  <c r="N3772" i="1" s="1"/>
  <c r="M3773" i="1"/>
  <c r="N3773" i="1" s="1"/>
  <c r="M3774" i="1"/>
  <c r="N3774" i="1" s="1"/>
  <c r="M3775" i="1"/>
  <c r="N3775" i="1" s="1"/>
  <c r="M3776" i="1"/>
  <c r="N3776" i="1" s="1"/>
  <c r="M3777" i="1"/>
  <c r="N3777" i="1" s="1"/>
  <c r="M3778" i="1"/>
  <c r="N3778" i="1" s="1"/>
  <c r="M3779" i="1"/>
  <c r="N3779" i="1" s="1"/>
  <c r="M3780" i="1"/>
  <c r="N3780" i="1" s="1"/>
  <c r="M3781" i="1"/>
  <c r="N3781" i="1" s="1"/>
  <c r="M3782" i="1"/>
  <c r="N3782" i="1" s="1"/>
  <c r="M3783" i="1"/>
  <c r="N3783" i="1" s="1"/>
  <c r="M3784" i="1"/>
  <c r="N3784" i="1" s="1"/>
  <c r="M3785" i="1"/>
  <c r="N3785" i="1" s="1"/>
  <c r="M3786" i="1"/>
  <c r="N3786" i="1" s="1"/>
  <c r="M3787" i="1"/>
  <c r="N3787" i="1" s="1"/>
  <c r="M3788" i="1"/>
  <c r="N3788" i="1" s="1"/>
  <c r="M3789" i="1"/>
  <c r="N3789" i="1" s="1"/>
  <c r="M3790" i="1"/>
  <c r="N3790" i="1" s="1"/>
  <c r="M3791" i="1"/>
  <c r="N3791" i="1" s="1"/>
  <c r="M3792" i="1"/>
  <c r="N3792" i="1" s="1"/>
  <c r="M3793" i="1"/>
  <c r="N3793" i="1" s="1"/>
  <c r="M3794" i="1"/>
  <c r="N3794" i="1" s="1"/>
  <c r="M3795" i="1"/>
  <c r="N3795" i="1" s="1"/>
  <c r="M3796" i="1"/>
  <c r="N3796" i="1" s="1"/>
  <c r="M3797" i="1"/>
  <c r="N3797" i="1" s="1"/>
  <c r="M3798" i="1"/>
  <c r="N3798" i="1" s="1"/>
  <c r="M3799" i="1"/>
  <c r="N3799" i="1" s="1"/>
  <c r="M3800" i="1"/>
  <c r="N3800" i="1" s="1"/>
  <c r="M3801" i="1"/>
  <c r="N3801" i="1" s="1"/>
  <c r="M3802" i="1"/>
  <c r="N3802" i="1" s="1"/>
  <c r="M3803" i="1"/>
  <c r="N3803" i="1" s="1"/>
  <c r="M3804" i="1"/>
  <c r="N3804" i="1" s="1"/>
  <c r="M3805" i="1"/>
  <c r="N3805" i="1" s="1"/>
  <c r="M3806" i="1"/>
  <c r="N3806" i="1" s="1"/>
  <c r="M3807" i="1"/>
  <c r="N3807" i="1" s="1"/>
  <c r="M3808" i="1"/>
  <c r="N3808" i="1" s="1"/>
  <c r="M3809" i="1"/>
  <c r="N3809" i="1" s="1"/>
  <c r="M3810" i="1"/>
  <c r="N3810" i="1" s="1"/>
  <c r="M3811" i="1"/>
  <c r="N3811" i="1" s="1"/>
  <c r="M3812" i="1"/>
  <c r="N3812" i="1" s="1"/>
  <c r="M3813" i="1"/>
  <c r="N3813" i="1" s="1"/>
  <c r="M3814" i="1"/>
  <c r="N3814" i="1" s="1"/>
  <c r="M3815" i="1"/>
  <c r="N3815" i="1" s="1"/>
  <c r="M3816" i="1"/>
  <c r="N3816" i="1" s="1"/>
  <c r="M3817" i="1"/>
  <c r="N3817" i="1" s="1"/>
  <c r="M3818" i="1"/>
  <c r="N3818" i="1" s="1"/>
  <c r="M3819" i="1"/>
  <c r="N3819" i="1" s="1"/>
  <c r="M3820" i="1"/>
  <c r="N3820" i="1" s="1"/>
  <c r="M3821" i="1"/>
  <c r="N3821" i="1" s="1"/>
  <c r="M3822" i="1"/>
  <c r="N3822" i="1" s="1"/>
  <c r="M3823" i="1"/>
  <c r="N3823" i="1" s="1"/>
  <c r="M3824" i="1"/>
  <c r="N3824" i="1" s="1"/>
  <c r="M3825" i="1"/>
  <c r="N3825" i="1" s="1"/>
  <c r="M3826" i="1"/>
  <c r="N3826" i="1" s="1"/>
  <c r="M3827" i="1"/>
  <c r="N3827" i="1" s="1"/>
  <c r="M3828" i="1"/>
  <c r="N3828" i="1" s="1"/>
  <c r="M3829" i="1"/>
  <c r="N3829" i="1" s="1"/>
  <c r="M3830" i="1"/>
  <c r="N3830" i="1" s="1"/>
  <c r="M3831" i="1"/>
  <c r="N3831" i="1" s="1"/>
  <c r="M3832" i="1"/>
  <c r="N3832" i="1" s="1"/>
  <c r="M3833" i="1"/>
  <c r="N3833" i="1" s="1"/>
  <c r="M3834" i="1"/>
  <c r="N3834" i="1" s="1"/>
  <c r="M3835" i="1"/>
  <c r="N3835" i="1" s="1"/>
  <c r="M3836" i="1"/>
  <c r="N3836" i="1" s="1"/>
  <c r="M3837" i="1"/>
  <c r="N3837" i="1" s="1"/>
  <c r="M3838" i="1"/>
  <c r="N3838" i="1" s="1"/>
  <c r="M3839" i="1"/>
  <c r="N3839" i="1" s="1"/>
  <c r="M3840" i="1"/>
  <c r="N3840" i="1" s="1"/>
  <c r="M3841" i="1"/>
  <c r="N3841" i="1" s="1"/>
  <c r="M3842" i="1"/>
  <c r="N3842" i="1" s="1"/>
  <c r="M3843" i="1"/>
  <c r="N3843" i="1" s="1"/>
  <c r="M3844" i="1"/>
  <c r="N3844" i="1" s="1"/>
  <c r="M3845" i="1"/>
  <c r="N3845" i="1" s="1"/>
  <c r="M3846" i="1"/>
  <c r="N3846" i="1" s="1"/>
  <c r="M3847" i="1"/>
  <c r="N3847" i="1" s="1"/>
  <c r="M3848" i="1"/>
  <c r="N3848" i="1" s="1"/>
  <c r="M3849" i="1"/>
  <c r="N3849" i="1" s="1"/>
  <c r="M3850" i="1"/>
  <c r="N3850" i="1" s="1"/>
  <c r="M3851" i="1"/>
  <c r="N3851" i="1" s="1"/>
  <c r="M3852" i="1"/>
  <c r="N3852" i="1" s="1"/>
  <c r="M3853" i="1"/>
  <c r="N3853" i="1" s="1"/>
  <c r="M3854" i="1"/>
  <c r="N3854" i="1" s="1"/>
  <c r="M3855" i="1"/>
  <c r="N3855" i="1" s="1"/>
  <c r="M3856" i="1"/>
  <c r="N3856" i="1" s="1"/>
  <c r="M3857" i="1"/>
  <c r="N3857" i="1" s="1"/>
  <c r="M3858" i="1"/>
  <c r="N3858" i="1" s="1"/>
  <c r="M3859" i="1"/>
  <c r="N3859" i="1" s="1"/>
  <c r="M3860" i="1"/>
  <c r="N3860" i="1" s="1"/>
  <c r="M3861" i="1"/>
  <c r="N3861" i="1" s="1"/>
  <c r="M3862" i="1"/>
  <c r="N3862" i="1" s="1"/>
  <c r="M3863" i="1"/>
  <c r="N3863" i="1" s="1"/>
  <c r="M3864" i="1"/>
  <c r="N3864" i="1" s="1"/>
  <c r="M3865" i="1"/>
  <c r="N3865" i="1" s="1"/>
  <c r="M3866" i="1"/>
  <c r="N3866" i="1" s="1"/>
  <c r="M3867" i="1"/>
  <c r="N3867" i="1" s="1"/>
  <c r="M3868" i="1"/>
  <c r="N3868" i="1" s="1"/>
  <c r="M3869" i="1"/>
  <c r="N3869" i="1" s="1"/>
  <c r="M3870" i="1"/>
  <c r="N3870" i="1" s="1"/>
  <c r="M3871" i="1"/>
  <c r="N3871" i="1" s="1"/>
  <c r="M3872" i="1"/>
  <c r="N3872" i="1" s="1"/>
  <c r="M3873" i="1"/>
  <c r="N3873" i="1" s="1"/>
  <c r="M3874" i="1"/>
  <c r="N3874" i="1" s="1"/>
  <c r="M3875" i="1"/>
  <c r="N3875" i="1" s="1"/>
  <c r="M3876" i="1"/>
  <c r="N3876" i="1" s="1"/>
  <c r="M3877" i="1"/>
  <c r="N3877" i="1" s="1"/>
  <c r="M3878" i="1"/>
  <c r="N3878" i="1" s="1"/>
  <c r="M3879" i="1"/>
  <c r="N3879" i="1" s="1"/>
  <c r="M3880" i="1"/>
  <c r="N3880" i="1" s="1"/>
  <c r="M3881" i="1"/>
  <c r="N3881" i="1" s="1"/>
  <c r="M3882" i="1"/>
  <c r="N3882" i="1" s="1"/>
  <c r="M3883" i="1"/>
  <c r="N3883" i="1" s="1"/>
  <c r="M3884" i="1"/>
  <c r="N3884" i="1" s="1"/>
  <c r="M3885" i="1"/>
  <c r="N3885" i="1" s="1"/>
  <c r="M3886" i="1"/>
  <c r="N3886" i="1" s="1"/>
  <c r="M3887" i="1"/>
  <c r="N3887" i="1" s="1"/>
  <c r="M3888" i="1"/>
  <c r="N3888" i="1" s="1"/>
  <c r="M3889" i="1"/>
  <c r="N3889" i="1" s="1"/>
  <c r="M3890" i="1"/>
  <c r="N3890" i="1" s="1"/>
  <c r="M3891" i="1"/>
  <c r="N3891" i="1" s="1"/>
  <c r="M3892" i="1"/>
  <c r="N3892" i="1" s="1"/>
  <c r="M3893" i="1"/>
  <c r="N3893" i="1" s="1"/>
  <c r="M3894" i="1"/>
  <c r="N3894" i="1" s="1"/>
  <c r="M3895" i="1"/>
  <c r="N3895" i="1" s="1"/>
  <c r="M3896" i="1"/>
  <c r="N3896" i="1" s="1"/>
  <c r="M3897" i="1"/>
  <c r="N3897" i="1" s="1"/>
  <c r="M3898" i="1"/>
  <c r="N3898" i="1" s="1"/>
  <c r="M3899" i="1"/>
  <c r="N3899" i="1" s="1"/>
  <c r="M3900" i="1"/>
  <c r="N3900" i="1" s="1"/>
  <c r="M3901" i="1"/>
  <c r="N3901" i="1" s="1"/>
  <c r="M3902" i="1"/>
  <c r="N3902" i="1" s="1"/>
  <c r="M3903" i="1"/>
  <c r="N3903" i="1" s="1"/>
  <c r="M3904" i="1"/>
  <c r="N3904" i="1" s="1"/>
  <c r="M3905" i="1"/>
  <c r="N3905" i="1" s="1"/>
  <c r="M3906" i="1"/>
  <c r="N3906" i="1" s="1"/>
  <c r="M3907" i="1"/>
  <c r="N3907" i="1" s="1"/>
  <c r="M3908" i="1"/>
  <c r="N3908" i="1" s="1"/>
  <c r="M3909" i="1"/>
  <c r="N3909" i="1" s="1"/>
  <c r="M3910" i="1"/>
  <c r="N3910" i="1" s="1"/>
  <c r="M3911" i="1"/>
  <c r="N3911" i="1" s="1"/>
  <c r="M3912" i="1"/>
  <c r="N3912" i="1" s="1"/>
  <c r="M3913" i="1"/>
  <c r="N3913" i="1" s="1"/>
  <c r="M3914" i="1"/>
  <c r="N3914" i="1" s="1"/>
  <c r="M3915" i="1"/>
  <c r="N3915" i="1" s="1"/>
  <c r="M3916" i="1"/>
  <c r="N3916" i="1" s="1"/>
  <c r="M3917" i="1"/>
  <c r="N3917" i="1" s="1"/>
  <c r="M3918" i="1"/>
  <c r="N3918" i="1" s="1"/>
  <c r="M3919" i="1"/>
  <c r="N3919" i="1" s="1"/>
  <c r="M3920" i="1"/>
  <c r="N3920" i="1" s="1"/>
  <c r="M3921" i="1"/>
  <c r="N3921" i="1" s="1"/>
  <c r="M3922" i="1"/>
  <c r="N3922" i="1" s="1"/>
  <c r="M3923" i="1"/>
  <c r="N3923" i="1" s="1"/>
  <c r="M3924" i="1"/>
  <c r="N3924" i="1" s="1"/>
  <c r="M3925" i="1"/>
  <c r="N3925" i="1" s="1"/>
  <c r="M3926" i="1"/>
  <c r="N3926" i="1" s="1"/>
  <c r="M3927" i="1"/>
  <c r="N3927" i="1" s="1"/>
  <c r="M3928" i="1"/>
  <c r="N3928" i="1" s="1"/>
  <c r="M3929" i="1"/>
  <c r="N3929" i="1" s="1"/>
  <c r="M3930" i="1"/>
  <c r="N3930" i="1" s="1"/>
  <c r="M3931" i="1"/>
  <c r="N3931" i="1" s="1"/>
  <c r="M3932" i="1"/>
  <c r="N3932" i="1" s="1"/>
  <c r="M3933" i="1"/>
  <c r="N3933" i="1" s="1"/>
  <c r="M3934" i="1"/>
  <c r="N3934" i="1" s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</calcChain>
</file>

<file path=xl/sharedStrings.xml><?xml version="1.0" encoding="utf-8"?>
<sst xmlns="http://schemas.openxmlformats.org/spreadsheetml/2006/main" count="31630" uniqueCount="5364">
  <si>
    <t>order_id</t>
  </si>
  <si>
    <t>order_date</t>
  </si>
  <si>
    <t>customer_id</t>
  </si>
  <si>
    <t>customer_name</t>
  </si>
  <si>
    <t>region</t>
  </si>
  <si>
    <t>category</t>
  </si>
  <si>
    <t>product_name</t>
  </si>
  <si>
    <t>quantity</t>
  </si>
  <si>
    <t>unit_price</t>
  </si>
  <si>
    <t>order_status</t>
  </si>
  <si>
    <t>payment_method</t>
  </si>
  <si>
    <t>ORD100016</t>
  </si>
  <si>
    <t>CUST1353</t>
  </si>
  <si>
    <t>Andi Halim</t>
  </si>
  <si>
    <t>Sports &amp; Outdoors</t>
  </si>
  <si>
    <t>Water Bottle</t>
  </si>
  <si>
    <t>Completed</t>
  </si>
  <si>
    <t>Credit Card</t>
  </si>
  <si>
    <t>ORD102704</t>
  </si>
  <si>
    <t>CUST1478</t>
  </si>
  <si>
    <t>Lisa Kurniawan</t>
  </si>
  <si>
    <t>East</t>
  </si>
  <si>
    <t>Toys</t>
  </si>
  <si>
    <t>Building Blocks</t>
  </si>
  <si>
    <t>Returned</t>
  </si>
  <si>
    <t>ORD103490</t>
  </si>
  <si>
    <t>CUST1531</t>
  </si>
  <si>
    <t>Ahmad Halim</t>
  </si>
  <si>
    <t>Beauty</t>
  </si>
  <si>
    <t>Moisturizer</t>
  </si>
  <si>
    <t>Gift Card</t>
  </si>
  <si>
    <t>ORD101567</t>
  </si>
  <si>
    <t>CUST1390</t>
  </si>
  <si>
    <t>Ayu Hidayat</t>
  </si>
  <si>
    <t>Camping Tent</t>
  </si>
  <si>
    <t>Debit Card</t>
  </si>
  <si>
    <t>ORD101096</t>
  </si>
  <si>
    <t>CUST1563</t>
  </si>
  <si>
    <t>James Yusuf</t>
  </si>
  <si>
    <t>Hiking Backpack</t>
  </si>
  <si>
    <t>PayPal</t>
  </si>
  <si>
    <t>ORD101473</t>
  </si>
  <si>
    <t>CUST1052</t>
  </si>
  <si>
    <t>Fajar Halim</t>
  </si>
  <si>
    <t>Midwest</t>
  </si>
  <si>
    <t>Sunscreen SPF50</t>
  </si>
  <si>
    <t>ORD103111</t>
  </si>
  <si>
    <t>CUST1726</t>
  </si>
  <si>
    <t>John Tan</t>
  </si>
  <si>
    <t>Fiction Novel</t>
  </si>
  <si>
    <t>ORD100537</t>
  </si>
  <si>
    <t>CUST1445</t>
  </si>
  <si>
    <t>Kevin Anderson</t>
  </si>
  <si>
    <t>ORD102413</t>
  </si>
  <si>
    <t>CUST1699</t>
  </si>
  <si>
    <t>John Yusuf</t>
  </si>
  <si>
    <t>Home &amp; Kitchen</t>
  </si>
  <si>
    <t>Cutting Board</t>
  </si>
  <si>
    <t>ORD103151</t>
  </si>
  <si>
    <t>CUST1708</t>
  </si>
  <si>
    <t>Ayu Smith</t>
  </si>
  <si>
    <t>South</t>
  </si>
  <si>
    <t>Resistance Bands</t>
  </si>
  <si>
    <t>ORD102767</t>
  </si>
  <si>
    <t>CUST1868</t>
  </si>
  <si>
    <t>Nina Lee</t>
  </si>
  <si>
    <t>Books</t>
  </si>
  <si>
    <t>Business Strategy Book</t>
  </si>
  <si>
    <t>ORD101868</t>
  </si>
  <si>
    <t>CUST1211</t>
  </si>
  <si>
    <t>Clothing</t>
  </si>
  <si>
    <t>Winter Jacket</t>
  </si>
  <si>
    <t>ORD100749</t>
  </si>
  <si>
    <t>CUST1334</t>
  </si>
  <si>
    <t>Fajar Santos</t>
  </si>
  <si>
    <t>Storage Containers</t>
  </si>
  <si>
    <t>ORD101857</t>
  </si>
  <si>
    <t>CUST1104</t>
  </si>
  <si>
    <t>Sarah Tan</t>
  </si>
  <si>
    <t>Electronics</t>
  </si>
  <si>
    <t>Webcam</t>
  </si>
  <si>
    <t>ORD100800</t>
  </si>
  <si>
    <t>CUST1352</t>
  </si>
  <si>
    <t>Lisa Taylor</t>
  </si>
  <si>
    <t>Shampoo</t>
  </si>
  <si>
    <t>Cancelled</t>
  </si>
  <si>
    <t>ORD101695</t>
  </si>
  <si>
    <t>CUST1255</t>
  </si>
  <si>
    <t>Budi Kurniawan</t>
  </si>
  <si>
    <t>Hoodie</t>
  </si>
  <si>
    <t>ORD102093</t>
  </si>
  <si>
    <t>CUST1824</t>
  </si>
  <si>
    <t>Linda Chen</t>
  </si>
  <si>
    <t>ORD101296</t>
  </si>
  <si>
    <t>CUST1003</t>
  </si>
  <si>
    <t>Siti Anderson</t>
  </si>
  <si>
    <t>Power Bank</t>
  </si>
  <si>
    <t>ORD103842</t>
  </si>
  <si>
    <t>CUST1741</t>
  </si>
  <si>
    <t>Siti Wilson</t>
  </si>
  <si>
    <t>Yoga Mat</t>
  </si>
  <si>
    <t>ORD102931</t>
  </si>
  <si>
    <t>CUST1856</t>
  </si>
  <si>
    <t>ORD102954</t>
  </si>
  <si>
    <t>CUST1210</t>
  </si>
  <si>
    <t>Nina Garcia</t>
  </si>
  <si>
    <t>West</t>
  </si>
  <si>
    <t>ORD103824</t>
  </si>
  <si>
    <t>CUST1524</t>
  </si>
  <si>
    <t>Robert Smith</t>
  </si>
  <si>
    <t>Denim Jeans</t>
  </si>
  <si>
    <t>ORD101074</t>
  </si>
  <si>
    <t>CUST1689</t>
  </si>
  <si>
    <t>Siti Tan</t>
  </si>
  <si>
    <t>Face Mask Set</t>
  </si>
  <si>
    <t>ORD101777</t>
  </si>
  <si>
    <t>CUST1227</t>
  </si>
  <si>
    <t>David Wijaya</t>
  </si>
  <si>
    <t>Blender</t>
  </si>
  <si>
    <t>ORD102224</t>
  </si>
  <si>
    <t>CUST1588</t>
  </si>
  <si>
    <t>David Anderson</t>
  </si>
  <si>
    <t>ORD103815</t>
  </si>
  <si>
    <t>CUST1265</t>
  </si>
  <si>
    <t>Sarah Johnson</t>
  </si>
  <si>
    <t>ORD101819</t>
  </si>
  <si>
    <t>CUST1343</t>
  </si>
  <si>
    <t>Dewi Sari</t>
  </si>
  <si>
    <t>Self-Help Guide</t>
  </si>
  <si>
    <t>ORD100756</t>
  </si>
  <si>
    <t>CUST1680</t>
  </si>
  <si>
    <t>Putri Halim</t>
  </si>
  <si>
    <t>ORD101910</t>
  </si>
  <si>
    <t>CUST1887</t>
  </si>
  <si>
    <t>Maria Wilson</t>
  </si>
  <si>
    <t>Board Game</t>
  </si>
  <si>
    <t>ORD100326</t>
  </si>
  <si>
    <t>CUST1182</t>
  </si>
  <si>
    <t>Dewi Tan</t>
  </si>
  <si>
    <t>Lip Balm</t>
  </si>
  <si>
    <t>ORD103238</t>
  </si>
  <si>
    <t>CUST1254</t>
  </si>
  <si>
    <t>RC Car</t>
  </si>
  <si>
    <t>ORD102634</t>
  </si>
  <si>
    <t>CUST1757</t>
  </si>
  <si>
    <t>Sarah Lee</t>
  </si>
  <si>
    <t>Cotton T-Shirt</t>
  </si>
  <si>
    <t>ORD103616</t>
  </si>
  <si>
    <t>CUST1128</t>
  </si>
  <si>
    <t>Rina Taylor</t>
  </si>
  <si>
    <t>ORD101939</t>
  </si>
  <si>
    <t>CUST1806</t>
  </si>
  <si>
    <t>Ahmad Hidayat</t>
  </si>
  <si>
    <t>Coffee Maker</t>
  </si>
  <si>
    <t>ORD103226</t>
  </si>
  <si>
    <t>CUST1206</t>
  </si>
  <si>
    <t>ORD102507</t>
  </si>
  <si>
    <t>CUST1645</t>
  </si>
  <si>
    <t>Sarah Chen</t>
  </si>
  <si>
    <t>ORD100857</t>
  </si>
  <si>
    <t>CUST1370</t>
  </si>
  <si>
    <t>Rina Anderson</t>
  </si>
  <si>
    <t>Puzzle 1000pc</t>
  </si>
  <si>
    <t>ORD102423</t>
  </si>
  <si>
    <t>CUST1838</t>
  </si>
  <si>
    <t>Budi Chen</t>
  </si>
  <si>
    <t>Bluetooth Speaker</t>
  </si>
  <si>
    <t>ORD100333</t>
  </si>
  <si>
    <t>CUST1753</t>
  </si>
  <si>
    <t>Kevin Lee</t>
  </si>
  <si>
    <t>Running Shorts</t>
  </si>
  <si>
    <t>ORD102984</t>
  </si>
  <si>
    <t>CUST1615</t>
  </si>
  <si>
    <t>Putri Anderson</t>
  </si>
  <si>
    <t>ORD100087</t>
  </si>
  <si>
    <t>CUST1867</t>
  </si>
  <si>
    <t>ORD100619</t>
  </si>
  <si>
    <t>CUST1414</t>
  </si>
  <si>
    <t>Ayu Chen</t>
  </si>
  <si>
    <t>ORD101200</t>
  </si>
  <si>
    <t>CUST1608</t>
  </si>
  <si>
    <t>Dewi Lee</t>
  </si>
  <si>
    <t>ORD102675</t>
  </si>
  <si>
    <t>CUST1764</t>
  </si>
  <si>
    <t>ORD101810</t>
  </si>
  <si>
    <t>CUST1267</t>
  </si>
  <si>
    <t>Maria Anderson</t>
  </si>
  <si>
    <t>ORD103211</t>
  </si>
  <si>
    <t>CUST1073</t>
  </si>
  <si>
    <t>Ayu Pratama</t>
  </si>
  <si>
    <t>ORD102968</t>
  </si>
  <si>
    <t>CUST1301</t>
  </si>
  <si>
    <t>ORD101747</t>
  </si>
  <si>
    <t>CUST1777</t>
  </si>
  <si>
    <t>ORD101057</t>
  </si>
  <si>
    <t>CUST1415</t>
  </si>
  <si>
    <t>Sarah Salim</t>
  </si>
  <si>
    <t>ORD102202</t>
  </si>
  <si>
    <t>ORD100963</t>
  </si>
  <si>
    <t>CUST1219</t>
  </si>
  <si>
    <t>Smartphone Case</t>
  </si>
  <si>
    <t>ORD103047</t>
  </si>
  <si>
    <t>CUST1833</t>
  </si>
  <si>
    <t>Putri Yusuf</t>
  </si>
  <si>
    <t>USB-C Cable</t>
  </si>
  <si>
    <t>ORD100885</t>
  </si>
  <si>
    <t>CUST1515</t>
  </si>
  <si>
    <t>John Salim</t>
  </si>
  <si>
    <t>ORD100774</t>
  </si>
  <si>
    <t>CUST1435</t>
  </si>
  <si>
    <t>LED Desk Lamp</t>
  </si>
  <si>
    <t>ORD102021</t>
  </si>
  <si>
    <t>CUST1009</t>
  </si>
  <si>
    <t>James Anderson</t>
  </si>
  <si>
    <t>ORD101064</t>
  </si>
  <si>
    <t>CUST1041</t>
  </si>
  <si>
    <t>Michael Wijaya</t>
  </si>
  <si>
    <t>Children's Book</t>
  </si>
  <si>
    <t>ORD103120</t>
  </si>
  <si>
    <t>CUST1373</t>
  </si>
  <si>
    <t>James Smith</t>
  </si>
  <si>
    <t>ORD103935</t>
  </si>
  <si>
    <t>CUST1579</t>
  </si>
  <si>
    <t>Kevin Tan</t>
  </si>
  <si>
    <t>ORD101568</t>
  </si>
  <si>
    <t>CUST1138</t>
  </si>
  <si>
    <t>Fajar Anderson</t>
  </si>
  <si>
    <t>ORD101083</t>
  </si>
  <si>
    <t>CUST1765</t>
  </si>
  <si>
    <t>Ayu Brown</t>
  </si>
  <si>
    <t>Laptop Stand</t>
  </si>
  <si>
    <t>ORD101724</t>
  </si>
  <si>
    <t>ORD101525</t>
  </si>
  <si>
    <t>CUST1361</t>
  </si>
  <si>
    <t>Rina Brown</t>
  </si>
  <si>
    <t>ORD100968</t>
  </si>
  <si>
    <t>CUST1804</t>
  </si>
  <si>
    <t>Nina Wilson</t>
  </si>
  <si>
    <t>Cookbook</t>
  </si>
  <si>
    <t>ORD100805</t>
  </si>
  <si>
    <t>CUST1488</t>
  </si>
  <si>
    <t>John Taylor</t>
  </si>
  <si>
    <t>ORD102286</t>
  </si>
  <si>
    <t>CUST1092</t>
  </si>
  <si>
    <t>Putri Nugroho</t>
  </si>
  <si>
    <t>ORD100293</t>
  </si>
  <si>
    <t>CUST1384</t>
  </si>
  <si>
    <t>Siti Pratama</t>
  </si>
  <si>
    <t>ORD101453</t>
  </si>
  <si>
    <t>CUST1543</t>
  </si>
  <si>
    <t>Ayu Wilson</t>
  </si>
  <si>
    <t>ORD100092</t>
  </si>
  <si>
    <t>CUST1376</t>
  </si>
  <si>
    <t>Nina Yusuf</t>
  </si>
  <si>
    <t>Non-Stick Pan</t>
  </si>
  <si>
    <t>Pending</t>
  </si>
  <si>
    <t>ORD102537</t>
  </si>
  <si>
    <t>CUST1112</t>
  </si>
  <si>
    <t>Jump Rope</t>
  </si>
  <si>
    <t>ORD100953</t>
  </si>
  <si>
    <t>CUST1701</t>
  </si>
  <si>
    <t>John Santos</t>
  </si>
  <si>
    <t>ORD103891</t>
  </si>
  <si>
    <t>CUST1433</t>
  </si>
  <si>
    <t>Action Figure</t>
  </si>
  <si>
    <t>ORD100049</t>
  </si>
  <si>
    <t>CUST1772</t>
  </si>
  <si>
    <t>ORD103312</t>
  </si>
  <si>
    <t>CUST1123</t>
  </si>
  <si>
    <t>Andi Anderson</t>
  </si>
  <si>
    <t>ORD102089</t>
  </si>
  <si>
    <t>CUST1477</t>
  </si>
  <si>
    <t>Budi Tan</t>
  </si>
  <si>
    <t>ORD100297</t>
  </si>
  <si>
    <t>CUST1776</t>
  </si>
  <si>
    <t>Ahmad Smith</t>
  </si>
  <si>
    <t>ORD100909</t>
  </si>
  <si>
    <t>CUST1725</t>
  </si>
  <si>
    <t>Nina Pratama</t>
  </si>
  <si>
    <t>ORD101412</t>
  </si>
  <si>
    <t>CUST1410</t>
  </si>
  <si>
    <t>Fajar Hidayat</t>
  </si>
  <si>
    <t>ORD103444</t>
  </si>
  <si>
    <t>CUST1191</t>
  </si>
  <si>
    <t>ORD100309</t>
  </si>
  <si>
    <t>CUST1640</t>
  </si>
  <si>
    <t>Siti Smith</t>
  </si>
  <si>
    <t>ORD100691</t>
  </si>
  <si>
    <t>CUST1490</t>
  </si>
  <si>
    <t>David Halim</t>
  </si>
  <si>
    <t>ORD100641</t>
  </si>
  <si>
    <t>CUST1660</t>
  </si>
  <si>
    <t>Andi Salim</t>
  </si>
  <si>
    <t>ORD101194</t>
  </si>
  <si>
    <t>ORD103179</t>
  </si>
  <si>
    <t>CUST1577</t>
  </si>
  <si>
    <t>John Anderson</t>
  </si>
  <si>
    <t>ORD101761</t>
  </si>
  <si>
    <t>CUST1147</t>
  </si>
  <si>
    <t>Sarah Wilson</t>
  </si>
  <si>
    <t>ORD103172</t>
  </si>
  <si>
    <t>CUST1177</t>
  </si>
  <si>
    <t>ORD103543</t>
  </si>
  <si>
    <t>CUST1205</t>
  </si>
  <si>
    <t>David Johnson</t>
  </si>
  <si>
    <t>ORD101187</t>
  </si>
  <si>
    <t>CUST1626</t>
  </si>
  <si>
    <t>Fajar Pratama</t>
  </si>
  <si>
    <t>ORD102428</t>
  </si>
  <si>
    <t>CUST1678</t>
  </si>
  <si>
    <t>Lisa Brown</t>
  </si>
  <si>
    <t>ORD102848</t>
  </si>
  <si>
    <t>CUST1761</t>
  </si>
  <si>
    <t>Ahmad Johnson</t>
  </si>
  <si>
    <t>ORD101768</t>
  </si>
  <si>
    <t>CUST1049</t>
  </si>
  <si>
    <t>ORD102473</t>
  </si>
  <si>
    <t>CUST1889</t>
  </si>
  <si>
    <t>James Sari</t>
  </si>
  <si>
    <t>ORD102193</t>
  </si>
  <si>
    <t>CUST1476</t>
  </si>
  <si>
    <t>Andi Wijaya</t>
  </si>
  <si>
    <t>ORD101967</t>
  </si>
  <si>
    <t>CUST1178</t>
  </si>
  <si>
    <t>Michael Pratama</t>
  </si>
  <si>
    <t>ORD102971</t>
  </si>
  <si>
    <t>CUST1443</t>
  </si>
  <si>
    <t>Andi Hidayat</t>
  </si>
  <si>
    <t>ORD101952</t>
  </si>
  <si>
    <t>CUST1002</t>
  </si>
  <si>
    <t>Sarah Kurniawan</t>
  </si>
  <si>
    <t>ORD101414</t>
  </si>
  <si>
    <t>CUST1898</t>
  </si>
  <si>
    <t>Ahmad Nugroho</t>
  </si>
  <si>
    <t>ORD103327</t>
  </si>
  <si>
    <t>CUST1471</t>
  </si>
  <si>
    <t>ORD101312</t>
  </si>
  <si>
    <t>Wool Socks</t>
  </si>
  <si>
    <t>ORD100272</t>
  </si>
  <si>
    <t>CUST1536</t>
  </si>
  <si>
    <t>Maria Hidayat</t>
  </si>
  <si>
    <t>ORD100754</t>
  </si>
  <si>
    <t>CUST1029</t>
  </si>
  <si>
    <t>Nina Smith</t>
  </si>
  <si>
    <t>ORD101877</t>
  </si>
  <si>
    <t>ORD100539</t>
  </si>
  <si>
    <t>CUST1575</t>
  </si>
  <si>
    <t>Michael Halim</t>
  </si>
  <si>
    <t>ORD102649</t>
  </si>
  <si>
    <t>CUST1228</t>
  </si>
  <si>
    <t>Dewi Santos</t>
  </si>
  <si>
    <t>ORD101356</t>
  </si>
  <si>
    <t>ORD100052</t>
  </si>
  <si>
    <t>CUST1657</t>
  </si>
  <si>
    <t>ORD100854</t>
  </si>
  <si>
    <t>ORD101236</t>
  </si>
  <si>
    <t>CUST1381</t>
  </si>
  <si>
    <t>ORD103365</t>
  </si>
  <si>
    <t>CUST1653</t>
  </si>
  <si>
    <t>Michael Chen</t>
  </si>
  <si>
    <t>ORD103125</t>
  </si>
  <si>
    <t>CUST1638</t>
  </si>
  <si>
    <t>Maria Kurniawan</t>
  </si>
  <si>
    <t>ORD101837</t>
  </si>
  <si>
    <t>CUST1826</t>
  </si>
  <si>
    <t>Maria Halim</t>
  </si>
  <si>
    <t>ORD100224</t>
  </si>
  <si>
    <t>ORD101079</t>
  </si>
  <si>
    <t>CUST1386</t>
  </si>
  <si>
    <t>Lisa Johnson</t>
  </si>
  <si>
    <t>ORD100899</t>
  </si>
  <si>
    <t>CUST1116</t>
  </si>
  <si>
    <t>Michael Lee</t>
  </si>
  <si>
    <t>ORD102267</t>
  </si>
  <si>
    <t>CUST1366</t>
  </si>
  <si>
    <t>ORD102550</t>
  </si>
  <si>
    <t>CUST1665</t>
  </si>
  <si>
    <t>Sarah Halim</t>
  </si>
  <si>
    <t>ORD103098</t>
  </si>
  <si>
    <t>CUST1541</t>
  </si>
  <si>
    <t>Linda Johnson</t>
  </si>
  <si>
    <t>ORD103578</t>
  </si>
  <si>
    <t>CUST1766</t>
  </si>
  <si>
    <t>Michael Kurniawan</t>
  </si>
  <si>
    <t>ORD103088</t>
  </si>
  <si>
    <t>CUST1244</t>
  </si>
  <si>
    <t>ORD103343</t>
  </si>
  <si>
    <t>CUST1383</t>
  </si>
  <si>
    <t>David Garcia</t>
  </si>
  <si>
    <t>ORD102271</t>
  </si>
  <si>
    <t>CUST1721</t>
  </si>
  <si>
    <t>Nina Wijaya</t>
  </si>
  <si>
    <t>ORD102396</t>
  </si>
  <si>
    <t>CUST1682</t>
  </si>
  <si>
    <t>ORD101948</t>
  </si>
  <si>
    <t>CUST1850</t>
  </si>
  <si>
    <t>Dewi Wijaya</t>
  </si>
  <si>
    <t>ORD102862</t>
  </si>
  <si>
    <t>Wireless Earbuds</t>
  </si>
  <si>
    <t>ORD102779</t>
  </si>
  <si>
    <t>CUST1448</t>
  </si>
  <si>
    <t>ORD100417</t>
  </si>
  <si>
    <t>CUST1520</t>
  </si>
  <si>
    <t>John Halim</t>
  </si>
  <si>
    <t>ORD100706</t>
  </si>
  <si>
    <t>CUST1450</t>
  </si>
  <si>
    <t>David Santos</t>
  </si>
  <si>
    <t>ORD103065</t>
  </si>
  <si>
    <t>CUST1117</t>
  </si>
  <si>
    <t>Sarah Pratama</t>
  </si>
  <si>
    <t>ORD100234</t>
  </si>
  <si>
    <t>ORD103620</t>
  </si>
  <si>
    <t>ORD103583</t>
  </si>
  <si>
    <t>CUST1895</t>
  </si>
  <si>
    <t>Michael Johnson</t>
  </si>
  <si>
    <t>ORD102359</t>
  </si>
  <si>
    <t>CUST1067</t>
  </si>
  <si>
    <t>Nina Halim</t>
  </si>
  <si>
    <t>ORD103884</t>
  </si>
  <si>
    <t>CUST1876</t>
  </si>
  <si>
    <t>John Hidayat</t>
  </si>
  <si>
    <t>ORD101537</t>
  </si>
  <si>
    <t>Throw Pillow</t>
  </si>
  <si>
    <t>ORD103215</t>
  </si>
  <si>
    <t>CUST1217</t>
  </si>
  <si>
    <t>Michael Santos</t>
  </si>
  <si>
    <t>ORD102258</t>
  </si>
  <si>
    <t>CUST1234</t>
  </si>
  <si>
    <t>Nina Salim</t>
  </si>
  <si>
    <t>ORD103329</t>
  </si>
  <si>
    <t>ORD101640</t>
  </si>
  <si>
    <t>CUST1150</t>
  </si>
  <si>
    <t>Ayu Wijaya</t>
  </si>
  <si>
    <t>ORD102350</t>
  </si>
  <si>
    <t>CUST1739</t>
  </si>
  <si>
    <t>Fajar Wilson</t>
  </si>
  <si>
    <t>ORD102561</t>
  </si>
  <si>
    <t>CUST1649</t>
  </si>
  <si>
    <t>Rina Wilson</t>
  </si>
  <si>
    <t>ORD101515</t>
  </si>
  <si>
    <t>CUST1609</t>
  </si>
  <si>
    <t>Rina Chen</t>
  </si>
  <si>
    <t>ORD101235</t>
  </si>
  <si>
    <t>CUST1144</t>
  </si>
  <si>
    <t>Kevin Smith</t>
  </si>
  <si>
    <t>ORD102247</t>
  </si>
  <si>
    <t>CUST1220</t>
  </si>
  <si>
    <t>ORD103685</t>
  </si>
  <si>
    <t>CUST1815</t>
  </si>
  <si>
    <t>Budi Garcia</t>
  </si>
  <si>
    <t>ORD102486</t>
  </si>
  <si>
    <t>CUST1641</t>
  </si>
  <si>
    <t>Rina Nugroho</t>
  </si>
  <si>
    <t>ORD101774</t>
  </si>
  <si>
    <t>CUST1722</t>
  </si>
  <si>
    <t>ORD100118</t>
  </si>
  <si>
    <t>CUST1866</t>
  </si>
  <si>
    <t>ORD103244</t>
  </si>
  <si>
    <t>CUST1861</t>
  </si>
  <si>
    <t>Ayu Santos</t>
  </si>
  <si>
    <t>ORD103309</t>
  </si>
  <si>
    <t>CUST1527</t>
  </si>
  <si>
    <t>ORD100237</t>
  </si>
  <si>
    <t>CUST1245</t>
  </si>
  <si>
    <t>Dewi Yusuf</t>
  </si>
  <si>
    <t>ORD100399</t>
  </si>
  <si>
    <t>CUST1243</t>
  </si>
  <si>
    <t>James Hidayat</t>
  </si>
  <si>
    <t>ORD100988</t>
  </si>
  <si>
    <t>CUST1251</t>
  </si>
  <si>
    <t>ORD101853</t>
  </si>
  <si>
    <t>CUST1148</t>
  </si>
  <si>
    <t>Siti Yusuf</t>
  </si>
  <si>
    <t>ORD100065</t>
  </si>
  <si>
    <t>CUST1064</t>
  </si>
  <si>
    <t>James Lee</t>
  </si>
  <si>
    <t>ORD102757</t>
  </si>
  <si>
    <t>CUST1153</t>
  </si>
  <si>
    <t>Fajar Salim</t>
  </si>
  <si>
    <t>ORD101997</t>
  </si>
  <si>
    <t>ORD103424</t>
  </si>
  <si>
    <t>CUST1391</t>
  </si>
  <si>
    <t>ORD103786</t>
  </si>
  <si>
    <t>CUST1786</t>
  </si>
  <si>
    <t>Siti Brown</t>
  </si>
  <si>
    <t>ORD100187</t>
  </si>
  <si>
    <t>CUST1841</t>
  </si>
  <si>
    <t>ORD102970</t>
  </si>
  <si>
    <t>CUST1229</t>
  </si>
  <si>
    <t>ORD103224</t>
  </si>
  <si>
    <t>CUST1496</t>
  </si>
  <si>
    <t>John Smith</t>
  </si>
  <si>
    <t>ORD102815</t>
  </si>
  <si>
    <t>CUST1555</t>
  </si>
  <si>
    <t>ORD101906</t>
  </si>
  <si>
    <t>CUST1190</t>
  </si>
  <si>
    <t>Lisa Wijaya</t>
  </si>
  <si>
    <t>ORD100350</t>
  </si>
  <si>
    <t>CUST1690</t>
  </si>
  <si>
    <t>Fajar Garcia</t>
  </si>
  <si>
    <t>ORD100427</t>
  </si>
  <si>
    <t>CUST1271</t>
  </si>
  <si>
    <t>Lisa Chen</t>
  </si>
  <si>
    <t>ORD100203</t>
  </si>
  <si>
    <t>CUST1040</t>
  </si>
  <si>
    <t>Lisa Garcia</t>
  </si>
  <si>
    <t>ORD103804</t>
  </si>
  <si>
    <t>CUST1672</t>
  </si>
  <si>
    <t>ORD100159</t>
  </si>
  <si>
    <t>CUST1212</t>
  </si>
  <si>
    <t>Budi Wilson</t>
  </si>
  <si>
    <t>ORD103586</t>
  </si>
  <si>
    <t>CUST1140</t>
  </si>
  <si>
    <t>Maria Wijaya</t>
  </si>
  <si>
    <t>ORD101560</t>
  </si>
  <si>
    <t>CUST1175</t>
  </si>
  <si>
    <t>ORD101276</t>
  </si>
  <si>
    <t>ORD103123</t>
  </si>
  <si>
    <t>CUST1298</t>
  </si>
  <si>
    <t>Dewi Anderson</t>
  </si>
  <si>
    <t>ORD100536</t>
  </si>
  <si>
    <t>CUST1089</t>
  </si>
  <si>
    <t>Dewi Pratama</t>
  </si>
  <si>
    <t>ORD100140</t>
  </si>
  <si>
    <t>CUST1852</t>
  </si>
  <si>
    <t>Putri Garcia</t>
  </si>
  <si>
    <t>Baseball Cap</t>
  </si>
  <si>
    <t>ORD103984</t>
  </si>
  <si>
    <t>CUST1890</t>
  </si>
  <si>
    <t>Ahmad Sari</t>
  </si>
  <si>
    <t>ORD103806</t>
  </si>
  <si>
    <t>CUST1070</t>
  </si>
  <si>
    <t>Kevin Johnson</t>
  </si>
  <si>
    <t>ORD102700</t>
  </si>
  <si>
    <t>CUST1675</t>
  </si>
  <si>
    <t>Putri Kurniawan</t>
  </si>
  <si>
    <t>ORD101391</t>
  </si>
  <si>
    <t>CUST1569</t>
  </si>
  <si>
    <t>David Kurniawan</t>
  </si>
  <si>
    <t>ORD101635</t>
  </si>
  <si>
    <t>CUST1747</t>
  </si>
  <si>
    <t>Wireless Mouse</t>
  </si>
  <si>
    <t>ORD102479</t>
  </si>
  <si>
    <t>CUST1214</t>
  </si>
  <si>
    <t>Ahmad Tan</t>
  </si>
  <si>
    <t>ORD101198</t>
  </si>
  <si>
    <t>ORD102669</t>
  </si>
  <si>
    <t>CUST1703</t>
  </si>
  <si>
    <t>ORD100813</t>
  </si>
  <si>
    <t>CUST1677</t>
  </si>
  <si>
    <t>ORD100721</t>
  </si>
  <si>
    <t>CUST1006</t>
  </si>
  <si>
    <t>ORD103170</t>
  </si>
  <si>
    <t>CUST1607</t>
  </si>
  <si>
    <t>Fajar Kurniawan</t>
  </si>
  <si>
    <t>ORD100449</t>
  </si>
  <si>
    <t>CUST1133</t>
  </si>
  <si>
    <t>ORD103646</t>
  </si>
  <si>
    <t>ORD100320</t>
  </si>
  <si>
    <t>CUST1816</t>
  </si>
  <si>
    <t>John Kurniawan</t>
  </si>
  <si>
    <t>ORD101299</t>
  </si>
  <si>
    <t>ORD102749</t>
  </si>
  <si>
    <t>CUST1026</t>
  </si>
  <si>
    <t>ORD101174</t>
  </si>
  <si>
    <t>CUST1662</t>
  </si>
  <si>
    <t>Siti Lee</t>
  </si>
  <si>
    <t>ORD102897</t>
  </si>
  <si>
    <t>CUST1621</t>
  </si>
  <si>
    <t>James Wijaya</t>
  </si>
  <si>
    <t>ORD103573</t>
  </si>
  <si>
    <t>ORD102319</t>
  </si>
  <si>
    <t>CUST1319</t>
  </si>
  <si>
    <t>Rina Santos</t>
  </si>
  <si>
    <t>ORD100616</t>
  </si>
  <si>
    <t>CUST1479</t>
  </si>
  <si>
    <t>Nina Nugroho</t>
  </si>
  <si>
    <t>ORD102288</t>
  </si>
  <si>
    <t>CUST1611</t>
  </si>
  <si>
    <t>Maria Sari</t>
  </si>
  <si>
    <t>ORD102405</t>
  </si>
  <si>
    <t>CUST1126</t>
  </si>
  <si>
    <t>Ahmad Garcia</t>
  </si>
  <si>
    <t>ORD101433</t>
  </si>
  <si>
    <t>ORD100381</t>
  </si>
  <si>
    <t>CUST1285</t>
  </si>
  <si>
    <t>ORD100182</t>
  </si>
  <si>
    <t>CUST1188</t>
  </si>
  <si>
    <t>ORD103005</t>
  </si>
  <si>
    <t>CUST1499</t>
  </si>
  <si>
    <t>ORD100587</t>
  </si>
  <si>
    <t>CUST1888</t>
  </si>
  <si>
    <t>Putri Tan</t>
  </si>
  <si>
    <t>ORD101117</t>
  </si>
  <si>
    <t>ORD100660</t>
  </si>
  <si>
    <t>ORD103989</t>
  </si>
  <si>
    <t>CUST1696</t>
  </si>
  <si>
    <t>David Hidayat</t>
  </si>
  <si>
    <t>ORD101538</t>
  </si>
  <si>
    <t>CUST1723</t>
  </si>
  <si>
    <t>ORD102316</t>
  </si>
  <si>
    <t>CUST1847</t>
  </si>
  <si>
    <t>Dewi Smith</t>
  </si>
  <si>
    <t>ORD100886</t>
  </si>
  <si>
    <t>CUST1400</t>
  </si>
  <si>
    <t>ORD100758</t>
  </si>
  <si>
    <t>CUST1186</t>
  </si>
  <si>
    <t>ORD101333</t>
  </si>
  <si>
    <t>CUST1019</t>
  </si>
  <si>
    <t>Siti Sari</t>
  </si>
  <si>
    <t>ORD103466</t>
  </si>
  <si>
    <t>CUST1038</t>
  </si>
  <si>
    <t>Linda Nugroho</t>
  </si>
  <si>
    <t>ORD100152</t>
  </si>
  <si>
    <t>CUST1162</t>
  </si>
  <si>
    <t>ORD100110</t>
  </si>
  <si>
    <t>CUST1872</t>
  </si>
  <si>
    <t>Siti Taylor</t>
  </si>
  <si>
    <t>ORD103362</t>
  </si>
  <si>
    <t>CUST1033</t>
  </si>
  <si>
    <t>Linda Sari</t>
  </si>
  <si>
    <t>ORD100823</t>
  </si>
  <si>
    <t>ORD100125</t>
  </si>
  <si>
    <t>CUST1750</t>
  </si>
  <si>
    <t>Nina Brown</t>
  </si>
  <si>
    <t>ORD100071</t>
  </si>
  <si>
    <t>CUST1576</t>
  </si>
  <si>
    <t>Linda Pratama</t>
  </si>
  <si>
    <t>ORD102435</t>
  </si>
  <si>
    <t>CUST1169</t>
  </si>
  <si>
    <t>Lisa Hidayat</t>
  </si>
  <si>
    <t>ORD103392</t>
  </si>
  <si>
    <t>ORD101535</t>
  </si>
  <si>
    <t>CUST1020</t>
  </si>
  <si>
    <t>Putri Chen</t>
  </si>
  <si>
    <t>ORD101390</t>
  </si>
  <si>
    <t>CUST1189</t>
  </si>
  <si>
    <t>ORD103973</t>
  </si>
  <si>
    <t>CUST1724</t>
  </si>
  <si>
    <t>James Pratama</t>
  </si>
  <si>
    <t>ORD101099</t>
  </si>
  <si>
    <t>ORD102703</t>
  </si>
  <si>
    <t>CUST1507</t>
  </si>
  <si>
    <t>Andi Brown</t>
  </si>
  <si>
    <t>ORD102425</t>
  </si>
  <si>
    <t>CUST1706</t>
  </si>
  <si>
    <t>Putri Hidayat</t>
  </si>
  <si>
    <t>ORD100766</t>
  </si>
  <si>
    <t>ORD101488</t>
  </si>
  <si>
    <t>CUST1432</t>
  </si>
  <si>
    <t>Andi Smith</t>
  </si>
  <si>
    <t>ORD101370</t>
  </si>
  <si>
    <t>ORD100421</t>
  </si>
  <si>
    <t>CUST1021</t>
  </si>
  <si>
    <t>ORD100625</t>
  </si>
  <si>
    <t>CUST1382</t>
  </si>
  <si>
    <t>ORD102866</t>
  </si>
  <si>
    <t>CUST1687</t>
  </si>
  <si>
    <t>CUST1773</t>
  </si>
  <si>
    <t>Andi Nugroho</t>
  </si>
  <si>
    <t>ORD103672</t>
  </si>
  <si>
    <t>CUST1795</t>
  </si>
  <si>
    <t>ORD100366</t>
  </si>
  <si>
    <t>CUST1655</t>
  </si>
  <si>
    <t>ORD103516</t>
  </si>
  <si>
    <t>CUST1072</t>
  </si>
  <si>
    <t>ORD103926</t>
  </si>
  <si>
    <t>ORD102719</t>
  </si>
  <si>
    <t>CUST1322</t>
  </si>
  <si>
    <t>Ahmad Wijaya</t>
  </si>
  <si>
    <t>ORD102301</t>
  </si>
  <si>
    <t>CUST1098</t>
  </si>
  <si>
    <t>Sarah Yusuf</t>
  </si>
  <si>
    <t>ORD102053</t>
  </si>
  <si>
    <t>ORD103771</t>
  </si>
  <si>
    <t>CUST1614</t>
  </si>
  <si>
    <t>ORD102051</t>
  </si>
  <si>
    <t>CUST1859</t>
  </si>
  <si>
    <t>Rina Kurniawan</t>
  </si>
  <si>
    <t>ORD101878</t>
  </si>
  <si>
    <t>CUST1755</t>
  </si>
  <si>
    <t>Budi Sari</t>
  </si>
  <si>
    <t>ORD100426</t>
  </si>
  <si>
    <t>CUST1016</t>
  </si>
  <si>
    <t>John Pratama</t>
  </si>
  <si>
    <t>ORD103072</t>
  </si>
  <si>
    <t>ORD100946</t>
  </si>
  <si>
    <t>CUST1168</t>
  </si>
  <si>
    <t>ORD100341</t>
  </si>
  <si>
    <t>ORD102617</t>
  </si>
  <si>
    <t>CUST1553</t>
  </si>
  <si>
    <t>ORD101674</t>
  </si>
  <si>
    <t>CUST1444</t>
  </si>
  <si>
    <t>Robert Tan</t>
  </si>
  <si>
    <t>ORD102067</t>
  </si>
  <si>
    <t>ORD103461</t>
  </si>
  <si>
    <t>CUST1451</t>
  </si>
  <si>
    <t>ORD102743</t>
  </si>
  <si>
    <t>CUST1260</t>
  </si>
  <si>
    <t>ORD100683</t>
  </si>
  <si>
    <t>CUST1065</t>
  </si>
  <si>
    <t>ORD103192</t>
  </si>
  <si>
    <t>CUST1106</t>
  </si>
  <si>
    <t>ORD101830</t>
  </si>
  <si>
    <t>CUST1375</t>
  </si>
  <si>
    <t>Robert Garcia</t>
  </si>
  <si>
    <t>ORD102115</t>
  </si>
  <si>
    <t>ORD102011</t>
  </si>
  <si>
    <t>CUST1519</t>
  </si>
  <si>
    <t>Andi Santos</t>
  </si>
  <si>
    <t>ORD101320</t>
  </si>
  <si>
    <t>CUST1436</t>
  </si>
  <si>
    <t>ORD102162</t>
  </si>
  <si>
    <t>CUST1216</t>
  </si>
  <si>
    <t>Robert Anderson</t>
  </si>
  <si>
    <t>ORD100180</t>
  </si>
  <si>
    <t>CUST1181</t>
  </si>
  <si>
    <t>Maria Smith</t>
  </si>
  <si>
    <t>CUST1398</t>
  </si>
  <si>
    <t>Nina Kurniawan</t>
  </si>
  <si>
    <t>ORD101496</t>
  </si>
  <si>
    <t>CUST1474</t>
  </si>
  <si>
    <t>Kevin Sari</t>
  </si>
  <si>
    <t>ORD103165</t>
  </si>
  <si>
    <t>CUST1351</t>
  </si>
  <si>
    <t>David Chen</t>
  </si>
  <si>
    <t>ORD103166</t>
  </si>
  <si>
    <t>ORD103659</t>
  </si>
  <si>
    <t>ORD100030</t>
  </si>
  <si>
    <t>CUST1416</t>
  </si>
  <si>
    <t>ORD100690</t>
  </si>
  <si>
    <t>CUST1337</t>
  </si>
  <si>
    <t>ORD102003</t>
  </si>
  <si>
    <t>CUST1819</t>
  </si>
  <si>
    <t>Lisa Salim</t>
  </si>
  <si>
    <t>ORD101428</t>
  </si>
  <si>
    <t>ORD101358</t>
  </si>
  <si>
    <t>CUST1305</t>
  </si>
  <si>
    <t>ORD102458</t>
  </si>
  <si>
    <t>CUST1257</t>
  </si>
  <si>
    <t>Sarah Taylor</t>
  </si>
  <si>
    <t>ORD101590</t>
  </si>
  <si>
    <t>CUST1870</t>
  </si>
  <si>
    <t>Dewi Chen</t>
  </si>
  <si>
    <t>ORD101347</t>
  </si>
  <si>
    <t>CUST1634</t>
  </si>
  <si>
    <t>ORD103519</t>
  </si>
  <si>
    <t>CUST1883</t>
  </si>
  <si>
    <t>ORD100171</t>
  </si>
  <si>
    <t>CUST1760</t>
  </si>
  <si>
    <t>Ayu Kurniawan</t>
  </si>
  <si>
    <t>ORD100474</t>
  </si>
  <si>
    <t>CUST1860</t>
  </si>
  <si>
    <t>ORD103954</t>
  </si>
  <si>
    <t>ORD103892</t>
  </si>
  <si>
    <t>CUST1768</t>
  </si>
  <si>
    <t>ORD102911</t>
  </si>
  <si>
    <t>CUST1501</t>
  </si>
  <si>
    <t>Fajar Yusuf</t>
  </si>
  <si>
    <t>ORD103121</t>
  </si>
  <si>
    <t>CUST1061</t>
  </si>
  <si>
    <t>Robert Chen</t>
  </si>
  <si>
    <t>ORD103216</t>
  </si>
  <si>
    <t>ORD103067</t>
  </si>
  <si>
    <t>CUST1056</t>
  </si>
  <si>
    <t>Rina Smith</t>
  </si>
  <si>
    <t>ORD103637</t>
  </si>
  <si>
    <t>ORD101842</t>
  </si>
  <si>
    <t>CUST1683</t>
  </si>
  <si>
    <t>Putri Lee</t>
  </si>
  <si>
    <t>ORD102129</t>
  </si>
  <si>
    <t>CUST1473</t>
  </si>
  <si>
    <t>Maria Pratama</t>
  </si>
  <si>
    <t>ORD103026</t>
  </si>
  <si>
    <t>ORD102893</t>
  </si>
  <si>
    <t>CUST1135</t>
  </si>
  <si>
    <t>ORD102385</t>
  </si>
  <si>
    <t>CUST1616</t>
  </si>
  <si>
    <t>Putri Wijaya</t>
  </si>
  <si>
    <t>ORD102389</t>
  </si>
  <si>
    <t>CUST1835</t>
  </si>
  <si>
    <t>ORD100361</t>
  </si>
  <si>
    <t>CUST1785</t>
  </si>
  <si>
    <t>Maria Nugroho</t>
  </si>
  <si>
    <t>ORD103220</t>
  </si>
  <si>
    <t>ORD100482</t>
  </si>
  <si>
    <t>CUST1224</t>
  </si>
  <si>
    <t>Ayu Salim</t>
  </si>
  <si>
    <t>ORD102363</t>
  </si>
  <si>
    <t>ORD100541</t>
  </si>
  <si>
    <t>ORD103163</t>
  </si>
  <si>
    <t>ORD103455</t>
  </si>
  <si>
    <t>ORD101129</t>
  </si>
  <si>
    <t>CUST1537</t>
  </si>
  <si>
    <t>Putri Sari</t>
  </si>
  <si>
    <t>ORD103318</t>
  </si>
  <si>
    <t>CUST1163</t>
  </si>
  <si>
    <t>Lisa Pratama</t>
  </si>
  <si>
    <t>ORD100701</t>
  </si>
  <si>
    <t>CUST1738</t>
  </si>
  <si>
    <t>ORD101713</t>
  </si>
  <si>
    <t>CUST1377</t>
  </si>
  <si>
    <t>Putri Taylor</t>
  </si>
  <si>
    <t>ORD100086</t>
  </si>
  <si>
    <t>CUST1424</t>
  </si>
  <si>
    <t>Linda Garcia</t>
  </si>
  <si>
    <t>ORD102949</t>
  </si>
  <si>
    <t>CUST1622</t>
  </si>
  <si>
    <t>Michael Garcia</t>
  </si>
  <si>
    <t>ORD102464</t>
  </si>
  <si>
    <t>CUST1814</t>
  </si>
  <si>
    <t>Michael Taylor</t>
  </si>
  <si>
    <t>ORD101156</t>
  </si>
  <si>
    <t>ORD102209</t>
  </si>
  <si>
    <t>CUST1728</t>
  </si>
  <si>
    <t>Siti Santos</t>
  </si>
  <si>
    <t>ORD103610</t>
  </si>
  <si>
    <t>CUST1484</t>
  </si>
  <si>
    <t>ORD101894</t>
  </si>
  <si>
    <t>ORD102772</t>
  </si>
  <si>
    <t>Sarah Santos</t>
  </si>
  <si>
    <t>ORD100454</t>
  </si>
  <si>
    <t>CUST1780</t>
  </si>
  <si>
    <t>ORD101571</t>
  </si>
  <si>
    <t>CUST1799</t>
  </si>
  <si>
    <t>Robert Hidayat</t>
  </si>
  <si>
    <t>ORD100068</t>
  </si>
  <si>
    <t>CUST1836</t>
  </si>
  <si>
    <t>Kevin Salim</t>
  </si>
  <si>
    <t>ORD101457</t>
  </si>
  <si>
    <t>CUST1130</t>
  </si>
  <si>
    <t>Maria Johnson</t>
  </si>
  <si>
    <t>ORD100403</t>
  </si>
  <si>
    <t>CUST1842</t>
  </si>
  <si>
    <t>Siti Salim</t>
  </si>
  <si>
    <t>CUST1716</t>
  </si>
  <si>
    <t>Budi Salim</t>
  </si>
  <si>
    <t>ORD100548</t>
  </si>
  <si>
    <t>CUST1500</t>
  </si>
  <si>
    <t>Nina Hidayat</t>
  </si>
  <si>
    <t>ORD101732</t>
  </si>
  <si>
    <t>CUST1239</t>
  </si>
  <si>
    <t>Dewi Wilson</t>
  </si>
  <si>
    <t>ORD102832</t>
  </si>
  <si>
    <t>CUST1395</t>
  </si>
  <si>
    <t>ORD103660</t>
  </si>
  <si>
    <t>ORD100611</t>
  </si>
  <si>
    <t>ORD102168</t>
  </si>
  <si>
    <t>CUST1681</t>
  </si>
  <si>
    <t>ORD101663</t>
  </si>
  <si>
    <t>CUST1572</t>
  </si>
  <si>
    <t>Maria Yusuf</t>
  </si>
  <si>
    <t>ORD102782</t>
  </si>
  <si>
    <t>CUST1095</t>
  </si>
  <si>
    <t>Sarah Smith</t>
  </si>
  <si>
    <t>ORD102020</t>
  </si>
  <si>
    <t>CUST1781</t>
  </si>
  <si>
    <t>Andi Yusuf</t>
  </si>
  <si>
    <t>ORD102232</t>
  </si>
  <si>
    <t>CUST1809</t>
  </si>
  <si>
    <t>ORD103408</t>
  </si>
  <si>
    <t>CUST1865</t>
  </si>
  <si>
    <t>ORD100343</t>
  </si>
  <si>
    <t>ORD101787</t>
  </si>
  <si>
    <t>CUST1685</t>
  </si>
  <si>
    <t>ORD100259</t>
  </si>
  <si>
    <t>CUST1668</t>
  </si>
  <si>
    <t>ORD101816</t>
  </si>
  <si>
    <t>CUST1746</t>
  </si>
  <si>
    <t>Siti Garcia</t>
  </si>
  <si>
    <t>ORD102774</t>
  </si>
  <si>
    <t>CUST1249</t>
  </si>
  <si>
    <t>Kevin Taylor</t>
  </si>
  <si>
    <t>ORD103297</t>
  </si>
  <si>
    <t>ORD102256</t>
  </si>
  <si>
    <t>ORD101781</t>
  </si>
  <si>
    <t>CUST1878</t>
  </si>
  <si>
    <t>Ayu Sari</t>
  </si>
  <si>
    <t>ORD100145</t>
  </si>
  <si>
    <t>ORD102418</t>
  </si>
  <si>
    <t>CUST1464</t>
  </si>
  <si>
    <t>Dewi Taylor</t>
  </si>
  <si>
    <t>ORD101297</t>
  </si>
  <si>
    <t>CUST1674</t>
  </si>
  <si>
    <t>ORD101451</t>
  </si>
  <si>
    <t>ORD100554</t>
  </si>
  <si>
    <t>CUST1143</t>
  </si>
  <si>
    <t>Linda Wijaya</t>
  </si>
  <si>
    <t>ORD100020</t>
  </si>
  <si>
    <t>ORD102448</t>
  </si>
  <si>
    <t>CUST1136</t>
  </si>
  <si>
    <t>Budi Hidayat</t>
  </si>
  <si>
    <t>ORD102898</t>
  </si>
  <si>
    <t>CUST1834</t>
  </si>
  <si>
    <t>ORD103477</t>
  </si>
  <si>
    <t>CUST1491</t>
  </si>
  <si>
    <t>ORD101598</t>
  </si>
  <si>
    <t>CUST1439</t>
  </si>
  <si>
    <t>ORD103788</t>
  </si>
  <si>
    <t>ORD102873</t>
  </si>
  <si>
    <t>CUST1012</t>
  </si>
  <si>
    <t>ORD102170</t>
  </si>
  <si>
    <t>CUST1561</t>
  </si>
  <si>
    <t>Nina Santos</t>
  </si>
  <si>
    <t>ORD103758</t>
  </si>
  <si>
    <t>CUST1582</t>
  </si>
  <si>
    <t>ORD101556</t>
  </si>
  <si>
    <t>CUST1673</t>
  </si>
  <si>
    <t>ORD102431</t>
  </si>
  <si>
    <t>CUST1862</t>
  </si>
  <si>
    <t>Ahmad Santos</t>
  </si>
  <si>
    <t>ORD103302</t>
  </si>
  <si>
    <t>ORD102357</t>
  </si>
  <si>
    <t>ORD103425</t>
  </si>
  <si>
    <t>CUST1798</t>
  </si>
  <si>
    <t>ORD102139</t>
  </si>
  <si>
    <t>CUST1340</t>
  </si>
  <si>
    <t>Ayu Lee</t>
  </si>
  <si>
    <t>ORD101474</t>
  </si>
  <si>
    <t>ORD100941</t>
  </si>
  <si>
    <t>ORD103038</t>
  </si>
  <si>
    <t>CUST1650</t>
  </si>
  <si>
    <t>ORD101280</t>
  </si>
  <si>
    <t>ORD100558</t>
  </si>
  <si>
    <t>ORD100338</t>
  </si>
  <si>
    <t>CUST1184</t>
  </si>
  <si>
    <t>ORD103585</t>
  </si>
  <si>
    <t>CUST1120</t>
  </si>
  <si>
    <t>Dewi Johnson</t>
  </si>
  <si>
    <t>ORD102853</t>
  </si>
  <si>
    <t>CUST1893</t>
  </si>
  <si>
    <t>John Wijaya</t>
  </si>
  <si>
    <t>ORD102510</t>
  </si>
  <si>
    <t>CUST1667</t>
  </si>
  <si>
    <t>Robert Halim</t>
  </si>
  <si>
    <t>ORD101244</t>
  </si>
  <si>
    <t>ORD101946</t>
  </si>
  <si>
    <t>CUST1174</t>
  </si>
  <si>
    <t>ORD100672</t>
  </si>
  <si>
    <t>CUST1054</t>
  </si>
  <si>
    <t>ORD101561</t>
  </si>
  <si>
    <t>CUST1179</t>
  </si>
  <si>
    <t>ORD103633</t>
  </si>
  <si>
    <t>ORD103928</t>
  </si>
  <si>
    <t>ORD101909</t>
  </si>
  <si>
    <t>ORD102071</t>
  </si>
  <si>
    <t>CUST1406</t>
  </si>
  <si>
    <t>Ahmad Wilson</t>
  </si>
  <si>
    <t>ORD101770</t>
  </si>
  <si>
    <t>CUST1043</t>
  </si>
  <si>
    <t>Michael Wilson</t>
  </si>
  <si>
    <t>ORD102231</t>
  </si>
  <si>
    <t>CUST1461</t>
  </si>
  <si>
    <t>Dewi Brown</t>
  </si>
  <si>
    <t>ORD101008</t>
  </si>
  <si>
    <t>CUST1266</t>
  </si>
  <si>
    <t>Kevin Nugroho</t>
  </si>
  <si>
    <t>ORD100741</t>
  </si>
  <si>
    <t>CUST1124</t>
  </si>
  <si>
    <t>Siti Wijaya</t>
  </si>
  <si>
    <t>ORD103126</t>
  </si>
  <si>
    <t>CUST1885</t>
  </si>
  <si>
    <t>Lisa Santos</t>
  </si>
  <si>
    <t>ORD103307</t>
  </si>
  <si>
    <t>CUST1221</t>
  </si>
  <si>
    <t>Siti Chen</t>
  </si>
  <si>
    <t>ORD102250</t>
  </si>
  <si>
    <t>CUST1711</t>
  </si>
  <si>
    <t>ORD101011</t>
  </si>
  <si>
    <t>CUST1735</t>
  </si>
  <si>
    <t>ORD100461</t>
  </si>
  <si>
    <t>CUST1648</t>
  </si>
  <si>
    <t>ORD102171</t>
  </si>
  <si>
    <t>CUST1466</t>
  </si>
  <si>
    <t>ORD102160</t>
  </si>
  <si>
    <t>ORD102939</t>
  </si>
  <si>
    <t>ORD102037</t>
  </si>
  <si>
    <t>ORD103655</t>
  </si>
  <si>
    <t>CUST1270</t>
  </si>
  <si>
    <t>ORD102393</t>
  </si>
  <si>
    <t>CUST1550</t>
  </si>
  <si>
    <t>Nina Anderson</t>
  </si>
  <si>
    <t>ORD100280</t>
  </si>
  <si>
    <t>CUST1465</t>
  </si>
  <si>
    <t>ORD103187</t>
  </si>
  <si>
    <t>CUST1811</t>
  </si>
  <si>
    <t>Putri Santos</t>
  </si>
  <si>
    <t>ORD100445</t>
  </si>
  <si>
    <t>CUST1037</t>
  </si>
  <si>
    <t>ORD101502</t>
  </si>
  <si>
    <t>CUST1350</t>
  </si>
  <si>
    <t>Linda Salim</t>
  </si>
  <si>
    <t>ORD100275</t>
  </si>
  <si>
    <t>CUST1396</t>
  </si>
  <si>
    <t>ORD100353</t>
  </si>
  <si>
    <t>ORD102903</t>
  </si>
  <si>
    <t>ORD102813</t>
  </si>
  <si>
    <t>CUST1788</t>
  </si>
  <si>
    <t>ORD103537</t>
  </si>
  <si>
    <t>CUST1605</t>
  </si>
  <si>
    <t>Andi Sari</t>
  </si>
  <si>
    <t>ORD102770</t>
  </si>
  <si>
    <t>ORD101815</t>
  </si>
  <si>
    <t>ORD100106</t>
  </si>
  <si>
    <t>ORD101153</t>
  </si>
  <si>
    <t>CUST1058</t>
  </si>
  <si>
    <t>John Johnson</t>
  </si>
  <si>
    <t>ORD100332</t>
  </si>
  <si>
    <t>CUST1345</t>
  </si>
  <si>
    <t>ORD100735</t>
  </si>
  <si>
    <t>CUST1602</t>
  </si>
  <si>
    <t>ORD100799</t>
  </si>
  <si>
    <t>CUST1233</t>
  </si>
  <si>
    <t>ORD102936</t>
  </si>
  <si>
    <t>CUST1654</t>
  </si>
  <si>
    <t>ORD103368</t>
  </si>
  <si>
    <t>CUST1784</t>
  </si>
  <si>
    <t>Kevin Kurniawan</t>
  </si>
  <si>
    <t>ORD100395</t>
  </si>
  <si>
    <t>ORD103156</t>
  </si>
  <si>
    <t>ORD101289</t>
  </si>
  <si>
    <t>CUST1633</t>
  </si>
  <si>
    <t>James Kurniawan</t>
  </si>
  <si>
    <t>ORD102344</t>
  </si>
  <si>
    <t>CUST1713</t>
  </si>
  <si>
    <t>ORD102746</t>
  </si>
  <si>
    <t>CUST1729</t>
  </si>
  <si>
    <t>Rina Halim</t>
  </si>
  <si>
    <t>ORD101978</t>
  </si>
  <si>
    <t>ORD100780</t>
  </si>
  <si>
    <t>CUST1022</t>
  </si>
  <si>
    <t>ORD102744</t>
  </si>
  <si>
    <t>ORD101605</t>
  </si>
  <si>
    <t>CUST1431</t>
  </si>
  <si>
    <t>ORD103103</t>
  </si>
  <si>
    <t>CUST1180</t>
  </si>
  <si>
    <t>Rina Tan</t>
  </si>
  <si>
    <t>ORD101037</t>
  </si>
  <si>
    <t>CUST1630</t>
  </si>
  <si>
    <t>ORD100891</t>
  </si>
  <si>
    <t>CUST1307</t>
  </si>
  <si>
    <t>ORD102946</t>
  </si>
  <si>
    <t>CUST1193</t>
  </si>
  <si>
    <t>Dewi Kurniawan</t>
  </si>
  <si>
    <t>ORD100904</t>
  </si>
  <si>
    <t>CUST1389</t>
  </si>
  <si>
    <t>ORD100550</t>
  </si>
  <si>
    <t>CUST1813</t>
  </si>
  <si>
    <t>ORD102339</t>
  </si>
  <si>
    <t>CUST1586</t>
  </si>
  <si>
    <t>Putri Smith</t>
  </si>
  <si>
    <t>ORD101831</t>
  </si>
  <si>
    <t>ORD103942</t>
  </si>
  <si>
    <t>CUST1139</t>
  </si>
  <si>
    <t>Maria Brown</t>
  </si>
  <si>
    <t>ORD102123</t>
  </si>
  <si>
    <t>CUST1119</t>
  </si>
  <si>
    <t>Andi Kurniawan</t>
  </si>
  <si>
    <t>ORD103495</t>
  </si>
  <si>
    <t>CUST1360</t>
  </si>
  <si>
    <t>ORD102214</t>
  </si>
  <si>
    <t>ORD100486</t>
  </si>
  <si>
    <t>CUST1899</t>
  </si>
  <si>
    <t>ORD101677</t>
  </si>
  <si>
    <t>CUST1295</t>
  </si>
  <si>
    <t>Robert Taylor</t>
  </si>
  <si>
    <t>ORD101998</t>
  </si>
  <si>
    <t>Robert Nugroho</t>
  </si>
  <si>
    <t>ORD102676</t>
  </si>
  <si>
    <t>CUST1425</t>
  </si>
  <si>
    <t>Linda Anderson</t>
  </si>
  <si>
    <t>ORD100851</t>
  </si>
  <si>
    <t>ORD103530</t>
  </si>
  <si>
    <t>ORD100393</t>
  </si>
  <si>
    <t>CUST1560</t>
  </si>
  <si>
    <t>ORD100490</t>
  </si>
  <si>
    <t>ORD100156</t>
  </si>
  <si>
    <t>CUST1407</t>
  </si>
  <si>
    <t>ORD102678</t>
  </si>
  <si>
    <t>CUST1087</t>
  </si>
  <si>
    <t>Linda Tan</t>
  </si>
  <si>
    <t>ORD101364</t>
  </si>
  <si>
    <t>CUST1201</t>
  </si>
  <si>
    <t>ORD101707</t>
  </si>
  <si>
    <t>CUST1289</t>
  </si>
  <si>
    <t>ORD102512</t>
  </si>
  <si>
    <t>ORD101860</t>
  </si>
  <si>
    <t>CUST1505</t>
  </si>
  <si>
    <t>Michael Anderson</t>
  </si>
  <si>
    <t>ORD101814</t>
  </si>
  <si>
    <t>CUST1670</t>
  </si>
  <si>
    <t>David Sari</t>
  </si>
  <si>
    <t>ORD100730</t>
  </si>
  <si>
    <t>CUST1046</t>
  </si>
  <si>
    <t>ORD102476</t>
  </si>
  <si>
    <t>CUST1246</t>
  </si>
  <si>
    <t>ORD102155</t>
  </si>
  <si>
    <t>CUST1085</t>
  </si>
  <si>
    <t>ORD102309</t>
  </si>
  <si>
    <t>ORD103889</t>
  </si>
  <si>
    <t>CUST1316</t>
  </si>
  <si>
    <t>ORD103338</t>
  </si>
  <si>
    <t>CUST1213</t>
  </si>
  <si>
    <t>Michael Tan</t>
  </si>
  <si>
    <t>ORD102443</t>
  </si>
  <si>
    <t>CUST1079</t>
  </si>
  <si>
    <t>ORD100665</t>
  </si>
  <si>
    <t>ORD103801</t>
  </si>
  <si>
    <t>CUST1462</t>
  </si>
  <si>
    <t>ORD102804</t>
  </si>
  <si>
    <t>CUST1485</t>
  </si>
  <si>
    <t>ORD102023</t>
  </si>
  <si>
    <t>ORD101737</t>
  </si>
  <si>
    <t>CUST1463</t>
  </si>
  <si>
    <t>Linda Brown</t>
  </si>
  <si>
    <t>ORD103638</t>
  </si>
  <si>
    <t>ORD102575</t>
  </si>
  <si>
    <t>ORD102198</t>
  </si>
  <si>
    <t>CUST1302</t>
  </si>
  <si>
    <t>ORD102922</t>
  </si>
  <si>
    <t>CUST1308</t>
  </si>
  <si>
    <t>Robert Yusuf</t>
  </si>
  <si>
    <t>ORD102290</t>
  </si>
  <si>
    <t>CUST1074</t>
  </si>
  <si>
    <t>John Sari</t>
  </si>
  <si>
    <t>ORD101893</t>
  </si>
  <si>
    <t>ORD103457</t>
  </si>
  <si>
    <t>CUST1060</t>
  </si>
  <si>
    <t>ORD103061</t>
  </si>
  <si>
    <t>CUST1794</t>
  </si>
  <si>
    <t>ORD103470</t>
  </si>
  <si>
    <t>CUST1693</t>
  </si>
  <si>
    <t>ORD100734</t>
  </si>
  <si>
    <t>ORD102313</t>
  </si>
  <si>
    <t>CUST1719</t>
  </si>
  <si>
    <t>ORD101624</t>
  </si>
  <si>
    <t>CUST1321</t>
  </si>
  <si>
    <t>ORD103355</t>
  </si>
  <si>
    <t>ORD100262</t>
  </si>
  <si>
    <t>ORD100084</t>
  </si>
  <si>
    <t>CUST1287</t>
  </si>
  <si>
    <t>ORD101490</t>
  </si>
  <si>
    <t>CUST1452</t>
  </si>
  <si>
    <t>ORD101446</t>
  </si>
  <si>
    <t>CUST1258</t>
  </si>
  <si>
    <t>ORD101260</t>
  </si>
  <si>
    <t>CUST1223</t>
  </si>
  <si>
    <t>ORD101564</t>
  </si>
  <si>
    <t>CUST1779</t>
  </si>
  <si>
    <t>ORD101209</t>
  </si>
  <si>
    <t>ORD100301</t>
  </si>
  <si>
    <t>ORD103735</t>
  </si>
  <si>
    <t>CUST1339</t>
  </si>
  <si>
    <t>Siti Hidayat</t>
  </si>
  <si>
    <t>ORD100153</t>
  </si>
  <si>
    <t>CUST1329</t>
  </si>
  <si>
    <t>Andi Tan</t>
  </si>
  <si>
    <t>ORD100236</t>
  </si>
  <si>
    <t>CUST1007</t>
  </si>
  <si>
    <t>ORD101493</t>
  </si>
  <si>
    <t>ORD102206</t>
  </si>
  <si>
    <t>CUST1800</t>
  </si>
  <si>
    <t>ORD100189</t>
  </si>
  <si>
    <t>CUST1160</t>
  </si>
  <si>
    <t>James Nugroho</t>
  </si>
  <si>
    <t>ORD103925</t>
  </si>
  <si>
    <t>CUST1790</t>
  </si>
  <si>
    <t>ORD103285</t>
  </si>
  <si>
    <t>CUST1402</t>
  </si>
  <si>
    <t>ORD101443</t>
  </si>
  <si>
    <t>CUST1459</t>
  </si>
  <si>
    <t>ORD101844</t>
  </si>
  <si>
    <t>ORD102718</t>
  </si>
  <si>
    <t>CUST1843</t>
  </si>
  <si>
    <t>ORD102924</t>
  </si>
  <si>
    <t>CUST1118</t>
  </si>
  <si>
    <t>Budi Anderson</t>
  </si>
  <si>
    <t>ORD101016</t>
  </si>
  <si>
    <t>CUST1748</t>
  </si>
  <si>
    <t>Robert Salim</t>
  </si>
  <si>
    <t>ORD103381</t>
  </si>
  <si>
    <t>CUST1032</t>
  </si>
  <si>
    <t>ORD100535</t>
  </si>
  <si>
    <t>ORD102942</t>
  </si>
  <si>
    <t>ORD102440</t>
  </si>
  <si>
    <t>CUST1332</t>
  </si>
  <si>
    <t>Siti Johnson</t>
  </si>
  <si>
    <t>ORD102259</t>
  </si>
  <si>
    <t>CUST1011</t>
  </si>
  <si>
    <t>Dewi Garcia</t>
  </si>
  <si>
    <t>ORD102439</t>
  </si>
  <si>
    <t>CUST1427</t>
  </si>
  <si>
    <t>James Halim</t>
  </si>
  <si>
    <t>ORD100525</t>
  </si>
  <si>
    <t>CUST1659</t>
  </si>
  <si>
    <t>Kevin Hidayat</t>
  </si>
  <si>
    <t>ORD101065</t>
  </si>
  <si>
    <t>CUST1281</t>
  </si>
  <si>
    <t>ORD102806</t>
  </si>
  <si>
    <t>ORD103803</t>
  </si>
  <si>
    <t>CUST1276</t>
  </si>
  <si>
    <t>ORD100781</t>
  </si>
  <si>
    <t>CUST1050</t>
  </si>
  <si>
    <t>Sarah Anderson</t>
  </si>
  <si>
    <t>ORD101041</t>
  </si>
  <si>
    <t>CUST1469</t>
  </si>
  <si>
    <t>ORD101854</t>
  </si>
  <si>
    <t>CUST1702</t>
  </si>
  <si>
    <t>Ahmad Salim</t>
  </si>
  <si>
    <t>ORD100561</t>
  </si>
  <si>
    <t>CUST1742</t>
  </si>
  <si>
    <t>James Brown</t>
  </si>
  <si>
    <t>ORD101981</t>
  </si>
  <si>
    <t>CUST1411</t>
  </si>
  <si>
    <t>ORD101675</t>
  </si>
  <si>
    <t>CUST1658</t>
  </si>
  <si>
    <t>ORD103398</t>
  </si>
  <si>
    <t>ORD102063</t>
  </si>
  <si>
    <t>CUST1094</t>
  </si>
  <si>
    <t>ORD101337</t>
  </si>
  <si>
    <t>ORD100226</t>
  </si>
  <si>
    <t>ORD101214</t>
  </si>
  <si>
    <t>CUST1252</t>
  </si>
  <si>
    <t>ORD103836</t>
  </si>
  <si>
    <t>ORD101905</t>
  </si>
  <si>
    <t>ORD102629</t>
  </si>
  <si>
    <t>ORD100977</t>
  </si>
  <si>
    <t>CUST1164</t>
  </si>
  <si>
    <t>ORD103276</t>
  </si>
  <si>
    <t>CUST1801</t>
  </si>
  <si>
    <t>John Brown</t>
  </si>
  <si>
    <t>ORD102835</t>
  </si>
  <si>
    <t>ORD101616</t>
  </si>
  <si>
    <t>ORD100360</t>
  </si>
  <si>
    <t>ORD102569</t>
  </si>
  <si>
    <t>ORD100724</t>
  </si>
  <si>
    <t>CUST1325</t>
  </si>
  <si>
    <t>ORD101669</t>
  </si>
  <si>
    <t>ORD100966</t>
  </si>
  <si>
    <t>ORD102867</t>
  </si>
  <si>
    <t>CUST1145</t>
  </si>
  <si>
    <t>Linda Smith</t>
  </si>
  <si>
    <t>ORD101170</t>
  </si>
  <si>
    <t>CUST1341</t>
  </si>
  <si>
    <t>Fajar Wijaya</t>
  </si>
  <si>
    <t>ORD102688</t>
  </si>
  <si>
    <t>CUST1734</t>
  </si>
  <si>
    <t>ORD102230</t>
  </si>
  <si>
    <t>CUST1273</t>
  </si>
  <si>
    <t>ORD103034</t>
  </si>
  <si>
    <t>CUST1151</t>
  </si>
  <si>
    <t>ORD102328</t>
  </si>
  <si>
    <t>CUST1441</t>
  </si>
  <si>
    <t>ORD100057</t>
  </si>
  <si>
    <t>CUST1057</t>
  </si>
  <si>
    <t>Maria Lee</t>
  </si>
  <si>
    <t>ORD100115</t>
  </si>
  <si>
    <t>CUST1421</t>
  </si>
  <si>
    <t>ORD101150</t>
  </si>
  <si>
    <t>ORD101261</t>
  </si>
  <si>
    <t>CUST1342</t>
  </si>
  <si>
    <t>ORD103619</t>
  </si>
  <si>
    <t>ORD101270</t>
  </si>
  <si>
    <t>CUST1051</t>
  </si>
  <si>
    <t>Lisa Tan</t>
  </si>
  <si>
    <t>ORD100064</t>
  </si>
  <si>
    <t>CUST1884</t>
  </si>
  <si>
    <t>ORD102524</t>
  </si>
  <si>
    <t>ORD101820</t>
  </si>
  <si>
    <t>CUST1232</t>
  </si>
  <si>
    <t>ORD101120</t>
  </si>
  <si>
    <t>CUST1697</t>
  </si>
  <si>
    <t>Michael Sari</t>
  </si>
  <si>
    <t>ORD103048</t>
  </si>
  <si>
    <t>CUST1756</t>
  </si>
  <si>
    <t>ORD102377</t>
  </si>
  <si>
    <t>CUST1372</t>
  </si>
  <si>
    <t>ORD102973</t>
  </si>
  <si>
    <t>CUST1288</t>
  </si>
  <si>
    <t>ORD101133</t>
  </si>
  <si>
    <t>CUST1286</t>
  </si>
  <si>
    <t>ORD100705</t>
  </si>
  <si>
    <t>CUST1282</t>
  </si>
  <si>
    <t>ORD102191</t>
  </si>
  <si>
    <t>ORD101983</t>
  </si>
  <si>
    <t>ORD103547</t>
  </si>
  <si>
    <t>CUST1647</t>
  </si>
  <si>
    <t>ORD102622</t>
  </si>
  <si>
    <t>CUST1882</t>
  </si>
  <si>
    <t>ORD102409</t>
  </si>
  <si>
    <t>ORD103636</t>
  </si>
  <si>
    <t>CUST1196</t>
  </si>
  <si>
    <t>Putri Pratama</t>
  </si>
  <si>
    <t>ORD101798</t>
  </si>
  <si>
    <t>CUST1250</t>
  </si>
  <si>
    <t>ORD101380</t>
  </si>
  <si>
    <t>CUST1547</t>
  </si>
  <si>
    <t>ORD101485</t>
  </si>
  <si>
    <t>CUST1839</t>
  </si>
  <si>
    <t>ORD102948</t>
  </si>
  <si>
    <t>ORD101678</t>
  </si>
  <si>
    <t>ORD100933</t>
  </si>
  <si>
    <t>ORD101957</t>
  </si>
  <si>
    <t>ORD102300</t>
  </si>
  <si>
    <t>ORD103380</t>
  </si>
  <si>
    <t>ORD100887</t>
  </si>
  <si>
    <t>CUST1294</t>
  </si>
  <si>
    <t>ORD103249</t>
  </si>
  <si>
    <t>ORD102046</t>
  </si>
  <si>
    <t>CUST1546</t>
  </si>
  <si>
    <t>John Garcia</t>
  </si>
  <si>
    <t>ORD103212</t>
  </si>
  <si>
    <t>CUST1031</t>
  </si>
  <si>
    <t>ORD100575</t>
  </si>
  <si>
    <t>ORD103835</t>
  </si>
  <si>
    <t>CUST1312</t>
  </si>
  <si>
    <t>ORD100177</t>
  </si>
  <si>
    <t>ORD100814</t>
  </si>
  <si>
    <t>CUST1109</t>
  </si>
  <si>
    <t>ORD102381</t>
  </si>
  <si>
    <t>ORD100763</t>
  </si>
  <si>
    <t>ORD100330</t>
  </si>
  <si>
    <t>CUST1207</t>
  </si>
  <si>
    <t>Maria Taylor</t>
  </si>
  <si>
    <t>ORD103919</t>
  </si>
  <si>
    <t>CUST1562</t>
  </si>
  <si>
    <t>ORD103738</t>
  </si>
  <si>
    <t>ORD101397</t>
  </si>
  <si>
    <t>ORD102852</t>
  </si>
  <si>
    <t>ORD101733</t>
  </si>
  <si>
    <t>CUST1306</t>
  </si>
  <si>
    <t>John Chen</t>
  </si>
  <si>
    <t>ORD101409</t>
  </si>
  <si>
    <t>ORD102109</t>
  </si>
  <si>
    <t>ORD100374</t>
  </si>
  <si>
    <t>CUST1121</t>
  </si>
  <si>
    <t>David Nugroho</t>
  </si>
  <si>
    <t>ORD103144</t>
  </si>
  <si>
    <t>CUST1817</t>
  </si>
  <si>
    <t>ORD100082</t>
  </si>
  <si>
    <t>ORD100178</t>
  </si>
  <si>
    <t>ORD100170</t>
  </si>
  <si>
    <t>CUST1099</t>
  </si>
  <si>
    <t>ORD103292</t>
  </si>
  <si>
    <t>ORD102945</t>
  </si>
  <si>
    <t>ORD103146</t>
  </si>
  <si>
    <t>ORD100676</t>
  </si>
  <si>
    <t>CUST1627</t>
  </si>
  <si>
    <t>Sarah Brown</t>
  </si>
  <si>
    <t>ORD103164</t>
  </si>
  <si>
    <t>CUST1173</t>
  </si>
  <si>
    <t>ORD100855</t>
  </si>
  <si>
    <t>ORD100436</t>
  </si>
  <si>
    <t>CUST1048</t>
  </si>
  <si>
    <t>ORD100847</t>
  </si>
  <si>
    <t>CUST1554</t>
  </si>
  <si>
    <t>ORD103872</t>
  </si>
  <si>
    <t>ORD101858</t>
  </si>
  <si>
    <t>ORD100703</t>
  </si>
  <si>
    <t>ORD103863</t>
  </si>
  <si>
    <t>ORD101249</t>
  </si>
  <si>
    <t>ORD102126</t>
  </si>
  <si>
    <t>ORD103113</t>
  </si>
  <si>
    <t>CUST1587</t>
  </si>
  <si>
    <t>Robert Santos</t>
  </si>
  <si>
    <t>ORD103377</t>
  </si>
  <si>
    <t>CUST1663</t>
  </si>
  <si>
    <t>ORD102794</t>
  </si>
  <si>
    <t>ORD102163</t>
  </si>
  <si>
    <t>ORD103245</t>
  </si>
  <si>
    <t>ORD103944</t>
  </si>
  <si>
    <t>ORD100517</t>
  </si>
  <si>
    <t>ORD102596</t>
  </si>
  <si>
    <t>ORD102655</t>
  </si>
  <si>
    <t>CUST1209</t>
  </si>
  <si>
    <t>ORD103073</t>
  </si>
  <si>
    <t>ORD101309</t>
  </si>
  <si>
    <t>ORD103826</t>
  </si>
  <si>
    <t>ORD103702</t>
  </si>
  <si>
    <t>CUST1102</t>
  </si>
  <si>
    <t>ORD103503</t>
  </si>
  <si>
    <t>CUST1129</t>
  </si>
  <si>
    <t>ORD101393</t>
  </si>
  <si>
    <t>ORD101452</t>
  </si>
  <si>
    <t>CUST1142</t>
  </si>
  <si>
    <t>ORD103255</t>
  </si>
  <si>
    <t>ORD101848</t>
  </si>
  <si>
    <t>ORD103176</t>
  </si>
  <si>
    <t>ORD100733</t>
  </si>
  <si>
    <t>CUST1513</t>
  </si>
  <si>
    <t>Robert Kurniawan</t>
  </si>
  <si>
    <t>ORD103692</t>
  </si>
  <si>
    <t>ORD103617</t>
  </si>
  <si>
    <t>ORD100231</t>
  </si>
  <si>
    <t>CUST1717</t>
  </si>
  <si>
    <t>ORD101531</t>
  </si>
  <si>
    <t>ORD100791</t>
  </si>
  <si>
    <t>CUST1808</t>
  </si>
  <si>
    <t>ORD102714</t>
  </si>
  <si>
    <t>ORD100386</t>
  </si>
  <si>
    <t>ORD101399</t>
  </si>
  <si>
    <t>CUST1606</t>
  </si>
  <si>
    <t>Lisa Halim</t>
  </si>
  <si>
    <t>ORD101873</t>
  </si>
  <si>
    <t>CUST1197</t>
  </si>
  <si>
    <t>ORD101782</t>
  </si>
  <si>
    <t>CUST1457</t>
  </si>
  <si>
    <t>ORD100422</t>
  </si>
  <si>
    <t>ORD103965</t>
  </si>
  <si>
    <t>ORD103686</t>
  </si>
  <si>
    <t>ORD101004</t>
  </si>
  <si>
    <t>CUST1405</t>
  </si>
  <si>
    <t>Rina Lee</t>
  </si>
  <si>
    <t>ORD101049</t>
  </si>
  <si>
    <t>Linda Yusuf</t>
  </si>
  <si>
    <t>ORD100555</t>
  </si>
  <si>
    <t>ORD101255</t>
  </si>
  <si>
    <t>ORD100489</t>
  </si>
  <si>
    <t>CUST1506</t>
  </si>
  <si>
    <t>Lisa Wilson</t>
  </si>
  <si>
    <t>ORD103498</t>
  </si>
  <si>
    <t>CUST1858</t>
  </si>
  <si>
    <t>ORD103046</t>
  </si>
  <si>
    <t>CUST1830</t>
  </si>
  <si>
    <t>ORD103360</t>
  </si>
  <si>
    <t>CUST1691</t>
  </si>
  <si>
    <t>ORD102656</t>
  </si>
  <si>
    <t>ORD103059</t>
  </si>
  <si>
    <t>ORD101317</t>
  </si>
  <si>
    <t>CUST1387</t>
  </si>
  <si>
    <t>Budi Pratama</t>
  </si>
  <si>
    <t>ORD101192</t>
  </si>
  <si>
    <t>ORD102225</t>
  </si>
  <si>
    <t>CUST1378</t>
  </si>
  <si>
    <t>ORD100131</t>
  </si>
  <si>
    <t>CUST1154</t>
  </si>
  <si>
    <t>ORD103289</t>
  </si>
  <si>
    <t>CUST1535</t>
  </si>
  <si>
    <t>ORD101357</t>
  </si>
  <si>
    <t>CUST1848</t>
  </si>
  <si>
    <t>Sarah Nugroho</t>
  </si>
  <si>
    <t>ORD103306</t>
  </si>
  <si>
    <t>ORD102555</t>
  </si>
  <si>
    <t>CUST1442</t>
  </si>
  <si>
    <t>Andi Lee</t>
  </si>
  <si>
    <t>ORD101639</t>
  </si>
  <si>
    <t>ORD100213</t>
  </si>
  <si>
    <t>CUST1623</t>
  </si>
  <si>
    <t>ORD100588</t>
  </si>
  <si>
    <t>CUST1159</t>
  </si>
  <si>
    <t>Michael Smith</t>
  </si>
  <si>
    <t>ORD102024</t>
  </si>
  <si>
    <t>CUST1264</t>
  </si>
  <si>
    <t>Siti Halim</t>
  </si>
  <si>
    <t>ORD102724</t>
  </si>
  <si>
    <t>ORD101345</t>
  </si>
  <si>
    <t>CUST1192</t>
  </si>
  <si>
    <t>ORD100487</t>
  </si>
  <si>
    <t>ORD100629</t>
  </si>
  <si>
    <t>ORD103199</t>
  </si>
  <si>
    <t>CUST1533</t>
  </si>
  <si>
    <t>Andi Johnson</t>
  </si>
  <si>
    <t>ORD103451</t>
  </si>
  <si>
    <t>CUST1698</t>
  </si>
  <si>
    <t>James Johnson</t>
  </si>
  <si>
    <t>ORD103567</t>
  </si>
  <si>
    <t>ORD100632</t>
  </si>
  <si>
    <t>ORD101429</t>
  </si>
  <si>
    <t>CUST1636</t>
  </si>
  <si>
    <t>ORD101316</t>
  </si>
  <si>
    <t>CUST1592</t>
  </si>
  <si>
    <t>ORD100919</t>
  </si>
  <si>
    <t>CUST1613</t>
  </si>
  <si>
    <t>Andi Garcia</t>
  </si>
  <si>
    <t>ORD100307</t>
  </si>
  <si>
    <t>ORD101290</t>
  </si>
  <si>
    <t>CUST1873</t>
  </si>
  <si>
    <t>Ayu Anderson</t>
  </si>
  <si>
    <t>ORD100861</t>
  </si>
  <si>
    <t>ORD103418</t>
  </si>
  <si>
    <t>CUST1821</t>
  </si>
  <si>
    <t>ORD103713</t>
  </si>
  <si>
    <t>CUST1503</t>
  </si>
  <si>
    <t>ORD103715</t>
  </si>
  <si>
    <t>CUST1803</t>
  </si>
  <si>
    <t>ORD103002</t>
  </si>
  <si>
    <t>CUST1752</t>
  </si>
  <si>
    <t>ORD100582</t>
  </si>
  <si>
    <t>ORD101911</t>
  </si>
  <si>
    <t>ORD103077</t>
  </si>
  <si>
    <t>CUST1263</t>
  </si>
  <si>
    <t>ORD102136</t>
  </si>
  <si>
    <t>CUST1075</t>
  </si>
  <si>
    <t>ORD102559</t>
  </si>
  <si>
    <t>CUST1434</t>
  </si>
  <si>
    <t>ORD103369</t>
  </si>
  <si>
    <t>ORD102228</t>
  </si>
  <si>
    <t>ORD102664</t>
  </si>
  <si>
    <t>ORD100325</t>
  </si>
  <si>
    <t>CUST1283</t>
  </si>
  <si>
    <t>Michael Brown</t>
  </si>
  <si>
    <t>ORD102102</t>
  </si>
  <si>
    <t>ORD103527</t>
  </si>
  <si>
    <t>CUST1495</t>
  </si>
  <si>
    <t>ORD103050</t>
  </si>
  <si>
    <t>ORD103846</t>
  </si>
  <si>
    <t>CUST1686</t>
  </si>
  <si>
    <t>Rina Garcia</t>
  </si>
  <si>
    <t>ORD100675</t>
  </si>
  <si>
    <t>ORD102846</t>
  </si>
  <si>
    <t>ORD104000</t>
  </si>
  <si>
    <t>CUST1580</t>
  </si>
  <si>
    <t>ORD102602</t>
  </si>
  <si>
    <t>CUST1589</t>
  </si>
  <si>
    <t>Siti Nugroho</t>
  </si>
  <si>
    <t>ORD103202</t>
  </si>
  <si>
    <t>CUST1528</t>
  </si>
  <si>
    <t>Maria Chen</t>
  </si>
  <si>
    <t>ORD101467</t>
  </si>
  <si>
    <t>ORD100597</t>
  </si>
  <si>
    <t>ORD100491</t>
  </si>
  <si>
    <t>ORD103930</t>
  </si>
  <si>
    <t>CUST1783</t>
  </si>
  <si>
    <t>Ayu Taylor</t>
  </si>
  <si>
    <t>ORD100848</t>
  </si>
  <si>
    <t>ORD102438</t>
  </si>
  <si>
    <t>CUST1877</t>
  </si>
  <si>
    <t>ORD101026</t>
  </si>
  <si>
    <t>CUST1762</t>
  </si>
  <si>
    <t>ORD101772</t>
  </si>
  <si>
    <t>CUST1818</t>
  </si>
  <si>
    <t>ORD101392</t>
  </si>
  <si>
    <t>CUST1514</t>
  </si>
  <si>
    <t>Rina Wijaya</t>
  </si>
  <si>
    <t>ORD103064</t>
  </si>
  <si>
    <t>CUST1631</t>
  </si>
  <si>
    <t>ORD100371</t>
  </si>
  <si>
    <t>CUST1851</t>
  </si>
  <si>
    <t>ORD100850</t>
  </si>
  <si>
    <t>ORD100821</t>
  </si>
  <si>
    <t>CUST1837</t>
  </si>
  <si>
    <t>ORD101328</t>
  </si>
  <si>
    <t>ORD103007</t>
  </si>
  <si>
    <t>ORD103728</t>
  </si>
  <si>
    <t>ORD102061</t>
  </si>
  <si>
    <t>CUST1195</t>
  </si>
  <si>
    <t>ORD101342</t>
  </si>
  <si>
    <t>ORD102307</t>
  </si>
  <si>
    <t>ORD103552</t>
  </si>
  <si>
    <t>ORD101284</t>
  </si>
  <si>
    <t>ORD100076</t>
  </si>
  <si>
    <t>CUST1892</t>
  </si>
  <si>
    <t>Fajar Brown</t>
  </si>
  <si>
    <t>ORD101976</t>
  </si>
  <si>
    <t>Ahmad Kurniawan</t>
  </si>
  <si>
    <t>ORD102194</t>
  </si>
  <si>
    <t>ORD101442</t>
  </si>
  <si>
    <t>CUST1743</t>
  </si>
  <si>
    <t>ORD101699</t>
  </si>
  <si>
    <t>ORD101478</t>
  </si>
  <si>
    <t>ORD100591</t>
  </si>
  <si>
    <t>CUST1146</t>
  </si>
  <si>
    <t>ORD100136</t>
  </si>
  <si>
    <t>CUST1420</t>
  </si>
  <si>
    <t>ORD100183</t>
  </si>
  <si>
    <t>ORD101610</t>
  </si>
  <si>
    <t>ORD101038</t>
  </si>
  <si>
    <t>CUST1700</t>
  </si>
  <si>
    <t>ORD103640</t>
  </si>
  <si>
    <t>ORD102390</t>
  </si>
  <si>
    <t>ORD102707</t>
  </si>
  <si>
    <t>CUST1652</t>
  </si>
  <si>
    <t>ORD102108</t>
  </si>
  <si>
    <t>CUST1039</t>
  </si>
  <si>
    <t>ORD102038</t>
  </si>
  <si>
    <t>CUST1508</t>
  </si>
  <si>
    <t>ORD101736</t>
  </si>
  <si>
    <t>CUST1110</t>
  </si>
  <si>
    <t>Budi Lee</t>
  </si>
  <si>
    <t>ORD101476</t>
  </si>
  <si>
    <t>CUST1854</t>
  </si>
  <si>
    <t>ORD102600</t>
  </si>
  <si>
    <t>CUST1404</t>
  </si>
  <si>
    <t>Maria Tan</t>
  </si>
  <si>
    <t>ORD100739</t>
  </si>
  <si>
    <t>CUST1758</t>
  </si>
  <si>
    <t>ORD102624</t>
  </si>
  <si>
    <t>CUST1248</t>
  </si>
  <si>
    <t>Andi Pratama</t>
  </si>
  <si>
    <t>ORD100926</t>
  </si>
  <si>
    <t>ORD103432</t>
  </si>
  <si>
    <t>ORD101629</t>
  </si>
  <si>
    <t>ORD103770</t>
  </si>
  <si>
    <t>CUST1185</t>
  </si>
  <si>
    <t>ORD101202</t>
  </si>
  <si>
    <t>ORD102349</t>
  </si>
  <si>
    <t>ORD101797</t>
  </si>
  <si>
    <t>CUST1262</t>
  </si>
  <si>
    <t>ORD102542</t>
  </si>
  <si>
    <t>CUST1714</t>
  </si>
  <si>
    <t>Ayu Nugroho</t>
  </si>
  <si>
    <t>ORD100623</t>
  </si>
  <si>
    <t>ORD100513</t>
  </si>
  <si>
    <t>CUST1097</t>
  </si>
  <si>
    <t>ORD101718</t>
  </si>
  <si>
    <t>ORD100788</t>
  </si>
  <si>
    <t>ORD103873</t>
  </si>
  <si>
    <t>CUST1845</t>
  </si>
  <si>
    <t>ORD100246</t>
  </si>
  <si>
    <t>ORD103411</t>
  </si>
  <si>
    <t>ORD101122</t>
  </si>
  <si>
    <t>ORD103434</t>
  </si>
  <si>
    <t>ORD102598</t>
  </si>
  <si>
    <t>ORD100974</t>
  </si>
  <si>
    <t>CUST1320</t>
  </si>
  <si>
    <t>ORD100216</t>
  </si>
  <si>
    <t>CUST1356</t>
  </si>
  <si>
    <t>ORD101206</t>
  </si>
  <si>
    <t>ORD103732</t>
  </si>
  <si>
    <t>ORD102022</t>
  </si>
  <si>
    <t>CUST1853</t>
  </si>
  <si>
    <t>ORD100969</t>
  </si>
  <si>
    <t>ORD100158</t>
  </si>
  <si>
    <t>ORD100160</t>
  </si>
  <si>
    <t>CUST1740</t>
  </si>
  <si>
    <t>Dewi Hidayat</t>
  </si>
  <si>
    <t>ORD101014</t>
  </si>
  <si>
    <t>ORD103100</t>
  </si>
  <si>
    <t>ORD102318</t>
  </si>
  <si>
    <t>ORD103783</t>
  </si>
  <si>
    <t>ORD100967</t>
  </si>
  <si>
    <t>CUST1349</t>
  </si>
  <si>
    <t>ORD102367</t>
  </si>
  <si>
    <t>ORD102495</t>
  </si>
  <si>
    <t>ORD103601</t>
  </si>
  <si>
    <t>ORD103493</t>
  </si>
  <si>
    <t>CUST1456</t>
  </si>
  <si>
    <t>ORD101165</t>
  </si>
  <si>
    <t>ORD103205</t>
  </si>
  <si>
    <t>CUST1314</t>
  </si>
  <si>
    <t>ORD101178</t>
  </si>
  <si>
    <t>ORD101378</t>
  </si>
  <si>
    <t>ORD103914</t>
  </si>
  <si>
    <t>ORD103463</t>
  </si>
  <si>
    <t>ORD102447</t>
  </si>
  <si>
    <t>ORD103564</t>
  </si>
  <si>
    <t>CUST1844</t>
  </si>
  <si>
    <t>ORD101697</t>
  </si>
  <si>
    <t>CUST1103</t>
  </si>
  <si>
    <t>ORD101933</t>
  </si>
  <si>
    <t>ORD101553</t>
  </si>
  <si>
    <t>ORD100697</t>
  </si>
  <si>
    <t>ORD103323</t>
  </si>
  <si>
    <t>ORD103900</t>
  </si>
  <si>
    <t>ORD101618</t>
  </si>
  <si>
    <t>ORD100911</t>
  </si>
  <si>
    <t>ORD100103</t>
  </si>
  <si>
    <t>CUST1731</t>
  </si>
  <si>
    <t>ORD100244</t>
  </si>
  <si>
    <t>ORD101982</t>
  </si>
  <si>
    <t>CUST1617</t>
  </si>
  <si>
    <t>ORD103531</t>
  </si>
  <si>
    <t>ORD101986</t>
  </si>
  <si>
    <t>ORD103959</t>
  </si>
  <si>
    <t>ORD100825</t>
  </si>
  <si>
    <t>ORD101230</t>
  </si>
  <si>
    <t>CUST1470</t>
  </si>
  <si>
    <t>ORD101286</t>
  </si>
  <si>
    <t>ORD101183</t>
  </si>
  <si>
    <t>ORD102597</t>
  </si>
  <si>
    <t>ORD102540</t>
  </si>
  <si>
    <t>CUST1158</t>
  </si>
  <si>
    <t>ORD101341</t>
  </si>
  <si>
    <t>CUST1828</t>
  </si>
  <si>
    <t>Andi Chen</t>
  </si>
  <si>
    <t>ORD103320</t>
  </si>
  <si>
    <t>ORD103239</t>
  </si>
  <si>
    <t>ORD100938</t>
  </si>
  <si>
    <t>ORD101268</t>
  </si>
  <si>
    <t>CUST1172</t>
  </si>
  <si>
    <t>ORD103303</t>
  </si>
  <si>
    <t>CUST1538</t>
  </si>
  <si>
    <t>ORD101058</t>
  </si>
  <si>
    <t>ORD102098</t>
  </si>
  <si>
    <t>ORD103816</t>
  </si>
  <si>
    <t>CUST1656</t>
  </si>
  <si>
    <t>Ayu Yusuf</t>
  </si>
  <si>
    <t>ORD103440</t>
  </si>
  <si>
    <t>ORD103054</t>
  </si>
  <si>
    <t>ORD101144</t>
  </si>
  <si>
    <t>CUST1599</t>
  </si>
  <si>
    <t>Siti Kurniawan</t>
  </si>
  <si>
    <t>ORD100163</t>
  </si>
  <si>
    <t>CUST1115</t>
  </si>
  <si>
    <t>ORD103781</t>
  </si>
  <si>
    <t>CUST1369</t>
  </si>
  <si>
    <t>ORD100760</t>
  </si>
  <si>
    <t>ORD100876</t>
  </si>
  <si>
    <t>CUST1789</t>
  </si>
  <si>
    <t>ORD102181</t>
  </si>
  <si>
    <t>ORD101497</t>
  </si>
  <si>
    <t>ORD101687</t>
  </si>
  <si>
    <t>ORD101851</t>
  </si>
  <si>
    <t>ORD102781</t>
  </si>
  <si>
    <t>ORD101795</t>
  </si>
  <si>
    <t>CUST1639</t>
  </si>
  <si>
    <t>Dewi Salim</t>
  </si>
  <si>
    <t>ORD103057</t>
  </si>
  <si>
    <t>CUST1222</t>
  </si>
  <si>
    <t>ORD102280</t>
  </si>
  <si>
    <t>CUST1005</t>
  </si>
  <si>
    <t>ORD101051</t>
  </si>
  <si>
    <t>ORD101680</t>
  </si>
  <si>
    <t>CUST1526</t>
  </si>
  <si>
    <t>Robert Brown</t>
  </si>
  <si>
    <t>ORD103169</t>
  </si>
  <si>
    <t>ORD103471</t>
  </si>
  <si>
    <t>CUST1078</t>
  </si>
  <si>
    <t>ORD103999</t>
  </si>
  <si>
    <t>ORD103969</t>
  </si>
  <si>
    <t>ORD101350</t>
  </si>
  <si>
    <t>ORD103395</t>
  </si>
  <si>
    <t>CUST1715</t>
  </si>
  <si>
    <t>ORD100033</t>
  </si>
  <si>
    <t>ORD103704</t>
  </si>
  <si>
    <t>CUST1467</t>
  </si>
  <si>
    <t>ORD100507</t>
  </si>
  <si>
    <t>ORD100255</t>
  </si>
  <si>
    <t>ORD100875</t>
  </si>
  <si>
    <t>ORD100198</t>
  </si>
  <si>
    <t>CUST1183</t>
  </si>
  <si>
    <t>Maria Santos</t>
  </si>
  <si>
    <t>ORD101267</t>
  </si>
  <si>
    <t>ORD103140</t>
  </si>
  <si>
    <t>ORD101971</t>
  </si>
  <si>
    <t>CUST1704</t>
  </si>
  <si>
    <t>Dewi Nugroho</t>
  </si>
  <si>
    <t>ORD100497</t>
  </si>
  <si>
    <t>ORD101807</t>
  </si>
  <si>
    <t>ORD103349</t>
  </si>
  <si>
    <t>CUST1822</t>
  </si>
  <si>
    <t>ORD100540</t>
  </si>
  <si>
    <t>ORD103001</t>
  </si>
  <si>
    <t>CUST1493</t>
  </si>
  <si>
    <t>ORD100797</t>
  </si>
  <si>
    <t>CUST1338</t>
  </si>
  <si>
    <t>ORD102787</t>
  </si>
  <si>
    <t>CUST1596</t>
  </si>
  <si>
    <t>Ayu Garcia</t>
  </si>
  <si>
    <t>ORD101180</t>
  </si>
  <si>
    <t>ORD102145</t>
  </si>
  <si>
    <t>ORD103231</t>
  </si>
  <si>
    <t>CUST1574</t>
  </si>
  <si>
    <t>ORD103853</t>
  </si>
  <si>
    <t>ORD100066</t>
  </si>
  <si>
    <t>ORD102606</t>
  </si>
  <si>
    <t>ORD101716</t>
  </si>
  <si>
    <t>CUST1076</t>
  </si>
  <si>
    <t>Kevin Santos</t>
  </si>
  <si>
    <t>ORD103673</t>
  </si>
  <si>
    <t>ORD102807</t>
  </si>
  <si>
    <t>CUST1090</t>
  </si>
  <si>
    <t>ORD102164</t>
  </si>
  <si>
    <t>CUST1468</t>
  </si>
  <si>
    <t>ORD102499</t>
  </si>
  <si>
    <t>ORD101671</t>
  </si>
  <si>
    <t>CUST1284</t>
  </si>
  <si>
    <t>Lisa Smith</t>
  </si>
  <si>
    <t>ORD101069</t>
  </si>
  <si>
    <t>ORD103613</t>
  </si>
  <si>
    <t>CUST1218</t>
  </si>
  <si>
    <t>ORD103870</t>
  </si>
  <si>
    <t>CUST1651</t>
  </si>
  <si>
    <t>ORD101019</t>
  </si>
  <si>
    <t>CUST1559</t>
  </si>
  <si>
    <t>Fajar Sari</t>
  </si>
  <si>
    <t>ORD103997</t>
  </si>
  <si>
    <t>CUST1494</t>
  </si>
  <si>
    <t>Robert Pratama</t>
  </si>
  <si>
    <t>ORD102176</t>
  </si>
  <si>
    <t>CUST1071</t>
  </si>
  <si>
    <t>ORD101551</t>
  </si>
  <si>
    <t>ORD103482</t>
  </si>
  <si>
    <t>CUST1597</t>
  </si>
  <si>
    <t>ORD103045</t>
  </si>
  <si>
    <t>ORD102720</t>
  </si>
  <si>
    <t>CUST1664</t>
  </si>
  <si>
    <t>ORD103332</t>
  </si>
  <si>
    <t>CUST1063</t>
  </si>
  <si>
    <t>ORD103725</t>
  </si>
  <si>
    <t>CUST1446</t>
  </si>
  <si>
    <t>ORD100232</t>
  </si>
  <si>
    <t>ORD101179</t>
  </si>
  <si>
    <t>ORD103015</t>
  </si>
  <si>
    <t>ORD101940</t>
  </si>
  <si>
    <t>ORD101600</t>
  </si>
  <si>
    <t>ORD100624</t>
  </si>
  <si>
    <t>ORD101950</t>
  </si>
  <si>
    <t>ORD100199</t>
  </si>
  <si>
    <t>CUST1397</t>
  </si>
  <si>
    <t>ORD101735</t>
  </si>
  <si>
    <t>CUST1256</t>
  </si>
  <si>
    <t>ORD100790</t>
  </si>
  <si>
    <t>CUST1624</t>
  </si>
  <si>
    <t>Budi Smith</t>
  </si>
  <si>
    <t>ORD103089</t>
  </si>
  <si>
    <t>ORD102326</t>
  </si>
  <si>
    <t>ORD103269</t>
  </si>
  <si>
    <t>CUST1482</t>
  </si>
  <si>
    <t>ORD100432</t>
  </si>
  <si>
    <t>ORD103729</t>
  </si>
  <si>
    <t>CUST1149</t>
  </si>
  <si>
    <t>ORD101825</t>
  </si>
  <si>
    <t>ORD102816</t>
  </si>
  <si>
    <t>CUST1679</t>
  </si>
  <si>
    <t>CUST1238</t>
  </si>
  <si>
    <t>ORD100055</t>
  </si>
  <si>
    <t>CUST1832</t>
  </si>
  <si>
    <t>Rina Pratama</t>
  </si>
  <si>
    <t>ORD102792</t>
  </si>
  <si>
    <t>CUST1540</t>
  </si>
  <si>
    <t>ORD101550</t>
  </si>
  <si>
    <t>CUST1082</t>
  </si>
  <si>
    <t>Fajar Smith</t>
  </si>
  <si>
    <t>ORD103042</t>
  </si>
  <si>
    <t>CUST1566</t>
  </si>
  <si>
    <t>ORD103674</t>
  </si>
  <si>
    <t>CUST1393</t>
  </si>
  <si>
    <t>Putri Johnson</t>
  </si>
  <si>
    <t>ORD103354</t>
  </si>
  <si>
    <t>ORD103709</t>
  </si>
  <si>
    <t>CUST1423</t>
  </si>
  <si>
    <t>David Smith</t>
  </si>
  <si>
    <t>ORD100514</t>
  </si>
  <si>
    <t>CUST1523</t>
  </si>
  <si>
    <t>David Salim</t>
  </si>
  <si>
    <t>ORD102869</t>
  </si>
  <si>
    <t>CUST1460</t>
  </si>
  <si>
    <t>Rina Sari</t>
  </si>
  <si>
    <t>ORD100718</t>
  </si>
  <si>
    <t>ORD100505</t>
  </si>
  <si>
    <t>ORD100443</t>
  </si>
  <si>
    <t>CUST1676</t>
  </si>
  <si>
    <t>ORD102446</t>
  </si>
  <si>
    <t>ORD100840</t>
  </si>
  <si>
    <t>ORD102117</t>
  </si>
  <si>
    <t>ORD101361</t>
  </si>
  <si>
    <t>ORD100373</t>
  </si>
  <si>
    <t>CUST1080</t>
  </si>
  <si>
    <t>ORD100906</t>
  </si>
  <si>
    <t>ORD100488</t>
  </si>
  <si>
    <t>CUST1744</t>
  </si>
  <si>
    <t>ORD102951</t>
  </si>
  <si>
    <t>CUST1030</t>
  </si>
  <si>
    <t>ORD100516</t>
  </si>
  <si>
    <t>ORD100902</t>
  </si>
  <si>
    <t>ORD101386</t>
  </si>
  <si>
    <t>ORD101734</t>
  </si>
  <si>
    <t>ORD101783</t>
  </si>
  <si>
    <t>ORD102605</t>
  </si>
  <si>
    <t>ORD102535</t>
  </si>
  <si>
    <t>ORD102674</t>
  </si>
  <si>
    <t>ORD103528</t>
  </si>
  <si>
    <t>ORD101527</t>
  </si>
  <si>
    <t>CUST1454</t>
  </si>
  <si>
    <t>ORD103921</t>
  </si>
  <si>
    <t>ORD103897</t>
  </si>
  <si>
    <t>ORD102771</t>
  </si>
  <si>
    <t>CUST1455</t>
  </si>
  <si>
    <t>Linda Taylor</t>
  </si>
  <si>
    <t>ORD100258</t>
  </si>
  <si>
    <t>ORD103256</t>
  </si>
  <si>
    <t>ORD100308</t>
  </si>
  <si>
    <t>ORD102134</t>
  </si>
  <si>
    <t>ORD102112</t>
  </si>
  <si>
    <t>ORD102644</t>
  </si>
  <si>
    <t>ORD101938</t>
  </si>
  <si>
    <t>ORD102741</t>
  </si>
  <si>
    <t>ORD101012</t>
  </si>
  <si>
    <t>ORD102847</t>
  </si>
  <si>
    <t>ORD100095</t>
  </si>
  <si>
    <t>CUST1521</t>
  </si>
  <si>
    <t>ORD101053</t>
  </si>
  <si>
    <t>ORD101461</t>
  </si>
  <si>
    <t>CUST1684</t>
  </si>
  <si>
    <t>ORD103882</t>
  </si>
  <si>
    <t>ORD101614</t>
  </si>
  <si>
    <t>ORD102828</t>
  </si>
  <si>
    <t>CUST1481</t>
  </si>
  <si>
    <t>James Chen</t>
  </si>
  <si>
    <t>ORD103295</t>
  </si>
  <si>
    <t>ORD103008</t>
  </si>
  <si>
    <t>ORD101324</t>
  </si>
  <si>
    <t>ORD101360</t>
  </si>
  <si>
    <t>CUST1891</t>
  </si>
  <si>
    <t>ORD102331</t>
  </si>
  <si>
    <t>ORD101006</t>
  </si>
  <si>
    <t>ORD101587</t>
  </si>
  <si>
    <t>CUST1018</t>
  </si>
  <si>
    <t>ORD102481</t>
  </si>
  <si>
    <t>CUST1584</t>
  </si>
  <si>
    <t>ORD102433</t>
  </si>
  <si>
    <t>ORD102539</t>
  </si>
  <si>
    <t>CUST1775</t>
  </si>
  <si>
    <t>ORD102147</t>
  </si>
  <si>
    <t>ORD103139</t>
  </si>
  <si>
    <t>CUST1869</t>
  </si>
  <si>
    <t>Maria Garcia</t>
  </si>
  <si>
    <t>ORD102860</t>
  </si>
  <si>
    <t>CUST1000</t>
  </si>
  <si>
    <t>ORD102623</t>
  </si>
  <si>
    <t>ORD103990</t>
  </si>
  <si>
    <t>CUST1774</t>
  </si>
  <si>
    <t>ORD102449</t>
  </si>
  <si>
    <t>ORD101688</t>
  </si>
  <si>
    <t>ORD100169</t>
  </si>
  <si>
    <t>ORD100924</t>
  </si>
  <si>
    <t>ORD103188</t>
  </si>
  <si>
    <t>CUST1077</t>
  </si>
  <si>
    <t>ORD103706</t>
  </si>
  <si>
    <t>ORD101331</t>
  </si>
  <si>
    <t>CUST1565</t>
  </si>
  <si>
    <t>Rina Hidayat</t>
  </si>
  <si>
    <t>ORD103474</t>
  </si>
  <si>
    <t>CUST1165</t>
  </si>
  <si>
    <t>ORD101977</t>
  </si>
  <si>
    <t>CUST1846</t>
  </si>
  <si>
    <t>ORD102641</t>
  </si>
  <si>
    <t>CUST1487</t>
  </si>
  <si>
    <t>ORD102485</t>
  </si>
  <si>
    <t>CUST1827</t>
  </si>
  <si>
    <t>ORD101368</t>
  </si>
  <si>
    <t>ORD103652</t>
  </si>
  <si>
    <t>ORD102151</t>
  </si>
  <si>
    <t>CUST1629</t>
  </si>
  <si>
    <t>James Tan</t>
  </si>
  <si>
    <t>ORD101667</t>
  </si>
  <si>
    <t>CUST1578</t>
  </si>
  <si>
    <t>Putri Salim</t>
  </si>
  <si>
    <t>ORD101383</t>
  </si>
  <si>
    <t>ORD103716</t>
  </si>
  <si>
    <t>CUST1661</t>
  </si>
  <si>
    <t>Ayu Halim</t>
  </si>
  <si>
    <t>ORD100860</t>
  </si>
  <si>
    <t>ORD102843</t>
  </si>
  <si>
    <t>ORD103750</t>
  </si>
  <si>
    <t>ORD102864</t>
  </si>
  <si>
    <t>ORD100663</t>
  </si>
  <si>
    <t>CUST1091</t>
  </si>
  <si>
    <t>ORD100888</t>
  </si>
  <si>
    <t>ORD102402</t>
  </si>
  <si>
    <t>ORD101420</t>
  </si>
  <si>
    <t>ORD101435</t>
  </si>
  <si>
    <t>ORD101554</t>
  </si>
  <si>
    <t>ORD100678</t>
  </si>
  <si>
    <t>ORD100498</t>
  </si>
  <si>
    <t>ORD100251</t>
  </si>
  <si>
    <t>CUST1062</t>
  </si>
  <si>
    <t>ORD100982</t>
  </si>
  <si>
    <t>ORD102246</t>
  </si>
  <si>
    <t>ORD101917</t>
  </si>
  <si>
    <t>ORD100704</t>
  </si>
  <si>
    <t>ORD100347</t>
  </si>
  <si>
    <t>ORD101813</t>
  </si>
  <si>
    <t>ORD100075</t>
  </si>
  <si>
    <t>ORD101018</t>
  </si>
  <si>
    <t>ORD102172</t>
  </si>
  <si>
    <t>ORD100023</t>
  </si>
  <si>
    <t>CUST1644</t>
  </si>
  <si>
    <t>ORD100831</t>
  </si>
  <si>
    <t>ORD101481</t>
  </si>
  <si>
    <t>ORD101603</t>
  </si>
  <si>
    <t>ORD100896</t>
  </si>
  <si>
    <t>CUST1625</t>
  </si>
  <si>
    <t>ORD100584</t>
  </si>
  <si>
    <t>ORD100074</t>
  </si>
  <si>
    <t>ORD101134</t>
  </si>
  <si>
    <t>CUST1438</t>
  </si>
  <si>
    <t>ORD103489</t>
  </si>
  <si>
    <t>ORD101682</t>
  </si>
  <si>
    <t>ORD103500</t>
  </si>
  <si>
    <t>ORD101970</t>
  </si>
  <si>
    <t>ORD100996</t>
  </si>
  <si>
    <t>ORD101632</t>
  </si>
  <si>
    <t>ORD103091</t>
  </si>
  <si>
    <t>ORD100868</t>
  </si>
  <si>
    <t>ORD101000</t>
  </si>
  <si>
    <t>ORD102100</t>
  </si>
  <si>
    <t>ORD103933</t>
  </si>
  <si>
    <t>CUST1194</t>
  </si>
  <si>
    <t>ORD101620</t>
  </si>
  <si>
    <t>ORD102323</t>
  </si>
  <si>
    <t>ORD102124</t>
  </si>
  <si>
    <t>CUST1497</t>
  </si>
  <si>
    <t>ORD101073</t>
  </si>
  <si>
    <t>ORD100342</t>
  </si>
  <si>
    <t>CUST1242</t>
  </si>
  <si>
    <t>ORD103802</t>
  </si>
  <si>
    <t>ORD103705</t>
  </si>
  <si>
    <t>CUST1430</t>
  </si>
  <si>
    <t>ORD100260</t>
  </si>
  <si>
    <t>ORD101542</t>
  </si>
  <si>
    <t>CUST1068</t>
  </si>
  <si>
    <t>ORD102962</t>
  </si>
  <si>
    <t>CUST1225</t>
  </si>
  <si>
    <t>ORD100671</t>
  </si>
  <si>
    <t>CUST1472</t>
  </si>
  <si>
    <t>ORD102293</t>
  </si>
  <si>
    <t>CUST1235</t>
  </si>
  <si>
    <t>ORD100154</t>
  </si>
  <si>
    <t>CUST1066</t>
  </si>
  <si>
    <t>ORD102974</t>
  </si>
  <si>
    <t>ORD102588</t>
  </si>
  <si>
    <t>CUST1733</t>
  </si>
  <si>
    <t>Lisa Sari</t>
  </si>
  <si>
    <t>ORD103106</t>
  </si>
  <si>
    <t>CUST1825</t>
  </si>
  <si>
    <t>ORD102955</t>
  </si>
  <si>
    <t>CUST1632</t>
  </si>
  <si>
    <t>Linda Lee</t>
  </si>
  <si>
    <t>ORD101764</t>
  </si>
  <si>
    <t>ORD103650</t>
  </si>
  <si>
    <t>ORD100981</t>
  </si>
  <si>
    <t>CUST1024</t>
  </si>
  <si>
    <t>Ahmad Anderson</t>
  </si>
  <si>
    <t>ORD101263</t>
  </si>
  <si>
    <t>ORD103730</t>
  </si>
  <si>
    <t>CUST1096</t>
  </si>
  <si>
    <t>ORD103554</t>
  </si>
  <si>
    <t>ORD101382</t>
  </si>
  <si>
    <t>ORD100716</t>
  </si>
  <si>
    <t>ORD100784</t>
  </si>
  <si>
    <t>CUST1874</t>
  </si>
  <si>
    <t>James Salim</t>
  </si>
  <si>
    <t>ORD100808</t>
  </si>
  <si>
    <t>ORD102528</t>
  </si>
  <si>
    <t>ORD100314</t>
  </si>
  <si>
    <t>CUST1593</t>
  </si>
  <si>
    <t>ORD101847</t>
  </si>
  <si>
    <t>CUST1362</t>
  </si>
  <si>
    <t>ORD101883</t>
  </si>
  <si>
    <t>CUST1603</t>
  </si>
  <si>
    <t>ORD100917</t>
  </si>
  <si>
    <t>ORD100606</t>
  </si>
  <si>
    <t>ORD100415</t>
  </si>
  <si>
    <t>ORD102333</t>
  </si>
  <si>
    <t>CUST1403</t>
  </si>
  <si>
    <t>ORD103508</t>
  </si>
  <si>
    <t>ORD101711</t>
  </si>
  <si>
    <t>ORD103406</t>
  </si>
  <si>
    <t>ORD101622</t>
  </si>
  <si>
    <t>ORD102504</t>
  </si>
  <si>
    <t>ORD103936</t>
  </si>
  <si>
    <t>ORD103420</t>
  </si>
  <si>
    <t>CUST1364</t>
  </si>
  <si>
    <t>David Brown</t>
  </si>
  <si>
    <t>ORD100843</t>
  </si>
  <si>
    <t>ORD102422</t>
  </si>
  <si>
    <t>ORD103956</t>
  </si>
  <si>
    <t>CUST1688</t>
  </si>
  <si>
    <t>ORD101103</t>
  </si>
  <si>
    <t>ORD102305</t>
  </si>
  <si>
    <t>ORD100846</t>
  </si>
  <si>
    <t>ORD102902</t>
  </si>
  <si>
    <t>ORD102362</t>
  </si>
  <si>
    <t>CUST1399</t>
  </si>
  <si>
    <t>ORD101799</t>
  </si>
  <si>
    <t>CUST1620</t>
  </si>
  <si>
    <t>ORD100598</t>
  </si>
  <si>
    <t>CUST1812</t>
  </si>
  <si>
    <t>ORD100162</t>
  </si>
  <si>
    <t>ORD100653</t>
  </si>
  <si>
    <t>CUST1635</t>
  </si>
  <si>
    <t>ORD101549</t>
  </si>
  <si>
    <t>ORD103514</t>
  </si>
  <si>
    <t>ORD100853</t>
  </si>
  <si>
    <t>ORD100542</t>
  </si>
  <si>
    <t>CUST1290</t>
  </si>
  <si>
    <t>Lisa Nugroho</t>
  </si>
  <si>
    <t>ORD100481</t>
  </si>
  <si>
    <t>ORD102069</t>
  </si>
  <si>
    <t>ORD100810</t>
  </si>
  <si>
    <t>ORD101036</t>
  </si>
  <si>
    <t>CUST1604</t>
  </si>
  <si>
    <t>John Wilson</t>
  </si>
  <si>
    <t>ORD100557</t>
  </si>
  <si>
    <t>CUST1619</t>
  </si>
  <si>
    <t>ORD103962</t>
  </si>
  <si>
    <t>CUST1591</t>
  </si>
  <si>
    <t>ORD101314</t>
  </si>
  <si>
    <t>ORD103473</t>
  </si>
  <si>
    <t>ORD103340</t>
  </si>
  <si>
    <t>ORD100441</t>
  </si>
  <si>
    <t>ORD102987</t>
  </si>
  <si>
    <t>ORD103049</t>
  </si>
  <si>
    <t>ORD102421</t>
  </si>
  <si>
    <t>ORD103654</t>
  </si>
  <si>
    <t>ORD103203</t>
  </si>
  <si>
    <t>ORD102238</t>
  </si>
  <si>
    <t>ORD100881</t>
  </si>
  <si>
    <t>ORD100008</t>
  </si>
  <si>
    <t>ORD103774</t>
  </si>
  <si>
    <t>ORD101354</t>
  </si>
  <si>
    <t>ORD102408</t>
  </si>
  <si>
    <t>CUST1428</t>
  </si>
  <si>
    <t>ORD100688</t>
  </si>
  <si>
    <t>ORD101775</t>
  </si>
  <si>
    <t>ORD101683</t>
  </si>
  <si>
    <t>CUST1202</t>
  </si>
  <si>
    <t>ORD103840</t>
  </si>
  <si>
    <t>CUST1720</t>
  </si>
  <si>
    <t>Rina Salim</t>
  </si>
  <si>
    <t>ORD102240</t>
  </si>
  <si>
    <t>ORD101517</t>
  </si>
  <si>
    <t>ORD100453</t>
  </si>
  <si>
    <t>ORD100951</t>
  </si>
  <si>
    <t>ORD103081</t>
  </si>
  <si>
    <t>ORD101686</t>
  </si>
  <si>
    <t>ORD101749</t>
  </si>
  <si>
    <t>CUST1437</t>
  </si>
  <si>
    <t>ORD103342</t>
  </si>
  <si>
    <t>ORD100504</t>
  </si>
  <si>
    <t>ORD102143</t>
  </si>
  <si>
    <t>ORD103030</t>
  </si>
  <si>
    <t>ORD102436</t>
  </si>
  <si>
    <t>ORD103134</t>
  </si>
  <si>
    <t>CUST1737</t>
  </si>
  <si>
    <t>Ahmad Brown</t>
  </si>
  <si>
    <t>ORD100567</t>
  </si>
  <si>
    <t>ORD100811</t>
  </si>
  <si>
    <t>CUST1669</t>
  </si>
  <si>
    <t>ORD101147</t>
  </si>
  <si>
    <t>ORD100502</t>
  </si>
  <si>
    <t>ORD103305</t>
  </si>
  <si>
    <t>ORD101494</t>
  </si>
  <si>
    <t>ORD102121</t>
  </si>
  <si>
    <t>ORD101505</t>
  </si>
  <si>
    <t>CUST1161</t>
  </si>
  <si>
    <t>ORD103336</t>
  </si>
  <si>
    <t>CUST1137</t>
  </si>
  <si>
    <t>Budi Wijaya</t>
  </si>
  <si>
    <t>ORD101001</t>
  </si>
  <si>
    <t>ORD102799</t>
  </si>
  <si>
    <t>ORD102215</t>
  </si>
  <si>
    <t>CUST1745</t>
  </si>
  <si>
    <t>ORD101175</t>
  </si>
  <si>
    <t>ORD102092</t>
  </si>
  <si>
    <t>ORD100245</t>
  </si>
  <si>
    <t>CUST1807</t>
  </si>
  <si>
    <t>ORD102138</t>
  </si>
  <si>
    <t>ORD103828</t>
  </si>
  <si>
    <t>CUST1088</t>
  </si>
  <si>
    <t>Kevin Chen</t>
  </si>
  <si>
    <t>ORD102899</t>
  </si>
  <si>
    <t>ORD101703</t>
  </si>
  <si>
    <t>CUST1392</t>
  </si>
  <si>
    <t>ORD102805</t>
  </si>
  <si>
    <t>CUST1829</t>
  </si>
  <si>
    <t>ORD102183</t>
  </si>
  <si>
    <t>ORD103859</t>
  </si>
  <si>
    <t>CUST1736</t>
  </si>
  <si>
    <t>ORD103184</t>
  </si>
  <si>
    <t>ORD103571</t>
  </si>
  <si>
    <t>ORD103789</t>
  </si>
  <si>
    <t>ORD103117</t>
  </si>
  <si>
    <t>ORD100051</t>
  </si>
  <si>
    <t>ORD103795</t>
  </si>
  <si>
    <t>ORD101039</t>
  </si>
  <si>
    <t>ORD102341</t>
  </si>
  <si>
    <t>ORD101154</t>
  </si>
  <si>
    <t>CUST1155</t>
  </si>
  <si>
    <t>Budi Brown</t>
  </si>
  <si>
    <t>ORD103208</t>
  </si>
  <si>
    <t>ORD103311</t>
  </si>
  <si>
    <t>ORD102732</t>
  </si>
  <si>
    <t>CUST1215</t>
  </si>
  <si>
    <t>ORD101666</t>
  </si>
  <si>
    <t>CUST1274</t>
  </si>
  <si>
    <t>ORD100390</t>
  </si>
  <si>
    <t>ORD102829</t>
  </si>
  <si>
    <t>CUST1509</t>
  </si>
  <si>
    <t>ORD102625</t>
  </si>
  <si>
    <t>ORD102132</t>
  </si>
  <si>
    <t>ORD101955</t>
  </si>
  <si>
    <t>ORD103273</t>
  </si>
  <si>
    <t>ORD100859</t>
  </si>
  <si>
    <t>ORD101691</t>
  </si>
  <si>
    <t>ORD103258</t>
  </si>
  <si>
    <t>ORD103966</t>
  </si>
  <si>
    <t>ORD101684</t>
  </si>
  <si>
    <t>ORD102320</t>
  </si>
  <si>
    <t>ORD100339</t>
  </si>
  <si>
    <t>ORD100845</t>
  </si>
  <si>
    <t>ORD103075</t>
  </si>
  <si>
    <t>ORD103452</t>
  </si>
  <si>
    <t>ORD102010</t>
  </si>
  <si>
    <t>ORD103838</t>
  </si>
  <si>
    <t>CUST1759</t>
  </si>
  <si>
    <t>Budi Johnson</t>
  </si>
  <si>
    <t>ORD101676</t>
  </si>
  <si>
    <t>ORD102736</t>
  </si>
  <si>
    <t>CUST1280</t>
  </si>
  <si>
    <t>ORD101592</t>
  </si>
  <si>
    <t>ORD100883</t>
  </si>
  <si>
    <t>CUST1291</t>
  </si>
  <si>
    <t>ORD103363</t>
  </si>
  <si>
    <t>ORD100225</t>
  </si>
  <si>
    <t>ORD102450</t>
  </si>
  <si>
    <t>ORD100298</t>
  </si>
  <si>
    <t>CUST1637</t>
  </si>
  <si>
    <t>ORD100359</t>
  </si>
  <si>
    <t>CUST1327</t>
  </si>
  <si>
    <t>ORD103092</t>
  </si>
  <si>
    <t>ORD102917</t>
  </si>
  <si>
    <t>CUST1778</t>
  </si>
  <si>
    <t>Kevin Wilson</t>
  </si>
  <si>
    <t>ORD100102</t>
  </si>
  <si>
    <t>ORD100011</t>
  </si>
  <si>
    <t>ORD102107</t>
  </si>
  <si>
    <t>CUST1705</t>
  </si>
  <si>
    <t>ORD100728</t>
  </si>
  <si>
    <t>ORD101651</t>
  </si>
  <si>
    <t>CUST1017</t>
  </si>
  <si>
    <t>ORD100385</t>
  </si>
  <si>
    <t>ORD100150</t>
  </si>
  <si>
    <t>CUST1512</t>
  </si>
  <si>
    <t>ORD100717</t>
  </si>
  <si>
    <t>ORD103827</t>
  </si>
  <si>
    <t>ORD101226</t>
  </si>
  <si>
    <t>CUST1855</t>
  </si>
  <si>
    <t>ORD103308</t>
  </si>
  <si>
    <t>ORD103589</t>
  </si>
  <si>
    <t>ORD102314</t>
  </si>
  <si>
    <t>ORD101721</t>
  </si>
  <si>
    <t>ORD101500</t>
  </si>
  <si>
    <t>ORD103611</t>
  </si>
  <si>
    <t>CUST1643</t>
  </si>
  <si>
    <t>Fajar Lee</t>
  </si>
  <si>
    <t>ORD102690</t>
  </si>
  <si>
    <t>CUST1412</t>
  </si>
  <si>
    <t>ORD100149</t>
  </si>
  <si>
    <t>ORD100910</t>
  </si>
  <si>
    <t>ORD100979</t>
  </si>
  <si>
    <t>ORD101279</t>
  </si>
  <si>
    <t>ORD100167</t>
  </si>
  <si>
    <t>ORD102394</t>
  </si>
  <si>
    <t>ORD103980</t>
  </si>
  <si>
    <t>CUST1727</t>
  </si>
  <si>
    <t>ORD103319</t>
  </si>
  <si>
    <t>CUST1549</t>
  </si>
  <si>
    <t>ORD100268</t>
  </si>
  <si>
    <t>CUST1544</t>
  </si>
  <si>
    <t>ORD103777</t>
  </si>
  <si>
    <t>CUST1849</t>
  </si>
  <si>
    <t>ORD102659</t>
  </si>
  <si>
    <t>ORD103403</t>
  </si>
  <si>
    <t>ORD103791</t>
  </si>
  <si>
    <t>ORD100409</t>
  </si>
  <si>
    <t>ORD102327</t>
  </si>
  <si>
    <t>ORD100538</t>
  </si>
  <si>
    <t>ORD103101</t>
  </si>
  <si>
    <t>ORD103484</t>
  </si>
  <si>
    <t>ORD102399</t>
  </si>
  <si>
    <t>ORD102298</t>
  </si>
  <si>
    <t>ORD101427</t>
  </si>
  <si>
    <t>ORD101934</t>
  </si>
  <si>
    <t>CUST1152</t>
  </si>
  <si>
    <t>ORD103462</t>
  </si>
  <si>
    <t>ORD102578</t>
  </si>
  <si>
    <t>ORD101130</t>
  </si>
  <si>
    <t>ORD102380</t>
  </si>
  <si>
    <t>ORD102589</t>
  </si>
  <si>
    <t>CUST1558</t>
  </si>
  <si>
    <t>ORD101248</t>
  </si>
  <si>
    <t>ORD102352</t>
  </si>
  <si>
    <t>CUST1253</t>
  </si>
  <si>
    <t>ORD102032</t>
  </si>
  <si>
    <t>CUST1492</t>
  </si>
  <si>
    <t>ORD103631</t>
  </si>
  <si>
    <t>CUST1297</t>
  </si>
  <si>
    <t>ORD103737</t>
  </si>
  <si>
    <t>ORD101636</t>
  </si>
  <si>
    <t>CUST1004</t>
  </si>
  <si>
    <t>Ahmad Yusuf</t>
  </si>
  <si>
    <t>ORD103541</t>
  </si>
  <si>
    <t>ORD100435</t>
  </si>
  <si>
    <t>ORD103004</t>
  </si>
  <si>
    <t>ORD102763</t>
  </si>
  <si>
    <t>CUST1300</t>
  </si>
  <si>
    <t>ORD103538</t>
  </si>
  <si>
    <t>ORD102874</t>
  </si>
  <si>
    <t>ORD102991</t>
  </si>
  <si>
    <t>CUST1585</t>
  </si>
  <si>
    <t>ORD100264</t>
  </si>
  <si>
    <t>ORD101484</t>
  </si>
  <si>
    <t>ORD101824</t>
  </si>
  <si>
    <t>ORD101143</t>
  </si>
  <si>
    <t>CUST1857</t>
  </si>
  <si>
    <t>ORD102574</t>
  </si>
  <si>
    <t>ORD103219</t>
  </si>
  <si>
    <t>ORD100694</t>
  </si>
  <si>
    <t>CUST1581</t>
  </si>
  <si>
    <t>ORD103300</t>
  </si>
  <si>
    <t>ORD100794</t>
  </si>
  <si>
    <t>ORD102861</t>
  </si>
  <si>
    <t>ORD103133</t>
  </si>
  <si>
    <t>CUST1447</t>
  </si>
  <si>
    <t>Ahmad Chen</t>
  </si>
  <si>
    <t>ORD102681</t>
  </si>
  <si>
    <t>CUST1831</t>
  </si>
  <si>
    <t>Sarah Hidayat</t>
  </si>
  <si>
    <t>ORD100983</t>
  </si>
  <si>
    <t>ORD101118</t>
  </si>
  <si>
    <t>CUST1787</t>
  </si>
  <si>
    <t>ORD102982</t>
  </si>
  <si>
    <t>ORD101834</t>
  </si>
  <si>
    <t>ORD103000</t>
  </si>
  <si>
    <t>ORD103744</t>
  </si>
  <si>
    <t>ORD102993</t>
  </si>
  <si>
    <t>ORD100944</t>
  </si>
  <si>
    <t>CUST1380</t>
  </si>
  <si>
    <t>ORD101757</t>
  </si>
  <si>
    <t>ORD102729</t>
  </si>
  <si>
    <t>ORD101545</t>
  </si>
  <si>
    <t>ORD103410</t>
  </si>
  <si>
    <t>ORD102726</t>
  </si>
  <si>
    <t>CUST1125</t>
  </si>
  <si>
    <t>ORD101726</t>
  </si>
  <si>
    <t>ORD101135</t>
  </si>
  <si>
    <t>ORD101092</t>
  </si>
  <si>
    <t>ORD103623</t>
  </si>
  <si>
    <t>CUST1568</t>
  </si>
  <si>
    <t>ORD101584</t>
  </si>
  <si>
    <t>ORD103506</t>
  </si>
  <si>
    <t>ORD100531</t>
  </si>
  <si>
    <t>ORD102977</t>
  </si>
  <si>
    <t>ORD103714</t>
  </si>
  <si>
    <t>ORD100300</t>
  </si>
  <si>
    <t>ORD101436</t>
  </si>
  <si>
    <t>ORD101972</t>
  </si>
  <si>
    <t>CUST1552</t>
  </si>
  <si>
    <t>ORD102105</t>
  </si>
  <si>
    <t>CUST1141</t>
  </si>
  <si>
    <t>Fajar Taylor</t>
  </si>
  <si>
    <t>ORD100148</t>
  </si>
  <si>
    <t>ORD100466</t>
  </si>
  <si>
    <t>ORD100306</t>
  </si>
  <si>
    <t>CUST1388</t>
  </si>
  <si>
    <t>ORD100750</t>
  </si>
  <si>
    <t>ORD100630</t>
  </si>
  <si>
    <t>ORD102548</t>
  </si>
  <si>
    <t>ORD102849</t>
  </si>
  <si>
    <t>ORD102110</t>
  </si>
  <si>
    <t>CUST1571</t>
  </si>
  <si>
    <t>ORD101634</t>
  </si>
  <si>
    <t>CUST1303</t>
  </si>
  <si>
    <t>James Wilson</t>
  </si>
  <si>
    <t>ORD102086</t>
  </si>
  <si>
    <t>ORD101448</t>
  </si>
  <si>
    <t>ORD101901</t>
  </si>
  <si>
    <t>ORD101646</t>
  </si>
  <si>
    <t>CUST1348</t>
  </si>
  <si>
    <t>ORD100038</t>
  </si>
  <si>
    <t>ORD100761</t>
  </si>
  <si>
    <t>ORD101189</t>
  </si>
  <si>
    <t>ORD101530</t>
  </si>
  <si>
    <t>ORD101920</t>
  </si>
  <si>
    <t>ORD100523</t>
  </si>
  <si>
    <t>ORD103298</t>
  </si>
  <si>
    <t>ORD100602</t>
  </si>
  <si>
    <t>ORD102684</t>
  </si>
  <si>
    <t>ORD103225</t>
  </si>
  <si>
    <t>CUST1111</t>
  </si>
  <si>
    <t>ORD102255</t>
  </si>
  <si>
    <t>ORD101265</t>
  </si>
  <si>
    <t>ORD101275</t>
  </si>
  <si>
    <t>CUST1105</t>
  </si>
  <si>
    <t>ORD100727</t>
  </si>
  <si>
    <t>CUST1612</t>
  </si>
  <si>
    <t>Budi Nugroho</t>
  </si>
  <si>
    <t>ORD101879</t>
  </si>
  <si>
    <t>ORD103513</t>
  </si>
  <si>
    <t>ORD100819</t>
  </si>
  <si>
    <t>CUST1498</t>
  </si>
  <si>
    <t>Michael Salim</t>
  </si>
  <si>
    <t>ORD103896</t>
  </si>
  <si>
    <t>ORD102274</t>
  </si>
  <si>
    <t>ORD103417</t>
  </si>
  <si>
    <t>ORD103458</t>
  </si>
  <si>
    <t>ORD100230</t>
  </si>
  <si>
    <t>ORD101151</t>
  </si>
  <si>
    <t>ORD100544</t>
  </si>
  <si>
    <t>ORD103112</t>
  </si>
  <si>
    <t>ORD103717</t>
  </si>
  <si>
    <t>ORD103952</t>
  </si>
  <si>
    <t>CUST1240</t>
  </si>
  <si>
    <t>ORD103968</t>
  </si>
  <si>
    <t>ORD101806</t>
  </si>
  <si>
    <t>ORD103328</t>
  </si>
  <si>
    <t>ORD101084</t>
  </si>
  <si>
    <t>ORD100313</t>
  </si>
  <si>
    <t>ORD100532</t>
  </si>
  <si>
    <t>ORD102896</t>
  </si>
  <si>
    <t>ORD102064</t>
  </si>
  <si>
    <t>ORD101220</t>
  </si>
  <si>
    <t>ORD100918</t>
  </si>
  <si>
    <t>ORD102544</t>
  </si>
  <si>
    <t>ORD103974</t>
  </si>
  <si>
    <t>CUST1863</t>
  </si>
  <si>
    <t>David Pratama</t>
  </si>
  <si>
    <t>ORD102306</t>
  </si>
  <si>
    <t>ORD100059</t>
  </si>
  <si>
    <t>CUST1601</t>
  </si>
  <si>
    <t>Nina Taylor</t>
  </si>
  <si>
    <t>ORD102671</t>
  </si>
  <si>
    <t>ORD100495</t>
  </si>
  <si>
    <t>CUST1810</t>
  </si>
  <si>
    <t>ORD101432</t>
  </si>
  <si>
    <t>ORD102130</t>
  </si>
  <si>
    <t>ORD103497</t>
  </si>
  <si>
    <t>ORD103313</t>
  </si>
  <si>
    <t>ORD103237</t>
  </si>
  <si>
    <t>ORD103765</t>
  </si>
  <si>
    <t>ORD103124</t>
  </si>
  <si>
    <t>CUST1167</t>
  </si>
  <si>
    <t>ORD101387</t>
  </si>
  <si>
    <t>CUST1127</t>
  </si>
  <si>
    <t>Linda Halim</t>
  </si>
  <si>
    <t>ORD100334</t>
  </si>
  <si>
    <t>ORD101227</t>
  </si>
  <si>
    <t>ORD102907</t>
  </si>
  <si>
    <t>ORD101947</t>
  </si>
  <si>
    <t>ORD100740</t>
  </si>
  <si>
    <t>ORD102591</t>
  </si>
  <si>
    <t>ORD102179</t>
  </si>
  <si>
    <t>CUST1107</t>
  </si>
  <si>
    <t>ORD100083</t>
  </si>
  <si>
    <t>ORD103535</t>
  </si>
  <si>
    <t>ORD100762</t>
  </si>
  <si>
    <t>CUST1791</t>
  </si>
  <si>
    <t>ORD102017</t>
  </si>
  <si>
    <t>ORD102459</t>
  </si>
  <si>
    <t>CUST1259</t>
  </si>
  <si>
    <t>ORD101278</t>
  </si>
  <si>
    <t>CUST1269</t>
  </si>
  <si>
    <t>ORD103387</t>
  </si>
  <si>
    <t>ORD103634</t>
  </si>
  <si>
    <t>ORD102802</t>
  </si>
  <si>
    <t>CUST1394</t>
  </si>
  <si>
    <t>ORD101327</t>
  </si>
  <si>
    <t>ORD102651</t>
  </si>
  <si>
    <t>ORD101091</t>
  </si>
  <si>
    <t>ORD100089</t>
  </si>
  <si>
    <t>ORD103080</t>
  </si>
  <si>
    <t>ORD103924</t>
  </si>
  <si>
    <t>ORD100936</t>
  </si>
  <si>
    <t>ORD103755</t>
  </si>
  <si>
    <t>CUST1261</t>
  </si>
  <si>
    <t>ORD102388</t>
  </si>
  <si>
    <t>CUST1279</t>
  </si>
  <si>
    <t>ORD100464</t>
  </si>
  <si>
    <t>ORD103584</t>
  </si>
  <si>
    <t>CUST1357</t>
  </si>
  <si>
    <t>ORD100327</t>
  </si>
  <si>
    <t>ORD103346</t>
  </si>
  <si>
    <t>CUST1379</t>
  </si>
  <si>
    <t>ORD101034</t>
  </si>
  <si>
    <t>ORD101355</t>
  </si>
  <si>
    <t>ORD102666</t>
  </si>
  <si>
    <t>ORD101738</t>
  </si>
  <si>
    <t>ORD101351</t>
  </si>
  <si>
    <t>ORD103805</t>
  </si>
  <si>
    <t>ORD100547</t>
  </si>
  <si>
    <t>ORD103197</t>
  </si>
  <si>
    <t>ORD103404</t>
  </si>
  <si>
    <t>ORD100779</t>
  </si>
  <si>
    <t>ORD102321</t>
  </si>
  <si>
    <t>CUST1231</t>
  </si>
  <si>
    <t>ORD100365</t>
  </si>
  <si>
    <t>ORD101127</t>
  </si>
  <si>
    <t>ORD101984</t>
  </si>
  <si>
    <t>CUST1311</t>
  </si>
  <si>
    <t>John Nugroho</t>
  </si>
  <si>
    <t>ORD102998</t>
  </si>
  <si>
    <t>ORD100905</t>
  </si>
  <si>
    <t>ORD102470</t>
  </si>
  <si>
    <t>CUST1335</t>
  </si>
  <si>
    <t>ORD100093</t>
  </si>
  <si>
    <t>ORD103213</t>
  </si>
  <si>
    <t>ORD100880</t>
  </si>
  <si>
    <t>ORD101576</t>
  </si>
  <si>
    <t>ORD103523</t>
  </si>
  <si>
    <t>ORD100100</t>
  </si>
  <si>
    <t>ORD100323</t>
  </si>
  <si>
    <t>ORD101573</t>
  </si>
  <si>
    <t>ORD101283</t>
  </si>
  <si>
    <t>CUST1525</t>
  </si>
  <si>
    <t>ORD101313</t>
  </si>
  <si>
    <t>ORD103063</t>
  </si>
  <si>
    <t>ORD101731</t>
  </si>
  <si>
    <t>CUST1429</t>
  </si>
  <si>
    <t>ORD102273</t>
  </si>
  <si>
    <t>ORD101439</t>
  </si>
  <si>
    <t>CUST1595</t>
  </si>
  <si>
    <t>ORD101085</t>
  </si>
  <si>
    <t>ORD103017</t>
  </si>
  <si>
    <t>ORD102345</t>
  </si>
  <si>
    <t>ORD103023</t>
  </si>
  <si>
    <t>ORD103277</t>
  </si>
  <si>
    <t>CUST1326</t>
  </si>
  <si>
    <t>ORD100138</t>
  </si>
  <si>
    <t>ORD100934</t>
  </si>
  <si>
    <t>CUST1200</t>
  </si>
  <si>
    <t>ORD101104</t>
  </si>
  <si>
    <t>ORD103076</t>
  </si>
  <si>
    <t>ORD102457</t>
  </si>
  <si>
    <t>ORD100363</t>
  </si>
  <si>
    <t>ORD100046</t>
  </si>
  <si>
    <t>ORD102128</t>
  </si>
  <si>
    <t>ORD101548</t>
  </si>
  <si>
    <t>ORD103606</t>
  </si>
  <si>
    <t>CUST1522</t>
  </si>
  <si>
    <t>ORD101463</t>
  </si>
  <si>
    <t>ORD102511</t>
  </si>
  <si>
    <t>ORD100579</t>
  </si>
  <si>
    <t>ORD102650</t>
  </si>
  <si>
    <t>ORD100990</t>
  </si>
  <si>
    <t>CUST1170</t>
  </si>
  <si>
    <t>ORD100900</t>
  </si>
  <si>
    <t>ORD103596</t>
  </si>
  <si>
    <t>ORD101555</t>
  </si>
  <si>
    <t>CUST1385</t>
  </si>
  <si>
    <t>ORD101111</t>
  </si>
  <si>
    <t>ORD103733</t>
  </si>
  <si>
    <t>ORD101303</t>
  </si>
  <si>
    <t>ORD102041</t>
  </si>
  <si>
    <t>CUST1517</t>
  </si>
  <si>
    <t>ORD103095</t>
  </si>
  <si>
    <t>CUST1323</t>
  </si>
  <si>
    <t>James Garcia</t>
  </si>
  <si>
    <t>ORD102621</t>
  </si>
  <si>
    <t>ORD100139</t>
  </si>
  <si>
    <t>ORD103831</t>
  </si>
  <si>
    <t>ORD102737</t>
  </si>
  <si>
    <t>ORD101225</t>
  </si>
  <si>
    <t>ORD102855</t>
  </si>
  <si>
    <t>ORD103150</t>
  </si>
  <si>
    <t>ORD100927</t>
  </si>
  <si>
    <t>ORD103265</t>
  </si>
  <si>
    <t>ORD102613</t>
  </si>
  <si>
    <t>ORD103131</t>
  </si>
  <si>
    <t>ORD101863</t>
  </si>
  <si>
    <t>ORD100726</t>
  </si>
  <si>
    <t>ORD103708</t>
  </si>
  <si>
    <t>CUST1564</t>
  </si>
  <si>
    <t>ORD102697</t>
  </si>
  <si>
    <t>ORD100947</t>
  </si>
  <si>
    <t>ORD103207</t>
  </si>
  <si>
    <t>ORD100827</t>
  </si>
  <si>
    <t>ORD101570</t>
  </si>
  <si>
    <t>CUST1754</t>
  </si>
  <si>
    <t>ORD103033</t>
  </si>
  <si>
    <t>CUST1355</t>
  </si>
  <si>
    <t>ORD101396</t>
  </si>
  <si>
    <t>ORD100463</t>
  </si>
  <si>
    <t>ORD100748</t>
  </si>
  <si>
    <t>CUST1237</t>
  </si>
  <si>
    <t>ORD101529</t>
  </si>
  <si>
    <t>ORD102239</t>
  </si>
  <si>
    <t>CUST1083</t>
  </si>
  <si>
    <t>Ahmad Taylor</t>
  </si>
  <si>
    <t>ORD102944</t>
  </si>
  <si>
    <t>ORD101486</t>
  </si>
  <si>
    <t>CUST1504</t>
  </si>
  <si>
    <t>ORD100849</t>
  </si>
  <si>
    <t>ORD102890</t>
  </si>
  <si>
    <t>ORD101833</t>
  </si>
  <si>
    <t>ORD102943</t>
  </si>
  <si>
    <t>ORD100108</t>
  </si>
  <si>
    <t>ORD103572</t>
  </si>
  <si>
    <t>ORD100707</t>
  </si>
  <si>
    <t>ORD101028</t>
  </si>
  <si>
    <t>ORD101007</t>
  </si>
  <si>
    <t>ORD103189</t>
  </si>
  <si>
    <t>CUST1293</t>
  </si>
  <si>
    <t>ORD100007</t>
  </si>
  <si>
    <t>ORD100429</t>
  </si>
  <si>
    <t>ORD100571</t>
  </si>
  <si>
    <t>CUST1272</t>
  </si>
  <si>
    <t>Michael Nugroho</t>
  </si>
  <si>
    <t>ORD103906</t>
  </si>
  <si>
    <t>CUST1840</t>
  </si>
  <si>
    <t>ORD101804</t>
  </si>
  <si>
    <t>CUST1025</t>
  </si>
  <si>
    <t>Nina Chen</t>
  </si>
  <si>
    <t>ORD101903</t>
  </si>
  <si>
    <t>ORD102245</t>
  </si>
  <si>
    <t>CUST1573</t>
  </si>
  <si>
    <t>ORD100127</t>
  </si>
  <si>
    <t>ORD102477</t>
  </si>
  <si>
    <t>ORD102997</t>
  </si>
  <si>
    <t>ORD101802</t>
  </si>
  <si>
    <t>ORD100767</t>
  </si>
  <si>
    <t>ORD103929</t>
  </si>
  <si>
    <t>ORD103778</t>
  </si>
  <si>
    <t>CUST1313</t>
  </si>
  <si>
    <t>David Wilson</t>
  </si>
  <si>
    <t>ORD102958</t>
  </si>
  <si>
    <t>ORD101543</t>
  </si>
  <si>
    <t>ORD102434</t>
  </si>
  <si>
    <t>CUST1502</t>
  </si>
  <si>
    <t>ORD100442</t>
  </si>
  <si>
    <t>CUST1346</t>
  </si>
  <si>
    <t>ORD100358</t>
  </si>
  <si>
    <t>ORD101415</t>
  </si>
  <si>
    <t>ORD102244</t>
  </si>
  <si>
    <t>ORD101532</t>
  </si>
  <si>
    <t>ORD100590</t>
  </si>
  <si>
    <t>ORD103542</t>
  </si>
  <si>
    <t>ORD102278</t>
  </si>
  <si>
    <t>ORD100447</t>
  </si>
  <si>
    <t>ORD102753</t>
  </si>
  <si>
    <t>ORD101958</t>
  </si>
  <si>
    <t>ORD100714</t>
  </si>
  <si>
    <t>ORD101850</t>
  </si>
  <si>
    <t>ORD102728</t>
  </si>
  <si>
    <t>ORD102494</t>
  </si>
  <si>
    <t>ORD101975</t>
  </si>
  <si>
    <t>ORD102253</t>
  </si>
  <si>
    <t>ORD101961</t>
  </si>
  <si>
    <t>ORD103177</t>
  </si>
  <si>
    <t>ORD102200</t>
  </si>
  <si>
    <t>ORD102070</t>
  </si>
  <si>
    <t>ORD101714</t>
  </si>
  <si>
    <t>ORD101523</t>
  </si>
  <si>
    <t>ORD100984</t>
  </si>
  <si>
    <t>ORD101700</t>
  </si>
  <si>
    <t>ORD103720</t>
  </si>
  <si>
    <t>ORD103286</t>
  </si>
  <si>
    <t>CUST1027</t>
  </si>
  <si>
    <t>ORD102980</t>
  </si>
  <si>
    <t>ORD100720</t>
  </si>
  <si>
    <t>ORD101052</t>
  </si>
  <si>
    <t>CUST1712</t>
  </si>
  <si>
    <t>ORD100871</t>
  </si>
  <si>
    <t>ORD103559</t>
  </si>
  <si>
    <t>ORD102220</t>
  </si>
  <si>
    <t>CUST1709</t>
  </si>
  <si>
    <t>CUST1871</t>
  </si>
  <si>
    <t>ORD100185</t>
  </si>
  <si>
    <t>CUST1084</t>
  </si>
  <si>
    <t>ORD101951</t>
  </si>
  <si>
    <t>ORD102926</t>
  </si>
  <si>
    <t>ORD102758</t>
  </si>
  <si>
    <t>ORD102517</t>
  </si>
  <si>
    <t>ORD102090</t>
  </si>
  <si>
    <t>ORD100737</t>
  </si>
  <si>
    <t>ORD103143</t>
  </si>
  <si>
    <t>ORD103682</t>
  </si>
  <si>
    <t>ORD103397</t>
  </si>
  <si>
    <t>ORD103168</t>
  </si>
  <si>
    <t>CUST1881</t>
  </si>
  <si>
    <t>ORD100552</t>
  </si>
  <si>
    <t>ORD103940</t>
  </si>
  <si>
    <t>ORD103510</t>
  </si>
  <si>
    <t>ORD100402</t>
  </si>
  <si>
    <t>ORD100723</t>
  </si>
  <si>
    <t>ORD101116</t>
  </si>
  <si>
    <t>ORD103847</t>
  </si>
  <si>
    <t>ORD102047</t>
  </si>
  <si>
    <t>ORD101318</t>
  </si>
  <si>
    <t>ORD101665</t>
  </si>
  <si>
    <t>ORD103751</t>
  </si>
  <si>
    <t>ORD100652</t>
  </si>
  <si>
    <t>ORD103724</t>
  </si>
  <si>
    <t>ORD103460</t>
  </si>
  <si>
    <t>ORD103881</t>
  </si>
  <si>
    <t>ORD102520</t>
  </si>
  <si>
    <t>ORD100971</t>
  </si>
  <si>
    <t>ORD103862</t>
  </si>
  <si>
    <t>ORD100364</t>
  </si>
  <si>
    <t>ORD103644</t>
  </si>
  <si>
    <t>ORD103911</t>
  </si>
  <si>
    <t>CUST1483</t>
  </si>
  <si>
    <t>ORD101271</t>
  </si>
  <si>
    <t>ORD103335</t>
  </si>
  <si>
    <t>ORD101238</t>
  </si>
  <si>
    <t>ORD100375</t>
  </si>
  <si>
    <t>ORD100637</t>
  </si>
  <si>
    <t>ORD101136</t>
  </si>
  <si>
    <t>ORD103391</t>
  </si>
  <si>
    <t>ORD101002</t>
  </si>
  <si>
    <t>ORD100639</t>
  </si>
  <si>
    <t>CUST1278</t>
  </si>
  <si>
    <t>ORD101089</t>
  </si>
  <si>
    <t>ORD100645</t>
  </si>
  <si>
    <t>ORD101458</t>
  </si>
  <si>
    <t>ORD102884</t>
  </si>
  <si>
    <t>ORD100302</t>
  </si>
  <si>
    <t>ORD103913</t>
  </si>
  <si>
    <t>ORD100935</t>
  </si>
  <si>
    <t>ORD100420</t>
  </si>
  <si>
    <t>ORD103883</t>
  </si>
  <si>
    <t>ORD100519</t>
  </si>
  <si>
    <t>ORD100605</t>
  </si>
  <si>
    <t>ORD100589</t>
  </si>
  <si>
    <t>ORD103739</t>
  </si>
  <si>
    <t>ORD101055</t>
  </si>
  <si>
    <t>ORD103875</t>
  </si>
  <si>
    <t>ORD100346</t>
  </si>
  <si>
    <t>ORD103574</t>
  </si>
  <si>
    <t>ORD101945</t>
  </si>
  <si>
    <t>ORD101609</t>
  </si>
  <si>
    <t>ORD103443</t>
  </si>
  <si>
    <t>ORD103483</t>
  </si>
  <si>
    <t>CUST1805</t>
  </si>
  <si>
    <t>ORD100369</t>
  </si>
  <si>
    <t>CUST1198</t>
  </si>
  <si>
    <t>ORD101960</t>
  </si>
  <si>
    <t>ORD103196</t>
  </si>
  <si>
    <t>ORD100580</t>
  </si>
  <si>
    <t>ORD103115</t>
  </si>
  <si>
    <t>ORD102395</t>
  </si>
  <si>
    <t>ORD103517</t>
  </si>
  <si>
    <t>ORD102029</t>
  </si>
  <si>
    <t>ORD100863</t>
  </si>
  <si>
    <t>CUST1618</t>
  </si>
  <si>
    <t>ORD103130</t>
  </si>
  <si>
    <t>ORD103641</t>
  </si>
  <si>
    <t>ORD103923</t>
  </si>
  <si>
    <t>ORD103903</t>
  </si>
  <si>
    <t>ORD100126</t>
  </si>
  <si>
    <t>CUST1166</t>
  </si>
  <si>
    <t>ORD101193</t>
  </si>
  <si>
    <t>ORD103991</t>
  </si>
  <si>
    <t>ORD102865</t>
  </si>
  <si>
    <t>ORD100388</t>
  </si>
  <si>
    <t>ORD103035</t>
  </si>
  <si>
    <t>ORD100460</t>
  </si>
  <si>
    <t>ORD100943</t>
  </si>
  <si>
    <t>CUST1001</t>
  </si>
  <si>
    <t>ORD101308</t>
  </si>
  <si>
    <t>ORD100783</t>
  </si>
  <si>
    <t>ORD100174</t>
  </si>
  <si>
    <t>ORD100878</t>
  </si>
  <si>
    <t>ORD102940</t>
  </si>
  <si>
    <t>ORD100752</t>
  </si>
  <si>
    <t>ORD102546</t>
  </si>
  <si>
    <t>ORD100344</t>
  </si>
  <si>
    <t>ORD103690</t>
  </si>
  <si>
    <t>ORD100380</t>
  </si>
  <si>
    <t>ORD102398</t>
  </si>
  <si>
    <t>ORD100522</t>
  </si>
  <si>
    <t>ORD101507</t>
  </si>
  <si>
    <t>ORD100698</t>
  </si>
  <si>
    <t>ORD102368</t>
  </si>
  <si>
    <t>ORD101311</t>
  </si>
  <si>
    <t>ORD102518</t>
  </si>
  <si>
    <t>ORD103152</t>
  </si>
  <si>
    <t>CUST1315</t>
  </si>
  <si>
    <t>ORD102833</t>
  </si>
  <si>
    <t>ORD103917</t>
  </si>
  <si>
    <t>ORD103512</t>
  </si>
  <si>
    <t>ORD101924</t>
  </si>
  <si>
    <t>ORD101572</t>
  </si>
  <si>
    <t>ORD102881</t>
  </si>
  <si>
    <t>CUST1718</t>
  </si>
  <si>
    <t>ORD100877</t>
  </si>
  <si>
    <t>CUST1028</t>
  </si>
  <si>
    <t>ORD100096</t>
  </si>
  <si>
    <t>ORD100607</t>
  </si>
  <si>
    <t>ORD101954</t>
  </si>
  <si>
    <t>ORD102618</t>
  </si>
  <si>
    <t>ORD102141</t>
  </si>
  <si>
    <t>CUST1409</t>
  </si>
  <si>
    <t>ORD103228</t>
  </si>
  <si>
    <t>ORD100994</t>
  </si>
  <si>
    <t>ORD100510</t>
  </si>
  <si>
    <t>ORD102348</t>
  </si>
  <si>
    <t>ORD102735</t>
  </si>
  <si>
    <t>ORD100655</t>
  </si>
  <si>
    <t>ORD100406</t>
  </si>
  <si>
    <t>ORD100646</t>
  </si>
  <si>
    <t>ORD102322</t>
  </si>
  <si>
    <t>ORD100687</t>
  </si>
  <si>
    <t>ORD102167</t>
  </si>
  <si>
    <t>ORD101927</t>
  </si>
  <si>
    <t>ORD100299</t>
  </si>
  <si>
    <t>ORD100973</t>
  </si>
  <si>
    <t>ORD100249</t>
  </si>
  <si>
    <t>ORD100303</t>
  </si>
  <si>
    <t>ORD102527</t>
  </si>
  <si>
    <t>ORD100604</t>
  </si>
  <si>
    <t>ORD102235</t>
  </si>
  <si>
    <t>ORD103198</t>
  </si>
  <si>
    <t>ORD100283</t>
  </si>
  <si>
    <t>ORD103116</t>
  </si>
  <si>
    <t>ORD103322</t>
  </si>
  <si>
    <t>ORD103819</t>
  </si>
  <si>
    <t>ORD103558</t>
  </si>
  <si>
    <t>ORD100354</t>
  </si>
  <si>
    <t>ORD101125</t>
  </si>
  <si>
    <t>CUST1516</t>
  </si>
  <si>
    <t>ORD100520</t>
  </si>
  <si>
    <t>ORD103964</t>
  </si>
  <si>
    <t>ORD103759</t>
  </si>
  <si>
    <t>ORD103797</t>
  </si>
  <si>
    <t>ORD100377</t>
  </si>
  <si>
    <t>ORD102488</t>
  </si>
  <si>
    <t>ORD100352</t>
  </si>
  <si>
    <t>CUST1055</t>
  </si>
  <si>
    <t>ORD102376</t>
  </si>
  <si>
    <t>ORD102640</t>
  </si>
  <si>
    <t>ORD101503</t>
  </si>
  <si>
    <t>ORD100470</t>
  </si>
  <si>
    <t>CUST1131</t>
  </si>
  <si>
    <t>ORD100310</t>
  </si>
  <si>
    <t>CUST1157</t>
  </si>
  <si>
    <t>ORD100656</t>
  </si>
  <si>
    <t>CUST1542</t>
  </si>
  <si>
    <t>ORD100444</t>
  </si>
  <si>
    <t>ORD100901</t>
  </si>
  <si>
    <t>ORD100193</t>
  </si>
  <si>
    <t>ORD100072</t>
  </si>
  <si>
    <t>ORD101137</t>
  </si>
  <si>
    <t>ORD100448</t>
  </si>
  <si>
    <t>CUST1532</t>
  </si>
  <si>
    <t>ORD101805</t>
  </si>
  <si>
    <t>ORD101577</t>
  </si>
  <si>
    <t>ORD102291</t>
  </si>
  <si>
    <t>ORD100894</t>
  </si>
  <si>
    <t>ORD102679</t>
  </si>
  <si>
    <t>ORD102000</t>
  </si>
  <si>
    <t>ORD103027</t>
  </si>
  <si>
    <t>ORD100692</t>
  </si>
  <si>
    <t>ORD103236</t>
  </si>
  <si>
    <t>ORD101899</t>
  </si>
  <si>
    <t>ORD103217</t>
  </si>
  <si>
    <t>ORD101359</t>
  </si>
  <si>
    <t>ORD101755</t>
  </si>
  <si>
    <t>ORD100478</t>
  </si>
  <si>
    <t>ORD100295</t>
  </si>
  <si>
    <t>ORD103025</t>
  </si>
  <si>
    <t>CUST1014</t>
  </si>
  <si>
    <t>ORD101601</t>
  </si>
  <si>
    <t>ORD101871</t>
  </si>
  <si>
    <t>ORD103785</t>
  </si>
  <si>
    <t>ORD103147</t>
  </si>
  <si>
    <t>ORD102079</t>
  </si>
  <si>
    <t>ORD102590</t>
  </si>
  <si>
    <t>CUST1401</t>
  </si>
  <si>
    <t>ORD102493</t>
  </si>
  <si>
    <t>ORD103051</t>
  </si>
  <si>
    <t>ORD101696</t>
  </si>
  <si>
    <t>ORD103922</t>
  </si>
  <si>
    <t>ORD101919</t>
  </si>
  <si>
    <t>CUST1156</t>
  </si>
  <si>
    <t>ORD101048</t>
  </si>
  <si>
    <t>ORD101145</t>
  </si>
  <si>
    <t>ORD102920</t>
  </si>
  <si>
    <t>ORD103469</t>
  </si>
  <si>
    <t>ORD100085</t>
  </si>
  <si>
    <t>ORD102601</t>
  </si>
  <si>
    <t>ORD103383</t>
  </si>
  <si>
    <t>ORD100438</t>
  </si>
  <si>
    <t>CUST1108</t>
  </si>
  <si>
    <t>ORD103250</t>
  </si>
  <si>
    <t>ORD102075</t>
  </si>
  <si>
    <t>ORD103367</t>
  </si>
  <si>
    <t>ORD101430</t>
  </si>
  <si>
    <t>ORD102870</t>
  </si>
  <si>
    <t>ORD103895</t>
  </si>
  <si>
    <t>CUST1646</t>
  </si>
  <si>
    <t>Maria Salim</t>
  </si>
  <si>
    <t>ORD100196</t>
  </si>
  <si>
    <t>ORD103698</t>
  </si>
  <si>
    <t>ORD101596</t>
  </si>
  <si>
    <t>ORD103371</t>
  </si>
  <si>
    <t>ORD101454</t>
  </si>
  <si>
    <t>ORD100476</t>
  </si>
  <si>
    <t>ORD103545</t>
  </si>
  <si>
    <t>ORD100337</t>
  </si>
  <si>
    <t>ORD102715</t>
  </si>
  <si>
    <t>ORD102441</t>
  </si>
  <si>
    <t>ORD103259</t>
  </si>
  <si>
    <t>ORD101534</t>
  </si>
  <si>
    <t>ORD100410</t>
  </si>
  <si>
    <t>ORD103296</t>
  </si>
  <si>
    <t>ORD103970</t>
  </si>
  <si>
    <t>ORD102521</t>
  </si>
  <si>
    <t>ORD100109</t>
  </si>
  <si>
    <t>ORD102260</t>
  </si>
  <si>
    <t>ORD103084</t>
  </si>
  <si>
    <t>ORD103799</t>
  </si>
  <si>
    <t>ORD103899</t>
  </si>
  <si>
    <t>ORD100091</t>
  </si>
  <si>
    <t>ORD100596</t>
  </si>
  <si>
    <t>CUST1511</t>
  </si>
  <si>
    <t>ORD101753</t>
  </si>
  <si>
    <t>CUST1583</t>
  </si>
  <si>
    <t>ORD102694</t>
  </si>
  <si>
    <t>ORD101968</t>
  </si>
  <si>
    <t>ORD103995</t>
  </si>
  <si>
    <t>CUST1113</t>
  </si>
  <si>
    <t>ORD103394</t>
  </si>
  <si>
    <t>ORD101404</t>
  </si>
  <si>
    <t>ORD101705</t>
  </si>
  <si>
    <t>ORD102584</t>
  </si>
  <si>
    <t>CUST1042</t>
  </si>
  <si>
    <t>Sarah Wijaya</t>
  </si>
  <si>
    <t>ORD103727</t>
  </si>
  <si>
    <t>ORD100615</t>
  </si>
  <si>
    <t>ORD103241</t>
  </si>
  <si>
    <t>ORD102175</t>
  </si>
  <si>
    <t>ORD102242</t>
  </si>
  <si>
    <t>ORD100696</t>
  </si>
  <si>
    <t>ORD103978</t>
  </si>
  <si>
    <t>ORD101013</t>
  </si>
  <si>
    <t>ORD100316</t>
  </si>
  <si>
    <t>ORD101922</t>
  </si>
  <si>
    <t>ORD103039</t>
  </si>
  <si>
    <t>ORD102356</t>
  </si>
  <si>
    <t>CUST1187</t>
  </si>
  <si>
    <t>ORD102304</t>
  </si>
  <si>
    <t>ORD101321</t>
  </si>
  <si>
    <t>ORD102933</t>
  </si>
  <si>
    <t>ORD100834</t>
  </si>
  <si>
    <t>CUST1628</t>
  </si>
  <si>
    <t>ORD102764</t>
  </si>
  <si>
    <t>ORD100394</t>
  </si>
  <si>
    <t>ORD102639</t>
  </si>
  <si>
    <t>ORD100215</t>
  </si>
  <si>
    <t>ORD102773</t>
  </si>
  <si>
    <t>ORD101874</t>
  </si>
  <si>
    <t>ORD100281</t>
  </si>
  <si>
    <t>ORD102482</t>
  </si>
  <si>
    <t>ORD100685</t>
  </si>
  <si>
    <t>ORD103158</t>
  </si>
  <si>
    <t>ORD103850</t>
  </si>
  <si>
    <t>ORD102237</t>
  </si>
  <si>
    <t>ORD101094</t>
  </si>
  <si>
    <t>ORD102462</t>
  </si>
  <si>
    <t>ORD103433</t>
  </si>
  <si>
    <t>ORD103742</t>
  </si>
  <si>
    <t>ORD102985</t>
  </si>
  <si>
    <t>ORD102889</t>
  </si>
  <si>
    <t>ORD100526</t>
  </si>
  <si>
    <t>CUST1600</t>
  </si>
  <si>
    <t>ORD103278</t>
  </si>
  <si>
    <t>ORD100208</t>
  </si>
  <si>
    <t>ORD101217</t>
  </si>
  <si>
    <t>ORD100062</t>
  </si>
  <si>
    <t>CUST1730</t>
  </si>
  <si>
    <t>Linda Kurniawan</t>
  </si>
  <si>
    <t>ORD101941</t>
  </si>
  <si>
    <t>ORD103868</t>
  </si>
  <si>
    <t>ORD101332</t>
  </si>
  <si>
    <t>ORD100024</t>
  </si>
  <si>
    <t>ORD101916</t>
  </si>
  <si>
    <t>ORD100467</t>
  </si>
  <si>
    <t>ORD100391</t>
  </si>
  <si>
    <t>ORD100664</t>
  </si>
  <si>
    <t>ORD102563</t>
  </si>
  <si>
    <t>ORD102632</t>
  </si>
  <si>
    <t>CUST1330</t>
  </si>
  <si>
    <t>ORD103138</t>
  </si>
  <si>
    <t>ORD101126</t>
  </si>
  <si>
    <t>ORD102885</t>
  </si>
  <si>
    <t>CUST1176</t>
  </si>
  <si>
    <t>ORD101581</t>
  </si>
  <si>
    <t>ORD102490</t>
  </si>
  <si>
    <t>ORD103576</t>
  </si>
  <si>
    <t>ORD103214</t>
  </si>
  <si>
    <t>ORD100042</t>
  </si>
  <si>
    <t>ORD103761</t>
  </si>
  <si>
    <t>ORD102065</t>
  </si>
  <si>
    <t>CUST1875</t>
  </si>
  <si>
    <t>ORD100980</t>
  </si>
  <si>
    <t>ORD103421</t>
  </si>
  <si>
    <t>ORD103957</t>
  </si>
  <si>
    <t>ORD100841</t>
  </si>
  <si>
    <t>ORD101839</t>
  </si>
  <si>
    <t>ORD103752</t>
  </si>
  <si>
    <t>ORD101471</t>
  </si>
  <si>
    <t>ORD101654</t>
  </si>
  <si>
    <t>ORD100063</t>
  </si>
  <si>
    <t>ORD102999</t>
  </si>
  <si>
    <t>ORD101969</t>
  </si>
  <si>
    <t>ORD100869</t>
  </si>
  <si>
    <t>ORD100266</t>
  </si>
  <si>
    <t>ORD101334</t>
  </si>
  <si>
    <t>ORD100286</t>
  </si>
  <si>
    <t>ORD103222</t>
  </si>
  <si>
    <t>CUST1886</t>
  </si>
  <si>
    <t>ORD103385</t>
  </si>
  <si>
    <t>ORD100669</t>
  </si>
  <si>
    <t>ORD103356</t>
  </si>
  <si>
    <t>CUST1374</t>
  </si>
  <si>
    <t>ORD103553</t>
  </si>
  <si>
    <t>ORD103864</t>
  </si>
  <si>
    <t>ORD103270</t>
  </si>
  <si>
    <t>ORD102682</t>
  </si>
  <si>
    <t>ORD103036</t>
  </si>
  <si>
    <t>CUST1299</t>
  </si>
  <si>
    <t>ORD101672</t>
  </si>
  <si>
    <t>ORD102748</t>
  </si>
  <si>
    <t>ORD100787</t>
  </si>
  <si>
    <t>CUST1296</t>
  </si>
  <si>
    <t>CUST1023</t>
  </si>
  <si>
    <t>ORD103221</t>
  </si>
  <si>
    <t>ORD101823</t>
  </si>
  <si>
    <t>ORD102824</t>
  </si>
  <si>
    <t>ORD102336</t>
  </si>
  <si>
    <t>ORD102745</t>
  </si>
  <si>
    <t>ORD103525</t>
  </si>
  <si>
    <t>ORD102384</t>
  </si>
  <si>
    <t>ORD100775</t>
  </si>
  <si>
    <t>ORD102332</t>
  </si>
  <si>
    <t>ORD103240</t>
  </si>
  <si>
    <t>ORD100948</t>
  </si>
  <si>
    <t>ORD101855</t>
  </si>
  <si>
    <t>ORD102668</t>
  </si>
  <si>
    <t>ORD100958</t>
  </si>
  <si>
    <t>ORD103090</t>
  </si>
  <si>
    <t>ORD102324</t>
  </si>
  <si>
    <t>ORD100556</t>
  </si>
  <si>
    <t>ORD103275</t>
  </si>
  <si>
    <t>ORD102819</t>
  </si>
  <si>
    <t>ORD101205</t>
  </si>
  <si>
    <t>CUST1710</t>
  </si>
  <si>
    <t>ORD102626</t>
  </si>
  <si>
    <t>ORD102287</t>
  </si>
  <si>
    <t>ORD102292</t>
  </si>
  <si>
    <t>ORD101739</t>
  </si>
  <si>
    <t>CUST1101</t>
  </si>
  <si>
    <t>ORD103284</t>
  </si>
  <si>
    <t>ORD102379</t>
  </si>
  <si>
    <t>ORD101093</t>
  </si>
  <si>
    <t>ORD100473</t>
  </si>
  <si>
    <t>ORD102887</t>
  </si>
  <si>
    <t>ORD102994</t>
  </si>
  <si>
    <t>ORD100247</t>
  </si>
  <si>
    <t>ORD102906</t>
  </si>
  <si>
    <t>ORD101913</t>
  </si>
  <si>
    <t>ORD102351</t>
  </si>
  <si>
    <t>ORD103040</t>
  </si>
  <si>
    <t>ORD101288</t>
  </si>
  <si>
    <t>ORD102013</t>
  </si>
  <si>
    <t>ORD102831</t>
  </si>
  <si>
    <t>ORD101709</t>
  </si>
  <si>
    <t>ORD103445</t>
  </si>
  <si>
    <t>ORD101591</t>
  </si>
  <si>
    <t>ORD100549</t>
  </si>
  <si>
    <t>CUST1122</t>
  </si>
  <si>
    <t>ORD102652</t>
  </si>
  <si>
    <t>ORD101595</t>
  </si>
  <si>
    <t>CUST1897</t>
  </si>
  <si>
    <t>ORD103132</t>
  </si>
  <si>
    <t>ORD100469</t>
  </si>
  <si>
    <t>ORD102738</t>
  </si>
  <si>
    <t>ORD100282</t>
  </si>
  <si>
    <t>ORD102580</t>
  </si>
  <si>
    <t>ORD102254</t>
  </si>
  <si>
    <t>CUST1247</t>
  </si>
  <si>
    <t>ORD103174</t>
  </si>
  <si>
    <t>ORD101859</t>
  </si>
  <si>
    <t>ORD101487</t>
  </si>
  <si>
    <t>ORD103877</t>
  </si>
  <si>
    <t>ORD102127</t>
  </si>
  <si>
    <t>ORD103266</t>
  </si>
  <si>
    <t>ORD101492</t>
  </si>
  <si>
    <t>ORD101381</t>
  </si>
  <si>
    <t>ORD103602</t>
  </si>
  <si>
    <t>ORD102935</t>
  </si>
  <si>
    <t>ORD103540</t>
  </si>
  <si>
    <t>ORD102073</t>
  </si>
  <si>
    <t>ORD103243</t>
  </si>
  <si>
    <t>ORD100628</t>
  </si>
  <si>
    <t>ORD103447</t>
  </si>
  <si>
    <t>ORD101785</t>
  </si>
  <si>
    <t>ORD103569</t>
  </si>
  <si>
    <t>ORD101465</t>
  </si>
  <si>
    <t>ORD102883</t>
  </si>
  <si>
    <t>ORD103262</t>
  </si>
  <si>
    <t>ORD103800</t>
  </si>
  <si>
    <t>ORD103691</t>
  </si>
  <si>
    <t>ORD102723</t>
  </si>
  <si>
    <t>ORD102142</t>
  </si>
  <si>
    <t>ORD100254</t>
  </si>
  <si>
    <t>ORD100930</t>
  </si>
  <si>
    <t>ORD101033</t>
  </si>
  <si>
    <t>ORD100806</t>
  </si>
  <si>
    <t>ORD100657</t>
  </si>
  <si>
    <t>ORD102841</t>
  </si>
  <si>
    <t>ORD101456</t>
  </si>
  <si>
    <t>ORD102904</t>
  </si>
  <si>
    <t>CUST1344</t>
  </si>
  <si>
    <t>ORD100211</t>
  </si>
  <si>
    <t>ORD102276</t>
  </si>
  <si>
    <t>ORD101464</t>
  </si>
  <si>
    <t>ORD103927</t>
  </si>
  <si>
    <t>ORD103867</t>
  </si>
  <si>
    <t>ORD100962</t>
  </si>
  <si>
    <t>ORD100362</t>
  </si>
  <si>
    <t>ORD102712</t>
  </si>
  <si>
    <t>ORD101406</t>
  </si>
  <si>
    <t>ORD102454</t>
  </si>
  <si>
    <t>ORD100240</t>
  </si>
  <si>
    <t>ORD102531</t>
  </si>
  <si>
    <t>ORD102272</t>
  </si>
  <si>
    <t>CUST1594</t>
  </si>
  <si>
    <t>ORD103939</t>
  </si>
  <si>
    <t>ORD102337</t>
  </si>
  <si>
    <t>ORD100001</t>
  </si>
  <si>
    <t>ORD103136</t>
  </si>
  <si>
    <t>ORD102166</t>
  </si>
  <si>
    <t>ORD101377</t>
  </si>
  <si>
    <t>ORD101988</t>
  </si>
  <si>
    <t>ORD101710</t>
  </si>
  <si>
    <t>ORD103428</t>
  </si>
  <si>
    <t>ORD103194</t>
  </si>
  <si>
    <t>ORD102221</t>
  </si>
  <si>
    <t>CUST1318</t>
  </si>
  <si>
    <t>ORD103315</t>
  </si>
  <si>
    <t>ORD103960</t>
  </si>
  <si>
    <t>ORD102190</t>
  </si>
  <si>
    <t>ORD102310</t>
  </si>
  <si>
    <t>CUST1896</t>
  </si>
  <si>
    <t>Andi Taylor</t>
  </si>
  <si>
    <t>ORD103393</t>
  </si>
  <si>
    <t>ORD101400</t>
  </si>
  <si>
    <t>CUST1268</t>
  </si>
  <si>
    <t>ORD102382</t>
  </si>
  <si>
    <t>ORD101274</t>
  </si>
  <si>
    <t>ORD100383</t>
  </si>
  <si>
    <t>ORD103422</t>
  </si>
  <si>
    <t>ORD101811</t>
  </si>
  <si>
    <t>ORD100081</t>
  </si>
  <si>
    <t>ORD101516</t>
  </si>
  <si>
    <t>ORD102877</t>
  </si>
  <si>
    <t>ORD101744</t>
  </si>
  <si>
    <t>ORD102789</t>
  </si>
  <si>
    <t>ORD102826</t>
  </si>
  <si>
    <t>ORD100681</t>
  </si>
  <si>
    <t>ORD102956</t>
  </si>
  <si>
    <t>ORD100434</t>
  </si>
  <si>
    <t>ORD102178</t>
  </si>
  <si>
    <t>ORD101440</t>
  </si>
  <si>
    <t>ORD102004</t>
  </si>
  <si>
    <t>ORD103918</t>
  </si>
  <si>
    <t>ORD102297</t>
  </si>
  <si>
    <t>ORD103200</t>
  </si>
  <si>
    <t>ORD101743</t>
  </si>
  <si>
    <t>ORD103053</t>
  </si>
  <si>
    <t>ORD103468</t>
  </si>
  <si>
    <t>ORD100129</t>
  </si>
  <si>
    <t>ORD102502</t>
  </si>
  <si>
    <t>ORD101796</t>
  </si>
  <si>
    <t>ORD100838</t>
  </si>
  <si>
    <t>ORD103361</t>
  </si>
  <si>
    <t>ORD102442</t>
  </si>
  <si>
    <t>ORD100970</t>
  </si>
  <si>
    <t>ORD100458</t>
  </si>
  <si>
    <t>ORD100285</t>
  </si>
  <si>
    <t>ORD101900</t>
  </si>
  <si>
    <t>ORD103656</t>
  </si>
  <si>
    <t>ORD100430</t>
  </si>
  <si>
    <t>ORD100870</t>
  </si>
  <si>
    <t>ORD102480</t>
  </si>
  <si>
    <t>ORD100147</t>
  </si>
  <si>
    <t>CUST1036</t>
  </si>
  <si>
    <t>Ayu Johnson</t>
  </si>
  <si>
    <t>ORD103283</t>
  </si>
  <si>
    <t>ORD103353</t>
  </si>
  <si>
    <t>ORD100816</t>
  </si>
  <si>
    <t>ORD102169</t>
  </si>
  <si>
    <t>ORD100908</t>
  </si>
  <si>
    <t>CUST1763</t>
  </si>
  <si>
    <t>ORD102180</t>
  </si>
  <si>
    <t>CUST1426</t>
  </si>
  <si>
    <t>ORD100035</t>
  </si>
  <si>
    <t>ORD102035</t>
  </si>
  <si>
    <t>ORD103191</t>
  </si>
  <si>
    <t>ORD103324</t>
  </si>
  <si>
    <t>ORD101101</t>
  </si>
  <si>
    <t>ORD102905</t>
  </si>
  <si>
    <t>CUST1864</t>
  </si>
  <si>
    <t>ORD102840</t>
  </si>
  <si>
    <t>ORD100041</t>
  </si>
  <si>
    <t>ORD100569</t>
  </si>
  <si>
    <t>ORD101132</t>
  </si>
  <si>
    <t>ORD100378</t>
  </si>
  <si>
    <t>CUST1570</t>
  </si>
  <si>
    <t>ORD101375</t>
  </si>
  <si>
    <t>CUST1642</t>
  </si>
  <si>
    <t>ORD102407</t>
  </si>
  <si>
    <t>ORD102289</t>
  </si>
  <si>
    <t>CUST1199</t>
  </si>
  <si>
    <t>ORD102788</t>
  </si>
  <si>
    <t>CUST1354</t>
  </si>
  <si>
    <t>Fajar Tan</t>
  </si>
  <si>
    <t>ORD100812</t>
  </si>
  <si>
    <t>ORD100807</t>
  </si>
  <si>
    <t>ORD101003</t>
  </si>
  <si>
    <t>ORD101725</t>
  </si>
  <si>
    <t>ORD101201</t>
  </si>
  <si>
    <t>ORD103376</t>
  </si>
  <si>
    <t>ORD100408</t>
  </si>
  <si>
    <t>ORD103396</t>
  </si>
  <si>
    <t>CUST1422</t>
  </si>
  <si>
    <t>ORD101852</t>
  </si>
  <si>
    <t>CUST1236</t>
  </si>
  <si>
    <t>ORD101266</t>
  </si>
  <si>
    <t>ORD100407</t>
  </si>
  <si>
    <t>ORD102040</t>
  </si>
  <si>
    <t>ORD102667</t>
  </si>
  <si>
    <t>ORD102992</t>
  </si>
  <si>
    <t>ORD102599</t>
  </si>
  <si>
    <t>ORD103710</t>
  </si>
  <si>
    <t>ORD100581</t>
  </si>
  <si>
    <t>ORD101188</t>
  </si>
  <si>
    <t>ORD103520</t>
  </si>
  <si>
    <t>ORD102025</t>
  </si>
  <si>
    <t>ORD102018</t>
  </si>
  <si>
    <t>CUST1769</t>
  </si>
  <si>
    <t>Nina Tan</t>
  </si>
  <si>
    <t>ORD101291</t>
  </si>
  <si>
    <t>CUST1666</t>
  </si>
  <si>
    <t>ORD102329</t>
  </si>
  <si>
    <t>ORD100104</t>
  </si>
  <si>
    <t>CUST1823</t>
  </si>
  <si>
    <t>ORD101827</t>
  </si>
  <si>
    <t>ORD102672</t>
  </si>
  <si>
    <t>ORD100729</t>
  </si>
  <si>
    <t>CUST1418</t>
  </si>
  <si>
    <t>ORD103534</t>
  </si>
  <si>
    <t>ORD101455</t>
  </si>
  <si>
    <t>ORD103994</t>
  </si>
  <si>
    <t>ORD102281</t>
  </si>
  <si>
    <t>ORD103551</t>
  </si>
  <si>
    <t>ORD102547</t>
  </si>
  <si>
    <t>ORD102558</t>
  </si>
  <si>
    <t>ORD100221</t>
  </si>
  <si>
    <t>ORD101758</t>
  </si>
  <si>
    <t>ORD101444</t>
  </si>
  <si>
    <t>CUST1204</t>
  </si>
  <si>
    <t>ORD100176</t>
  </si>
  <si>
    <t>ORD102159</t>
  </si>
  <si>
    <t>ORD100572</t>
  </si>
  <si>
    <t>CUST1134</t>
  </si>
  <si>
    <t>ORD100640</t>
  </si>
  <si>
    <t>ORD100146</t>
  </si>
  <si>
    <t>ORD102042</t>
  </si>
  <si>
    <t>ORD102133</t>
  </si>
  <si>
    <t>ORD102972</t>
  </si>
  <si>
    <t>ORD100712</t>
  </si>
  <si>
    <t>ORD102637</t>
  </si>
  <si>
    <t>ORD102012</t>
  </si>
  <si>
    <t>ORD100773</t>
  </si>
  <si>
    <t>ORD101369</t>
  </si>
  <si>
    <t>ORD100479</t>
  </si>
  <si>
    <t>ORD103591</t>
  </si>
  <si>
    <t>CUST1771</t>
  </si>
  <si>
    <t>ORD103291</t>
  </si>
  <si>
    <t>ORD101166</t>
  </si>
  <si>
    <t>ORD102149</t>
  </si>
  <si>
    <t>ORD103097</t>
  </si>
  <si>
    <t>ORD102742</t>
  </si>
  <si>
    <t>ORD103060</t>
  </si>
  <si>
    <t>ORD102823</t>
  </si>
  <si>
    <t>ORD101208</t>
  </si>
  <si>
    <t>ORD101210</t>
  </si>
  <si>
    <t>ORD103492</t>
  </si>
  <si>
    <t>ORD101218</t>
  </si>
  <si>
    <t>ORD101161</t>
  </si>
  <si>
    <t>ORD102397</t>
  </si>
  <si>
    <t>ORD101659</t>
  </si>
  <si>
    <t>CUST1548</t>
  </si>
  <si>
    <t>ORD102566</t>
  </si>
  <si>
    <t>ORD101861</t>
  </si>
  <si>
    <t>ORD102595</t>
  </si>
  <si>
    <t>ORD100802</t>
  </si>
  <si>
    <t>ORD101021</t>
  </si>
  <si>
    <t>ORD100644</t>
  </si>
  <si>
    <t>ORD103832</t>
  </si>
  <si>
    <t>ORD102808</t>
  </si>
  <si>
    <t>ORD100833</t>
  </si>
  <si>
    <t>ORD102463</t>
  </si>
  <si>
    <t>ORD102378</t>
  </si>
  <si>
    <t>ORD103435</t>
  </si>
  <si>
    <t>ORD102691</t>
  </si>
  <si>
    <t>ORD102119</t>
  </si>
  <si>
    <t>ORD100205</t>
  </si>
  <si>
    <t>ORD100960</t>
  </si>
  <si>
    <t>ORD103876</t>
  </si>
  <si>
    <t>ORD102264</t>
  </si>
  <si>
    <t>ORD102814</t>
  </si>
  <si>
    <t>ORD100039</t>
  </si>
  <si>
    <t>ORD101652</t>
  </si>
  <si>
    <t>ORD102662</t>
  </si>
  <si>
    <t>ORD102859</t>
  </si>
  <si>
    <t>ORD102844</t>
  </si>
  <si>
    <t>ORD101790</t>
  </si>
  <si>
    <t>ORD100239</t>
  </si>
  <si>
    <t>CUST1008</t>
  </si>
  <si>
    <t>ORD100050</t>
  </si>
  <si>
    <t>CUST1100</t>
  </si>
  <si>
    <t>ORD103812</t>
  </si>
  <si>
    <t>ORD101751</t>
  </si>
  <si>
    <t>ORD103481</t>
  </si>
  <si>
    <t>ORD101162</t>
  </si>
  <si>
    <t>ORD100400</t>
  </si>
  <si>
    <t>ORD100013</t>
  </si>
  <si>
    <t>ORD100940</t>
  </si>
  <si>
    <t>ORD102150</t>
  </si>
  <si>
    <t>ORD101469</t>
  </si>
  <si>
    <t>ORD103604</t>
  </si>
  <si>
    <t>ORD101808</t>
  </si>
  <si>
    <t>ORD101277</t>
  </si>
  <si>
    <t>ORD103413</t>
  </si>
  <si>
    <t>ORD102680</t>
  </si>
  <si>
    <t>ORD102628</t>
  </si>
  <si>
    <t>ORD101177</t>
  </si>
  <si>
    <t>ORD100319</t>
  </si>
  <si>
    <t>CUST1171</t>
  </si>
  <si>
    <t>ORD101760</t>
  </si>
  <si>
    <t>ORD102938</t>
  </si>
  <si>
    <t>CUST1480</t>
  </si>
  <si>
    <t>ORD101779</t>
  </si>
  <si>
    <t>ORD103261</t>
  </si>
  <si>
    <t>CUST1545</t>
  </si>
  <si>
    <t>Rina Yusuf</t>
  </si>
  <si>
    <t>ORD102892</t>
  </si>
  <si>
    <t>ORD103086</t>
  </si>
  <si>
    <t>ORD100785</t>
  </si>
  <si>
    <t>ORD101892</t>
  </si>
  <si>
    <t>ORD103745</t>
  </si>
  <si>
    <t>ORD102218</t>
  </si>
  <si>
    <t>ORD102062</t>
  </si>
  <si>
    <t>ORD101729</t>
  </si>
  <si>
    <t>ORD102157</t>
  </si>
  <si>
    <t>CUST1230</t>
  </si>
  <si>
    <t>ORD101141</t>
  </si>
  <si>
    <t>ORD100777</t>
  </si>
  <si>
    <t>CUST1365</t>
  </si>
  <si>
    <t>ORD101836</t>
  </si>
  <si>
    <t>ORD100638</t>
  </si>
  <si>
    <t>ORD102361</t>
  </si>
  <si>
    <t>ORD103762</t>
  </si>
  <si>
    <t>ORD103232</t>
  </si>
  <si>
    <t>ORD101662</t>
  </si>
  <si>
    <t>ORD103934</t>
  </si>
  <si>
    <t>ORD101637</t>
  </si>
  <si>
    <t>ORD100040</t>
  </si>
  <si>
    <t>ORD100419</t>
  </si>
  <si>
    <t>CUST1275</t>
  </si>
  <si>
    <t>ORD103337</t>
  </si>
  <si>
    <t>ORD103747</t>
  </si>
  <si>
    <t>ORD102752</t>
  </si>
  <si>
    <t>ORD102928</t>
  </si>
  <si>
    <t>ORD102113</t>
  </si>
  <si>
    <t>CUST1417</t>
  </si>
  <si>
    <t>ORD102818</t>
  </si>
  <si>
    <t>ORD100832</t>
  </si>
  <si>
    <t>CUST1035</t>
  </si>
  <si>
    <t>ORD101216</t>
  </si>
  <si>
    <t>ORD100440</t>
  </si>
  <si>
    <t>ORD102701</t>
  </si>
  <si>
    <t>ORD103281</t>
  </si>
  <si>
    <t>ORD103854</t>
  </si>
  <si>
    <t>ORD102769</t>
  </si>
  <si>
    <t>ORD102492</t>
  </si>
  <si>
    <t>ORD100518</t>
  </si>
  <si>
    <t>CUST1093</t>
  </si>
  <si>
    <t>ORD102811</t>
  </si>
  <si>
    <t>ORD102184</t>
  </si>
  <si>
    <t>ORD102730</t>
  </si>
  <si>
    <t>CUST1368</t>
  </si>
  <si>
    <t>ORD102552</t>
  </si>
  <si>
    <t>ORD103190</t>
  </si>
  <si>
    <t>CUST1331</t>
  </si>
  <si>
    <t>ORD102526</t>
  </si>
  <si>
    <t>ORD102880</t>
  </si>
  <si>
    <t>ORD101182</t>
  </si>
  <si>
    <t>ORD100048</t>
  </si>
  <si>
    <t>ORD103173</t>
  </si>
  <si>
    <t>ORD100090</t>
  </si>
  <si>
    <t>ORD103070</t>
  </si>
  <si>
    <t>ORD102229</t>
  </si>
  <si>
    <t>ORD101302</t>
  </si>
  <si>
    <t>ORD103544</t>
  </si>
  <si>
    <t>ORD100141</t>
  </si>
  <si>
    <t>ORD102967</t>
  </si>
  <si>
    <t>ORD100594</t>
  </si>
  <si>
    <t>CUST1732</t>
  </si>
  <si>
    <t>ORD100667</t>
  </si>
  <si>
    <t>ORD102211</t>
  </si>
  <si>
    <t>ORD103401</t>
  </si>
  <si>
    <t>ORD102445</t>
  </si>
  <si>
    <t>ORD101323</t>
  </si>
  <si>
    <t>ORD101993</t>
  </si>
  <si>
    <t>ORD100186</t>
  </si>
  <si>
    <t>CUST1793</t>
  </si>
  <si>
    <t>ORD103341</t>
  </si>
  <si>
    <t>ORD102158</t>
  </si>
  <si>
    <t>ORD103456</t>
  </si>
  <si>
    <t>ORD100742</t>
  </si>
  <si>
    <t>ORD100161</t>
  </si>
  <si>
    <t>ORD103028</t>
  </si>
  <si>
    <t>ORD100939</t>
  </si>
  <si>
    <t>ORD100015</t>
  </si>
  <si>
    <t>ORD102275</t>
  </si>
  <si>
    <t>CUST1292</t>
  </si>
  <si>
    <t>Budi Halim</t>
  </si>
  <si>
    <t>ORD102698</t>
  </si>
  <si>
    <t>ORD100079</t>
  </si>
  <si>
    <t>ORD102081</t>
  </si>
  <si>
    <t>CUST1590</t>
  </si>
  <si>
    <t>ORD103257</t>
  </si>
  <si>
    <t>ORD101376</t>
  </si>
  <si>
    <t>ORD101031</t>
  </si>
  <si>
    <t>ORD103180</t>
  </si>
  <si>
    <t>ORD102312</t>
  </si>
  <si>
    <t>ORD100168</t>
  </si>
  <si>
    <t>ORD102673</t>
  </si>
  <si>
    <t>ORD102817</t>
  </si>
  <si>
    <t>ORD101817</t>
  </si>
  <si>
    <t>ORD100233</t>
  </si>
  <si>
    <t>ORD101944</t>
  </si>
  <si>
    <t>ORD103809</t>
  </si>
  <si>
    <t>ORD101722</t>
  </si>
  <si>
    <t>ORD101679</t>
  </si>
  <si>
    <t>CUST1529</t>
  </si>
  <si>
    <t>ORD100290</t>
  </si>
  <si>
    <t>CUST1518</t>
  </si>
  <si>
    <t>ORD103122</t>
  </si>
  <si>
    <t>ORD100462</t>
  </si>
  <si>
    <t>ORD101829</t>
  </si>
  <si>
    <t>ORD102959</t>
  </si>
  <si>
    <t>ORD103764</t>
  </si>
  <si>
    <t>ORD102795</t>
  </si>
  <si>
    <t>CUST1034</t>
  </si>
  <si>
    <t>ORD101422</t>
  </si>
  <si>
    <t>ORD101075</t>
  </si>
  <si>
    <t>ORD102152</t>
  </si>
  <si>
    <t>ORD101730</t>
  </si>
  <si>
    <t>ORD100078</t>
  </si>
  <si>
    <t>ORD103649</t>
  </si>
  <si>
    <t>CUST1449</t>
  </si>
  <si>
    <t>ORD101964</t>
  </si>
  <si>
    <t>CUST1820</t>
  </si>
  <si>
    <t>ORD103694</t>
  </si>
  <si>
    <t>ORD101015</t>
  </si>
  <si>
    <t>ORD102066</t>
  </si>
  <si>
    <t>ORD103582</t>
  </si>
  <si>
    <t>ORD100112</t>
  </si>
  <si>
    <t>ORD100416</t>
  </si>
  <si>
    <t>ORD100367</t>
  </si>
  <si>
    <t>ORD101888</t>
  </si>
  <si>
    <t>ORD100954</t>
  </si>
  <si>
    <t>ORD102747</t>
  </si>
  <si>
    <t>ORD102612</t>
  </si>
  <si>
    <t>ORD101056</t>
  </si>
  <si>
    <t>ORD102027</t>
  </si>
  <si>
    <t>CUST1241</t>
  </si>
  <si>
    <t>ORD102026</t>
  </si>
  <si>
    <t>ORD102058</t>
  </si>
  <si>
    <t>ORD102372</t>
  </si>
  <si>
    <t>ORD101215</t>
  </si>
  <si>
    <t>ORD103486</t>
  </si>
  <si>
    <t>ORD101306</t>
  </si>
  <si>
    <t>ORD100019</t>
  </si>
  <si>
    <t>ORD101245</t>
  </si>
  <si>
    <t>ORD100563</t>
  </si>
  <si>
    <t>ORD102257</t>
  </si>
  <si>
    <t>ORD101882</t>
  </si>
  <si>
    <t>ORD100428</t>
  </si>
  <si>
    <t>ORD101304</t>
  </si>
  <si>
    <t>ORD102074</t>
  </si>
  <si>
    <t>ORD102404</t>
  </si>
  <si>
    <t>ORD102084</t>
  </si>
  <si>
    <t>ORD103711</t>
  </si>
  <si>
    <t>ORD103407</t>
  </si>
  <si>
    <t>ORD102417</t>
  </si>
  <si>
    <t>ORD100223</t>
  </si>
  <si>
    <t>ORD101301</t>
  </si>
  <si>
    <t>ORD101434</t>
  </si>
  <si>
    <t>ORD103830</t>
  </si>
  <si>
    <t>ORD101562</t>
  </si>
  <si>
    <t>ORD103967</t>
  </si>
  <si>
    <t>ORD102996</t>
  </si>
  <si>
    <t>ORD102768</t>
  </si>
  <si>
    <t>ORD102080</t>
  </si>
  <si>
    <t>ORD103898</t>
  </si>
  <si>
    <t>ORD101078</t>
  </si>
  <si>
    <t>CUST1010</t>
  </si>
  <si>
    <t>ORD103822</t>
  </si>
  <si>
    <t>ORD102932</t>
  </si>
  <si>
    <t>ORD103780</t>
  </si>
  <si>
    <t>ORD102036</t>
  </si>
  <si>
    <t>ORD103814</t>
  </si>
  <si>
    <t>ORD101914</t>
  </si>
  <si>
    <t>ORD102692</t>
  </si>
  <si>
    <t>ORD103533</t>
  </si>
  <si>
    <t>CUST1894</t>
  </si>
  <si>
    <t>ORD101389</t>
  </si>
  <si>
    <t>ORD101582</t>
  </si>
  <si>
    <t>ORD103227</t>
  </si>
  <si>
    <t>ORD101042</t>
  </si>
  <si>
    <t>ORD101974</t>
  </si>
  <si>
    <t>ORD101717</t>
  </si>
  <si>
    <t>CUST1367</t>
  </si>
  <si>
    <t>ORD102937</t>
  </si>
  <si>
    <t>ORD103632</t>
  </si>
  <si>
    <t>ORD103314</t>
  </si>
  <si>
    <t>ORD103475</t>
  </si>
  <si>
    <t>ORD100654</t>
  </si>
  <si>
    <t>ORD101835</t>
  </si>
  <si>
    <t>ORD100879</t>
  </si>
  <si>
    <t>ORD103347</t>
  </si>
  <si>
    <t>ORD103683</t>
  </si>
  <si>
    <t>ORD101712</t>
  </si>
  <si>
    <t>ORD100061</t>
  </si>
  <si>
    <t>ORD100111</t>
  </si>
  <si>
    <t>ORD102243</t>
  </si>
  <si>
    <t>ORD101708</t>
  </si>
  <si>
    <t>ORD103450</t>
  </si>
  <si>
    <t>ORD101746</t>
  </si>
  <si>
    <t>ORD101540</t>
  </si>
  <si>
    <t>ORD100862</t>
  </si>
  <si>
    <t>ORD100499</t>
  </si>
  <si>
    <t>ORD103902</t>
  </si>
  <si>
    <t>ORD103345</t>
  </si>
  <si>
    <t>ORD101617</t>
  </si>
  <si>
    <t>ORD101472</t>
  </si>
  <si>
    <t>ORD101926</t>
  </si>
  <si>
    <t>ORD101915</t>
  </si>
  <si>
    <t>ORD103829</t>
  </si>
  <si>
    <t>ORD101727</t>
  </si>
  <si>
    <t>ORD103817</t>
  </si>
  <si>
    <t>ORD102125</t>
  </si>
  <si>
    <t>ORD102925</t>
  </si>
  <si>
    <t>ORD102165</t>
  </si>
  <si>
    <t>ORD103693</t>
  </si>
  <si>
    <t>ORD103488</t>
  </si>
  <si>
    <t>ORD100328</t>
  </si>
  <si>
    <t>ORD100142</t>
  </si>
  <si>
    <t>ORD100312</t>
  </si>
  <si>
    <t>ORD101022</t>
  </si>
  <si>
    <t>ORD100529</t>
  </si>
  <si>
    <t>ORD101593</t>
  </si>
  <si>
    <t>ORD102693</t>
  </si>
  <si>
    <t>ORD103977</t>
  </si>
  <si>
    <t>CUST1510</t>
  </si>
  <si>
    <t>ORD101579</t>
  </si>
  <si>
    <t>ORD101615</t>
  </si>
  <si>
    <t>ORD100957</t>
  </si>
  <si>
    <t>ORD100389</t>
  </si>
  <si>
    <t>ORD103357</t>
  </si>
  <si>
    <t>ORD101803</t>
  </si>
  <si>
    <t>ORD101107</t>
  </si>
  <si>
    <t>ORD103494</t>
  </si>
  <si>
    <t>ORD101519</t>
  </si>
  <si>
    <t>ORD101569</t>
  </si>
  <si>
    <t>ORD100617</t>
  </si>
  <si>
    <t>ORD101076</t>
  </si>
  <si>
    <t>ORD100058</t>
  </si>
  <si>
    <t>ORD101702</t>
  </si>
  <si>
    <t>ORD100122</t>
  </si>
  <si>
    <t>ORD100235</t>
  </si>
  <si>
    <t>ORD100472</t>
  </si>
  <si>
    <t>ORD101030</t>
  </si>
  <si>
    <t>ORD103557</t>
  </si>
  <si>
    <t>ORD102572</t>
  </si>
  <si>
    <t>ORD103680</t>
  </si>
  <si>
    <t>ORD102386</t>
  </si>
  <si>
    <t>ORD100997</t>
  </si>
  <si>
    <t>ORD103373</t>
  </si>
  <si>
    <t>ORD100194</t>
  </si>
  <si>
    <t>ORD102279</t>
  </si>
  <si>
    <t>ORD102875</t>
  </si>
  <si>
    <t>ORD102611</t>
  </si>
  <si>
    <t>ORD100820</t>
  </si>
  <si>
    <t>ORD100027</t>
  </si>
  <si>
    <t>CUST1324</t>
  </si>
  <si>
    <t>Budi Santos</t>
  </si>
  <si>
    <t>ORD100120</t>
  </si>
  <si>
    <t>ORD102039</t>
  </si>
  <si>
    <t>ORD101087</t>
  </si>
  <si>
    <t>ORD100413</t>
  </si>
  <si>
    <t>ORD100107</t>
  </si>
  <si>
    <t>ORD103550</t>
  </si>
  <si>
    <t>ORD100477</t>
  </si>
  <si>
    <t>ORD103625</t>
  </si>
  <si>
    <t>ORD103290</t>
  </si>
  <si>
    <t>ORD102633</t>
  </si>
  <si>
    <t>ORD103159</t>
  </si>
  <si>
    <t>ORD101586</t>
  </si>
  <si>
    <t>ORD101029</t>
  </si>
  <si>
    <t>ORD103105</t>
  </si>
  <si>
    <t>ORD100123</t>
  </si>
  <si>
    <t>ORD101047</t>
  </si>
  <si>
    <t>ORD103480</t>
  </si>
  <si>
    <t>CUST1309</t>
  </si>
  <si>
    <t>ORD101898</t>
  </si>
  <si>
    <t>ORD100795</t>
  </si>
  <si>
    <t>ORD102248</t>
  </si>
  <si>
    <t>ORD102195</t>
  </si>
  <si>
    <t>ORD102838</t>
  </si>
  <si>
    <t>ORD101269</t>
  </si>
  <si>
    <t>ORD102052</t>
  </si>
  <si>
    <t>ORD103248</t>
  </si>
  <si>
    <t>ORD101080</t>
  </si>
  <si>
    <t>ORD102114</t>
  </si>
  <si>
    <t>ORD100622</t>
  </si>
  <si>
    <t>ORD102713</t>
  </si>
  <si>
    <t>ORD100959</t>
  </si>
  <si>
    <t>ORD101885</t>
  </si>
  <si>
    <t>ORD103807</t>
  </si>
  <si>
    <t>ORD102910</t>
  </si>
  <si>
    <t>ORD102461</t>
  </si>
  <si>
    <t>ORD100503</t>
  </si>
  <si>
    <t>ORD102360</t>
  </si>
  <si>
    <t>ORD101594</t>
  </si>
  <si>
    <t>ORD103736</t>
  </si>
  <si>
    <t>ORD101228</t>
  </si>
  <si>
    <t>ORD103253</t>
  </si>
  <si>
    <t>ORD101627</t>
  </si>
  <si>
    <t>ORD100658</t>
  </si>
  <si>
    <t>ORD102538</t>
  </si>
  <si>
    <t>ORD100130</t>
  </si>
  <si>
    <t>ORD100647</t>
  </si>
  <si>
    <t>ORD102188</t>
  </si>
  <si>
    <t>ORD103666</t>
  </si>
  <si>
    <t>ORD102856</t>
  </si>
  <si>
    <t>ORD101756</t>
  </si>
  <si>
    <t>ORD100034</t>
  </si>
  <si>
    <t>ORD103325</t>
  </si>
  <si>
    <t>ORD101128</t>
  </si>
  <si>
    <t>CUST1333</t>
  </si>
  <si>
    <t>ORD103622</t>
  </si>
  <si>
    <t>ORD102208</t>
  </si>
  <si>
    <t>ORD101580</t>
  </si>
  <si>
    <t>ORD100132</t>
  </si>
  <si>
    <t>CUST1486</t>
  </si>
  <si>
    <t>ORD102557</t>
  </si>
  <si>
    <t>ORD100551</t>
  </si>
  <si>
    <t>ORD100856</t>
  </si>
  <si>
    <t>ORD102965</t>
  </si>
  <si>
    <t>ORD101668</t>
  </si>
  <si>
    <t>ORD101657</t>
  </si>
  <si>
    <t>ORD101106</t>
  </si>
  <si>
    <t>ORD100986</t>
  </si>
  <si>
    <t>ORD103643</t>
  </si>
  <si>
    <t>ORD102210</t>
  </si>
  <si>
    <t>ORD100809</t>
  </si>
  <si>
    <t>ORD101965</t>
  </si>
  <si>
    <t>ORD100044</t>
  </si>
  <si>
    <t>ORD101322</t>
  </si>
  <si>
    <t>ORD102567</t>
  </si>
  <si>
    <t>CUST1304</t>
  </si>
  <si>
    <t>ORD102533</t>
  </si>
  <si>
    <t>ORD102670</t>
  </si>
  <si>
    <t>ORD101329</t>
  </si>
  <si>
    <t>ORD103861</t>
  </si>
  <si>
    <t>CUST1707</t>
  </si>
  <si>
    <t>Michael Yusuf</t>
  </si>
  <si>
    <t>ORD103246</t>
  </si>
  <si>
    <t>ORD103941</t>
  </si>
  <si>
    <t>ORD103400</t>
  </si>
  <si>
    <t>ORD103662</t>
  </si>
  <si>
    <t>ORD100392</t>
  </si>
  <si>
    <t>ORD102285</t>
  </si>
  <si>
    <t>ORD101184</t>
  </si>
  <si>
    <t>ORD101648</t>
  </si>
  <si>
    <t>ORD100009</t>
  </si>
  <si>
    <t>ORD103688</t>
  </si>
  <si>
    <t>ORD103251</t>
  </si>
  <si>
    <t>ORD100568</t>
  </si>
  <si>
    <t>ORD100618</t>
  </si>
  <si>
    <t>ORD102570</t>
  </si>
  <si>
    <t>ORD100884</t>
  </si>
  <si>
    <t>ORD103287</t>
  </si>
  <si>
    <t>ORD100484</t>
  </si>
  <si>
    <t>ORD101886</t>
  </si>
  <si>
    <t>ORD101062</t>
  </si>
  <si>
    <t>CUST1551</t>
  </si>
  <si>
    <t>ORD100222</t>
  </si>
  <si>
    <t>ORD102952</t>
  </si>
  <si>
    <t>ORD103887</t>
  </si>
  <si>
    <t>ORD102311</t>
  </si>
  <si>
    <t>ORD101112</t>
  </si>
  <si>
    <t>ORD102076</t>
  </si>
  <si>
    <t>ORD100661</t>
  </si>
  <si>
    <t>ORD102515</t>
  </si>
  <si>
    <t>ORD103893</t>
  </si>
  <si>
    <t>ORD100866</t>
  </si>
  <si>
    <t>ORD102837</t>
  </si>
  <si>
    <t>ORD101131</t>
  </si>
  <si>
    <t>ORD101233</t>
  </si>
  <si>
    <t>ORD102871</t>
  </si>
  <si>
    <t>ORD100642</t>
  </si>
  <si>
    <t>ORD103670</t>
  </si>
  <si>
    <t>ORD103635</t>
  </si>
  <si>
    <t>ORD100117</t>
  </si>
  <si>
    <t>CUST1059</t>
  </si>
  <si>
    <t>ORD102478</t>
  </si>
  <si>
    <t>ORD100574</t>
  </si>
  <si>
    <t>ORD103594</t>
  </si>
  <si>
    <t>ORD101480</t>
  </si>
  <si>
    <t>ORD100456</t>
  </si>
  <si>
    <t>ORD100397</t>
  </si>
  <si>
    <t>ORD100560</t>
  </si>
  <si>
    <t>ORD102491</t>
  </si>
  <si>
    <t>ORD100398</t>
  </si>
  <si>
    <t>ORD100094</t>
  </si>
  <si>
    <t>ORD103907</t>
  </si>
  <si>
    <t>ORD101344</t>
  </si>
  <si>
    <t>ORD100956</t>
  </si>
  <si>
    <t>ORD101522</t>
  </si>
  <si>
    <t>ORD102212</t>
  </si>
  <si>
    <t>ORD102173</t>
  </si>
  <si>
    <t>ORD101059</t>
  </si>
  <si>
    <t>ORD101253</t>
  </si>
  <si>
    <t>CUST1880</t>
  </si>
  <si>
    <t>ORD100321</t>
  </si>
  <si>
    <t>ORD102607</t>
  </si>
  <si>
    <t>ORD102497</t>
  </si>
  <si>
    <t>ORD101081</t>
  </si>
  <si>
    <t>ORD101298</t>
  </si>
  <si>
    <t>ORD101176</t>
  </si>
  <si>
    <t>ORD100480</t>
  </si>
  <si>
    <t>ORD102908</t>
  </si>
  <si>
    <t>ORD100998</t>
  </si>
  <si>
    <t>ORD101625</t>
  </si>
  <si>
    <t>ORD101336</t>
  </si>
  <si>
    <t>ORD100414</t>
  </si>
  <si>
    <t>ORD103069</t>
  </si>
  <si>
    <t>ORD103648</t>
  </si>
  <si>
    <t>ORD103129</t>
  </si>
  <si>
    <t>ORD100895</t>
  </si>
  <si>
    <t>ORD103018</t>
  </si>
  <si>
    <t>ORD102750</t>
  </si>
  <si>
    <t>ORD101105</t>
  </si>
  <si>
    <t>ORD103379</t>
  </si>
  <si>
    <t>ORD102437</t>
  </si>
  <si>
    <t>ORD101115</t>
  </si>
  <si>
    <t>CUST1802</t>
  </si>
  <si>
    <t>ORD103426</t>
  </si>
  <si>
    <t>ORD102963</t>
  </si>
  <si>
    <t>ORD103753</t>
  </si>
  <si>
    <t>ORD100017</t>
  </si>
  <si>
    <t>ORD102966</t>
  </si>
  <si>
    <t>CUST1132</t>
  </si>
  <si>
    <t>ORD103983</t>
  </si>
  <si>
    <t>ORD102927</t>
  </si>
  <si>
    <t>ORD102851</t>
  </si>
  <si>
    <t>ORD102429</t>
  </si>
  <si>
    <t>ORD101762</t>
  </si>
  <si>
    <t>ORD103003</t>
  </si>
  <si>
    <t>ORD100546</t>
  </si>
  <si>
    <t>ORD101197</t>
  </si>
  <si>
    <t>ORD102786</t>
  </si>
  <si>
    <t>ORD101243</t>
  </si>
  <si>
    <t>ORD103402</t>
  </si>
  <si>
    <t>ORD102049</t>
  </si>
  <si>
    <t>ORD103210</t>
  </si>
  <si>
    <t>ORD102335</t>
  </si>
  <si>
    <t>ORD102586</t>
  </si>
  <si>
    <t>ORD102549</t>
  </si>
  <si>
    <t>ORD101604</t>
  </si>
  <si>
    <t>ORD101090</t>
  </si>
  <si>
    <t>ORD103056</t>
  </si>
  <si>
    <t>ORD100803</t>
  </si>
  <si>
    <t>ORD103886</t>
  </si>
  <si>
    <t>ORD100873</t>
  </si>
  <si>
    <t>ORD103595</t>
  </si>
  <si>
    <t>ORD102576</t>
  </si>
  <si>
    <t>ORD100376</t>
  </si>
  <si>
    <t>ORD100631</t>
  </si>
  <si>
    <t>ORD101565</t>
  </si>
  <si>
    <t>ORD101060</t>
  </si>
  <si>
    <t>ORD101862</t>
  </si>
  <si>
    <t>ORD102689</t>
  </si>
  <si>
    <t>ORD103153</t>
  </si>
  <si>
    <t>ORD100284</t>
  </si>
  <si>
    <t>ORD103811</t>
  </si>
  <si>
    <t>ORD103299</t>
  </si>
  <si>
    <t>ORD103910</t>
  </si>
  <si>
    <t>ORD103351</t>
  </si>
  <si>
    <t>ORD101929</t>
  </si>
  <si>
    <t>ORD101097</t>
  </si>
  <si>
    <t>ORD101692</t>
  </si>
  <si>
    <t>CUST1413</t>
  </si>
  <si>
    <t>ORD102842</t>
  </si>
  <si>
    <t>ORD102196</t>
  </si>
  <si>
    <t>ORD101462</t>
  </si>
  <si>
    <t>ORD103581</t>
  </si>
  <si>
    <t>ORD101995</t>
  </si>
  <si>
    <t>ORD100351</t>
  </si>
  <si>
    <t>ORD102146</t>
  </si>
  <si>
    <t>ORD103760</t>
  </si>
  <si>
    <t>ORD100566</t>
  </si>
  <si>
    <t>CUST1695</t>
  </si>
  <si>
    <t>ORD100483</t>
  </si>
  <si>
    <t>ORD103229</t>
  </si>
  <si>
    <t>ORD102315</t>
  </si>
  <si>
    <t>ORD100128</t>
  </si>
  <si>
    <t>CUST1567</t>
  </si>
  <si>
    <t>ORD102592</t>
  </si>
  <si>
    <t>ORD103016</t>
  </si>
  <si>
    <t>ORD100356</t>
  </si>
  <si>
    <t>ORD102803</t>
  </si>
  <si>
    <t>ORD103820</t>
  </si>
  <si>
    <t>ORD102412</t>
  </si>
  <si>
    <t>ORD103415</t>
  </si>
  <si>
    <t>ORD103577</t>
  </si>
  <si>
    <t>ORD101520</t>
  </si>
  <si>
    <t>ORD101035</t>
  </si>
  <si>
    <t>ORD100054</t>
  </si>
  <si>
    <t>ORD103502</t>
  </si>
  <si>
    <t>ORD100746</t>
  </si>
  <si>
    <t>ORD103254</t>
  </si>
  <si>
    <t>ORD101241</t>
  </si>
  <si>
    <t>CUST1044</t>
  </si>
  <si>
    <t>ORD103279</t>
  </si>
  <si>
    <t>ORD101190</t>
  </si>
  <si>
    <t>ORD100457</t>
  </si>
  <si>
    <t>ORD103741</t>
  </si>
  <si>
    <t>ORD103915</t>
  </si>
  <si>
    <t>ORD103294</t>
  </si>
  <si>
    <t>ORD101282</t>
  </si>
  <si>
    <t>ORD100634</t>
  </si>
  <si>
    <t>ORD103078</t>
  </si>
  <si>
    <t>ORD103701</t>
  </si>
  <si>
    <t>ORD103677</t>
  </si>
  <si>
    <t>ORD101776</t>
  </si>
  <si>
    <t>ORD103532</t>
  </si>
  <si>
    <t>ORD100695</t>
  </si>
  <si>
    <t>ORD100613</t>
  </si>
  <si>
    <t>ORD102560</t>
  </si>
  <si>
    <t>ORD102895</t>
  </si>
  <si>
    <t>ORD100465</t>
  </si>
  <si>
    <t>ORD103787</t>
  </si>
  <si>
    <t>ORD103378</t>
  </si>
  <si>
    <t>ORD103580</t>
  </si>
  <si>
    <t>ORD101466</t>
  </si>
  <si>
    <t>ORD101477</t>
  </si>
  <si>
    <t>ORD101504</t>
  </si>
  <si>
    <t>ORD101800</t>
  </si>
  <si>
    <t>ORD103810</t>
  </si>
  <si>
    <t>ORD101631</t>
  </si>
  <si>
    <t>ORD100405</t>
  </si>
  <si>
    <t>ORD103264</t>
  </si>
  <si>
    <t>ORD101124</t>
  </si>
  <si>
    <t>ORD102839</t>
  </si>
  <si>
    <t>ORD103626</t>
  </si>
  <si>
    <t>ORD102369</t>
  </si>
  <si>
    <t>ORD101272</t>
  </si>
  <si>
    <t>ORD100197</t>
  </si>
  <si>
    <t>ORD102266</t>
  </si>
  <si>
    <t>ORD103437</t>
  </si>
  <si>
    <t>ORD102568</t>
  </si>
  <si>
    <t>ORD101884</t>
  </si>
  <si>
    <t>ORD100882</t>
  </si>
  <si>
    <t>ORD101353</t>
  </si>
  <si>
    <t>ORD103301</t>
  </si>
  <si>
    <t>ORD101715</t>
  </si>
  <si>
    <t>ORD103272</t>
  </si>
  <si>
    <t>ORD101416</t>
  </si>
  <si>
    <t>ORD102665</t>
  </si>
  <si>
    <t>ORD103723</t>
  </si>
  <si>
    <t>CUST1767</t>
  </si>
  <si>
    <t>ORD102302</t>
  </si>
  <si>
    <t>ORD101495</t>
  </si>
  <si>
    <t>ORD102886</t>
  </si>
  <si>
    <t>ORD103653</t>
  </si>
  <si>
    <t>ORD100792</t>
  </si>
  <si>
    <t>ORD100713</t>
  </si>
  <si>
    <t>CUST1598</t>
  </si>
  <si>
    <t>ORD102594</t>
  </si>
  <si>
    <t>ORD101849</t>
  </si>
  <si>
    <t>ORD101510</t>
  </si>
  <si>
    <t>ORD100719</t>
  </si>
  <si>
    <t>ORD102593</t>
  </si>
  <si>
    <t>ORD103010</t>
  </si>
  <si>
    <t>ORD101159</t>
  </si>
  <si>
    <t>CUST1358</t>
  </si>
  <si>
    <t>ORD101232</t>
  </si>
  <si>
    <t>ORD102953</t>
  </si>
  <si>
    <t>ORD103963</t>
  </si>
  <si>
    <t>CUST1692</t>
  </si>
  <si>
    <t>ORD101959</t>
  </si>
  <si>
    <t>ORD101258</t>
  </si>
  <si>
    <t>ORD101222</t>
  </si>
  <si>
    <t>ORD102005</t>
  </si>
  <si>
    <t>ORD103274</t>
  </si>
  <si>
    <t>ORD101181</t>
  </si>
  <si>
    <t>ORD102453</t>
  </si>
  <si>
    <t>ORD103958</t>
  </si>
  <si>
    <t>ORD102988</t>
  </si>
  <si>
    <t>ORD103860</t>
  </si>
  <si>
    <t>ORD103031</t>
  </si>
  <si>
    <t>ORD103316</t>
  </si>
  <si>
    <t>ORD101247</t>
  </si>
  <si>
    <t>ORD102850</t>
  </si>
  <si>
    <t>ORD103575</t>
  </si>
  <si>
    <t>ORD100010</t>
  </si>
  <si>
    <t>ORD101619</t>
  </si>
  <si>
    <t>ORD103647</t>
  </si>
  <si>
    <t>CUST1751</t>
  </si>
  <si>
    <t>ORD103230</t>
  </si>
  <si>
    <t>ORD101285</t>
  </si>
  <si>
    <t>ORD103833</t>
  </si>
  <si>
    <t>ORD103389</t>
  </si>
  <si>
    <t>ORD102565</t>
  </si>
  <si>
    <t>ORD101741</t>
  </si>
  <si>
    <t>ORD101769</t>
  </si>
  <si>
    <t>ORD101869</t>
  </si>
  <si>
    <t>ORD102960</t>
  </si>
  <si>
    <t>CUST1475</t>
  </si>
  <si>
    <t>ORD101171</t>
  </si>
  <si>
    <t>ORD100135</t>
  </si>
  <si>
    <t>ORD103792</t>
  </si>
  <si>
    <t>ORD100964</t>
  </si>
  <si>
    <t>ORD101841</t>
  </si>
  <si>
    <t>ORD100543</t>
  </si>
  <si>
    <t>ORD100494</t>
  </si>
  <si>
    <t>ORD102455</t>
  </si>
  <si>
    <t>ORD100524</t>
  </si>
  <si>
    <t>ORD103955</t>
  </si>
  <si>
    <t>ORD103565</t>
  </si>
  <si>
    <t>ORD101273</t>
  </si>
  <si>
    <t>ORD101642</t>
  </si>
  <si>
    <t>ORD100786</t>
  </si>
  <si>
    <t>ORD102950</t>
  </si>
  <si>
    <t>ORD100961</t>
  </si>
  <si>
    <t>ORD100893</t>
  </si>
  <si>
    <t>ORD101343</t>
  </si>
  <si>
    <t>ORD101050</t>
  </si>
  <si>
    <t>ORD102653</t>
  </si>
  <si>
    <t>ORD101119</t>
  </si>
  <si>
    <t>ORD101371</t>
  </si>
  <si>
    <t>ORD103442</t>
  </si>
  <si>
    <t>ORD101698</t>
  </si>
  <si>
    <t>ORD102249</t>
  </si>
  <si>
    <t>ORD103916</t>
  </si>
  <si>
    <t>ORD101300</t>
  </si>
  <si>
    <t>ORD103044</t>
  </si>
  <si>
    <t>ORD101533</t>
  </si>
  <si>
    <t>ORD101315</t>
  </si>
  <si>
    <t>ORD101870</t>
  </si>
  <si>
    <t>ORD101411</t>
  </si>
  <si>
    <t>ORD103852</t>
  </si>
  <si>
    <t>ORD102156</t>
  </si>
  <si>
    <t>ORD103671</t>
  </si>
  <si>
    <t>ORD100345</t>
  </si>
  <si>
    <t>ORD102754</t>
  </si>
  <si>
    <t>ORD103920</t>
  </si>
  <si>
    <t>ORD103767</t>
  </si>
  <si>
    <t>ORD101077</t>
  </si>
  <si>
    <t>ORD101025</t>
  </si>
  <si>
    <t>ORD100633</t>
  </si>
  <si>
    <t>ORD103149</t>
  </si>
  <si>
    <t>ORD101211</t>
  </si>
  <si>
    <t>ORD101664</t>
  </si>
  <si>
    <t>ORD101257</t>
  </si>
  <si>
    <t>ORD101821</t>
  </si>
  <si>
    <t>ORD100218</t>
  </si>
  <si>
    <t>ORD103024</t>
  </si>
  <si>
    <t>ORD101788</t>
  </si>
  <si>
    <t>ORD100412</t>
  </si>
  <si>
    <t>ORD100195</t>
  </si>
  <si>
    <t>ORD103114</t>
  </si>
  <si>
    <t>ORD102338</t>
  </si>
  <si>
    <t>ORD101339</t>
  </si>
  <si>
    <t>ORD100021</t>
  </si>
  <si>
    <t>ORD103193</t>
  </si>
  <si>
    <t>ORD100250</t>
  </si>
  <si>
    <t>ORD102334</t>
  </si>
  <si>
    <t>ORD102929</t>
  </si>
  <si>
    <t>ORD103085</t>
  </si>
  <si>
    <t>ORD101506</t>
  </si>
  <si>
    <t>ORD102677</t>
  </si>
  <si>
    <t>ORD102373</t>
  </si>
  <si>
    <t>ORD101158</t>
  </si>
  <si>
    <t>ORD102299</t>
  </si>
  <si>
    <t>ORD100287</t>
  </si>
  <si>
    <t>ORD101508</t>
  </si>
  <si>
    <t>ORD100097</t>
  </si>
  <si>
    <t>ORD102420</t>
  </si>
  <si>
    <t>ORD102961</t>
  </si>
  <si>
    <t>ORD102346</t>
  </si>
  <si>
    <t>ORD101259</t>
  </si>
  <si>
    <t>ORD102057</t>
  </si>
  <si>
    <t>ORD102505</t>
  </si>
  <si>
    <t>ORD100387</t>
  </si>
  <si>
    <t>ORD102140</t>
  </si>
  <si>
    <t>ORD102088</t>
  </si>
  <si>
    <t>ORD102471</t>
  </si>
  <si>
    <t>ORD101647</t>
  </si>
  <si>
    <t>ORD102391</t>
  </si>
  <si>
    <t>ORD101752</t>
  </si>
  <si>
    <t>ORD102796</t>
  </si>
  <si>
    <t>ORD101114</t>
  </si>
  <si>
    <t>ORD103731</t>
  </si>
  <si>
    <t>ORD100600</t>
  </si>
  <si>
    <t>ORD101082</t>
  </si>
  <si>
    <t>ORD103615</t>
  </si>
  <si>
    <t>ORD101771</t>
  </si>
  <si>
    <t>ORD100858</t>
  </si>
  <si>
    <t>ORD103866</t>
  </si>
  <si>
    <t>ORD100985</t>
  </si>
  <si>
    <t>ORD101528</t>
  </si>
  <si>
    <t>ORD100765</t>
  </si>
  <si>
    <t>ORD101557</t>
  </si>
  <si>
    <t>ORD101867</t>
  </si>
  <si>
    <t>ORD101095</t>
  </si>
  <si>
    <t>ORD100080</t>
  </si>
  <si>
    <t>ORD100134</t>
  </si>
  <si>
    <t>ORD103524</t>
  </si>
  <si>
    <t>ORD102268</t>
  </si>
  <si>
    <t>ORD101491</t>
  </si>
  <si>
    <t>ORD101832</t>
  </si>
  <si>
    <t>ORD102474</t>
  </si>
  <si>
    <t>ORD101066</t>
  </si>
  <si>
    <t>ORD103282</t>
  </si>
  <si>
    <t>ORD102342</t>
  </si>
  <si>
    <t>ORD102798</t>
  </si>
  <si>
    <t>ORD100890</t>
  </si>
  <si>
    <t>ORD103945</t>
  </si>
  <si>
    <t>ORD103181</t>
  </si>
  <si>
    <t>ORD102686</t>
  </si>
  <si>
    <t>ORD103491</t>
  </si>
  <si>
    <t>CUST1792</t>
  </si>
  <si>
    <t>ORD100530</t>
  </si>
  <si>
    <t>ORD101449</t>
  </si>
  <si>
    <t>ORD102277</t>
  </si>
  <si>
    <t>ORD100274</t>
  </si>
  <si>
    <t>CUST1610</t>
  </si>
  <si>
    <t>ORD103848</t>
  </si>
  <si>
    <t>ORD103326</t>
  </si>
  <si>
    <t>ORD102541</t>
  </si>
  <si>
    <t>ORD103419</t>
  </si>
  <si>
    <t>ORD101498</t>
  </si>
  <si>
    <t>ORD100181</t>
  </si>
  <si>
    <t>ORD101098</t>
  </si>
  <si>
    <t>ORD102222</t>
  </si>
  <si>
    <t>ORD100133</t>
  </si>
  <si>
    <t>ORD103879</t>
  </si>
  <si>
    <t>ORD102947</t>
  </si>
  <si>
    <t>ORD101509</t>
  </si>
  <si>
    <t>ORD100937</t>
  </si>
  <si>
    <t>ORD102465</t>
  </si>
  <si>
    <t>ORD100506</t>
  </si>
  <si>
    <t>ORD103561</t>
  </si>
  <si>
    <t>ORD102354</t>
  </si>
  <si>
    <t>ORD103841</t>
  </si>
  <si>
    <t>ORD101524</t>
  </si>
  <si>
    <t>ORD101459</t>
  </si>
  <si>
    <t>ORD101840</t>
  </si>
  <si>
    <t>ORD100137</t>
  </si>
  <si>
    <t>ORD103612</t>
  </si>
  <si>
    <t>ORD102197</t>
  </si>
  <si>
    <t>CUST1671</t>
  </si>
  <si>
    <t>ORD101229</t>
  </si>
  <si>
    <t>ORD100113</t>
  </si>
  <si>
    <t>ORD100155</t>
  </si>
  <si>
    <t>ORD103304</t>
  </si>
  <si>
    <t>ORD100331</t>
  </si>
  <si>
    <t>ORD100370</t>
  </si>
  <si>
    <t>ORD102636</t>
  </si>
  <si>
    <t>ORD103987</t>
  </si>
  <si>
    <t>ORD101121</t>
  </si>
  <si>
    <t>ORD101745</t>
  </si>
  <si>
    <t>ORD101043</t>
  </si>
  <si>
    <t>ORD102995</t>
  </si>
  <si>
    <t>ORD100674</t>
  </si>
  <si>
    <t>ORD103949</t>
  </si>
  <si>
    <t>ORD102660</t>
  </si>
  <si>
    <t>ORD102658</t>
  </si>
  <si>
    <t>ORD100070</t>
  </si>
  <si>
    <t>ORD101566</t>
  </si>
  <si>
    <t>ORD100114</t>
  </si>
  <si>
    <t>ORD102303</t>
  </si>
  <si>
    <t>ORD100995</t>
  </si>
  <si>
    <t>ORD102375</t>
  </si>
  <si>
    <t>ORD101167</t>
  </si>
  <si>
    <t>ORD103247</t>
  </si>
  <si>
    <t>ORD100648</t>
  </si>
  <si>
    <t>ORD101340</t>
  </si>
  <si>
    <t>ORD103487</t>
  </si>
  <si>
    <t>ORD103108</t>
  </si>
  <si>
    <t>ORD101223</t>
  </si>
  <si>
    <t>ORD103118</t>
  </si>
  <si>
    <t>ORD102564</t>
  </si>
  <si>
    <t>ORD102780</t>
  </si>
  <si>
    <t>ORD100593</t>
  </si>
  <si>
    <t>ORD100747</t>
  </si>
  <si>
    <t>ORD101536</t>
  </si>
  <si>
    <t>ORD101723</t>
  </si>
  <si>
    <t>ORD103938</t>
  </si>
  <si>
    <t>ORD101925</t>
  </si>
  <si>
    <t>CUST1045</t>
  </si>
  <si>
    <t>Budi Yusuf</t>
  </si>
  <si>
    <t>ORD102050</t>
  </si>
  <si>
    <t>ORD102709</t>
  </si>
  <si>
    <t>ORD100431</t>
  </si>
  <si>
    <t>ORD101470</t>
  </si>
  <si>
    <t>ORD101748</t>
  </si>
  <si>
    <t>ORD103858</t>
  </si>
  <si>
    <t>ORD101792</t>
  </si>
  <si>
    <t>ORD101578</t>
  </si>
  <si>
    <t>ORD103509</t>
  </si>
  <si>
    <t>ORD101352</t>
  </si>
  <si>
    <t>ORD100839</t>
  </si>
  <si>
    <t>ORD100822</t>
  </si>
  <si>
    <t>ORD103768</t>
  </si>
  <si>
    <t>ORD100686</t>
  </si>
  <si>
    <t>ORD102236</t>
  </si>
  <si>
    <t>ORD102778</t>
  </si>
  <si>
    <t>ORD103700</t>
  </si>
  <si>
    <t>ORD102099</t>
  </si>
  <si>
    <t>ORD102387</t>
  </si>
  <si>
    <t>ORD101468</t>
  </si>
  <si>
    <t>ORD103726</t>
  </si>
  <si>
    <t>ORD100578</t>
  </si>
  <si>
    <t>ORD101740</t>
  </si>
  <si>
    <t>ORD100184</t>
  </si>
  <si>
    <t>ORD100725</t>
  </si>
  <si>
    <t>ORD100012</t>
  </si>
  <si>
    <t>ORD100101</t>
  </si>
  <si>
    <t>ORD102587</t>
  </si>
  <si>
    <t>ORD103204</t>
  </si>
  <si>
    <t>ORD102383</t>
  </si>
  <si>
    <t>ORD103074</t>
  </si>
  <si>
    <t>ORD102265</t>
  </si>
  <si>
    <t>ORD103465</t>
  </si>
  <si>
    <t>ORD102645</t>
  </si>
  <si>
    <t>ORD100318</t>
  </si>
  <si>
    <t>ORD101173</t>
  </si>
  <si>
    <t>ORD100201</t>
  </si>
  <si>
    <t>ORD100077</t>
  </si>
  <si>
    <t>ORD102573</t>
  </si>
  <si>
    <t>ORD102506</t>
  </si>
  <si>
    <t>ORD101246</t>
  </si>
  <si>
    <t>ORD100559</t>
  </si>
  <si>
    <t>ORD103145</t>
  </si>
  <si>
    <t>ORD103904</t>
  </si>
  <si>
    <t>ORD100595</t>
  </si>
  <si>
    <t>ORD103607</t>
  </si>
  <si>
    <t>ORD100711</t>
  </si>
  <si>
    <t>ORD102775</t>
  </si>
  <si>
    <t>ORD101963</t>
  </si>
  <si>
    <t>ORD102094</t>
  </si>
  <si>
    <t>ORD101921</t>
  </si>
  <si>
    <t>ORD102717</t>
  </si>
  <si>
    <t>ORD101155</t>
  </si>
  <si>
    <t>ORD103996</t>
  </si>
  <si>
    <t>ORD103182</t>
  </si>
  <si>
    <t>ORD102415</t>
  </si>
  <si>
    <t>ORD102325</t>
  </si>
  <si>
    <t>CUST1226</t>
  </si>
  <si>
    <t>ORD100920</t>
  </si>
  <si>
    <t>ORD102923</t>
  </si>
  <si>
    <t>ORD101872</t>
  </si>
  <si>
    <t>ORD102553</t>
  </si>
  <si>
    <t>ORD100496</t>
  </si>
  <si>
    <t>ORD102534</t>
  </si>
  <si>
    <t>ORD102913</t>
  </si>
  <si>
    <t>ORD100815</t>
  </si>
  <si>
    <t>ORD101045</t>
  </si>
  <si>
    <t>ORD100257</t>
  </si>
  <si>
    <t>ORD101904</t>
  </si>
  <si>
    <t>ORD101168</t>
  </si>
  <si>
    <t>ORD100468</t>
  </si>
  <si>
    <t>ORD102571</t>
  </si>
  <si>
    <t>ORD102909</t>
  </si>
  <si>
    <t>ORD103793</t>
  </si>
  <si>
    <t>ORD101701</t>
  </si>
  <si>
    <t>ORD100005</t>
  </si>
  <si>
    <t>ORD102262</t>
  </si>
  <si>
    <t>ORD103627</t>
  </si>
  <si>
    <t>ORD103871</t>
  </si>
  <si>
    <t>ORD101742</t>
  </si>
  <si>
    <t>ORD101999</t>
  </si>
  <si>
    <t>ORD103664</t>
  </si>
  <si>
    <t>ORD102941</t>
  </si>
  <si>
    <t>ORD102809</t>
  </si>
  <si>
    <t>ORD102579</t>
  </si>
  <si>
    <t>ORD103280</t>
  </si>
  <si>
    <t>ORD102045</t>
  </si>
  <si>
    <t>CUST1114</t>
  </si>
  <si>
    <t>ORD102294</t>
  </si>
  <si>
    <t>ORD100577</t>
  </si>
  <si>
    <t>ORD102213</t>
  </si>
  <si>
    <t>ORD103798</t>
  </si>
  <si>
    <t>ORD101417</t>
  </si>
  <si>
    <t>ORD100612</t>
  </si>
  <si>
    <t>ORD103961</t>
  </si>
  <si>
    <t>ORD103857</t>
  </si>
  <si>
    <t>ORD102777</t>
  </si>
  <si>
    <t>ORD103763</t>
  </si>
  <si>
    <t>ORD103600</t>
  </si>
  <si>
    <t>ORD101252</t>
  </si>
  <si>
    <t>ORD102845</t>
  </si>
  <si>
    <t>ORD103756</t>
  </si>
  <si>
    <t>ORD103359</t>
  </si>
  <si>
    <t>ORD100565</t>
  </si>
  <si>
    <t>ORD100916</t>
  </si>
  <si>
    <t>ORD103597</t>
  </si>
  <si>
    <t>CUST1453</t>
  </si>
  <si>
    <t>ORD101403</t>
  </si>
  <si>
    <t>CUST1530</t>
  </si>
  <si>
    <t>ORD103549</t>
  </si>
  <si>
    <t>ORD100292</t>
  </si>
  <si>
    <t>ORD102930</t>
  </si>
  <si>
    <t>ORD103476</t>
  </si>
  <si>
    <t>ORD100508</t>
  </si>
  <si>
    <t>ORD101423</t>
  </si>
  <si>
    <t>ORD100036</t>
  </si>
  <si>
    <t>CUST1489</t>
  </si>
  <si>
    <t>ORD102918</t>
  </si>
  <si>
    <t>ORD102174</t>
  </si>
  <si>
    <t>ORD102001</t>
  </si>
  <si>
    <t>ORD103696</t>
  </si>
  <si>
    <t>ORD101621</t>
  </si>
  <si>
    <t>ORD103390</t>
  </si>
  <si>
    <t>ORD103548</t>
  </si>
  <si>
    <t>ORD100219</t>
  </si>
  <si>
    <t>ORD100585</t>
  </si>
  <si>
    <t>ORD102731</t>
  </si>
  <si>
    <t>ORD100715</t>
  </si>
  <si>
    <t>ORD101017</t>
  </si>
  <si>
    <t>ORD103794</t>
  </si>
  <si>
    <t>ORD103109</t>
  </si>
  <si>
    <t>ORD100601</t>
  </si>
  <si>
    <t>ORD103998</t>
  </si>
  <si>
    <t>ORD101943</t>
  </si>
  <si>
    <t>ORD101489</t>
  </si>
  <si>
    <t>ORD101875</t>
  </si>
  <si>
    <t>ORD101931</t>
  </si>
  <si>
    <t>ORD103943</t>
  </si>
  <si>
    <t>ORD103775</t>
  </si>
  <si>
    <t>ORD102733</t>
  </si>
  <si>
    <t>ORD100439</t>
  </si>
  <si>
    <t>ORD100682</t>
  </si>
  <si>
    <t>ORD100764</t>
  </si>
  <si>
    <t>ORD102915</t>
  </si>
  <si>
    <t>ORD103438</t>
  </si>
  <si>
    <t>ORD102460</t>
  </si>
  <si>
    <t>ORD100651</t>
  </si>
  <si>
    <t>ORD102627</t>
  </si>
  <si>
    <t>ORD101563</t>
  </si>
  <si>
    <t>ORD100277</t>
  </si>
  <si>
    <t>ORD103937</t>
  </si>
  <si>
    <t>ORD101754</t>
  </si>
  <si>
    <t>ORD102028</t>
  </si>
  <si>
    <t>ORD103769</t>
  </si>
  <si>
    <t>ORD101856</t>
  </si>
  <si>
    <t>ORD100493</t>
  </si>
  <si>
    <t>ORD102284</t>
  </si>
  <si>
    <t>ORD102416</t>
  </si>
  <si>
    <t>ORD100993</t>
  </si>
  <si>
    <t>ORD101068</t>
  </si>
  <si>
    <t>ORD101889</t>
  </si>
  <si>
    <t>ORD101009</t>
  </si>
  <si>
    <t>ORD102836</t>
  </si>
  <si>
    <t>ORD102033</t>
  </si>
  <si>
    <t>ORD100914</t>
  </si>
  <si>
    <t>ORD100324</t>
  </si>
  <si>
    <t>ORD102687</t>
  </si>
  <si>
    <t>ORD102854</t>
  </si>
  <si>
    <t>ORD101483</t>
  </si>
  <si>
    <t>ORD103712</t>
  </si>
  <si>
    <t>ORD102740</t>
  </si>
  <si>
    <t>ORD103504</t>
  </si>
  <si>
    <t>ORD103658</t>
  </si>
  <si>
    <t>ORD100311</t>
  </si>
  <si>
    <t>ORD102137</t>
  </si>
  <si>
    <t>ORD101152</t>
  </si>
  <si>
    <t>ORD102957</t>
  </si>
  <si>
    <t>ORD100166</t>
  </si>
  <si>
    <t>ORD101330</t>
  </si>
  <si>
    <t>ORD100238</t>
  </si>
  <si>
    <t>ORD100511</t>
  </si>
  <si>
    <t>ORD103020</t>
  </si>
  <si>
    <t>ORD103908</t>
  </si>
  <si>
    <t>ORD101987</t>
  </si>
  <si>
    <t>ORD101204</t>
  </si>
  <si>
    <t>ORD102705</t>
  </si>
  <si>
    <t>ORD101149</t>
  </si>
  <si>
    <t>ORD103096</t>
  </si>
  <si>
    <t>ORD103843</t>
  </si>
  <si>
    <t>ORD103560</t>
  </si>
  <si>
    <t>ORD101658</t>
  </si>
  <si>
    <t>ORD102295</t>
  </si>
  <si>
    <t>ORD102583</t>
  </si>
  <si>
    <t>ORD103639</t>
  </si>
  <si>
    <t>ORD103041</t>
  </si>
  <si>
    <t>ORD100782</t>
  </si>
  <si>
    <t>ORD100620</t>
  </si>
  <si>
    <t>CUST1203</t>
  </si>
  <si>
    <t>ORD102282</t>
  </si>
  <si>
    <t>ORD102722</t>
  </si>
  <si>
    <t>ORD103209</t>
  </si>
  <si>
    <t>ORD100670</t>
  </si>
  <si>
    <t>ORD102430</t>
  </si>
  <si>
    <t>ORD102414</t>
  </si>
  <si>
    <t>CUST1557</t>
  </si>
  <si>
    <t>ORD102469</t>
  </si>
  <si>
    <t>ORD100475</t>
  </si>
  <si>
    <t>ORD100635</t>
  </si>
  <si>
    <t>ORD100837</t>
  </si>
  <si>
    <t>ORD102891</t>
  </si>
  <si>
    <t>ORD100263</t>
  </si>
  <si>
    <t>ORD100067</t>
  </si>
  <si>
    <t>ORD102912</t>
  </si>
  <si>
    <t>ORD101789</t>
  </si>
  <si>
    <t>ORD101985</t>
  </si>
  <si>
    <t>CUST1347</t>
  </si>
  <si>
    <t>ORD102031</t>
  </si>
  <si>
    <t>ORD103722</t>
  </si>
  <si>
    <t>ORD102776</t>
  </si>
  <si>
    <t>ORD100864</t>
  </si>
  <si>
    <t>ORD102554</t>
  </si>
  <si>
    <t>ORD100329</t>
  </si>
  <si>
    <t>ORD103661</t>
  </si>
  <si>
    <t>ORD102432</t>
  </si>
  <si>
    <t>ORD102030</t>
  </si>
  <si>
    <t>ORD101612</t>
  </si>
  <si>
    <t>ORD101109</t>
  </si>
  <si>
    <t>ORD102355</t>
  </si>
  <si>
    <t>ORD103384</t>
  </si>
  <si>
    <t>CUST1458</t>
  </si>
  <si>
    <t>ORD102986</t>
  </si>
  <si>
    <t>ORD101221</t>
  </si>
  <si>
    <t>ORD101690</t>
  </si>
  <si>
    <t>CUST1440</t>
  </si>
  <si>
    <t>ORD100261</t>
  </si>
  <si>
    <t>ORD103699</t>
  </si>
  <si>
    <t>ORD101809</t>
  </si>
  <si>
    <t>ORD101363</t>
  </si>
  <si>
    <t>ORD102760</t>
  </si>
  <si>
    <t>CUST1336</t>
  </si>
  <si>
    <t>Robert Wilson</t>
  </si>
  <si>
    <t>ORD101044</t>
  </si>
  <si>
    <t>ORD100770</t>
  </si>
  <si>
    <t>ORD101626</t>
  </si>
  <si>
    <t>ORD101706</t>
  </si>
  <si>
    <t>ORD103019</t>
  </si>
  <si>
    <t>ORD102234</t>
  </si>
  <si>
    <t>ORD101240</t>
  </si>
  <si>
    <t>ORD100755</t>
  </si>
  <si>
    <t>ORD102111</t>
  </si>
  <si>
    <t>ORD103317</t>
  </si>
  <si>
    <t>ORD102330</t>
  </si>
  <si>
    <t>ORD101606</t>
  </si>
  <si>
    <t>ORD103784</t>
  </si>
  <si>
    <t>ORD100452</t>
  </si>
  <si>
    <t>ORD102800</t>
  </si>
  <si>
    <t>ORD102106</t>
  </si>
  <si>
    <t>ORD103142</t>
  </si>
  <si>
    <t>CUST1694</t>
  </si>
  <si>
    <t>Ayu Tan</t>
  </si>
  <si>
    <t>ORD100289</t>
  </si>
  <si>
    <t>ORD100227</t>
  </si>
  <si>
    <t>ORD101996</t>
  </si>
  <si>
    <t>ORD100955</t>
  </si>
  <si>
    <t>ORD100545</t>
  </si>
  <si>
    <t>ORD103022</t>
  </si>
  <si>
    <t>ORD103740</t>
  </si>
  <si>
    <t>ORD101219</t>
  </si>
  <si>
    <t>ORD101513</t>
  </si>
  <si>
    <t>ORD103423</t>
  </si>
  <si>
    <t>ORD101199</t>
  </si>
  <si>
    <t>ORD101108</t>
  </si>
  <si>
    <t>ORD100689</t>
  </si>
  <si>
    <t>ORD103162</t>
  </si>
  <si>
    <t>CUST1317</t>
  </si>
  <si>
    <t>ORD102078</t>
  </si>
  <si>
    <t>ORD101953</t>
  </si>
  <si>
    <t>ORD102536</t>
  </si>
  <si>
    <t>ORD103436</t>
  </si>
  <si>
    <t>ORD102085</t>
  </si>
  <si>
    <t>ORD101163</t>
  </si>
  <si>
    <t>ORD103263</t>
  </si>
  <si>
    <t>ORD103267</t>
  </si>
  <si>
    <t>ORD103501</t>
  </si>
  <si>
    <t>ORD102392</t>
  </si>
  <si>
    <t>ORD103707</t>
  </si>
  <si>
    <t>ORD102551</t>
  </si>
  <si>
    <t>ORD102096</t>
  </si>
  <si>
    <t>ORD102785</t>
  </si>
  <si>
    <t>ORD100349</t>
  </si>
  <si>
    <t>ORD101767</t>
  </si>
  <si>
    <t>ORD101438</t>
  </si>
  <si>
    <t>ORD100157</t>
  </si>
  <si>
    <t>ORD101338</t>
  </si>
  <si>
    <t>ORD102648</t>
  </si>
  <si>
    <t>ORD103931</t>
  </si>
  <si>
    <t>ORD101514</t>
  </si>
  <si>
    <t>ORD103268</t>
  </si>
  <si>
    <t>ORD101655</t>
  </si>
  <si>
    <t>ORD101511</t>
  </si>
  <si>
    <t>ORD100088</t>
  </si>
  <si>
    <t>ORD100043</t>
  </si>
  <si>
    <t>ORD100164</t>
  </si>
  <si>
    <t>ORD101989</t>
  </si>
  <si>
    <t>ORD101630</t>
  </si>
  <si>
    <t>ORD103102</t>
  </si>
  <si>
    <t>ORD102366</t>
  </si>
  <si>
    <t>ORD100006</t>
  </si>
  <si>
    <t>ORD101818</t>
  </si>
  <si>
    <t>ORD101281</t>
  </si>
  <si>
    <t>ORD101887</t>
  </si>
  <si>
    <t>ORD102216</t>
  </si>
  <si>
    <t>CUST1408</t>
  </si>
  <si>
    <t>ORD101928</t>
  </si>
  <si>
    <t>ORD100022</t>
  </si>
  <si>
    <t>ORD100753</t>
  </si>
  <si>
    <t>ORD103083</t>
  </si>
  <si>
    <t>ORD100776</t>
  </si>
  <si>
    <t>ORD102830</t>
  </si>
  <si>
    <t>ORD103260</t>
  </si>
  <si>
    <t>ORD103405</t>
  </si>
  <si>
    <t>ORD100992</t>
  </si>
  <si>
    <t>ORD101023</t>
  </si>
  <si>
    <t>ORD102358</t>
  </si>
  <si>
    <t>ORD101583</t>
  </si>
  <si>
    <t>ORD103681</t>
  </si>
  <si>
    <t>ORD101373</t>
  </si>
  <si>
    <t>ORD103441</t>
  </si>
  <si>
    <t>ORD100922</t>
  </si>
  <si>
    <t>ORD102919</t>
  </si>
  <si>
    <t>ORD100336</t>
  </si>
  <si>
    <t>ORD102834</t>
  </si>
  <si>
    <t>ORD102603</t>
  </si>
  <si>
    <t>ORD100214</t>
  </si>
  <si>
    <t>ORD103593</t>
  </si>
  <si>
    <t>ORD100662</t>
  </si>
  <si>
    <t>ORD102766</t>
  </si>
  <si>
    <t>ORD103599</t>
  </si>
  <si>
    <t>ORD103235</t>
  </si>
  <si>
    <t>ORD102009</t>
  </si>
  <si>
    <t>ORD101319</t>
  </si>
  <si>
    <t>ORD102872</t>
  </si>
  <si>
    <t>ORD101973</t>
  </si>
  <si>
    <t>ORD102983</t>
  </si>
  <si>
    <t>ORD100179</t>
  </si>
  <si>
    <t>ORD103364</t>
  </si>
  <si>
    <t>ORD100608</t>
  </si>
  <si>
    <t>ORD103818</t>
  </si>
  <si>
    <t>ORD101207</t>
  </si>
  <si>
    <t>ORD103472</t>
  </si>
  <si>
    <t>ORD103808</t>
  </si>
  <si>
    <t>ORD103052</t>
  </si>
  <si>
    <t>ORD102882</t>
  </si>
  <si>
    <t>ORD102657</t>
  </si>
  <si>
    <t>ORD102647</t>
  </si>
  <si>
    <t>ORD102014</t>
  </si>
  <si>
    <t>ORD103350</t>
  </si>
  <si>
    <t>ORD100923</t>
  </si>
  <si>
    <t>ORD100060</t>
  </si>
  <si>
    <t>ORD103618</t>
  </si>
  <si>
    <t>ORD102784</t>
  </si>
  <si>
    <t>ORD100248</t>
  </si>
  <si>
    <t>ORD103909</t>
  </si>
  <si>
    <t>ORD100304</t>
  </si>
  <si>
    <t>ORD100288</t>
  </si>
  <si>
    <t>ORD103754</t>
  </si>
  <si>
    <t>ORD101673</t>
  </si>
  <si>
    <t>ORD101932</t>
  </si>
  <si>
    <t>ORD100521</t>
  </si>
  <si>
    <t>ORD101645</t>
  </si>
  <si>
    <t>ORD103718</t>
  </si>
  <si>
    <t>ORD101521</t>
  </si>
  <si>
    <t>ORD101838</t>
  </si>
  <si>
    <t>ORD102790</t>
  </si>
  <si>
    <t>ORD101574</t>
  </si>
  <si>
    <t>ORD103358</t>
  </si>
  <si>
    <t>ORD103155</t>
  </si>
  <si>
    <t>ORD100700</t>
  </si>
  <si>
    <t>ORD103851</t>
  </si>
  <si>
    <t>ORD103062</t>
  </si>
  <si>
    <t>ORD103982</t>
  </si>
  <si>
    <t>ORD102048</t>
  </si>
  <si>
    <t>ORD102456</t>
  </si>
  <si>
    <t>ORD103499</t>
  </si>
  <si>
    <t>ORD103796</t>
  </si>
  <si>
    <t>ORD102054</t>
  </si>
  <si>
    <t>ORD100404</t>
  </si>
  <si>
    <t>ORD100026</t>
  </si>
  <si>
    <t>ORD103014</t>
  </si>
  <si>
    <t>ORD101395</t>
  </si>
  <si>
    <t>ORD101994</t>
  </si>
  <si>
    <t>ORD102424</t>
  </si>
  <si>
    <t>ORD101040</t>
  </si>
  <si>
    <t>ORD102015</t>
  </si>
  <si>
    <t>ORD100702</t>
  </si>
  <si>
    <t>ORD100220</t>
  </si>
  <si>
    <t>ORD103657</t>
  </si>
  <si>
    <t>ORD101293</t>
  </si>
  <si>
    <t>ORD100708</t>
  </si>
  <si>
    <t>ORD100243</t>
  </si>
  <si>
    <t>CUST1015</t>
  </si>
  <si>
    <t>ORD102614</t>
  </si>
  <si>
    <t>ORD103331</t>
  </si>
  <si>
    <t>ORD102519</t>
  </si>
  <si>
    <t>ORD102426</t>
  </si>
  <si>
    <t>ORD103869</t>
  </si>
  <si>
    <t>ORD103234</t>
  </si>
  <si>
    <t>ORD101896</t>
  </si>
  <si>
    <t>ORD103813</t>
  </si>
  <si>
    <t>ORD103579</t>
  </si>
  <si>
    <t>ORD100002</t>
  </si>
  <si>
    <t>ORD103128</t>
  </si>
  <si>
    <t>ORD103590</t>
  </si>
  <si>
    <t>ORD101185</t>
  </si>
  <si>
    <t>ORD102821</t>
  </si>
  <si>
    <t>ORD103375</t>
  </si>
  <si>
    <t>ORD101088</t>
  </si>
  <si>
    <t>ORD100626</t>
  </si>
  <si>
    <t>ORD103178</t>
  </si>
  <si>
    <t>ORD102401</t>
  </si>
  <si>
    <t>ORD100437</t>
  </si>
  <si>
    <t>ORD102082</t>
  </si>
  <si>
    <t>ORD101907</t>
  </si>
  <si>
    <t>ORD101213</t>
  </si>
  <si>
    <t>ORD100913</t>
  </si>
  <si>
    <t>ORD103855</t>
  </si>
  <si>
    <t>ORD102710</t>
  </si>
  <si>
    <t>ORD103950</t>
  </si>
  <si>
    <t>ORD103675</t>
  </si>
  <si>
    <t>ORD101780</t>
  </si>
  <si>
    <t>ORD100450</t>
  </si>
  <si>
    <t>ORD101793</t>
  </si>
  <si>
    <t>ORD100699</t>
  </si>
  <si>
    <t>ORD103823</t>
  </si>
  <si>
    <t>ORD100032</t>
  </si>
  <si>
    <t>ORD100769</t>
  </si>
  <si>
    <t>ORD100396</t>
  </si>
  <si>
    <t>ORD103439</t>
  </si>
  <si>
    <t>ORD102120</t>
  </si>
  <si>
    <t>ORD100315</t>
  </si>
  <si>
    <t>ORD103979</t>
  </si>
  <si>
    <t>ORD101611</t>
  </si>
  <si>
    <t>ORD101812</t>
  </si>
  <si>
    <t>ORD101923</t>
  </si>
  <si>
    <t>ORD102514</t>
  </si>
  <si>
    <t>ORD100501</t>
  </si>
  <si>
    <t>ORD100267</t>
  </si>
  <si>
    <t>ORD100732</t>
  </si>
  <si>
    <t>ORD102879</t>
  </si>
  <si>
    <t>ORD103689</t>
  </si>
  <si>
    <t>ORD103971</t>
  </si>
  <si>
    <t>ORD100028</t>
  </si>
  <si>
    <t>ORD100273</t>
  </si>
  <si>
    <t>ORD100229</t>
  </si>
  <si>
    <t>ORD101559</t>
  </si>
  <si>
    <t>ORD103782</t>
  </si>
  <si>
    <t>ORD100772</t>
  </si>
  <si>
    <t>ORD100976</t>
  </si>
  <si>
    <t>ORD103021</t>
  </si>
  <si>
    <t>ORD103679</t>
  </si>
  <si>
    <t>ORD102153</t>
  </si>
  <si>
    <t>ORD102642</t>
  </si>
  <si>
    <t>ORD103568</t>
  </si>
  <si>
    <t>ORD101956</t>
  </si>
  <si>
    <t>ORD100210</t>
  </si>
  <si>
    <t>ORD101937</t>
  </si>
  <si>
    <t>ORD101935</t>
  </si>
  <si>
    <t>ORD101845</t>
  </si>
  <si>
    <t>ORD103507</t>
  </si>
  <si>
    <t>ORD102801</t>
  </si>
  <si>
    <t>ORD100709</t>
  </si>
  <si>
    <t>ORD101936</t>
  </si>
  <si>
    <t>ORD100636</t>
  </si>
  <si>
    <t>ORD100241</t>
  </si>
  <si>
    <t>ORD102347</t>
  </si>
  <si>
    <t>ORD103148</t>
  </si>
  <si>
    <t>ORD101750</t>
  </si>
  <si>
    <t>ORD100945</t>
  </si>
  <si>
    <t>ORD103587</t>
  </si>
  <si>
    <t>ORD101398</t>
  </si>
  <si>
    <t>ORD103837</t>
  </si>
  <si>
    <t>ORD102427</t>
  </si>
  <si>
    <t>ORD103874</t>
  </si>
  <si>
    <t>ORD100573</t>
  </si>
  <si>
    <t>ORD103518</t>
  </si>
  <si>
    <t>ORD100212</t>
  </si>
  <si>
    <t>ORD101681</t>
  </si>
  <si>
    <t>ORD100500</t>
  </si>
  <si>
    <t>ORD102616</t>
  </si>
  <si>
    <t>CUST1310</t>
  </si>
  <si>
    <t>ORD102545</t>
  </si>
  <si>
    <t>ORD102822</t>
  </si>
  <si>
    <t>ORD101005</t>
  </si>
  <si>
    <t>ORD103171</t>
  </si>
  <si>
    <t>ORD102283</t>
  </si>
  <si>
    <t>ORD101607</t>
  </si>
  <si>
    <t>ORD102976</t>
  </si>
  <si>
    <t>ORD100534</t>
  </si>
  <si>
    <t>ORD101546</t>
  </si>
  <si>
    <t>ORD100659</t>
  </si>
  <si>
    <t>ORD103663</t>
  </si>
  <si>
    <t>ORD102716</t>
  </si>
  <si>
    <t>ORD102503</t>
  </si>
  <si>
    <t>ORD100269</t>
  </si>
  <si>
    <t>ORD101526</t>
  </si>
  <si>
    <t>ORD102783</t>
  </si>
  <si>
    <t>ORD102702</t>
  </si>
  <si>
    <t>ORD100228</t>
  </si>
  <si>
    <t>CUST1359</t>
  </si>
  <si>
    <t>ORD101801</t>
  </si>
  <si>
    <t>ORD100931</t>
  </si>
  <si>
    <t>ORD102523</t>
  </si>
  <si>
    <t>ORD102087</t>
  </si>
  <si>
    <t>ORD103157</t>
  </si>
  <si>
    <t>ORD100889</t>
  </si>
  <si>
    <t>ORD103464</t>
  </si>
  <si>
    <t>ORD102207</t>
  </si>
  <si>
    <t>ORD103386</t>
  </si>
  <si>
    <t>ORD100745</t>
  </si>
  <si>
    <t>ORD101024</t>
  </si>
  <si>
    <t>ORD100151</t>
  </si>
  <si>
    <t>ORD102419</t>
  </si>
  <si>
    <t>ORD102466</t>
  </si>
  <si>
    <t>ORD100609</t>
  </si>
  <si>
    <t>ORD100897</t>
  </si>
  <si>
    <t>ORD102364</t>
  </si>
  <si>
    <t>ORD101379</t>
  </si>
  <si>
    <t>ORD100898</t>
  </si>
  <si>
    <t>ORD101623</t>
  </si>
  <si>
    <t>ORD102101</t>
  </si>
  <si>
    <t>ORD101719</t>
  </si>
  <si>
    <t>ORD102500</t>
  </si>
  <si>
    <t>ORD102451</t>
  </si>
  <si>
    <t>ORD101641</t>
  </si>
  <si>
    <t>ORD101367</t>
  </si>
  <si>
    <t>ORD103195</t>
  </si>
  <si>
    <t>ORD103071</t>
  </si>
  <si>
    <t>ORD100192</t>
  </si>
  <si>
    <t>ORD102522</t>
  </si>
  <si>
    <t>ORD103201</t>
  </si>
  <si>
    <t>ORD103932</t>
  </si>
  <si>
    <t>ORD103630</t>
  </si>
  <si>
    <t>ORD100677</t>
  </si>
  <si>
    <t>ORD103431</t>
  </si>
  <si>
    <t>ORD103721</t>
  </si>
  <si>
    <t>ORD101876</t>
  </si>
  <si>
    <t>ORD100826</t>
  </si>
  <si>
    <t>ORD101890</t>
  </si>
  <si>
    <t>ORD101693</t>
  </si>
  <si>
    <t>ORD103186</t>
  </si>
  <si>
    <t>ORD100165</t>
  </si>
  <si>
    <t>ORD102820</t>
  </si>
  <si>
    <t>ORD103772</t>
  </si>
  <si>
    <t>ORD101010</t>
  </si>
  <si>
    <t>ORD101460</t>
  </si>
  <si>
    <t>ORD103985</t>
  </si>
  <si>
    <t>ORD102144</t>
  </si>
  <si>
    <t>ORD103865</t>
  </si>
  <si>
    <t>ORD101475</t>
  </si>
  <si>
    <t>ORD103563</t>
  </si>
  <si>
    <t>ORD103947</t>
  </si>
  <si>
    <t>ORD100865</t>
  </si>
  <si>
    <t>ORD101160</t>
  </si>
  <si>
    <t>ORD100679</t>
  </si>
  <si>
    <t>CUST1363</t>
  </si>
  <si>
    <t>ORD101326</t>
  </si>
  <si>
    <t>ORD103446</t>
  </si>
  <si>
    <t>ORD101980</t>
  </si>
  <si>
    <t>ORD103333</t>
  </si>
  <si>
    <t>ORD102444</t>
  </si>
  <si>
    <t>ORD102252</t>
  </si>
  <si>
    <t>ORD101046</t>
  </si>
  <si>
    <t>ORD102711</t>
  </si>
  <si>
    <t>ORD103141</t>
  </si>
  <si>
    <t>ORD103748</t>
  </si>
  <si>
    <t>ORD101295</t>
  </si>
  <si>
    <t>ORD102812</t>
  </si>
  <si>
    <t>ORD100872</t>
  </si>
  <si>
    <t>ORD102756</t>
  </si>
  <si>
    <t>ORD103127</t>
  </si>
  <si>
    <t>ORD100915</t>
  </si>
  <si>
    <t>ORD101656</t>
  </si>
  <si>
    <t>ORD103605</t>
  </si>
  <si>
    <t>ORD101828</t>
  </si>
  <si>
    <t>ORD103821</t>
  </si>
  <si>
    <t>ORD102187</t>
  </si>
  <si>
    <t>ORD100738</t>
  </si>
  <si>
    <t>ORD103055</t>
  </si>
  <si>
    <t>ORD100191</t>
  </si>
  <si>
    <t>ORD101445</t>
  </si>
  <si>
    <t>ORD101518</t>
  </si>
  <si>
    <t>ORD100433</t>
  </si>
  <si>
    <t>ORD103485</t>
  </si>
  <si>
    <t>ORD103849</t>
  </si>
  <si>
    <t>ORD102921</t>
  </si>
  <si>
    <t>ORD101431</t>
  </si>
  <si>
    <t>CUST1556</t>
  </si>
  <si>
    <t>ORD102008</t>
  </si>
  <si>
    <t>ORD101608</t>
  </si>
  <si>
    <t>ORD101633</t>
  </si>
  <si>
    <t>ORD102643</t>
  </si>
  <si>
    <t>ORD102585</t>
  </si>
  <si>
    <t>ORD101072</t>
  </si>
  <si>
    <t>ORD101547</t>
  </si>
  <si>
    <t>ORD100204</t>
  </si>
  <si>
    <t>ORD101447</t>
  </si>
  <si>
    <t>ORD102981</t>
  </si>
  <si>
    <t>ORD100650</t>
  </si>
  <si>
    <t>ORD100892</t>
  </si>
  <si>
    <t>ORD101346</t>
  </si>
  <si>
    <t>ORD101846</t>
  </si>
  <si>
    <t>ORD103352</t>
  </si>
  <si>
    <t>ORD103522</t>
  </si>
  <si>
    <t>ORD102508</t>
  </si>
  <si>
    <t>ORD100004</t>
  </si>
  <si>
    <t>ORD103951</t>
  </si>
  <si>
    <t>ORD103779</t>
  </si>
  <si>
    <t>ORD100372</t>
  </si>
  <si>
    <t>ORD102695</t>
  </si>
  <si>
    <t>ORD100528</t>
  </si>
  <si>
    <t>ORD103068</t>
  </si>
  <si>
    <t>ORD100069</t>
  </si>
  <si>
    <t>ORD100586</t>
  </si>
  <si>
    <t>ORD100045</t>
  </si>
  <si>
    <t>ORD101826</t>
  </si>
  <si>
    <t>ORD100949</t>
  </si>
  <si>
    <t>ORD100098</t>
  </si>
  <si>
    <t>ORD100610</t>
  </si>
  <si>
    <t>ORD102556</t>
  </si>
  <si>
    <t>ORD102810</t>
  </si>
  <si>
    <t>ORD102989</t>
  </si>
  <si>
    <t>ORD102104</t>
  </si>
  <si>
    <t>ORD100144</t>
  </si>
  <si>
    <t>ORD103669</t>
  </si>
  <si>
    <t>ORD100384</t>
  </si>
  <si>
    <t>ORD103992</t>
  </si>
  <si>
    <t>ORD102620</t>
  </si>
  <si>
    <t>ORD101908</t>
  </si>
  <si>
    <t>ORD101231</t>
  </si>
  <si>
    <t>ORD100190</t>
  </si>
  <si>
    <t>ORD101123</t>
  </si>
  <si>
    <t>ORD102791</t>
  </si>
  <si>
    <t>ORD103449</t>
  </si>
  <si>
    <t>ORD102721</t>
  </si>
  <si>
    <t>ORD103766</t>
  </si>
  <si>
    <t>ORD101541</t>
  </si>
  <si>
    <t>ORD100627</t>
  </si>
  <si>
    <t>ORD102661</t>
  </si>
  <si>
    <t>ORD103110</t>
  </si>
  <si>
    <t>ORD100073</t>
  </si>
  <si>
    <t>ORD102604</t>
  </si>
  <si>
    <t>ORD101394</t>
  </si>
  <si>
    <t>ORD100401</t>
  </si>
  <si>
    <t>ORD102203</t>
  </si>
  <si>
    <t>ORD102498</t>
  </si>
  <si>
    <t>ORD100989</t>
  </si>
  <si>
    <t>ORD103988</t>
  </si>
  <si>
    <t>ORD103206</t>
  </si>
  <si>
    <t>ORD101558</t>
  </si>
  <si>
    <t>ORD103467</t>
  </si>
  <si>
    <t>ORD101512</t>
  </si>
  <si>
    <t>ORD100252</t>
  </si>
  <si>
    <t>ORD100751</t>
  </si>
  <si>
    <t>ORD103697</t>
  </si>
  <si>
    <t>ORD101791</t>
  </si>
  <si>
    <t>ORD100972</t>
  </si>
  <si>
    <t>ORD101195</t>
  </si>
  <si>
    <t>ORD103339</t>
  </si>
  <si>
    <t>ORD103012</t>
  </si>
  <si>
    <t>ORD102513</t>
  </si>
  <si>
    <t>ORD101918</t>
  </si>
  <si>
    <t>ORD102116</t>
  </si>
  <si>
    <t>ORD100279</t>
  </si>
  <si>
    <t>ORD103382</t>
  </si>
  <si>
    <t>ORD102118</t>
  </si>
  <si>
    <t>ORD101881</t>
  </si>
  <si>
    <t>ORD100614</t>
  </si>
  <si>
    <t>ORD100666</t>
  </si>
  <si>
    <t>ORD102060</t>
  </si>
  <si>
    <t>ORD103665</t>
  </si>
  <si>
    <t>ORD100053</t>
  </si>
  <si>
    <t>ORD101264</t>
  </si>
  <si>
    <t>ORD100291</t>
  </si>
  <si>
    <t>ORD101191</t>
  </si>
  <si>
    <t>ORD103668</t>
  </si>
  <si>
    <t>ORD100509</t>
  </si>
  <si>
    <t>ORD103901</t>
  </si>
  <si>
    <t>ORD100296</t>
  </si>
  <si>
    <t>ORD103160</t>
  </si>
  <si>
    <t>ORD102610</t>
  </si>
  <si>
    <t>ORD101203</t>
  </si>
  <si>
    <t>ORD100425</t>
  </si>
  <si>
    <t>ORD103608</t>
  </si>
  <si>
    <t>ORD103629</t>
  </si>
  <si>
    <t>ORD102370</t>
  </si>
  <si>
    <t>ORD100025</t>
  </si>
  <si>
    <t>ORD100047</t>
  </si>
  <si>
    <t>CUST1208</t>
  </si>
  <si>
    <t>ORD101891</t>
  </si>
  <si>
    <t>ORD100527</t>
  </si>
  <si>
    <t>ORD101250</t>
  </si>
  <si>
    <t>ORD101942</t>
  </si>
  <si>
    <t>ORD103844</t>
  </si>
  <si>
    <t>ORD102581</t>
  </si>
  <si>
    <t>ORD102199</t>
  </si>
  <si>
    <t>ORD103598</t>
  </si>
  <si>
    <t>ORD100256</t>
  </si>
  <si>
    <t>ORD102353</t>
  </si>
  <si>
    <t>ORD103556</t>
  </si>
  <si>
    <t>ORD100512</t>
  </si>
  <si>
    <t>ORD100710</t>
  </si>
  <si>
    <t>ORD102516</t>
  </si>
  <si>
    <t>ORD101348</t>
  </si>
  <si>
    <t>ORD103695</t>
  </si>
  <si>
    <t>ORD100018</t>
  </si>
  <si>
    <t>ORD102901</t>
  </si>
  <si>
    <t>ORD102725</t>
  </si>
  <si>
    <t>ORD103972</t>
  </si>
  <si>
    <t>ORD102472</t>
  </si>
  <si>
    <t>ORD102296</t>
  </si>
  <si>
    <t>ORD102759</t>
  </si>
  <si>
    <t>ORD102654</t>
  </si>
  <si>
    <t>ORD102979</t>
  </si>
  <si>
    <t>ORD100903</t>
  </si>
  <si>
    <t>ORD102083</t>
  </si>
  <si>
    <t>ORD102095</t>
  </si>
  <si>
    <t>ORD100744</t>
  </si>
  <si>
    <t>ORD101061</t>
  </si>
  <si>
    <t>ORD103032</t>
  </si>
  <si>
    <t>ORD100592</t>
  </si>
  <si>
    <t>ORD103609</t>
  </si>
  <si>
    <t>ORD101602</t>
  </si>
  <si>
    <t>ORD101139</t>
  </si>
  <si>
    <t>ORD100844</t>
  </si>
  <si>
    <t>ORD102044</t>
  </si>
  <si>
    <t>ORD103912</t>
  </si>
  <si>
    <t>ORD101759</t>
  </si>
  <si>
    <t>ORD100771</t>
  </si>
  <si>
    <t>ORD102226</t>
  </si>
  <si>
    <t>ORD100446</t>
  </si>
  <si>
    <t>ORD103890</t>
  </si>
  <si>
    <t>ORD101372</t>
  </si>
  <si>
    <t>ORD100202</t>
  </si>
  <si>
    <t>ORD100471</t>
  </si>
  <si>
    <t>ORD101239</t>
  </si>
  <si>
    <t>ORD101402</t>
  </si>
  <si>
    <t>ORD101256</t>
  </si>
  <si>
    <t>ORD102615</t>
  </si>
  <si>
    <t>ORD103743</t>
  </si>
  <si>
    <t>ORD102374</t>
  </si>
  <si>
    <t>ORD103453</t>
  </si>
  <si>
    <t>ORD102663</t>
  </si>
  <si>
    <t>ORD103880</t>
  </si>
  <si>
    <t>ORD100105</t>
  </si>
  <si>
    <t>ORD100276</t>
  </si>
  <si>
    <t>ORD103252</t>
  </si>
  <si>
    <t>CUST1782</t>
  </si>
  <si>
    <t>ORD101070</t>
  </si>
  <si>
    <t>ORD101728</t>
  </si>
  <si>
    <t>ORD102696</t>
  </si>
  <si>
    <t>ORD102251</t>
  </si>
  <si>
    <t>ORD101786</t>
  </si>
  <si>
    <t>ORD102894</t>
  </si>
  <si>
    <t>ORD102205</t>
  </si>
  <si>
    <t>ORD103058</t>
  </si>
  <si>
    <t>ORD103006</t>
  </si>
  <si>
    <t>ORD103330</t>
  </si>
  <si>
    <t>ORD103592</t>
  </si>
  <si>
    <t>ORD100975</t>
  </si>
  <si>
    <t>ORD103981</t>
  </si>
  <si>
    <t>ORD101866</t>
  </si>
  <si>
    <t>ORD100553</t>
  </si>
  <si>
    <t>ORD103511</t>
  </si>
  <si>
    <t>ORD103526</t>
  </si>
  <si>
    <t>ORD102308</t>
  </si>
  <si>
    <t>ORD101962</t>
  </si>
  <si>
    <t>ORD102204</t>
  </si>
  <si>
    <t>ORD103845</t>
  </si>
  <si>
    <t>ORD100830</t>
  </si>
  <si>
    <t>ORD101539</t>
  </si>
  <si>
    <t>ORD102148</t>
  </si>
  <si>
    <t>ORD102630</t>
  </si>
  <si>
    <t>ORD103412</t>
  </si>
  <si>
    <t>ORD100874</t>
  </si>
  <si>
    <t>ORD102530</t>
  </si>
  <si>
    <t>ORD102217</t>
  </si>
  <si>
    <t>ORD101784</t>
  </si>
  <si>
    <t>ORD101294</t>
  </si>
  <si>
    <t>ORD103888</t>
  </si>
  <si>
    <t>ORD102006</t>
  </si>
  <si>
    <t>ORD103993</t>
  </si>
  <si>
    <t>ORD100357</t>
  </si>
  <si>
    <t>ORD102631</t>
  </si>
  <si>
    <t>ORD103667</t>
  </si>
  <si>
    <t>ORD103479</t>
  </si>
  <si>
    <t>ORD103009</t>
  </si>
  <si>
    <t>ORD101140</t>
  </si>
  <si>
    <t>ORD101421</t>
  </si>
  <si>
    <t>ORD101362</t>
  </si>
  <si>
    <t>ORD102365</t>
  </si>
  <si>
    <t>ORD103986</t>
  </si>
  <si>
    <t>CUST1749</t>
  </si>
  <si>
    <t>ORD102978</t>
  </si>
  <si>
    <t>ORD101661</t>
  </si>
  <si>
    <t>ORD100603</t>
  </si>
  <si>
    <t>ORD100515</t>
  </si>
  <si>
    <t>ORD103183</t>
  </si>
  <si>
    <t>ORD103975</t>
  </si>
  <si>
    <t>ORD103430</t>
  </si>
  <si>
    <t>ORD103642</t>
  </si>
  <si>
    <t>ORD101113</t>
  </si>
  <si>
    <t>ORD102186</t>
  </si>
  <si>
    <t>ORD103825</t>
  </si>
  <si>
    <t>ORD100932</t>
  </si>
  <si>
    <t>ORD103429</t>
  </si>
  <si>
    <t>ORD100188</t>
  </si>
  <si>
    <t>ORD101589</t>
  </si>
  <si>
    <t>ORD103878</t>
  </si>
  <si>
    <t>ORD103161</t>
  </si>
  <si>
    <t>ORD100673</t>
  </si>
  <si>
    <t>ORD100485</t>
  </si>
  <si>
    <t>ORD103107</t>
  </si>
  <si>
    <t>ORD103645</t>
  </si>
  <si>
    <t>ORD103374</t>
  </si>
  <si>
    <t>ORD102340</t>
  </si>
  <si>
    <t>ORD102762</t>
  </si>
  <si>
    <t>ORD103167</t>
  </si>
  <si>
    <t>ORD103459</t>
  </si>
  <si>
    <t>ORD101054</t>
  </si>
  <si>
    <t>ORD101157</t>
  </si>
  <si>
    <t>ORD102562</t>
  </si>
  <si>
    <t>ORD100928</t>
  </si>
  <si>
    <t>ORD102964</t>
  </si>
  <si>
    <t>ORD103678</t>
  </si>
  <si>
    <t>ORD100817</t>
  </si>
  <si>
    <t>ORD102739</t>
  </si>
  <si>
    <t>ORD101949</t>
  </si>
  <si>
    <t>ORD101138</t>
  </si>
  <si>
    <t>ORD102888</t>
  </si>
  <si>
    <t>ORD101237</t>
  </si>
  <si>
    <t>ORD100999</t>
  </si>
  <si>
    <t>ORD100242</t>
  </si>
  <si>
    <t>ORD100731</t>
  </si>
  <si>
    <t>ORD102317</t>
  </si>
  <si>
    <t>ORD103478</t>
  </si>
  <si>
    <t>ORD101067</t>
  </si>
  <si>
    <t>ORD103562</t>
  </si>
  <si>
    <t>ORD103094</t>
  </si>
  <si>
    <t>ORD101262</t>
  </si>
  <si>
    <t>ORD103135</t>
  </si>
  <si>
    <t>ORD103099</t>
  </si>
  <si>
    <t>ORD103029</t>
  </si>
  <si>
    <t>ORD101413</t>
  </si>
  <si>
    <t>ORD101102</t>
  </si>
  <si>
    <t>ORD101164</t>
  </si>
  <si>
    <t>ORD101254</t>
  </si>
  <si>
    <t>ORD101410</t>
  </si>
  <si>
    <t>ORD103790</t>
  </si>
  <si>
    <t>ORD103703</t>
  </si>
  <si>
    <t>ORD101479</t>
  </si>
  <si>
    <t>ORD103839</t>
  </si>
  <si>
    <t>ORD100818</t>
  </si>
  <si>
    <t>ORD100649</t>
  </si>
  <si>
    <t>ORD102072</t>
  </si>
  <si>
    <t>ORD101450</t>
  </si>
  <si>
    <t>ORD100172</t>
  </si>
  <si>
    <t>ORD101287</t>
  </si>
  <si>
    <t>ORD103185</t>
  </si>
  <si>
    <t>ORD103416</t>
  </si>
  <si>
    <t>ORD103409</t>
  </si>
  <si>
    <t>ORD102091</t>
  </si>
  <si>
    <t>ORD101643</t>
  </si>
  <si>
    <t>ORD101912</t>
  </si>
  <si>
    <t>ORD101588</t>
  </si>
  <si>
    <t>ORD101148</t>
  </si>
  <si>
    <t>ORD103372</t>
  </si>
  <si>
    <t>ORD100143</t>
  </si>
  <si>
    <t>ORD101424</t>
  </si>
  <si>
    <t>ORD101063</t>
  </si>
  <si>
    <t>ORD100340</t>
  </si>
  <si>
    <t>ORD102131</t>
  </si>
  <si>
    <t>ORD103746</t>
  </si>
  <si>
    <t>ORD101653</t>
  </si>
  <si>
    <t>ORD100722</t>
  </si>
  <si>
    <t>ORD101794</t>
  </si>
  <si>
    <t>ORD100942</t>
  </si>
  <si>
    <t>ORD101384</t>
  </si>
  <si>
    <t>ORD103334</t>
  </si>
  <si>
    <t>ORD101685</t>
  </si>
  <si>
    <t>ORD103570</t>
  </si>
  <si>
    <t>ORD102177</t>
  </si>
  <si>
    <t>ORD102135</t>
  </si>
  <si>
    <t>ORD102706</t>
  </si>
  <si>
    <t>ORD103749</t>
  </si>
  <si>
    <t>ORD100278</t>
  </si>
  <si>
    <t>ORD101441</t>
  </si>
  <si>
    <t>ORD100217</t>
  </si>
  <si>
    <t>ORD102797</t>
  </si>
  <si>
    <t>ORD100570</t>
  </si>
  <si>
    <t>ORD103885</t>
  </si>
  <si>
    <t>ORD103271</t>
  </si>
  <si>
    <t>ORD100322</t>
  </si>
  <si>
    <t>CUST1069</t>
  </si>
  <si>
    <t>ORD100418</t>
  </si>
  <si>
    <t>ORD102646</t>
  </si>
  <si>
    <t>ORD101613</t>
  </si>
  <si>
    <t>ORD103624</t>
  </si>
  <si>
    <t>ORD103555</t>
  </si>
  <si>
    <t>ORD102484</t>
  </si>
  <si>
    <t>ORD103757</t>
  </si>
  <si>
    <t>ORD102043</t>
  </si>
  <si>
    <t>ORD102934</t>
  </si>
  <si>
    <t>ORD101234</t>
  </si>
  <si>
    <t>ORD103521</t>
  </si>
  <si>
    <t>ORD100793</t>
  </si>
  <si>
    <t>ORD101763</t>
  </si>
  <si>
    <t>ORD102529</t>
  </si>
  <si>
    <t>ORD102269</t>
  </si>
  <si>
    <t>ORD103348</t>
  </si>
  <si>
    <t>ORD101482</t>
  </si>
  <si>
    <t>ORD100978</t>
  </si>
  <si>
    <t>ORD100796</t>
  </si>
  <si>
    <t>ORD102007</t>
  </si>
  <si>
    <t>ORD102227</t>
  </si>
  <si>
    <t>ORD100925</t>
  </si>
  <si>
    <t>ORD101979</t>
  </si>
  <si>
    <t>ORD103066</t>
  </si>
  <si>
    <t>ORD102509</t>
  </si>
  <si>
    <t>ORD101499</t>
  </si>
  <si>
    <t>ORD103079</t>
  </si>
  <si>
    <t>ORD100175</t>
  </si>
  <si>
    <t>ORD102916</t>
  </si>
  <si>
    <t>ORD101310</t>
  </si>
  <si>
    <t>ORD100379</t>
  </si>
  <si>
    <t>ORD101638</t>
  </si>
  <si>
    <t>ORD102411</t>
  </si>
  <si>
    <t>ORD100836</t>
  </si>
  <si>
    <t>ORD100355</t>
  </si>
  <si>
    <t>ORD102609</t>
  </si>
  <si>
    <t>ORD100173</t>
  </si>
  <si>
    <t>ORD100124</t>
  </si>
  <si>
    <t>ORD101142</t>
  </si>
  <si>
    <t>ORD102793</t>
  </si>
  <si>
    <t>ORD101146</t>
  </si>
  <si>
    <t>ORD102263</t>
  </si>
  <si>
    <t>CUST1371</t>
  </si>
  <si>
    <t>ORD102501</t>
  </si>
  <si>
    <t>ORD102496</t>
  </si>
  <si>
    <t>ORD102857</t>
  </si>
  <si>
    <t>ORD100759</t>
  </si>
  <si>
    <t>ORD101349</t>
  </si>
  <si>
    <t>ORD100253</t>
  </si>
  <si>
    <t>ORD103505</t>
  </si>
  <si>
    <t>ORD102452</t>
  </si>
  <si>
    <t>ORD102868</t>
  </si>
  <si>
    <t>ORD103399</t>
  </si>
  <si>
    <t>ORD102406</t>
  </si>
  <si>
    <t>ORD103344</t>
  </si>
  <si>
    <t>ORD102483</t>
  </si>
  <si>
    <t>ORD100804</t>
  </si>
  <si>
    <t>ORD102685</t>
  </si>
  <si>
    <t>ORD101649</t>
  </si>
  <si>
    <t>ORD102059</t>
  </si>
  <si>
    <t>ORD102878</t>
  </si>
  <si>
    <t>ORD102103</t>
  </si>
  <si>
    <t>ORD101224</t>
  </si>
  <si>
    <t>ORD101032</t>
  </si>
  <si>
    <t>ORD101992</t>
  </si>
  <si>
    <t>ORD102403</t>
  </si>
  <si>
    <t>CUST1797</t>
  </si>
  <si>
    <t>ORD102189</t>
  </si>
  <si>
    <t>ORD100003</t>
  </si>
  <si>
    <t>ORD100991</t>
  </si>
  <si>
    <t>ORD103614</t>
  </si>
  <si>
    <t>ORD100643</t>
  </si>
  <si>
    <t>ORD100907</t>
  </si>
  <si>
    <t>ORD101597</t>
  </si>
  <si>
    <t>ORD100206</t>
  </si>
  <si>
    <t>ORD103087</t>
  </si>
  <si>
    <t>ORD103370</t>
  </si>
  <si>
    <t>ORD103536</t>
  </si>
  <si>
    <t>ORD102201</t>
  </si>
  <si>
    <t>ORD100801</t>
  </si>
  <si>
    <t>ORD102914</t>
  </si>
  <si>
    <t>ORD101305</t>
  </si>
  <si>
    <t>ORD103496</t>
  </si>
  <si>
    <t>ORD101991</t>
  </si>
  <si>
    <t>ORD102233</t>
  </si>
  <si>
    <t>ORD103773</t>
  </si>
  <si>
    <t>ORD101585</t>
  </si>
  <si>
    <t>ORD102241</t>
  </si>
  <si>
    <t>ORD101773</t>
  </si>
  <si>
    <t>ORD100798</t>
  </si>
  <si>
    <t>ORD101694</t>
  </si>
  <si>
    <t>ORD102468</t>
  </si>
  <si>
    <t>ORD100562</t>
  </si>
  <si>
    <t>ORD103414</t>
  </si>
  <si>
    <t>ORD102765</t>
  </si>
  <si>
    <t>ORD103223</t>
  </si>
  <si>
    <t>ORD101966</t>
  </si>
  <si>
    <t>ORD102858</t>
  </si>
  <si>
    <t>ORD102467</t>
  </si>
  <si>
    <t>ORD102825</t>
  </si>
  <si>
    <t>ORD100852</t>
  </si>
  <si>
    <t>ORD101544</t>
  </si>
  <si>
    <t>ORD102751</t>
  </si>
  <si>
    <t>ORD100455</t>
  </si>
  <si>
    <t>ORD103011</t>
  </si>
  <si>
    <t>ORD103566</t>
  </si>
  <si>
    <t>ORD101186</t>
  </si>
  <si>
    <t>ORD102635</t>
  </si>
  <si>
    <t>ORD101020</t>
  </si>
  <si>
    <t>ORD101169</t>
  </si>
  <si>
    <t>ORD103242</t>
  </si>
  <si>
    <t>ORD100929</t>
  </si>
  <si>
    <t>ORD103684</t>
  </si>
  <si>
    <t>ORD100029</t>
  </si>
  <si>
    <t>ORD101552</t>
  </si>
  <si>
    <t>ORD103628</t>
  </si>
  <si>
    <t>ORD101405</t>
  </si>
  <si>
    <t>ORD103448</t>
  </si>
  <si>
    <t>ORD100382</t>
  </si>
  <si>
    <t>ORD103953</t>
  </si>
  <si>
    <t>ORD101897</t>
  </si>
  <si>
    <t>ORD102619</t>
  </si>
  <si>
    <t>ORD101172</t>
  </si>
  <si>
    <t>ORD100912</t>
  </si>
  <si>
    <t>ORD100680</t>
  </si>
  <si>
    <t>ORD103546</t>
  </si>
  <si>
    <t>ORD103529</t>
  </si>
  <si>
    <t>ORD103293</t>
  </si>
  <si>
    <t>ORD102223</t>
  </si>
  <si>
    <t>ORD101292</t>
  </si>
  <si>
    <t>ORD101100</t>
  </si>
  <si>
    <t>ORD102532</t>
  </si>
  <si>
    <t>ORD102708</t>
  </si>
  <si>
    <t>ORD100835</t>
  </si>
  <si>
    <t>ORD101670</t>
  </si>
  <si>
    <t>ORD101437</t>
  </si>
  <si>
    <t>ORD100768</t>
  </si>
  <si>
    <t>ORD102055</t>
  </si>
  <si>
    <t>ORD101251</t>
  </si>
  <si>
    <t>ORD103288</t>
  </si>
  <si>
    <t>ORD100099</t>
  </si>
  <si>
    <t>ORD103321</t>
  </si>
  <si>
    <t>ORD100789</t>
  </si>
  <si>
    <t>ORD102154</t>
  </si>
  <si>
    <t>ORD101720</t>
  </si>
  <si>
    <t>ORD100757</t>
  </si>
  <si>
    <t>ORD100952</t>
  </si>
  <si>
    <t>ORD100119</t>
  </si>
  <si>
    <t>ORD100207</t>
  </si>
  <si>
    <t>ORD102161</t>
  </si>
  <si>
    <t>ORD102577</t>
  </si>
  <si>
    <t>ORD100305</t>
  </si>
  <si>
    <t>ORD100828</t>
  </si>
  <si>
    <t>ORD102068</t>
  </si>
  <si>
    <t>ORD102475</t>
  </si>
  <si>
    <t>ORD100743</t>
  </si>
  <si>
    <t>ORD102019</t>
  </si>
  <si>
    <t>ORD101418</t>
  </si>
  <si>
    <t>ORD101407</t>
  </si>
  <si>
    <t>ORD102056</t>
  </si>
  <si>
    <t>ORD103043</t>
  </si>
  <si>
    <t>ORD100842</t>
  </si>
  <si>
    <t>ORD103233</t>
  </si>
  <si>
    <t>ORD102400</t>
  </si>
  <si>
    <t>ORD103719</t>
  </si>
  <si>
    <t>ORD101071</t>
  </si>
  <si>
    <t>ORD102683</t>
  </si>
  <si>
    <t>ORD100424</t>
  </si>
  <si>
    <t>ORD101335</t>
  </si>
  <si>
    <t>ORD101575</t>
  </si>
  <si>
    <t>ORD103539</t>
  </si>
  <si>
    <t>ORD100451</t>
  </si>
  <si>
    <t>ORD101388</t>
  </si>
  <si>
    <t>ORD103366</t>
  </si>
  <si>
    <t>ORD100965</t>
  </si>
  <si>
    <t>ORD103676</t>
  </si>
  <si>
    <t>ORD103687</t>
  </si>
  <si>
    <t>ORD101242</t>
  </si>
  <si>
    <t>ORD101401</t>
  </si>
  <si>
    <t>ORD103621</t>
  </si>
  <si>
    <t>ORD102016</t>
  </si>
  <si>
    <t>ORD100200</t>
  </si>
  <si>
    <t>ORD100423</t>
  </si>
  <si>
    <t>ORD101027</t>
  </si>
  <si>
    <t>ORD102990</t>
  </si>
  <si>
    <t>ORD103976</t>
  </si>
  <si>
    <t>ORD103905</t>
  </si>
  <si>
    <t>ORD101419</t>
  </si>
  <si>
    <t>ORD102608</t>
  </si>
  <si>
    <t>ORD100736</t>
  </si>
  <si>
    <t>ORD102077</t>
  </si>
  <si>
    <t>ORD103037</t>
  </si>
  <si>
    <t>ORD102761</t>
  </si>
  <si>
    <t>ORD102582</t>
  </si>
  <si>
    <t>ORD102734</t>
  </si>
  <si>
    <t>ORD103093</t>
  </si>
  <si>
    <t>ORD103104</t>
  </si>
  <si>
    <t>ORD100599</t>
  </si>
  <si>
    <t>CUST1539</t>
  </si>
  <si>
    <t>ORD100576</t>
  </si>
  <si>
    <t>ORD100492</t>
  </si>
  <si>
    <t>ORD100348</t>
  </si>
  <si>
    <t>ORD101501</t>
  </si>
  <si>
    <t>ORD103856</t>
  </si>
  <si>
    <t>ORD103948</t>
  </si>
  <si>
    <t>ORD103154</t>
  </si>
  <si>
    <t>ORD102543</t>
  </si>
  <si>
    <t>ORD103454</t>
  </si>
  <si>
    <t>ORD103082</t>
  </si>
  <si>
    <t>ORD101895</t>
  </si>
  <si>
    <t>ORD102371</t>
  </si>
  <si>
    <t>ORD100411</t>
  </si>
  <si>
    <t>ORD103946</t>
  </si>
  <si>
    <t>ORD102219</t>
  </si>
  <si>
    <t>ORD102876</t>
  </si>
  <si>
    <t>ORD101864</t>
  </si>
  <si>
    <t>ORD103894</t>
  </si>
  <si>
    <t>ORD100950</t>
  </si>
  <si>
    <t>ORD103013</t>
  </si>
  <si>
    <t>ORD100564</t>
  </si>
  <si>
    <t>ORD100778</t>
  </si>
  <si>
    <t>ORD102489</t>
  </si>
  <si>
    <t>ORD103175</t>
  </si>
  <si>
    <t>ORD100271</t>
  </si>
  <si>
    <t>ORD103603</t>
  </si>
  <si>
    <t>ORD103388</t>
  </si>
  <si>
    <t>ORD103427</t>
  </si>
  <si>
    <t>ORD101374</t>
  </si>
  <si>
    <t>ORD102192</t>
  </si>
  <si>
    <t>ORD101086</t>
  </si>
  <si>
    <t>ORD101930</t>
  </si>
  <si>
    <t>CUST1081</t>
  </si>
  <si>
    <t>ORD100270</t>
  </si>
  <si>
    <t>ORD100621</t>
  </si>
  <si>
    <t>ORD100668</t>
  </si>
  <si>
    <t>ORD100459</t>
  </si>
  <si>
    <t>ORD100116</t>
  </si>
  <si>
    <t>ORD101902</t>
  </si>
  <si>
    <t>ORD102097</t>
  </si>
  <si>
    <t>ORD103776</t>
  </si>
  <si>
    <t>ORD101385</t>
  </si>
  <si>
    <t>ORD102900</t>
  </si>
  <si>
    <t>ORD102185</t>
  </si>
  <si>
    <t>ORD100987</t>
  </si>
  <si>
    <t>ORD102182</t>
  </si>
  <si>
    <t>ORD102410</t>
  </si>
  <si>
    <t>ORD102034</t>
  </si>
  <si>
    <t>ORD101365</t>
  </si>
  <si>
    <t>Unknown</t>
  </si>
  <si>
    <t>Unknown Customer</t>
  </si>
  <si>
    <t>revenue</t>
  </si>
  <si>
    <t>Cleaning Log — raw_sales_data.csv</t>
  </si>
  <si>
    <t>-</t>
  </si>
  <si>
    <t>Row Labels</t>
  </si>
  <si>
    <t>Grand Total</t>
  </si>
  <si>
    <t>Sum of revenue</t>
  </si>
  <si>
    <t> Top 10 Products by Revenue</t>
  </si>
  <si>
    <t>Top Categories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</si>
  <si>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</si>
  <si>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</si>
  <si>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</si>
  <si>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</si>
  <si>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</si>
  <si>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</si>
  <si>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</si>
  <si>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</si>
  <si>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</si>
  <si>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</si>
  <si>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</si>
  <si>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</si>
  <si>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</si>
  <si>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</si>
  <si>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Monthly Revenue Trend </t>
  </si>
  <si>
    <t>Count of order_id</t>
  </si>
  <si>
    <t>customer_order_count</t>
  </si>
  <si>
    <t>customer_segment</t>
  </si>
  <si>
    <t>Customer Segments</t>
  </si>
  <si>
    <t>Regional Performance</t>
  </si>
  <si>
    <t>New Customer</t>
  </si>
  <si>
    <t>Repeat Customer</t>
  </si>
  <si>
    <t>Count of Orders</t>
  </si>
  <si>
    <t>Total Revenue (Completed)</t>
  </si>
  <si>
    <t>Total Orders (Completed)</t>
  </si>
  <si>
    <t>Average Order Value</t>
  </si>
  <si>
    <t>Total Revenue (All Status)</t>
  </si>
  <si>
    <t>% Revenue at Risk </t>
  </si>
  <si>
    <t>Sales Performance Summary</t>
  </si>
  <si>
    <t>Customer Lookup Tool</t>
  </si>
  <si>
    <t>Enter Customer ID</t>
  </si>
  <si>
    <t>Customer Name</t>
  </si>
  <si>
    <t>Business Insights — E-Commerce Sales Analysis</t>
  </si>
  <si>
    <t>Based on the cleaned_sales_data dataset (3,934 rows, Jan 2023 – Dec 2024)</t>
  </si>
  <si>
    <t>1. Extreme Dependence on the East Region</t>
  </si>
  <si>
    <t>The East region accounts for 75% of total revenue ($229,821 of $306,842) and 74% of total orders (2,926 of 3,933), while West contributes just 1% ($3,367, 41 orders). This extreme imbalance shows the business is heavily reliant on a single region — a major risk if East's performance declines.</t>
  </si>
  <si>
    <t>2. 17.8% of Revenue Is at Risk of Not Being Realized</t>
  </si>
  <si>
    <t>Of the $306,842 gross revenue, only $252,228 (82.2%) comes from orders with a Completed status. The remaining 17.8% ($54,614) comes from Cancelled, Returned, or Pending orders — revenue that isn't guaranteed to actually convert into cash.</t>
  </si>
  <si>
    <t>3. Customer Base Dominated by Repeat Customers, Weak New Acquisition</t>
  </si>
  <si>
    <t>98.8% of orders (3,885 of 3,933) come from Repeat Customers, with only 48 orders from New Customers. This signals strong customer retention, but on the flip side points to very weak new-customer acquisition that needs to be addressed.</t>
  </si>
  <si>
    <t>4. Electronics Is the Dominant Category and Product Driver</t>
  </si>
  <si>
    <t>Electronics is the highest-revenue category ($79,289, 26% of the total), followed by Home &amp; Kitchen ($61,311). Three of the top five best-selling products (Webcam, Smartphone Case, Power Bank) also come from Electronics — this category is the main sales driver.</t>
  </si>
  <si>
    <t>5. Books Is the Weakest-Performing Category</t>
  </si>
  <si>
    <t>Books has the lowest revenue of any category ($19,158), less than a quarter of Electronics' revenue. This category could be worth re-evaluating in terms of product range or promotional strategy.</t>
  </si>
  <si>
    <t>6. No Consistent Seasonal Pattern</t>
  </si>
  <si>
    <t>Monthly revenue fluctuates with no clear seasonal pattern — peaking in March 2023 ($16,242), then dropping to its lowest point in June 2023 ($9,448). This volatility suggests revenue is driven more by random or operational factors than by seasonality.</t>
  </si>
  <si>
    <t>7. Annual Revenue Slightly Declined, Not Grew</t>
  </si>
  <si>
    <t>Total revenue dipped slightly from $157,566 (2023) to $149,276 (2024), a year-over-year decrease of about 5.3%. Small as it is, this is still a negative trend worth monitoring, not growth.</t>
  </si>
  <si>
    <t>8. AOV Is Relatively Low, Suggesting a Bundling/Cross-Sell Opportunity</t>
  </si>
  <si>
    <t>Average Order Value is just $78.33 across 3,220 Completed orders, consistent with a quantity pattern where most orders are just 1 unit. There's an opportunity to raise AOV through bundling or cross-selling complementary products.</t>
  </si>
  <si>
    <t>Process documentation: Raw Dataset -&gt; Cleaning Process -&gt; Clean Dataset</t>
  </si>
  <si>
    <t>Row Count Summary</t>
  </si>
  <si>
    <t>Item</t>
  </si>
  <si>
    <t>Value</t>
  </si>
  <si>
    <t>Notes</t>
  </si>
  <si>
    <t>Initial dataset (raw_sales_data.csv)</t>
  </si>
  <si>
    <t>4,100 rows</t>
  </si>
  <si>
    <t>Final dataset (cleaned_sales_data.xlsx)</t>
  </si>
  <si>
    <t>3,934 rows</t>
  </si>
  <si>
    <t>Total rows removed during cleaning</t>
  </si>
  <si>
    <t>166 rows (4.0%)</t>
  </si>
  <si>
    <t>Reasonable — remaining data is still representative, not biased toward any single category or region</t>
  </si>
  <si>
    <t>Cleaning Process Detail</t>
  </si>
  <si>
    <t>Step</t>
  </si>
  <si>
    <t>Rows Affected</t>
  </si>
  <si>
    <t>Remove duplicate records</t>
  </si>
  <si>
    <t>98 rows</t>
  </si>
  <si>
    <t>Exact duplicates (all columns identical) — likely double data entry.</t>
  </si>
  <si>
    <t>Standardize category &amp; region</t>
  </si>
  <si>
    <t>Standardized to Proper Case + typo fixes (Cloths-&gt;Clothing, Electronic-&gt;Electronics, Mid-West-&gt;Midwest).</t>
  </si>
  <si>
    <t>Standardize order_date</t>
  </si>
  <si>
    <t>5 different date formats (YYYY-MM-DD, MM/DD/YYYY, DD-Mon-YYYY, DD/MM/YYYY) consolidated into YYYY-MM-DD format.</t>
  </si>
  <si>
    <t>Remove quantity outliers</t>
  </si>
  <si>
    <t>15 rows</t>
  </si>
  <si>
    <t>Extreme values (250/500/999) implausible for individual retail transactions, scattered randomly with no wholesale pattern. Treated as data entry error, immaterial (0.37% of dataset).</t>
  </si>
  <si>
    <t>Remove unit_price outliers</t>
  </si>
  <si>
    <t>12 rows</t>
  </si>
  <si>
    <t>Extreme values (8888/4999.99/1234.56) inconsistent with product category (e.g. Puzzle 1000pc at $8,888). Identical repeated values suggest a system error, immaterial (0.3% of dataset).</t>
  </si>
  <si>
    <t>Fill missing payment_method</t>
  </si>
  <si>
    <t>158 rows</t>
  </si>
  <si>
    <t>Filled with 'Unknown' — a categorical column, does not affect any calculation.</t>
  </si>
  <si>
    <t>Fill missing customer_name</t>
  </si>
  <si>
    <t>120 rows</t>
  </si>
  <si>
    <t>Filled with 'Unknown Customer' — identity still available via customer_id.</t>
  </si>
  <si>
    <t>Fill missing region</t>
  </si>
  <si>
    <t>79 rows</t>
  </si>
  <si>
    <t>Recovered from other transactions by the same customer_id where available; the remainder filled with 'Unknown'.</t>
  </si>
  <si>
    <t>Fill missing unit_price</t>
  </si>
  <si>
    <t>77 rows</t>
  </si>
  <si>
    <t>Filled with the average price per product_name (AVERAGEIFS), more accurate than a global average.</t>
  </si>
  <si>
    <t>Fill missing quantity</t>
  </si>
  <si>
    <t>59 rows</t>
  </si>
  <si>
    <t>Filled with the overall median quantity (1 unit) — median chosen because the data skews toward small numbers.</t>
  </si>
  <si>
    <t>Remove missing order_date</t>
  </si>
  <si>
    <t>40 rows</t>
  </si>
  <si>
    <t>Transaction dates are critical for trend analysis and cannot be reliably reconstructed.</t>
  </si>
  <si>
    <t>Create calculated column revenue</t>
  </si>
  <si>
    <t>revenue = quantity x unit_price. Dataset total revenue: $306,888.66 (Sum, sanity check for Day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</si>
</sst>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yyyy\-mm\-dd;@"/>
    <numFmt numFmtId="165" formatCode="0.00_);[Red]\(0.00\)"/>
    <numFmt numFmtId="166" formatCode="0.00_);\(0.00\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555555"/>
      <name val="Arial"/>
      <family val="2"/>
    </font>
    <font>
      <b/>
      <sz val="11"/>
      <color rgb="FF1F2933"/>
      <name val="Arial"/>
      <family val="2"/>
    </font>
    <font>
      <sz val="10.5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0.5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2933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4" fontId="0" fillId="0" borderId="0" xfId="0" applyNumberFormat="1" applyAlignment="1">
      <alignment horizontal="left" indent="1"/>
    </xf>
    <xf numFmtId="0" fontId="25" fillId="33" borderId="10" xfId="0" applyFont="1" applyFill="1" applyBorder="1"/>
    <xf numFmtId="0" fontId="23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5" fillId="33" borderId="10" xfId="0" applyFont="1" applyFill="1" applyBorder="1" applyAlignment="1">
      <alignment vertical="center"/>
    </xf>
    <xf numFmtId="0" fontId="26" fillId="34" borderId="10" xfId="0" applyFont="1" applyFill="1" applyBorder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27" fillId="34" borderId="10" xfId="0" applyFont="1" applyFill="1" applyBorder="1" applyAlignment="1">
      <alignment vertical="top" wrapText="1"/>
    </xf>
    <xf numFmtId="0" fontId="26" fillId="35" borderId="10" xfId="0" applyFont="1" applyFill="1" applyBorder="1" applyAlignment="1">
      <alignment vertical="top" wrapText="1"/>
    </xf>
    <xf numFmtId="0" fontId="23" fillId="35" borderId="10" xfId="0" applyFont="1" applyFill="1" applyBorder="1" applyAlignment="1">
      <alignment vertical="top" wrapText="1"/>
    </xf>
    <xf numFmtId="0" fontId="27" fillId="35" borderId="10" xfId="0" applyFont="1" applyFill="1" applyBorder="1" applyAlignment="1">
      <alignment vertical="top" wrapText="1"/>
    </xf>
    <xf numFmtId="0" fontId="0" fillId="0" borderId="0" xfId="0" applyBorder="1"/>
    <xf numFmtId="0" fontId="19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7" fontId="0" fillId="0" borderId="15" xfId="0" applyNumberFormat="1" applyBorder="1"/>
    <xf numFmtId="0" fontId="0" fillId="0" borderId="15" xfId="0" applyBorder="1"/>
    <xf numFmtId="10" fontId="0" fillId="0" borderId="15" xfId="42" applyNumberFormat="1" applyFont="1" applyBorder="1"/>
    <xf numFmtId="0" fontId="19" fillId="0" borderId="14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0" fillId="0" borderId="0" xfId="0" applyFont="1"/>
    <xf numFmtId="0" fontId="0" fillId="0" borderId="0" xfId="0"/>
    <xf numFmtId="0" fontId="21" fillId="0" borderId="0" xfId="0" applyFont="1"/>
    <xf numFmtId="0" fontId="24" fillId="0" borderId="0" xfId="0" applyFont="1"/>
    <xf numFmtId="0" fontId="19" fillId="0" borderId="0" xfId="0" applyFont="1" applyAlignment="1">
      <alignment horizontal="center"/>
    </xf>
    <xf numFmtId="0" fontId="23" fillId="0" borderId="10" xfId="0" applyFont="1" applyBorder="1" applyAlignment="1">
      <alignment vertical="top" wrapText="1"/>
    </xf>
    <xf numFmtId="0" fontId="22" fillId="34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2" formatCode="0.00"/>
    </dxf>
    <dxf>
      <numFmt numFmtId="165" formatCode="0.00_);[Red]\(0.00\)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Monthly Revenue Trend (2023 vs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pivot_tabels!$C$17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pivot_tabels!$B$18:$B$44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pivot_tabels!$C$18:$C$44</c:f>
              <c:numCache>
                <c:formatCode>0.00_);\(0.00\)</c:formatCode>
                <c:ptCount val="24"/>
                <c:pt idx="0">
                  <c:v>12576.920760400812</c:v>
                </c:pt>
                <c:pt idx="1">
                  <c:v>13438.694590459045</c:v>
                </c:pt>
                <c:pt idx="2">
                  <c:v>16241.606480263164</c:v>
                </c:pt>
                <c:pt idx="3">
                  <c:v>12727.188686182057</c:v>
                </c:pt>
                <c:pt idx="4">
                  <c:v>14949.466015520473</c:v>
                </c:pt>
                <c:pt idx="5">
                  <c:v>9447.584310344826</c:v>
                </c:pt>
                <c:pt idx="6">
                  <c:v>12913.823603603603</c:v>
                </c:pt>
                <c:pt idx="7">
                  <c:v>14167.219260305779</c:v>
                </c:pt>
                <c:pt idx="8">
                  <c:v>14114.101434835631</c:v>
                </c:pt>
                <c:pt idx="9">
                  <c:v>13900.837076504537</c:v>
                </c:pt>
                <c:pt idx="10">
                  <c:v>12892.048390804599</c:v>
                </c:pt>
                <c:pt idx="11">
                  <c:v>10196.290000000001</c:v>
                </c:pt>
                <c:pt idx="12">
                  <c:v>11348.848859649122</c:v>
                </c:pt>
                <c:pt idx="13">
                  <c:v>11352.147323943662</c:v>
                </c:pt>
                <c:pt idx="14">
                  <c:v>12558.717928321681</c:v>
                </c:pt>
                <c:pt idx="15">
                  <c:v>10886.723561731953</c:v>
                </c:pt>
                <c:pt idx="16">
                  <c:v>14431.927279852989</c:v>
                </c:pt>
                <c:pt idx="17">
                  <c:v>10747.391483025605</c:v>
                </c:pt>
                <c:pt idx="18">
                  <c:v>12179.760095984107</c:v>
                </c:pt>
                <c:pt idx="19">
                  <c:v>13702.969014758011</c:v>
                </c:pt>
                <c:pt idx="20">
                  <c:v>10987.128410035373</c:v>
                </c:pt>
                <c:pt idx="21">
                  <c:v>13284.377691312115</c:v>
                </c:pt>
                <c:pt idx="22">
                  <c:v>13760.257191044606</c:v>
                </c:pt>
                <c:pt idx="23">
                  <c:v>14036.189999999999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E-4A59-9E73-560FB860D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496368"/>
        <c:axId val="638489808"/>
      </c:lineChart>
      <c:catAx>
        <c:axId val="6384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489808"/>
        <c:crosses val="autoZero"/>
        <c:auto val="1"/>
        <c:lblAlgn val="ctr"/>
        <c:lblOffset val="100"/>
        <c:noMultiLvlLbl val="0"/>
      </c:catAx>
      <c:valAx>
        <c:axId val="6384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49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Top 10 Products by Revenue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pivot_tabels!$C$3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pivot_tabels!$B$4:$B$14</c:f>
              <c:strCache>
                <c:ptCount val="10"/>
                <c:pt idx="0">
                  <c:v>Webcam</c:v>
                </c:pt>
                <c:pt idx="1">
                  <c:v>Smartphone Case</c:v>
                </c:pt>
                <c:pt idx="2">
                  <c:v>Power Bank</c:v>
                </c:pt>
                <c:pt idx="3">
                  <c:v>Camping Tent</c:v>
                </c:pt>
                <c:pt idx="4">
                  <c:v>USB-C Cable</c:v>
                </c:pt>
                <c:pt idx="5">
                  <c:v>Non-Stick Pan</c:v>
                </c:pt>
                <c:pt idx="6">
                  <c:v>Laptop Stand</c:v>
                </c:pt>
                <c:pt idx="7">
                  <c:v>Resistance Bands</c:v>
                </c:pt>
                <c:pt idx="8">
                  <c:v>Bluetooth Speaker</c:v>
                </c:pt>
                <c:pt idx="9">
                  <c:v>LED Desk Lamp</c:v>
                </c:pt>
              </c:strCache>
            </c:strRef>
          </c:cat>
          <c:val>
            <c:numRef>
              <c:f>pivot_tabels!$C$4:$C$14</c:f>
              <c:numCache>
                <c:formatCode>0.00_);[Red]\(0.00\)</c:formatCode>
                <c:ptCount val="10"/>
                <c:pt idx="0">
                  <c:v>11684.869166666671</c:v>
                </c:pt>
                <c:pt idx="1">
                  <c:v>11621.864659090908</c:v>
                </c:pt>
                <c:pt idx="2">
                  <c:v>10494.449565217392</c:v>
                </c:pt>
                <c:pt idx="3">
                  <c:v>10146.634298245612</c:v>
                </c:pt>
                <c:pt idx="4">
                  <c:v>9894.2857575757553</c:v>
                </c:pt>
                <c:pt idx="5">
                  <c:v>9605.9296666666651</c:v>
                </c:pt>
                <c:pt idx="6">
                  <c:v>9589.9761333333336</c:v>
                </c:pt>
                <c:pt idx="7">
                  <c:v>9483.7966336633672</c:v>
                </c:pt>
                <c:pt idx="8">
                  <c:v>9186.6800000000021</c:v>
                </c:pt>
                <c:pt idx="9">
                  <c:v>9069.2396428571428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6-4A58-9B16-3B03434E3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8501288"/>
        <c:axId val="638498992"/>
      </c:barChart>
      <c:catAx>
        <c:axId val="63850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498992"/>
        <c:crosses val="autoZero"/>
        <c:auto val="1"/>
        <c:lblAlgn val="ctr"/>
        <c:lblOffset val="100"/>
        <c:noMultiLvlLbl val="0"/>
      </c:catAx>
      <c:valAx>
        <c:axId val="63849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850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New vs Repeat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pivot_tabels!$F$28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F-4D15-95B1-1B7BAF946F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F-4D15-95B1-1B7BAF946FFC}"/>
              </c:ext>
            </c:extLst>
          </c:dPt>
          <c:cat>
            <c:strRef>
              <c:f>pivot_tabels!$E$29:$E$31</c:f>
              <c:strCache>
                <c:ptCount val="2"/>
                <c:pt idx="0">
                  <c:v>New Customer</c:v>
                </c:pt>
                <c:pt idx="1">
                  <c:v>Repeat Customer</c:v>
                </c:pt>
              </c:strCache>
            </c:strRef>
          </c:cat>
          <c:val>
            <c:numRef>
              <c:f>pivot_tabels!$F$29:$F$31</c:f>
              <c:numCache>
                <c:formatCode>0.00_);\(0.00\)</c:formatCode>
                <c:ptCount val="2"/>
                <c:pt idx="0">
                  <c:v>3427.88</c:v>
                </c:pt>
                <c:pt idx="1">
                  <c:v>303414.33944888425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EF-4D15-95B1-1B7BAF946FFC}"/>
            </c:ext>
          </c:extLst>
        </c:ser>
        <c:ser>
          <c:idx val="1"/>
          <c:order val="1"/>
          <c:tx>
            <c:strRef>
              <c:f>pivot_tabels!$G$28</c:f>
              <c:strCache>
                <c:ptCount val="1"/>
                <c:pt idx="0">
                  <c:v>Count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8EF-4D15-95B1-1B7BAF946F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8EF-4D15-95B1-1B7BAF946FFC}"/>
              </c:ext>
            </c:extLst>
          </c:dPt>
          <c:cat>
            <c:strRef>
              <c:f>pivot_tabels!$E$29:$E$31</c:f>
              <c:strCache>
                <c:ptCount val="2"/>
                <c:pt idx="0">
                  <c:v>New Customer</c:v>
                </c:pt>
                <c:pt idx="1">
                  <c:v>Repeat Customer</c:v>
                </c:pt>
              </c:strCache>
            </c:strRef>
          </c:cat>
          <c:val>
            <c:numRef>
              <c:f>pivot_tabels!$G$29:$G$31</c:f>
              <c:numCache>
                <c:formatCode>General</c:formatCode>
                <c:ptCount val="2"/>
                <c:pt idx="0">
                  <c:v>48</c:v>
                </c:pt>
                <c:pt idx="1">
                  <c:v>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EF-4D15-95B1-1B7BAF946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[sales_analysis.xlsx]pivot_tabels!PivotTable5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>
                <a:effectLst/>
              </a:rPr>
              <a:t>Revenue &amp; Order Count by Region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5006682272824005"/>
          <c:y val="0.1328632031552584"/>
          <c:w val="0.60426549384029704"/>
          <c:h val="0.638241591546674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pivot_tabels!$F$17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pivot_tabels!$E$18:$E$22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pivot_tabels!$F$18:$F$22</c:f>
              <c:numCache>
                <c:formatCode>0.00_);\(0.00\)</c:formatCode>
                <c:ptCount val="4"/>
                <c:pt idx="0">
                  <c:v>229821.11389899367</c:v>
                </c:pt>
                <c:pt idx="1">
                  <c:v>59797.737062095759</c:v>
                </c:pt>
                <c:pt idx="2">
                  <c:v>13856.288487794469</c:v>
                </c:pt>
                <c:pt idx="3">
                  <c:v>3367.0800000000004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D-43B7-A219-C5ECACA3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563792"/>
        <c:axId val="635563464"/>
      </c:barChart>
      <c:lineChart>
        <c:grouping val="standard"/>
        <c:varyColors val="0"/>
        <c:ser>
          <c:idx val="1"/>
          <c:order val="1"/>
          <c:tx>
            <c:strRef>
              <c:f>pivot_tabels!$G$17</c:f>
              <c:strCache>
                <c:ptCount val="1"/>
                <c:pt idx="0">
                  <c:v>Count of order_id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pivot_tabels!$E$18:$E$22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pivot_tabels!$G$18:$G$22</c:f>
              <c:numCache>
                <c:formatCode>General</c:formatCode>
                <c:ptCount val="4"/>
                <c:pt idx="0">
                  <c:v>2926</c:v>
                </c:pt>
                <c:pt idx="1">
                  <c:v>784</c:v>
                </c:pt>
                <c:pt idx="2">
                  <c:v>182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D-43B7-A219-C5ECACA3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566744"/>
        <c:axId val="635566416"/>
      </c:lineChart>
      <c:valAx>
        <c:axId val="635563464"/>
        <c:scaling>
          <c:orientation val="minMax"/>
        </c:scaling>
        <c:delete val="0"/>
        <c:axPos val="r"/>
        <c:numFmt formatCode="0.00_);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5563792"/>
        <c:crosses val="max"/>
        <c:crossBetween val="between"/>
      </c:valAx>
      <c:catAx>
        <c:axId val="63556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5563464"/>
        <c:crosses val="autoZero"/>
        <c:auto val="1"/>
        <c:lblAlgn val="ctr"/>
        <c:lblOffset val="100"/>
        <c:noMultiLvlLbl val="0"/>
      </c:catAx>
      <c:valAx>
        <c:axId val="635566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35566744"/>
        <c:crosses val="autoZero"/>
        <c:crossBetween val="between"/>
      </c:valAx>
      <c:catAx>
        <c:axId val="635566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55664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647699</xdr:colOff>
      <xdr:row>1</xdr:row>
      <xdr:rowOff>180974</xdr:rowOff>
    </xdr:from>
    <xdr:to>
      <xdr:col>9</xdr:col>
      <xdr:colOff>114300</xdr:colOff>
      <xdr:row>18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64B5D-1D84-4617-8B0F-06F3D7CA1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209550</xdr:colOff>
      <xdr:row>1</xdr:row>
      <xdr:rowOff>180974</xdr:rowOff>
    </xdr:from>
    <xdr:to>
      <xdr:col>16</xdr:col>
      <xdr:colOff>247650</xdr:colOff>
      <xdr:row>18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4B5F50-5C1C-4F0A-AC14-45D8483DB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209356</xdr:colOff>
      <xdr:row>19</xdr:row>
      <xdr:rowOff>1555</xdr:rowOff>
    </xdr:from>
    <xdr:to>
      <xdr:col>16</xdr:col>
      <xdr:colOff>247456</xdr:colOff>
      <xdr:row>34</xdr:row>
      <xdr:rowOff>143264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D91992-7C7F-4C52-83A7-E7FBF258D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638175</xdr:colOff>
      <xdr:row>18</xdr:row>
      <xdr:rowOff>161925</xdr:rowOff>
    </xdr:from>
    <xdr:to>
      <xdr:col>9</xdr:col>
      <xdr:colOff>95250</xdr:colOff>
      <xdr:row>35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2AA625-66FF-4317-AD76-E92F0773C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ya Shandy" refreshedDate="46256.789113541665" createdVersion="6" refreshedVersion="6" minRefreshableVersion="3" recordCount="3933" xr:uid="{6464ED6C-0D6C-4135-BE5C-93BD33E5DBA1}">
  <cacheSource type="worksheet">
    <worksheetSource name="Table4"/>
  </cacheSource>
  <cacheFields count="16">
    <cacheField name="order_id" numFmtId="0">
      <sharedItems count="3933">
        <s v="ORD100363"/>
        <s v="ORD101186"/>
        <s v="ORD101364"/>
        <s v="ORD102845"/>
        <s v="ORD102156"/>
        <s v="ORD100464"/>
        <s v="ORD102460"/>
        <s v="ORD103898"/>
        <s v="ORD103481"/>
        <s v="ORD103223"/>
        <s v="ORD100494"/>
        <s v="ORD103104"/>
        <s v="ORD103684"/>
        <s v="ORD101452"/>
        <s v="ORD100561"/>
        <s v="ORD103757"/>
        <s v="ORD100680"/>
        <s v="ORD102341"/>
        <s v="ORD101251"/>
        <s v="ORD101652"/>
        <s v="ORD100129"/>
        <s v="ORD100326"/>
        <s v="ORD103166"/>
        <s v="ORD102719"/>
        <s v="ORD102961"/>
        <s v="ORD103106"/>
        <s v="ORD102914"/>
        <s v="ORD102260"/>
        <s v="ORD101260"/>
        <s v="ORD101890"/>
        <s v="ORD102358"/>
        <s v="ORD103613"/>
        <s v="ORD101087"/>
        <s v="ORD103404"/>
        <s v="ORD103615"/>
        <s v="ORD100466"/>
        <s v="ORD103902"/>
        <s v="ORD103895"/>
        <s v="ORD102049"/>
        <s v="ORD102648"/>
        <s v="ORD100613"/>
        <s v="ORD100662"/>
        <s v="ORD100256"/>
        <s v="ORD103494"/>
        <s v="ORD102124"/>
        <s v="ORD103453"/>
        <s v="ORD101699"/>
        <s v="ORD103295"/>
        <s v="ORD103302"/>
        <s v="ORD103869"/>
        <s v="ORD103585"/>
        <s v="ORD100496"/>
        <s v="ORD100601"/>
        <s v="ORD102519"/>
        <s v="ORD102920"/>
        <s v="ORD101256"/>
        <s v="ORD102515"/>
        <s v="ORD101566"/>
        <s v="ORD103038"/>
        <s v="ORD103185"/>
        <s v="ORD100455"/>
        <s v="ORD102611"/>
        <s v="ORD102524"/>
        <s v="ORD100293"/>
        <s v="ORD101479"/>
        <s v="ORD100165"/>
        <s v="ORD103113"/>
        <s v="ORD101419"/>
        <s v="ORD103779"/>
        <s v="ORD100120"/>
        <s v="ORD103110"/>
        <s v="ORD101790"/>
        <s v="ORD101310"/>
        <s v="ORD103746"/>
        <s v="ORD103558"/>
        <s v="ORD101646"/>
        <s v="ORD103645"/>
        <s v="ORD100207"/>
        <s v="ORD101557"/>
        <s v="ORD102300"/>
        <s v="ORD102880"/>
        <s v="ORD102823"/>
        <s v="ORD101888"/>
        <s v="ORD100218"/>
        <s v="ORD100668"/>
        <s v="ORD103238"/>
        <s v="ORD100203"/>
        <s v="ORD100024"/>
        <s v="ORD101265"/>
        <s v="ORD102568"/>
        <s v="ORD102840"/>
        <s v="ORD100278"/>
        <s v="ORD103068"/>
        <s v="ORD100517"/>
        <s v="ORD102820"/>
        <s v="ORD102013"/>
        <s v="ORD101295"/>
        <s v="ORD102239"/>
        <s v="ORD100026"/>
        <s v="ORD102816"/>
        <s v="ORD100827"/>
        <s v="ORD100403"/>
        <s v="ORD100010"/>
        <s v="ORD103465"/>
        <s v="ORD103373"/>
        <s v="ORD101965"/>
        <s v="ORD100454"/>
        <s v="ORD100550"/>
        <s v="ORD102377"/>
        <s v="ORD101520"/>
        <s v="ORD101122"/>
        <s v="ORD101930"/>
        <s v="ORD101433"/>
        <s v="ORD100131"/>
        <s v="ORD102942"/>
        <s v="ORD102344"/>
        <s v="ORD100632"/>
        <s v="ORD101619"/>
        <s v="ORD102692"/>
        <s v="ORD103877"/>
        <s v="ORD100057"/>
        <s v="ORD100179"/>
        <s v="ORD103264"/>
        <s v="ORD103963"/>
        <s v="ORD101351"/>
        <s v="ORD101383"/>
        <s v="ORD102068"/>
        <s v="ORD100045"/>
        <s v="ORD102154"/>
        <s v="ORD100087"/>
        <s v="ORD103344"/>
        <s v="ORD103820"/>
        <s v="ORD102474"/>
        <s v="ORD100438"/>
        <s v="ORD103433"/>
        <s v="ORD103374"/>
        <s v="ORD101970"/>
        <s v="ORD101006"/>
        <s v="ORD101992"/>
        <s v="ORD100519"/>
        <s v="ORD103138"/>
        <s v="ORD102374"/>
        <s v="ORD101107"/>
        <s v="ORD102182"/>
        <s v="ORD101749"/>
        <s v="ORD103658"/>
        <s v="ORD100754"/>
        <s v="ORD100231"/>
        <s v="ORD102848"/>
        <s v="ORD102656"/>
        <s v="ORD102153"/>
        <s v="ORD103326"/>
        <s v="ORD101637"/>
        <s v="ORD103111"/>
        <s v="ORD100976"/>
        <s v="ORD100193"/>
        <s v="ORD100338"/>
        <s v="ORD101147"/>
        <s v="ORD103891"/>
        <s v="ORD103542"/>
        <s v="ORD100669"/>
        <s v="ORD101208"/>
        <s v="ORD100797"/>
        <s v="ORD102614"/>
        <s v="ORD100336"/>
        <s v="ORD101078"/>
        <s v="ORD103937"/>
        <s v="ORD100156"/>
        <s v="ORD103796"/>
        <s v="ORD100689"/>
        <s v="ORD100648"/>
        <s v="ORD100990"/>
        <s v="ORD101670"/>
        <s v="ORD100985"/>
        <s v="ORD100770"/>
        <s v="ORD101645"/>
        <s v="ORD100079"/>
        <s v="ORD103761"/>
        <s v="ORD102602"/>
        <s v="ORD101308"/>
        <s v="ORD100887"/>
        <s v="ORD100586"/>
        <s v="ORD102782"/>
        <s v="ORD102214"/>
        <s v="ORD101731"/>
        <s v="ORD100151"/>
        <s v="ORD102795"/>
        <s v="ORD103859"/>
        <s v="ORD100160"/>
        <s v="ORD101552"/>
        <s v="ORD100054"/>
        <s v="ORD102455"/>
        <s v="ORD103319"/>
        <s v="ORD101702"/>
        <s v="ORD103411"/>
        <s v="ORD101382"/>
        <s v="ORD101198"/>
        <s v="ORD103257"/>
        <s v="ORD102559"/>
        <s v="ORD103933"/>
        <s v="ORD102355"/>
        <s v="ORD103679"/>
        <s v="ORD100966"/>
        <s v="ORD102690"/>
        <s v="ORD103864"/>
        <s v="ORD100468"/>
        <s v="ORD102306"/>
        <s v="ORD103649"/>
        <s v="ORD102029"/>
        <s v="ORD103688"/>
        <s v="ORD103755"/>
        <s v="ORD102855"/>
        <s v="ORD102909"/>
        <s v="ORD101885"/>
        <s v="ORD103857"/>
        <s v="ORD101486"/>
        <s v="ORD103839"/>
        <s v="ORD102295"/>
        <s v="ORD103512"/>
        <s v="ORD101883"/>
        <s v="ORD102710"/>
        <s v="ORD100783"/>
        <s v="ORD102211"/>
        <s v="ORD101546"/>
        <s v="ORD101023"/>
        <s v="ORD103705"/>
        <s v="ORD102062"/>
        <s v="ORD100303"/>
        <s v="ORD102871"/>
        <s v="ORD102522"/>
        <s v="ORD102992"/>
        <s v="ORD102485"/>
        <s v="ORD100855"/>
        <s v="ORD103189"/>
        <s v="ORD100994"/>
        <s v="ORD102113"/>
        <s v="ORD103382"/>
        <s v="ORD101017"/>
        <s v="ORD102406"/>
        <s v="ORD100912"/>
        <s v="ORD103095"/>
        <s v="ORD101321"/>
        <s v="ORD103637"/>
        <s v="ORD101907"/>
        <s v="ORD103177"/>
        <s v="ORD101025"/>
        <s v="ORD102684"/>
        <s v="ORD100327"/>
        <s v="ORD103554"/>
        <s v="ORD100439"/>
        <s v="ORD100968"/>
        <s v="ORD101371"/>
        <s v="ORD101292"/>
        <s v="ORD102280"/>
        <s v="ORD101264"/>
        <s v="ORD102010"/>
        <s v="ORD103432"/>
        <s v="ORD103337"/>
        <s v="ORD101359"/>
        <s v="ORD103587"/>
        <s v="ORD101457"/>
        <s v="ORD100475"/>
        <s v="ORD102087"/>
        <s v="ORD103351"/>
        <s v="ORD100038"/>
        <s v="ORD100043"/>
        <s v="ORD100744"/>
        <s v="ORD100879"/>
        <s v="ORD103773"/>
        <s v="ORD102115"/>
        <s v="ORD103094"/>
        <s v="ORD101971"/>
        <s v="ORD101627"/>
        <s v="ORD100229"/>
        <s v="ORD101567"/>
        <s v="ORD101157"/>
        <s v="ORD102277"/>
        <s v="ORD101534"/>
        <s v="ORD101630"/>
        <s v="ORD102564"/>
        <s v="ORD102222"/>
        <s v="ORD101444"/>
        <s v="ORD101236"/>
        <s v="ORD100161"/>
        <s v="ORD101555"/>
        <s v="ORD102301"/>
        <s v="ORD100612"/>
        <s v="ORD102290"/>
        <s v="ORD101232"/>
        <s v="ORD100396"/>
        <s v="ORD100065"/>
        <s v="ORD102698"/>
        <s v="ORD102484"/>
        <s v="ORD101062"/>
        <s v="ORD103853"/>
        <s v="ORD103062"/>
        <s v="ORD102395"/>
        <s v="ORD102149"/>
        <s v="ORD101787"/>
        <s v="ORD103630"/>
        <s v="ORD102325"/>
        <s v="ORD102299"/>
        <s v="ORD102678"/>
        <s v="ORD103128"/>
        <s v="ORD101347"/>
        <s v="ORD102642"/>
        <s v="ORD103487"/>
        <s v="ORD103620"/>
        <s v="ORD101560"/>
        <s v="ORD100075"/>
        <s v="ORD100237"/>
        <s v="ORD102022"/>
        <s v="ORD100498"/>
        <s v="ORD102872"/>
        <s v="ORD100841"/>
        <s v="ORD102163"/>
        <s v="ORD101621"/>
        <s v="ORD103448"/>
        <s v="ORD101528"/>
        <s v="ORD103214"/>
        <s v="ORD100920"/>
        <s v="ORD103140"/>
        <s v="ORD102657"/>
        <s v="ORD102805"/>
        <s v="ORD103650"/>
        <s v="ORD103239"/>
        <s v="ORD103566"/>
        <s v="ORD103873"/>
        <s v="ORD103371"/>
        <s v="ORD102720"/>
        <s v="ORD101809"/>
        <s v="ORD103161"/>
        <s v="ORD103328"/>
        <s v="ORD103491"/>
        <s v="ORD103338"/>
        <s v="ORD103841"/>
        <s v="ORD100196"/>
        <s v="ORD100180"/>
        <s v="ORD102298"/>
        <s v="ORD101754"/>
        <s v="ORD101067"/>
        <s v="ORD102103"/>
        <s v="ORD100047"/>
        <s v="ORD100479"/>
        <s v="ORD101002"/>
        <s v="ORD102387"/>
        <s v="ORD101938"/>
        <s v="ORD101369"/>
        <s v="ORD102573"/>
        <s v="ORD102950"/>
        <s v="ORD103550"/>
        <s v="ORD102635"/>
        <s v="ORD100022"/>
        <s v="ORD103549"/>
        <s v="ORD103671"/>
        <s v="ORD102177"/>
        <s v="ORD101502"/>
        <s v="ORD102643"/>
        <s v="ORD103066"/>
        <s v="ORD100894"/>
        <s v="ORD100462"/>
        <s v="ORD100743"/>
        <s v="ORD102806"/>
        <s v="ORD103409"/>
        <s v="ORD102554"/>
        <s v="ORD102059"/>
        <s v="ORD103745"/>
        <s v="ORD101219"/>
        <s v="ORD103858"/>
        <s v="ORD103268"/>
        <s v="ORD100503"/>
        <s v="ORD103093"/>
        <s v="ORD100419"/>
        <s v="ORD100623"/>
        <s v="ORD101291"/>
        <s v="ORD101272"/>
        <s v="ORD103698"/>
        <s v="ORD101700"/>
        <s v="ORD102801"/>
        <s v="ORD102729"/>
        <s v="ORD101641"/>
        <s v="ORD103401"/>
        <s v="ORD103935"/>
        <s v="ORD101728"/>
        <s v="ORD102083"/>
        <s v="ORD100681"/>
        <s v="ORD101639"/>
        <s v="ORD100175"/>
        <s v="ORD101877"/>
        <s v="ORD101541"/>
        <s v="ORD101811"/>
        <s v="ORD103282"/>
        <s v="ORD100686"/>
        <s v="ORD100625"/>
        <s v="ORD103092"/>
        <s v="ORD102660"/>
        <s v="ORD101789"/>
        <s v="ORD100835"/>
        <s v="ORD103731"/>
        <s v="ORD102831"/>
        <s v="ORD101588"/>
        <s v="ORD100137"/>
        <s v="ORD100147"/>
        <s v="ORD102856"/>
        <s v="ORD103496"/>
        <s v="ORD100750"/>
        <s v="ORD103665"/>
        <s v="ORD103312"/>
        <s v="ORD100957"/>
        <s v="ORD103852"/>
        <s v="ORD102956"/>
        <s v="ORD101077"/>
        <s v="ORD100555"/>
        <s v="ORD100975"/>
        <s v="ORD102244"/>
        <s v="ORD103005"/>
        <s v="ORD102577"/>
        <s v="ORD101409"/>
        <s v="ORD102001"/>
        <s v="ORD100822"/>
        <s v="ORD102166"/>
        <s v="ORD103989"/>
        <s v="ORD101601"/>
        <s v="ORD102857"/>
        <s v="ORD102253"/>
        <s v="ORD102644"/>
        <s v="ORD102426"/>
        <s v="ORD100832"/>
        <s v="ORD101745"/>
        <s v="ORD103334"/>
        <s v="ORD103407"/>
        <s v="ORD100706"/>
        <s v="ORD103576"/>
        <s v="ORD102340"/>
        <s v="ORD101200"/>
        <s v="ORD101097"/>
        <s v="ORD101629"/>
        <s v="ORD103229"/>
        <s v="ORD101959"/>
        <s v="ORD101170"/>
        <s v="ORD100930"/>
        <s v="ORD100806"/>
        <s v="ORD100843"/>
        <s v="ORD101577"/>
        <s v="ORD102502"/>
        <s v="ORD103973"/>
        <s v="ORD103480"/>
        <s v="ORD101643"/>
        <s v="ORD102402"/>
        <s v="ORD103363"/>
        <s v="ORD102369"/>
        <s v="ORD101788"/>
        <s v="ORD103923"/>
        <s v="ORD100358"/>
        <s v="ORD102774"/>
        <s v="ORD100852"/>
        <s v="ORD102526"/>
        <s v="ORD102870"/>
        <s v="ORD101484"/>
        <s v="ORD100390"/>
        <s v="ORD100084"/>
        <s v="ORD101127"/>
        <s v="ORD101064"/>
        <s v="ORD101746"/>
        <s v="ORD101724"/>
        <s v="ORD102131"/>
        <s v="ORD100760"/>
        <s v="ORD103099"/>
        <s v="ORD103035"/>
        <s v="ORD100325"/>
        <s v="ORD100622"/>
        <s v="ORD103416"/>
        <s v="ORD101465"/>
        <s v="ORD102751"/>
        <s v="ORD102718"/>
        <s v="ORD103158"/>
        <s v="ORD101084"/>
        <s v="ORD100870"/>
        <s v="ORD101729"/>
        <s v="ORD103930"/>
        <s v="ORD101733"/>
        <s v="ORD101336"/>
        <s v="ORD103406"/>
        <s v="ORD103157"/>
        <s v="ORD102981"/>
        <s v="ORD103984"/>
        <s v="ORD101112"/>
        <s v="ORD100341"/>
        <s v="ORD103832"/>
        <s v="ORD101189"/>
        <s v="ORD100715"/>
        <s v="ORD100364"/>
        <s v="ORD101826"/>
        <s v="ORD101897"/>
        <s v="ORD100309"/>
        <s v="ORD100567"/>
        <s v="ORD102804"/>
        <s v="ORD102825"/>
        <s v="ORD101093"/>
        <s v="ORD102231"/>
        <s v="ORD100638"/>
        <s v="ORD101531"/>
        <s v="ORD101804"/>
        <s v="ORD103564"/>
        <s v="ORD103199"/>
        <s v="ORD101063"/>
        <s v="ORD102216"/>
        <s v="ORD101459"/>
        <s v="ORD103700"/>
        <s v="ORD103900"/>
        <s v="ORD102110"/>
        <s v="ORD102221"/>
        <s v="ORD102408"/>
        <s v="ORD101384"/>
        <s v="ORD103608"/>
        <s v="ORD103070"/>
        <s v="ORD101493"/>
        <s v="ORD102009"/>
        <s v="ORD100032"/>
        <s v="ORD101726"/>
        <s v="ORD103207"/>
        <s v="ORD103019"/>
        <s v="ORD102676"/>
        <s v="ORD103926"/>
        <s v="ORD101497"/>
        <s v="ORD101374"/>
        <s v="ORD102852"/>
        <s v="ORD100913"/>
        <s v="ORD103462"/>
        <s v="ORD102412"/>
        <s v="ORD103893"/>
        <s v="ORD103944"/>
        <s v="ORD101622"/>
        <s v="ORD101543"/>
        <s v="ORD103195"/>
        <s v="ORD103814"/>
        <s v="ORD101964"/>
        <s v="ORD103083"/>
        <s v="ORD102878"/>
        <s v="ORD103410"/>
        <s v="ORD101399"/>
        <s v="ORD103412"/>
        <s v="ORD103681"/>
        <s v="ORD100599"/>
        <s v="ORD103033"/>
        <s v="ORD103509"/>
        <s v="ORD103728"/>
        <s v="ORD101185"/>
        <s v="ORD103419"/>
        <s v="ORD101387"/>
        <s v="ORD102899"/>
        <s v="ORD102921"/>
        <s v="ORD100191"/>
        <s v="ORD102787"/>
        <s v="ORD100230"/>
        <s v="ORD103964"/>
        <s v="ORD100305"/>
        <s v="ORD102136"/>
        <s v="ORD102085"/>
        <s v="ORD102708"/>
        <s v="ORD100959"/>
        <s v="ORD102711"/>
        <s v="ORD101349"/>
        <s v="ORD100289"/>
        <s v="ORD102037"/>
        <s v="ORD103329"/>
        <s v="ORD100003"/>
        <s v="ORD101075"/>
        <s v="ORD101350"/>
        <s v="ORD102119"/>
        <s v="ORD101525"/>
        <s v="ORD103945"/>
        <s v="ORD103378"/>
        <s v="ORD102150"/>
        <s v="ORD101164"/>
        <s v="ORD102783"/>
        <s v="ORD102548"/>
        <s v="ORD102262"/>
        <s v="ORD101304"/>
        <s v="ORD102925"/>
        <s v="ORD103772"/>
        <s v="ORD101322"/>
        <s v="ORD102086"/>
        <s v="ORD103202"/>
        <s v="ORD101753"/>
        <s v="ORD102360"/>
        <s v="ORD102130"/>
        <s v="ORD100404"/>
        <s v="ORD102847"/>
        <s v="ORD103380"/>
        <s v="ORD102326"/>
        <s v="ORD101362"/>
        <s v="ORD101996"/>
        <s v="ORD103028"/>
        <s v="ORD101480"/>
        <s v="ORD102104"/>
        <s v="ORD100977"/>
        <s v="ORD103116"/>
        <s v="ORD102929"/>
        <s v="ORD102392"/>
        <s v="ORD101518"/>
        <s v="ORD102427"/>
        <s v="ORD102743"/>
        <s v="ORD100745"/>
        <s v="ORD102809"/>
        <s v="ORD103618"/>
        <s v="ORD103331"/>
        <s v="ORD102513"/>
        <s v="ORD102243"/>
        <s v="ORD101594"/>
        <s v="ORD101235"/>
        <s v="ORD101098"/>
        <s v="ORD102590"/>
        <s v="ORD101654"/>
        <s v="ORD101238"/>
        <s v="ORD101159"/>
        <s v="ORD102983"/>
        <s v="ORD100398"/>
        <s v="ORD102436"/>
        <s v="ORD102767"/>
        <s v="ORD103215"/>
        <s v="ORD100705"/>
        <s v="ORD101054"/>
        <s v="ORD100950"/>
        <s v="ORD102712"/>
        <s v="ORD102220"/>
        <s v="ORD103897"/>
        <s v="ORD100895"/>
        <s v="ORD102874"/>
        <s v="ORD100536"/>
        <s v="ORD102868"/>
        <s v="ORD101427"/>
        <s v="ORD100012"/>
        <s v="ORD102737"/>
        <s v="ORD102563"/>
        <s v="ORD100339"/>
        <s v="ORD100828"/>
        <s v="ORD103006"/>
        <s v="ORD103894"/>
        <s v="ORD103865"/>
        <s v="ORD100255"/>
        <s v="ORD102158"/>
        <s v="ORD100521"/>
        <s v="ORD101792"/>
        <s v="ORD102404"/>
        <s v="ORD103863"/>
        <s v="ORD102913"/>
        <s v="ORD101834"/>
        <s v="ORD102819"/>
        <s v="ORD101648"/>
        <s v="ORD100198"/>
        <s v="ORD101269"/>
        <s v="ORD102432"/>
        <s v="ORD100534"/>
        <s v="ORD100290"/>
        <s v="ORD100948"/>
        <s v="ORD103764"/>
        <s v="ORD101508"/>
        <s v="ORD100107"/>
        <s v="ORD101417"/>
        <s v="ORD102955"/>
        <s v="ORD101367"/>
        <s v="ORD102338"/>
        <s v="ORD100509"/>
        <s v="ORD101152"/>
        <s v="ORD103541"/>
        <s v="ORD102495"/>
        <s v="ORD103798"/>
        <s v="ORD100202"/>
        <s v="ORD100103"/>
        <s v="ORD101148"/>
        <s v="ORD101076"/>
        <s v="ORD103561"/>
        <s v="ORD102679"/>
        <s v="ORD102020"/>
        <s v="ORD102314"/>
        <s v="ORD101581"/>
        <s v="ORD103359"/>
        <s v="ORD101656"/>
        <s v="ORD102247"/>
        <s v="ORD101299"/>
        <s v="ORD103693"/>
        <s v="ORD103036"/>
        <s v="ORD100375"/>
        <s v="ORD102898"/>
        <s v="ORD103230"/>
        <s v="ORD102910"/>
        <s v="ORD102566"/>
        <s v="ORD102895"/>
        <s v="ORD100264"/>
        <s v="ORD100592"/>
        <s v="ORD103631"/>
        <s v="ORD100559"/>
        <s v="ORD103175"/>
        <s v="ORD101859"/>
        <s v="ORD100726"/>
        <s v="ORD102986"/>
        <s v="ORD101034"/>
        <s v="ORD103188"/>
        <s v="ORD101636"/>
        <s v="ORD101633"/>
        <s v="ORD101222"/>
        <s v="ORD100931"/>
        <s v="ORD100414"/>
        <s v="ORD103078"/>
        <s v="ORD101135"/>
        <s v="ORD100457"/>
        <s v="ORD100924"/>
        <s v="ORD103170"/>
        <s v="ORD100112"/>
        <s v="ORD102159"/>
        <s v="ORD101863"/>
        <s v="ORD102180"/>
        <s v="ORD102908"/>
        <s v="ORD100513"/>
        <s v="ORD102111"/>
        <s v="ORD101505"/>
        <s v="ORD101921"/>
        <s v="ORD100334"/>
        <s v="ORD102993"/>
        <s v="ORD100487"/>
        <s v="ORD100119"/>
        <s v="ORD100449"/>
        <s v="ORD102045"/>
        <s v="ORD103759"/>
        <s v="ORD100784"/>
        <s v="ORD100423"/>
        <s v="ORD100361"/>
        <s v="ORD102349"/>
        <s v="ORD103135"/>
        <s v="ORD101553"/>
        <s v="ORD102866"/>
        <s v="ORD102438"/>
        <s v="ORD100095"/>
        <s v="ORD100437"/>
        <s v="ORD103753"/>
        <s v="ORD102371"/>
        <s v="ORD103528"/>
        <s v="ORD103952"/>
        <s v="ORD101810"/>
        <s v="ORD100321"/>
        <s v="ORD101404"/>
        <s v="ORD102696"/>
        <s v="ORD102626"/>
        <s v="ORD101756"/>
        <s v="ORD102372"/>
        <s v="ORD103769"/>
        <s v="ORD100787"/>
        <s v="ORD102889"/>
        <s v="ORD103992"/>
        <s v="ORD100448"/>
        <s v="ORD100880"/>
        <s v="ORD100459"/>
        <s v="ORD102741"/>
        <s v="ORD103627"/>
        <s v="ORD100610"/>
        <s v="ORD102943"/>
        <s v="ORD103012"/>
        <s v="ORD103589"/>
        <s v="ORD101342"/>
        <s v="ORD100104"/>
        <s v="ORD103163"/>
        <s v="ORD102606"/>
        <s v="ORD101918"/>
        <s v="ORD101415"/>
        <s v="ORD101582"/>
        <s v="ORD102267"/>
        <s v="ORD100070"/>
        <s v="ORD100212"/>
        <s v="ORD102179"/>
        <s v="ORD102892"/>
        <s v="ORD100346"/>
        <s v="ORD100761"/>
        <s v="ORD102780"/>
        <s v="ORD102615"/>
        <s v="ORD101985"/>
        <s v="ORD101933"/>
        <s v="ORD100076"/>
        <s v="ORD102504"/>
        <s v="ORD101175"/>
        <s v="ORD100078"/>
        <s v="ORD100646"/>
        <s v="ORD102287"/>
        <s v="ORD100139"/>
        <s v="ORD103408"/>
        <s v="ORD100236"/>
        <s v="ORD101094"/>
        <s v="ORD102452"/>
        <s v="ORD102764"/>
        <s v="ORD100450"/>
        <s v="ORD100337"/>
        <s v="ORD103460"/>
        <s v="ORD101977"/>
        <s v="ORD103843"/>
        <s v="ORD103080"/>
        <s v="ORD102463"/>
        <s v="ORD103458"/>
        <s v="ORD102498"/>
        <s v="ORD101612"/>
        <s v="ORD103022"/>
        <s v="ORD103041"/>
        <s v="ORD100603"/>
        <s v="ORD101216"/>
        <s v="ORD101815"/>
        <s v="ORD100154"/>
        <s v="ORD103563"/>
        <s v="ORD102802"/>
        <s v="ORD102538"/>
        <s v="ORD101027"/>
        <s v="ORD100653"/>
        <s v="ORD100088"/>
        <s v="ORD103168"/>
        <s v="ORD101197"/>
        <s v="ORD101467"/>
        <s v="ORD103744"/>
        <s v="ORD103862"/>
        <s v="ORD103296"/>
        <s v="ORD103127"/>
        <s v="ORD100888"/>
        <s v="ORD103159"/>
        <s v="ORD100908"/>
        <s v="ORD100188"/>
        <s v="ORD101047"/>
        <s v="ORD100848"/>
        <s v="ORD101177"/>
        <s v="ORD100864"/>
        <s v="ORD101794"/>
        <s v="ORD101167"/>
        <s v="ORD102121"/>
        <s v="ORD100166"/>
        <s v="ORD102778"/>
        <s v="ORD103614"/>
        <s v="ORD101073"/>
        <s v="ORD102528"/>
        <s v="ORD103636"/>
        <s v="ORD100083"/>
        <s v="ORD103456"/>
        <s v="ORD101879"/>
        <s v="ORD100445"/>
        <s v="ORD100771"/>
        <s v="ORD100215"/>
        <s v="ORD103422"/>
        <s v="ORD101937"/>
        <s v="ORD102031"/>
        <s v="ORD101085"/>
        <s v="ORD101721"/>
        <s v="ORD102705"/>
        <s v="ORD102331"/>
        <s v="ORD100811"/>
        <s v="ORD103846"/>
        <s v="ORD100071"/>
        <s v="ORD102624"/>
        <s v="ORD101051"/>
        <s v="ORD103928"/>
        <s v="ORD101940"/>
        <s v="ORD101340"/>
        <s v="ORD101306"/>
        <s v="ORD103474"/>
        <s v="ORD101750"/>
        <s v="ORD101904"/>
        <s v="ORD101718"/>
        <s v="ORD100537"/>
        <s v="ORD100184"/>
        <s v="ORD103405"/>
        <s v="ORD103817"/>
        <s v="ORD101920"/>
        <s v="ORD100752"/>
        <s v="ORD101348"/>
        <s v="ORD103702"/>
        <s v="ORD103009"/>
        <s v="ORD100947"/>
        <s v="ORD101171"/>
        <s v="ORD103037"/>
        <s v="ORD100753"/>
        <s v="ORD103593"/>
        <s v="ORD103275"/>
        <s v="ORD103565"/>
        <s v="ORD100178"/>
        <s v="ORD101463"/>
        <s v="ORD100408"/>
        <s v="ORD100792"/>
        <s v="ORD100040"/>
        <s v="ORD103156"/>
        <s v="ORD101623"/>
        <s v="ORD100602"/>
        <s v="ORD103224"/>
        <s v="ORD101957"/>
        <s v="ORD101850"/>
        <s v="ORD100732"/>
        <s v="ORD100563"/>
        <s v="ORD102588"/>
        <s v="ORD100581"/>
        <s v="ORD101414"/>
        <s v="ORD103134"/>
        <s v="ORD102739"/>
        <s v="ORD103304"/>
        <s v="ORD100123"/>
        <s v="ORD100287"/>
        <s v="ORD101963"/>
        <s v="ORD102282"/>
        <s v="ORD100978"/>
        <s v="ORD102470"/>
        <s v="ORD101983"/>
        <s v="ORD101150"/>
        <s v="ORD102151"/>
        <s v="ORD101309"/>
        <s v="ORD103348"/>
        <s v="ORD100173"/>
        <s v="ORD101225"/>
        <s v="ORD103121"/>
        <s v="ORD100741"/>
        <s v="ORD103477"/>
        <s v="ORD101607"/>
        <s v="ORD100856"/>
        <s v="ORD103948"/>
        <s v="ORD101669"/>
        <s v="ORD102666"/>
        <s v="ORD101045"/>
        <s v="ORD100589"/>
        <s v="ORD101906"/>
        <s v="ORD100803"/>
        <s v="ORD101982"/>
        <s v="ORD100702"/>
        <s v="ORD103975"/>
        <s v="ORD100699"/>
        <s v="ORD102281"/>
        <s v="ORD100874"/>
        <s v="ORD100991"/>
        <s v="ORD100873"/>
        <s v="ORD103269"/>
        <s v="ORD102583"/>
        <s v="ORD101803"/>
        <s v="ORD102688"/>
        <s v="ORD103835"/>
        <s v="ORD103837"/>
        <s v="ORD103529"/>
        <s v="ORD102116"/>
        <s v="ORD101163"/>
        <s v="ORD102047"/>
        <s v="ORD103782"/>
        <s v="ORD103016"/>
        <s v="ORD103532"/>
        <s v="ORD100367"/>
        <s v="ORD102223"/>
        <s v="ORD100421"/>
        <s v="ORD100847"/>
        <s v="ORD100470"/>
        <s v="ORD101165"/>
        <s v="ORD100109"/>
        <s v="ORD100481"/>
        <s v="ORD102547"/>
        <s v="ORD100117"/>
        <s v="ORD103476"/>
        <s v="ORD102076"/>
        <s v="ORD102451"/>
        <s v="ORD103767"/>
        <s v="ORD102286"/>
        <s v="ORD100328"/>
        <s v="ORD102685"/>
        <s v="ORD102464"/>
        <s v="ORD103979"/>
        <s v="ORD103252"/>
        <s v="ORD102120"/>
        <s v="ORD100605"/>
        <s v="ORD100152"/>
        <s v="ORD101205"/>
        <s v="ORD101922"/>
        <s v="ORD101707"/>
        <s v="ORD102101"/>
        <s v="ORD101096"/>
        <s v="ORD101242"/>
        <s v="ORD103621"/>
        <s v="ORD101736"/>
        <s v="ORD100800"/>
        <s v="ORD101853"/>
        <s v="ORD101871"/>
        <s v="ORD103882"/>
        <s v="ORD101405"/>
        <s v="ORD101162"/>
        <s v="ORD100100"/>
        <s v="ORD103054"/>
        <s v="ORD100525"/>
        <s v="ORD102500"/>
        <s v="ORD100061"/>
        <s v="ORD101241"/>
        <s v="ORD101761"/>
        <s v="ORD102935"/>
        <s v="ORD103023"/>
        <s v="ORD101277"/>
        <s v="ORD100441"/>
        <s v="ORD101009"/>
        <s v="ORD100182"/>
        <s v="ORD102465"/>
        <s v="ORD103149"/>
        <s v="ORD103315"/>
        <s v="ORD101046"/>
        <s v="ORD103778"/>
        <s v="ORD102141"/>
        <s v="ORD102023"/>
        <s v="ORD103266"/>
        <s v="ORD100984"/>
        <s v="ORD103008"/>
        <s v="ORD103486"/>
        <s v="ORD101119"/>
        <s v="ORD100790"/>
        <s v="ORD101905"/>
        <s v="ORD101339"/>
        <s v="ORD103370"/>
        <s v="ORD102263"/>
        <s v="ORD102791"/>
        <s v="ORD103341"/>
        <s v="ORD103906"/>
        <s v="ORD102186"/>
        <s v="ORD102521"/>
        <s v="ORD100656"/>
        <s v="ORD102309"/>
        <s v="ORD101881"/>
        <s v="ORD102836"/>
        <s v="ORD103527"/>
        <s v="ORD101089"/>
        <s v="ORD102834"/>
        <s v="ORD100261"/>
        <s v="ORD100568"/>
        <s v="ORD103592"/>
        <s v="ORD100248"/>
        <s v="ORD101987"/>
        <s v="ORD102691"/>
        <s v="ORD101153"/>
        <s v="ORD101836"/>
        <s v="ORD103800"/>
        <s v="ORD103082"/>
        <s v="ORD100134"/>
        <s v="ORD100416"/>
        <s v="ORD100004"/>
        <s v="ORD103253"/>
        <s v="ORD102168"/>
        <s v="ORD102094"/>
        <s v="ORD103358"/>
        <s v="ORD103830"/>
        <s v="ORD100204"/>
        <s v="ORD102414"/>
        <s v="ORD100177"/>
        <s v="ORD101353"/>
        <s v="ORD103493"/>
        <s v="ORD103010"/>
        <s v="ORD102018"/>
        <s v="ORD100616"/>
        <s v="ORD102593"/>
        <s v="ORD102612"/>
        <s v="ORD103749"/>
        <s v="ORD100482"/>
        <s v="ORD101838"/>
        <s v="ORD102172"/>
        <s v="ORD101253"/>
        <s v="ORD100922"/>
        <s v="ORD103222"/>
        <s v="ORD100409"/>
        <s v="ORD102379"/>
        <s v="ORD101662"/>
        <s v="ORD100650"/>
        <s v="ORD101559"/>
        <s v="ORD101770"/>
        <s v="ORD101935"/>
        <s v="ORD102944"/>
        <s v="ORD103242"/>
        <s v="ORD101057"/>
        <s v="ORD101323"/>
        <s v="ORD100641"/>
        <s v="ORD100402"/>
        <s v="ORD100813"/>
        <s v="ORD102734"/>
        <s v="ORD100477"/>
        <s v="ORD102075"/>
        <s v="ORD102311"/>
        <s v="ORD101039"/>
        <s v="ORD103774"/>
        <s v="ORD103143"/>
        <s v="ORD103051"/>
        <s v="ORD100301"/>
        <s v="ORD102476"/>
        <s v="ORD103217"/>
        <s v="ORD101672"/>
        <s v="ORD103836"/>
        <s v="ORD100866"/>
        <s v="ORD101952"/>
        <s v="ORD101345"/>
        <s v="ORD100081"/>
        <s v="ORD103056"/>
        <s v="ORD100837"/>
        <s v="ORD100720"/>
        <s v="ORD100333"/>
        <s v="ORD102328"/>
        <s v="ORD100311"/>
        <s v="ORD102761"/>
        <s v="ORD100545"/>
        <s v="ORD100044"/>
        <s v="ORD100645"/>
        <s v="ORD101338"/>
        <s v="ORD101536"/>
        <s v="ORD100892"/>
        <s v="ORD103058"/>
        <s v="ORD102770"/>
        <s v="ORD103362"/>
        <s v="ORD102726"/>
        <s v="ORD100295"/>
        <s v="ORD101346"/>
        <s v="ORD101814"/>
        <s v="ORD103483"/>
        <s v="ORD100029"/>
        <s v="ORD103788"/>
        <s v="ORD102066"/>
        <s v="ORD102448"/>
        <s v="ORD103256"/>
        <s v="ORD100222"/>
        <s v="ORD100631"/>
        <s v="ORD102701"/>
        <s v="ORD102386"/>
        <s v="ORD100694"/>
        <s v="ORD102469"/>
        <s v="ORD103590"/>
        <s v="ORD100758"/>
        <s v="ORD103826"/>
        <s v="ORD101570"/>
        <s v="ORD103648"/>
        <s v="ORD101666"/>
        <s v="ORD101592"/>
        <s v="ORD102542"/>
        <s v="ORD103413"/>
        <s v="ORD102199"/>
        <s v="ORD100552"/>
        <s v="ORD103809"/>
        <s v="ORD100818"/>
        <s v="ORD101960"/>
        <s v="ORD102354"/>
        <s v="ORD103644"/>
        <s v="ORD101984"/>
        <s v="ORD100055"/>
        <s v="ORD102891"/>
        <s v="ORD102318"/>
        <s v="ORD101044"/>
        <s v="ORD103616"/>
        <s v="ORD102312"/>
        <s v="ORD100017"/>
        <s v="ORD102654"/>
        <s v="ORD100063"/>
        <s v="ORD102342"/>
        <s v="ORD103042"/>
        <s v="ORD103738"/>
        <s v="ORD102646"/>
        <s v="ORD103024"/>
        <s v="ORD100431"/>
        <s v="ORD102811"/>
        <s v="ORD100214"/>
        <s v="ORD103986"/>
        <s v="ORD102748"/>
        <s v="ORD100183"/>
        <s v="ORD101595"/>
        <s v="ORD100859"/>
        <s v="ORD102454"/>
        <s v="ORD101145"/>
        <s v="ORD101252"/>
        <s v="ORD102959"/>
        <s v="ORD101819"/>
        <s v="ORD100254"/>
        <s v="ORD100857"/>
        <s v="ORD102529"/>
        <s v="ORD103298"/>
        <s v="ORD100633"/>
        <s v="ORD103866"/>
        <s v="ORD102264"/>
        <s v="ORD101837"/>
        <s v="ORD100073"/>
        <s v="ORD102581"/>
        <s v="ORD101501"/>
        <s v="ORD103742"/>
        <s v="ORD103890"/>
        <s v="ORD100655"/>
        <s v="ORD100201"/>
        <s v="ORD100422"/>
        <s v="ORD100969"/>
        <s v="ORD101780"/>
        <s v="ORD103507"/>
        <s v="ORD101275"/>
        <s v="ORD100286"/>
        <s v="ORD101341"/>
        <s v="ORD100834"/>
        <s v="ORD101361"/>
        <s v="ORD103247"/>
        <s v="ORD100944"/>
        <s v="ORD103415"/>
        <s v="ORD102268"/>
        <s v="ORD100312"/>
        <s v="ORD100772"/>
        <s v="ORD100195"/>
        <s v="ORD103626"/>
        <s v="ORD100288"/>
        <s v="ORD100424"/>
        <s v="ORD103765"/>
        <s v="ORD103762"/>
        <s v="ORD101117"/>
        <s v="ORD100764"/>
        <s v="ORD100266"/>
        <s v="ORD102776"/>
        <s v="ORD103288"/>
        <s v="ORD100427"/>
        <s v="ORD100956"/>
        <s v="ORD101031"/>
        <s v="ORD102313"/>
        <s v="ORD100174"/>
        <s v="ORD103881"/>
        <s v="ORD102105"/>
        <s v="ORD101206"/>
        <s v="ORD102808"/>
        <s v="ORD100776"/>
        <s v="ORD103220"/>
        <s v="ORD103883"/>
        <s v="ORD102346"/>
        <s v="ORD103314"/>
        <s v="ORD103936"/>
        <s v="ORD100162"/>
        <s v="ORD100067"/>
        <s v="ORD102394"/>
        <s v="ORD103241"/>
        <s v="ORD101420"/>
        <s v="ORD100700"/>
        <s v="ORD101591"/>
        <s v="ORD100998"/>
        <s v="ORD102388"/>
        <s v="ORD101917"/>
        <s v="ORD100808"/>
        <s v="ORD101902"/>
        <s v="ORD101928"/>
        <s v="ORD100635"/>
        <s v="ORD101564"/>
        <s v="ORD100719"/>
        <s v="ORD100292"/>
        <s v="ORD103085"/>
        <s v="ORD103584"/>
        <s v="ORD100299"/>
        <s v="ORD103031"/>
        <s v="ORD102882"/>
        <s v="ORD100945"/>
        <s v="ORD101111"/>
        <s v="ORD100187"/>
        <s v="ORD100381"/>
        <s v="ORD102359"/>
        <s v="ORD101773"/>
        <s v="ORD103397"/>
        <s v="ORD103610"/>
        <s v="ORD101517"/>
        <s v="ORD102746"/>
        <s v="ORD103844"/>
        <s v="ORD103594"/>
        <s v="ORD100252"/>
        <s v="ORD102860"/>
        <s v="ORD101469"/>
        <s v="ORD100796"/>
        <s v="ORD100584"/>
        <s v="ORD103822"/>
        <s v="ORD101827"/>
        <s v="ORD102544"/>
        <s v="ORD101550"/>
        <s v="ORD102323"/>
        <s v="ORD102749"/>
        <s v="ORD101995"/>
        <s v="ORD103088"/>
        <s v="ORD101453"/>
        <s v="ORD101842"/>
        <s v="ORD103249"/>
        <s v="ORD100794"/>
        <s v="ORD103101"/>
        <s v="ORD103103"/>
        <s v="ORD100302"/>
        <s v="ORD102922"/>
        <s v="ORD101851"/>
        <s v="ORD101373"/>
        <s v="ORD102140"/>
        <s v="ORD102567"/>
        <s v="ORD101968"/>
        <s v="ORD100967"/>
        <s v="ORD101381"/>
        <s v="ORD101312"/>
        <s v="ORD102970"/>
        <s v="ORD103695"/>
        <s v="ORD103907"/>
        <s v="ORD103508"/>
        <s v="ORD101437"/>
        <s v="ORD100347"/>
        <s v="ORD103025"/>
        <s v="ORD102717"/>
        <s v="ORD102000"/>
        <s v="ORD103197"/>
        <s v="ORD101900"/>
        <s v="ORD103752"/>
        <s v="ORD103691"/>
        <s v="ORD100452"/>
        <s v="ORD103591"/>
        <s v="ORD101741"/>
        <s v="ORD102905"/>
        <s v="ORD101388"/>
        <s v="ORD103602"/>
        <s v="ORD101771"/>
        <s v="ORD100763"/>
        <s v="ORD101967"/>
        <s v="ORD100376"/>
        <s v="ORD100618"/>
        <s v="ORD101575"/>
        <s v="ORD102664"/>
        <s v="ORD101434"/>
        <s v="ORD101974"/>
        <s v="ORD101091"/>
        <s v="ORD103685"/>
        <s v="ORD102322"/>
        <s v="ORD100446"/>
        <s v="ORD103451"/>
        <s v="ORD102433"/>
        <s v="ORD102128"/>
        <s v="ORD102651"/>
        <s v="ORD100598"/>
        <s v="ORD102040"/>
        <s v="ORD102527"/>
        <s v="ORD103950"/>
        <s v="ORD100485"/>
        <s v="ORD103806"/>
        <s v="ORD101412"/>
        <s v="ORD101231"/>
        <s v="ORD102043"/>
        <s v="ORD102064"/>
        <s v="ORD100426"/>
        <s v="ORD102939"/>
        <s v="ORD100372"/>
        <s v="ORD100899"/>
        <s v="ORD102694"/>
        <s v="ORD102677"/>
        <s v="ORD102193"/>
        <s v="ORD100041"/>
        <s v="ORD103287"/>
        <s v="ORD100514"/>
        <s v="ORD103180"/>
        <s v="ORD103911"/>
        <s v="ORD100713"/>
        <s v="ORD102945"/>
        <s v="ORD103063"/>
        <s v="ORD103279"/>
        <s v="ORD102670"/>
        <s v="ORD103805"/>
        <s v="ORD102750"/>
        <s v="ORD100082"/>
        <s v="ORD103345"/>
        <s v="ORD102252"/>
        <s v="ORD102160"/>
        <s v="ORD102607"/>
        <s v="ORD102735"/>
        <s v="ORD103982"/>
        <s v="ORD103194"/>
        <s v="ORD103475"/>
        <s v="ORD100562"/>
        <s v="ORD102625"/>
        <s v="ORD102585"/>
        <s v="ORD103381"/>
        <s v="ORD100313"/>
        <s v="ORD102821"/>
        <s v="ORD100206"/>
        <s v="ORD100652"/>
        <s v="ORD103335"/>
        <s v="ORD103013"/>
        <s v="ORD103547"/>
        <s v="ORD101855"/>
        <s v="ORD100965"/>
        <s v="ORD100020"/>
        <s v="ORD102396"/>
        <s v="ORD103938"/>
        <s v="ORD101558"/>
        <s v="ORD103579"/>
        <s v="ORD103203"/>
        <s v="ORD102976"/>
        <s v="ORD102226"/>
        <s v="ORD100307"/>
        <s v="ORD100189"/>
        <s v="ORD100900"/>
        <s v="ORD100643"/>
        <s v="ORD101316"/>
        <s v="ORD101233"/>
        <s v="ORD102781"/>
        <s v="ORD101178"/>
        <s v="ORD102425"/>
        <s v="ORD103318"/>
        <s v="ORD102630"/>
        <s v="ORD101014"/>
        <s v="ORD100941"/>
        <s v="ORD103750"/>
        <s v="ORD101752"/>
        <s v="ORD100724"/>
        <s v="ORD103201"/>
        <s v="ORD103735"/>
        <s v="ORD101681"/>
        <s v="ORD102005"/>
        <s v="ORD101812"/>
        <s v="ORD100712"/>
        <s v="ORD101438"/>
        <s v="ORD101082"/>
        <s v="ORD101727"/>
        <s v="ORD100016"/>
        <s v="ORD102332"/>
        <s v="ORD103821"/>
        <s v="ORD102897"/>
        <s v="ORD100114"/>
        <s v="ORD101389"/>
        <s v="ORD100943"/>
        <s v="ORD100986"/>
        <s v="ORD102241"/>
        <s v="ORD101512"/>
        <s v="ORD102967"/>
        <s v="ORD101116"/>
        <s v="ORD101475"/>
        <s v="ORD101190"/>
        <s v="ORD100331"/>
        <s v="ORD101477"/>
        <s v="ORD103421"/>
        <s v="ORD100766"/>
        <s v="ORD102854"/>
        <s v="ORD102444"/>
        <s v="ORD101007"/>
        <s v="ORD100399"/>
        <s v="ORD100636"/>
        <s v="ORD103402"/>
        <s v="ORD101138"/>
        <s v="ORD103029"/>
        <s v="ORD103391"/>
        <s v="ORD101262"/>
        <s v="ORD102189"/>
        <s v="ORD101303"/>
        <s v="ORD103131"/>
        <s v="ORD101436"/>
        <s v="ORD102584"/>
        <s v="ORD102165"/>
        <s v="ORD102728"/>
        <s v="ORD103570"/>
        <s v="ORD103055"/>
        <s v="ORD100554"/>
        <s v="ORD102227"/>
        <s v="ORD100132"/>
        <s v="ORD100851"/>
        <s v="ORD102796"/>
        <s v="ORD100542"/>
        <s v="ORD101661"/>
        <s v="ORD103096"/>
        <s v="ORD100607"/>
        <s v="ORD102441"/>
        <s v="ORD101005"/>
        <s v="ORD102397"/>
        <s v="ORD102556"/>
        <s v="ORD101004"/>
        <s v="ORD103276"/>
        <s v="ORD101161"/>
        <s v="ORD103321"/>
        <s v="ORD100443"/>
        <s v="ORD101944"/>
        <s v="ORD102817"/>
        <s v="ORD102652"/>
        <s v="ORD102771"/>
        <s v="ORD103254"/>
        <s v="ORD101625"/>
        <s v="ORD103284"/>
        <s v="ORD103871"/>
        <s v="ORD103625"/>
        <s v="ORD100260"/>
        <s v="ORD103208"/>
        <s v="ORD100059"/>
        <s v="ORD101936"/>
        <s v="ORD101772"/>
        <s v="ORD103868"/>
        <s v="ORD100240"/>
        <s v="ORD103526"/>
        <s v="ORD103622"/>
        <s v="ORD102510"/>
        <s v="ORD100989"/>
        <s v="ORD100460"/>
        <s v="ORD101523"/>
        <s v="ORD100146"/>
        <s v="ORD101471"/>
        <s v="ORD101207"/>
        <s v="ORD101602"/>
        <s v="ORD103994"/>
        <s v="ORD102373"/>
        <s v="ORD103901"/>
        <s v="ORD100940"/>
        <s v="ORD103146"/>
        <s v="ORD101041"/>
        <s v="ORD100102"/>
        <s v="ORD101488"/>
        <s v="ORD102224"/>
        <s v="ORD103941"/>
        <s v="ORD102552"/>
        <s v="ORD103259"/>
        <s v="ORD101179"/>
        <s v="ORD101115"/>
        <s v="ORD100775"/>
        <s v="ORD100621"/>
        <s v="ORD101431"/>
        <s v="ORD101878"/>
        <s v="ORD101596"/>
        <s v="ORD100938"/>
        <s v="ORD101651"/>
        <s v="ORD102021"/>
        <s v="ORD103851"/>
        <s v="ORD102035"/>
        <s v="ORD100394"/>
        <s v="ORD101934"/>
        <s v="ORD103551"/>
        <s v="ORD102512"/>
        <s v="ORD100052"/>
        <s v="ORD100802"/>
        <s v="ORD101470"/>
        <s v="ORD100418"/>
        <s v="ORD102138"/>
        <s v="ORD101372"/>
        <s v="ORD100932"/>
        <s v="ORD103719"/>
        <s v="ORD100285"/>
        <s v="ORD101647"/>
        <s v="ORD100472"/>
        <s v="ORD100353"/>
        <s v="ORD101950"/>
        <s v="ORD102063"/>
        <s v="ORD100433"/>
        <s v="ORD103534"/>
        <s v="ORD100245"/>
        <s v="ORD101192"/>
        <s v="ORD103572"/>
        <s v="ORD103125"/>
        <s v="ORD101313"/>
        <s v="ORD100389"/>
        <s v="ORD103300"/>
        <s v="ORD102869"/>
        <s v="ORD103659"/>
        <s v="ORD100972"/>
        <s v="ORD101311"/>
        <s v="ORD102228"/>
        <s v="ORD101120"/>
        <s v="ORD100588"/>
        <s v="ORD103560"/>
        <s v="ORD101673"/>
        <s v="ORD101385"/>
        <s v="ORD100502"/>
        <s v="ORD101133"/>
        <s v="ORD103426"/>
        <s v="ORD103783"/>
        <s v="ORD100384"/>
        <s v="ORD100553"/>
        <s v="ORD103299"/>
        <s v="ORD102716"/>
        <s v="ORD100388"/>
        <s v="ORD100298"/>
        <s v="ORD100030"/>
        <s v="ORD101320"/>
        <s v="ORD103074"/>
        <s v="ORD103792"/>
        <s v="ORD100300"/>
        <s v="ORD103464"/>
        <s v="ORD101569"/>
        <s v="ORD100492"/>
        <s v="ORD103262"/>
        <s v="ORD102575"/>
        <s v="ORD101667"/>
        <s v="ORD102351"/>
        <s v="ORD103084"/>
        <s v="ORD102004"/>
        <s v="ORD100637"/>
        <s v="ORD103449"/>
        <s v="ORD102714"/>
        <s v="ORD103543"/>
        <s v="ORD100927"/>
        <s v="ORD101355"/>
        <s v="ORD103997"/>
        <s v="ORD100089"/>
        <s v="ORD103349"/>
        <s v="ORD100111"/>
        <s v="ORD101998"/>
        <s v="ORD101060"/>
        <s v="ORD101986"/>
        <s v="ORD103372"/>
        <s v="ORD101642"/>
        <s v="ORD101491"/>
        <s v="ORD101824"/>
        <s v="ORD101102"/>
        <s v="ORD102740"/>
        <s v="ORD103425"/>
        <s v="ORD102957"/>
        <s v="ORD101020"/>
        <s v="ORD100382"/>
        <s v="ORD103384"/>
        <s v="ORD102442"/>
        <s v="ORD103071"/>
        <s v="ORD102291"/>
        <s v="ORD100594"/>
        <s v="ORD103632"/>
        <s v="ORD103776"/>
        <s v="ORD100400"/>
        <s v="ORD102129"/>
        <s v="ORD100505"/>
        <s v="ORD102517"/>
        <s v="ORD102609"/>
        <s v="ORD102738"/>
        <s v="ORD102384"/>
        <s v="ORD101975"/>
        <s v="ORD100145"/>
        <s v="ORD100935"/>
        <s v="ORD101873"/>
        <s v="ORD102926"/>
        <s v="ORD103278"/>
        <s v="ORD103141"/>
        <s v="ORD103280"/>
        <s v="ORD100830"/>
        <s v="ORD101791"/>
        <s v="ORD100682"/>
        <s v="ORD101156"/>
        <s v="ORD101674"/>
        <s v="ORD101710"/>
        <s v="ORD103656"/>
        <s v="ORD101861"/>
        <s v="ORD100345"/>
        <s v="ORD103190"/>
        <s v="ORD103725"/>
        <s v="ORD101283"/>
        <s v="ORD103173"/>
        <s v="ORD103440"/>
        <s v="ORD101259"/>
        <s v="ORD103603"/>
        <s v="ORD102090"/>
        <s v="ORD101679"/>
        <s v="ORD102209"/>
        <s v="ORD103286"/>
        <s v="ORD100283"/>
        <s v="ORD101945"/>
        <s v="ORD103619"/>
        <s v="ORD103577"/>
        <s v="ORD103914"/>
        <s v="ORD101924"/>
        <s v="ORD100190"/>
        <s v="ORD103399"/>
        <s v="ORD101744"/>
        <s v="ORD102095"/>
        <s v="ORD103717"/>
        <s v="ORD103291"/>
        <s v="ORD101058"/>
        <s v="ORD101866"/>
        <s v="ORD102316"/>
        <s v="ORD100896"/>
        <s v="ORD100242"/>
        <s v="ORD103874"/>
        <s v="ORD103205"/>
        <s v="ORD100863"/>
        <s v="ORD103791"/>
        <s v="ORD102906"/>
        <s v="ORD102810"/>
        <s v="ORD103872"/>
        <s v="ORD103885"/>
        <s v="ORD101228"/>
        <s v="ORD103169"/>
        <s v="ORD101583"/>
        <s v="ORD100516"/>
        <s v="ORD101281"/>
        <s v="ORD103115"/>
        <s v="ORD100865"/>
        <s v="ORD103999"/>
        <s v="ORD100703"/>
        <s v="ORD102682"/>
        <s v="ORD102595"/>
        <s v="ORD103459"/>
        <s v="ORD102055"/>
        <s v="ORD101875"/>
        <s v="ORD101545"/>
        <s v="ORD102274"/>
        <s v="ORD101720"/>
        <s v="ORD103003"/>
        <s v="ORD100378"/>
        <s v="ORD103787"/>
        <s v="ORD102466"/>
        <s v="ORD102600"/>
        <s v="ORD102266"/>
        <s v="ORD100357"/>
        <s v="ORD101413"/>
        <s v="ORD102569"/>
        <s v="ORD101456"/>
        <s v="ORD102911"/>
        <s v="ORD102417"/>
        <s v="ORD101891"/>
        <s v="ORD101065"/>
        <s v="ORD102065"/>
        <s v="ORD102250"/>
        <s v="ORD102637"/>
        <s v="ORD103307"/>
        <s v="ORD102042"/>
        <s v="ORD100159"/>
        <s v="ORD103414"/>
        <s v="ORD102516"/>
        <s v="ORD100316"/>
        <s v="ORD101358"/>
        <s v="ORD102988"/>
        <s v="ORD101509"/>
        <s v="ORD103892"/>
        <s v="ORD103736"/>
        <s v="ORD103186"/>
        <s v="ORD100213"/>
        <s v="ORD103802"/>
        <s v="ORD102686"/>
        <s v="ORD102896"/>
        <s v="ORD100495"/>
        <s v="ORD103829"/>
        <s v="ORD101234"/>
        <s v="ORD102245"/>
        <s v="ORD100529"/>
        <s v="ORD102725"/>
        <s v="ORD100035"/>
        <s v="ORD103436"/>
        <s v="ORD102082"/>
        <s v="ORD102125"/>
        <s v="ORD103819"/>
        <s v="ORD102382"/>
        <s v="ORD100371"/>
        <s v="ORD101894"/>
        <s v="ORD100257"/>
        <s v="ORD103461"/>
        <s v="ORD103955"/>
        <s v="ORD102297"/>
        <s v="ORD103179"/>
        <s v="ORD102608"/>
        <s v="ORD102422"/>
        <s v="ORD103988"/>
        <s v="ORD100115"/>
        <s v="ORD101923"/>
        <s v="ORD101440"/>
        <s v="ORD103967"/>
        <s v="ORD102032"/>
        <s v="ORD102107"/>
        <s v="ORD102912"/>
        <s v="ORD102099"/>
        <s v="ORD103646"/>
        <s v="ORD101183"/>
        <s v="ORD102655"/>
        <s v="ORD101519"/>
        <s v="ORD101473"/>
        <s v="ORD100735"/>
        <s v="ORD100558"/>
        <s v="ORD101410"/>
        <s v="ORD101608"/>
        <s v="ORD100171"/>
        <s v="ORD102915"/>
        <s v="ORD101548"/>
        <s v="ORD101618"/>
        <s v="ORD100155"/>
        <s v="ORD101406"/>
        <s v="ORD100267"/>
        <s v="ORD100639"/>
        <s v="ORD103663"/>
        <s v="ORD103904"/>
        <s v="ORD101201"/>
        <s v="ORD100476"/>
        <s v="ORD102650"/>
        <s v="ORD102366"/>
        <s v="ORD100053"/>
        <s v="ORD102248"/>
        <s v="ORD101845"/>
        <s v="ORD103586"/>
        <s v="ORD100208"/>
        <s v="ORD102936"/>
        <s v="ORD100670"/>
        <s v="ORD100090"/>
        <s v="ORD102932"/>
        <s v="ORD103634"/>
        <s v="ORD101742"/>
        <s v="ORD100731"/>
        <s v="ORD103017"/>
        <s v="ORD101979"/>
        <s v="ORD102713"/>
        <s v="ORD103327"/>
        <s v="ORD102400"/>
        <s v="ORD101487"/>
        <s v="ORD102949"/>
        <s v="ORD102628"/>
        <s v="ORD103807"/>
        <s v="ORD103845"/>
        <s v="ORD103267"/>
        <s v="ORD103966"/>
        <s v="ORD103531"/>
        <s v="ORD102591"/>
        <s v="ORD101565"/>
        <s v="ORD102747"/>
        <s v="ORD100271"/>
        <s v="ORD103635"/>
        <s v="ORD100723"/>
        <s v="ORD100226"/>
        <s v="ORD102998"/>
        <s v="ORD101686"/>
        <s v="ORD103204"/>
        <s v="ORD101224"/>
        <s v="ORD101841"/>
        <s v="ORD103849"/>
        <s v="ORD100711"/>
        <s v="ORD103723"/>
        <s v="ORD100167"/>
        <s v="ORD102089"/>
        <s v="ORD103920"/>
        <s v="ORD102785"/>
        <s v="ORD101671"/>
        <s v="ORD102722"/>
        <s v="ORD102982"/>
        <s v="ORD102674"/>
        <s v="ORD100508"/>
        <s v="ORD100323"/>
        <s v="ORD100854"/>
        <s v="ORD102603"/>
        <s v="ORD103490"/>
        <s v="ORD100058"/>
        <s v="ORD102493"/>
        <s v="ORD102881"/>
        <s v="ORD100961"/>
        <s v="ORD100093"/>
        <s v="ORD101029"/>
        <s v="ORD103330"/>
        <s v="ORD101898"/>
        <s v="ORD102621"/>
        <s v="ORD101580"/>
        <s v="ORD103065"/>
        <s v="ORD100279"/>
        <s v="ORD102028"/>
        <s v="ORD100524"/>
        <s v="ORD102174"/>
        <s v="ORD101989"/>
        <s v="ORD100033"/>
        <s v="ORD100820"/>
        <s v="ORD103250"/>
        <s v="ORD100538"/>
        <s v="ORD100018"/>
        <s v="ORD103484"/>
        <s v="ORD101941"/>
        <s v="ORD100259"/>
        <s v="ORD101573"/>
        <s v="ORD102715"/>
        <s v="ORD101676"/>
        <s v="ORD100819"/>
        <s v="ORD100615"/>
        <s v="ORD100238"/>
        <s v="ORD101868"/>
        <s v="ORD102649"/>
        <s v="ORD103732"/>
        <s v="ORD101813"/>
        <s v="ORD101460"/>
        <s v="ORD101533"/>
        <s v="ORD102497"/>
        <s v="ORD101302"/>
        <s v="ORD101403"/>
        <s v="ORD101889"/>
        <s v="ORD100685"/>
        <s v="ORD101688"/>
        <s v="ORD100510"/>
        <s v="ORD101892"/>
        <s v="ORD100009"/>
        <s v="ORD100778"/>
        <s v="ORD101476"/>
        <s v="ORD100893"/>
        <s v="ORD100377"/>
        <s v="ORD102447"/>
        <s v="ORD103045"/>
        <s v="ORD100413"/>
        <s v="ORD100036"/>
        <s v="ORD102900"/>
        <s v="ORD100528"/>
        <s v="ORD101124"/>
        <s v="ORD100958"/>
        <s v="ORD102772"/>
        <s v="ORD102894"/>
        <s v="ORD103164"/>
        <s v="ORD101447"/>
        <s v="ORD102536"/>
        <s v="ORD100780"/>
        <s v="ORD101951"/>
        <s v="ORD103686"/>
        <s v="ORD102919"/>
        <s v="ORD100011"/>
        <s v="ORD100116"/>
        <s v="ORD103716"/>
        <s v="ORD103152"/>
        <s v="ORD102060"/>
        <s v="ORD100869"/>
        <s v="ORD103921"/>
        <s v="ORD102230"/>
        <s v="ORD101864"/>
        <s v="ORD101276"/>
        <s v="ORD102541"/>
        <s v="ORD103040"/>
        <s v="ORD101363"/>
        <s v="ORD103958"/>
        <s v="ORD100332"/>
        <s v="ORD100535"/>
        <s v="ORD100143"/>
        <s v="ORD100094"/>
        <s v="ORD100304"/>
        <s v="ORD102850"/>
        <s v="ORD101978"/>
        <s v="ORD103689"/>
        <s v="ORD103052"/>
        <s v="ORD102558"/>
        <s v="ORD103277"/>
        <s v="ORD100815"/>
        <s v="ORD102946"/>
        <s v="ORD102757"/>
        <s v="ORD100651"/>
        <s v="ORD100405"/>
        <s v="ORD103485"/>
        <s v="ORD100444"/>
        <s v="ORD101068"/>
        <s v="ORD100348"/>
        <s v="ORD101680"/>
        <s v="ORD103927"/>
        <s v="ORD102971"/>
        <s v="ORD101289"/>
        <s v="ORD100258"/>
        <s v="ORD102106"/>
        <s v="ORD100951"/>
        <s v="ORD103578"/>
        <s v="ORD103754"/>
        <s v="ORD100296"/>
        <s v="ORD101886"/>
        <s v="ORD101668"/>
        <s v="ORD101019"/>
        <s v="ORD100574"/>
        <s v="ORD103569"/>
        <s v="ORD100923"/>
        <s v="ORD103473"/>
        <s v="ORD102416"/>
        <s v="ORD103395"/>
        <s v="ORD101932"/>
        <s v="ORD101760"/>
        <s v="ORD100673"/>
        <s v="ORD100992"/>
        <s v="ORD100235"/>
        <s v="ORD102673"/>
        <s v="ORD101876"/>
        <s v="ORD100355"/>
        <s v="ORD100520"/>
        <s v="ORD102618"/>
        <s v="ORD100186"/>
        <s v="ORD101210"/>
        <s v="ORD103281"/>
        <s v="ORD101511"/>
        <s v="ORD101665"/>
        <s v="ORD100234"/>
        <s v="ORD103181"/>
        <s v="ORD101988"/>
        <s v="ORD100270"/>
        <s v="ORD103463"/>
        <s v="ORD101785"/>
        <s v="ORD102271"/>
        <s v="ORD100674"/>
        <s v="ORD103908"/>
        <s v="ORD103263"/>
        <s v="ORD103733"/>
        <s v="ORD102471"/>
        <s v="ORD102703"/>
        <s v="ORD101516"/>
        <s v="ORD102173"/>
        <s v="ORD101735"/>
        <s v="ORD103211"/>
        <s v="ORD102446"/>
        <s v="ORD100849"/>
        <s v="ORD103666"/>
        <s v="ORD100698"/>
        <s v="ORD102479"/>
        <s v="ORD103027"/>
        <s v="ORD100624"/>
        <s v="ORD101818"/>
        <s v="ORD101396"/>
        <s v="ORD101510"/>
        <s v="ORD100666"/>
        <s v="ORD100560"/>
        <s v="ORD102310"/>
        <s v="ORD101691"/>
        <s v="ORD103311"/>
        <s v="ORD102088"/>
        <s v="ORD102278"/>
        <s v="ORD100981"/>
        <s v="ORD103470"/>
        <s v="ORD103455"/>
        <s v="ORD102233"/>
        <s v="ORD102844"/>
        <s v="ORD101126"/>
        <s v="ORD102968"/>
        <s v="ORD100585"/>
        <s v="ORD101955"/>
        <s v="ORD102175"/>
        <s v="ORD103940"/>
        <s v="ORD103785"/>
        <s v="ORD101848"/>
        <s v="ORD101402"/>
        <s v="ORD102530"/>
        <s v="ORD100149"/>
        <s v="ORD100704"/>
        <s v="ORD102200"/>
        <s v="ORD103887"/>
        <s v="ORD102550"/>
        <s v="ORD100113"/>
        <s v="ORD103244"/>
        <s v="ORD100942"/>
        <s v="ORD103726"/>
        <s v="ORD102007"/>
        <s v="ORD102597"/>
        <s v="ORD101915"/>
        <s v="ORD102535"/>
        <s v="ORD102050"/>
        <s v="ORD100176"/>
        <s v="ORD101195"/>
        <s v="ORD100251"/>
        <s v="ORD101703"/>
        <s v="ORD101600"/>
        <s v="ORD100937"/>
        <s v="ORD101086"/>
        <s v="ORD103743"/>
        <s v="ORD102807"/>
        <s v="ORD101074"/>
        <s v="ORD100499"/>
        <s v="ORD100757"/>
        <s v="ORD103993"/>
        <s v="ORD101657"/>
        <s v="ORD102930"/>
        <s v="ORD100170"/>
        <s v="ORD100949"/>
        <s v="ORD101218"/>
        <s v="ORD103454"/>
        <s v="ORD103379"/>
        <s v="ORD100762"/>
        <s v="ORD103245"/>
        <s v="ORD102378"/>
        <s v="ORD101684"/>
        <s v="ORD100557"/>
        <s v="ORD102966"/>
        <s v="ORD102762"/>
        <s v="ORD100596"/>
        <s v="ORD101040"/>
        <s v="ORD100401"/>
        <s v="ORD103694"/>
        <s v="ORD103361"/>
        <s v="ORD101439"/>
        <s v="ORD102184"/>
        <s v="ORD100928"/>
        <s v="ORD102033"/>
        <s v="ORD101072"/>
        <s v="ORD100276"/>
        <s v="ORD102137"/>
        <s v="ORD101521"/>
        <s v="ORD101118"/>
        <s v="ORD103638"/>
        <s v="ORD103747"/>
        <s v="ORD103575"/>
        <s v="ORD101131"/>
        <s v="ORD101764"/>
        <s v="ORD101734"/>
        <s v="ORD101489"/>
        <s v="ORD100169"/>
        <s v="ORD101080"/>
        <s v="ORD102902"/>
        <s v="ORD102758"/>
        <s v="ORD100547"/>
        <s v="ORD102258"/>
        <s v="ORD102501"/>
        <s v="ORD100701"/>
        <s v="ORD102147"/>
        <s v="ORD102885"/>
        <s v="ORD100663"/>
        <s v="ORD103309"/>
        <s v="ORD102490"/>
        <s v="ORD101909"/>
        <s v="ORD101743"/>
        <s v="ORD101024"/>
        <s v="ORD100219"/>
        <s v="ORD101187"/>
        <s v="ORD103235"/>
        <s v="ORD101394"/>
        <s v="ORD100910"/>
        <s v="ORD101949"/>
        <s v="ORD101795"/>
        <s v="ORD100902"/>
        <s v="ORD103701"/>
        <s v="ORD103818"/>
        <s v="ORD103652"/>
        <s v="ORD100318"/>
        <s v="ORD103468"/>
        <s v="ORD102246"/>
        <s v="ORD101587"/>
        <s v="ORD103502"/>
        <s v="ORD103303"/>
        <s v="ORD103160"/>
        <s v="ORD103442"/>
        <s v="ORD103609"/>
        <s v="ORD102219"/>
        <s v="ORD102985"/>
        <s v="ORD102578"/>
        <s v="ORD102019"/>
        <s v="ORD101400"/>
        <s v="ORD103144"/>
        <s v="ORD100463"/>
        <s v="ORD101199"/>
        <s v="ORD100936"/>
        <s v="ORD100970"/>
        <s v="ORD103612"/>
        <s v="ORD102828"/>
        <s v="ORD100244"/>
        <s v="ORD100383"/>
        <s v="ORD103324"/>
        <s v="ORD101806"/>
        <s v="ORD101226"/>
        <s v="ORD103781"/>
        <s v="ORD102640"/>
        <s v="ORD101324"/>
        <s v="ORD100469"/>
        <s v="ORD103273"/>
        <s v="ORD103704"/>
        <s v="ORD103467"/>
        <s v="ORD100395"/>
        <s v="ORD103942"/>
        <s v="ORD102918"/>
        <s v="ORD102006"/>
        <s v="ORD103129"/>
        <s v="ORD103178"/>
        <s v="ORD101249"/>
        <s v="ORD103081"/>
        <s v="ORD103293"/>
        <s v="ORD102238"/>
        <s v="ORD103990"/>
        <s v="ORD103838"/>
        <s v="ORD101158"/>
        <s v="ORD101022"/>
        <s v="ORD102753"/>
        <s v="ORD102008"/>
        <s v="ORD100600"/>
        <s v="ORD101052"/>
        <s v="ORD101182"/>
        <s v="ORD100825"/>
        <s v="ORD101000"/>
        <s v="ORD101334"/>
        <s v="ORD103724"/>
        <s v="ORD100223"/>
        <s v="ORD102170"/>
        <s v="ORD101547"/>
        <s v="ORD102639"/>
        <s v="ORD101223"/>
        <s v="ORD100074"/>
        <s v="ORD100591"/>
        <s v="ORD103353"/>
        <s v="ORD102329"/>
        <s v="ORD101314"/>
        <s v="ORD100486"/>
        <s v="ORD101677"/>
        <s v="ORD100690"/>
        <s v="ORD100919"/>
        <s v="ORD103847"/>
        <s v="ORD101105"/>
        <s v="ORD103002"/>
        <s v="ORD103537"/>
        <s v="ORD102429"/>
        <s v="ORD102363"/>
        <s v="ORD103420"/>
        <s v="ORD100211"/>
        <s v="ORD100128"/>
        <s v="ORD102240"/>
        <s v="ORD103664"/>
        <s v="ORD100046"/>
        <s v="ORD101774"/>
        <s v="ORD100842"/>
        <s v="ORD100793"/>
        <s v="ORD101961"/>
        <s v="ORD102192"/>
        <s v="ORD102695"/>
        <s v="ORD100570"/>
        <s v="ORD101043"/>
        <s v="ORD100480"/>
        <s v="ORD103251"/>
        <s v="ORD103255"/>
        <s v="ORD100101"/>
        <s v="ORD102793"/>
        <s v="ORD100782"/>
        <s v="ORD101083"/>
        <s v="ORD102304"/>
        <s v="ORD103987"/>
        <s v="ORD101604"/>
        <s v="ORD102667"/>
        <s v="ORD102376"/>
        <s v="ORD101874"/>
        <s v="ORD100491"/>
        <s v="ORD102345"/>
        <s v="ORD100420"/>
        <s v="ORD102842"/>
        <s v="ORD101243"/>
        <s v="ORD101709"/>
        <s v="ORD100342"/>
        <s v="ORD101606"/>
        <s v="ORD103544"/>
        <s v="ORD102308"/>
        <s v="ORD103148"/>
        <s v="ORD100850"/>
        <s v="ORD100795"/>
        <s v="ORD101568"/>
        <s v="ORD103469"/>
        <s v="ORD100551"/>
        <s v="ORD102362"/>
        <s v="ORD103015"/>
        <s v="ORD102257"/>
        <s v="ORD102014"/>
        <s v="ORD100791"/>
        <s v="ORD100877"/>
        <s v="ORD101392"/>
        <s v="ORD103643"/>
        <s v="ORD101956"/>
        <s v="ORD103522"/>
        <s v="ORD101271"/>
        <s v="ORD102123"/>
        <s v="ORD103090"/>
        <s v="ORD102506"/>
        <s v="ORD103192"/>
        <s v="ORD100068"/>
        <s v="ORD103285"/>
        <s v="ORD103789"/>
        <s v="ORD102459"/>
        <s v="ORD100135"/>
        <s v="ORD101640"/>
        <s v="ORD100878"/>
        <s v="ORD103641"/>
        <s v="ORD101245"/>
        <s v="ORD102622"/>
        <s v="ORD101895"/>
        <s v="ORD103811"/>
        <s v="ORD102217"/>
        <s v="ORD101008"/>
        <s v="ORD103357"/>
        <s v="ORD101215"/>
        <s v="ORD102237"/>
        <s v="ORD102777"/>
        <s v="ORD102061"/>
        <s v="ORD103482"/>
        <s v="ORD100676"/>
        <s v="ORD100667"/>
        <s v="ORD101069"/>
        <s v="ORD103667"/>
        <s v="ORD103795"/>
        <s v="ORD102098"/>
        <s v="ORD100916"/>
        <s v="ORD100008"/>
        <s v="ORD100060"/>
        <s v="ORD100897"/>
        <s v="ORD102833"/>
        <s v="ORD100412"/>
        <s v="ORD101701"/>
        <s v="ORD102457"/>
        <s v="ORD103366"/>
        <s v="ORD102208"/>
        <s v="ORD103039"/>
        <s v="ORD103520"/>
        <s v="ORD103320"/>
        <s v="ORD100774"/>
        <s v="ORD103108"/>
        <s v="ORD103918"/>
        <s v="ORD101294"/>
        <s v="ORD101899"/>
        <s v="ORD101858"/>
        <s v="ORD102697"/>
        <s v="ORD102792"/>
        <s v="ORD103827"/>
        <s v="ORD103495"/>
        <s v="ORD102928"/>
        <s v="ORD103536"/>
        <s v="ORD102486"/>
        <s v="ORD102450"/>
        <s v="ORD100340"/>
        <s v="ORD103653"/>
        <s v="ORD102937"/>
        <s v="ORD103171"/>
        <s v="ORD101821"/>
        <s v="ORD101554"/>
        <s v="ORD100500"/>
        <s v="ORD101472"/>
        <s v="ORD103369"/>
        <s v="ORD100369"/>
        <s v="ORD102058"/>
        <s v="ORD101946"/>
        <s v="ORD103640"/>
        <s v="ORD100205"/>
        <s v="ORD101494"/>
        <s v="ORD102636"/>
        <s v="ORD103226"/>
        <s v="ORD101693"/>
        <s v="ORD103568"/>
        <s v="ORD102723"/>
        <s v="ORD100243"/>
        <s v="ORD100105"/>
        <s v="ORD100777"/>
        <s v="ORD103270"/>
        <s v="ORD100210"/>
        <s v="ORD103240"/>
        <s v="ORD101779"/>
        <s v="ORD103699"/>
        <s v="ORD103049"/>
        <s v="ORD100523"/>
        <s v="ORD103193"/>
        <s v="ORD103954"/>
        <s v="ORD101357"/>
        <s v="ORD102594"/>
        <s v="ORD102599"/>
        <s v="ORD103072"/>
        <s v="ORD102570"/>
        <s v="ORD101461"/>
        <s v="ORD102675"/>
        <s v="ORD103599"/>
        <s v="ORD103777"/>
        <s v="ORD101800"/>
        <s v="ORD103703"/>
        <s v="ORD101478"/>
        <s v="ORD100929"/>
        <s v="ORD103489"/>
        <s v="ORD100319"/>
        <s v="ORD102053"/>
        <s v="ORD101180"/>
        <s v="ORD102171"/>
        <s v="ORD103909"/>
        <s v="ORD102662"/>
        <s v="ORD101854"/>
        <s v="ORD100671"/>
        <s v="ORD100465"/>
        <s v="ORD102658"/>
        <s v="ORD103959"/>
        <s v="ORD100812"/>
        <s v="ORD102763"/>
        <s v="ORD100506"/>
        <s v="ORD103756"/>
        <s v="ORD101966"/>
        <s v="ORD103133"/>
        <s v="ORD102865"/>
        <s v="ORD103523"/>
        <s v="ORD102133"/>
        <s v="ORD101526"/>
        <s v="ORD103970"/>
        <s v="ORD100898"/>
        <s v="ORD100696"/>
        <s v="ORD102641"/>
        <s v="ORD102647"/>
        <s v="ORD102117"/>
        <s v="ORD102468"/>
        <s v="ORD102549"/>
        <s v="ORD100359"/>
        <s v="ORD102488"/>
        <s v="ORD103815"/>
        <s v="ORD100890"/>
        <s v="ORD100740"/>
        <s v="ORD100983"/>
        <s v="ORD100960"/>
        <s v="ORD103076"/>
        <s v="ORD102509"/>
        <s v="ORD100901"/>
        <s v="ORD102704"/>
        <s v="ORD101527"/>
        <s v="ORD103196"/>
        <s v="ORD100393"/>
        <s v="ORD103628"/>
        <s v="ORD102410"/>
        <s v="ORD103447"/>
        <s v="ORD101762"/>
        <s v="ORD100885"/>
        <s v="ORD101817"/>
        <s v="ORD102518"/>
        <s v="ORD102551"/>
        <s v="ORD101203"/>
        <s v="ORD103518"/>
        <s v="ORD102348"/>
        <s v="ORD103840"/>
        <s v="ORD103713"/>
        <s v="ORD101466"/>
        <s v="ORD103497"/>
        <s v="ORD100172"/>
        <s v="ORD101423"/>
        <s v="ORD103297"/>
        <s v="ORD101631"/>
        <s v="ORD101213"/>
        <s v="ORD103376"/>
        <s v="ORD100417"/>
        <s v="ORD102157"/>
        <s v="ORD102760"/>
        <s v="ORD101653"/>
        <s v="ORD103949"/>
        <s v="ORD100939"/>
        <s v="ORD102269"/>
        <s v="ORD101840"/>
        <s v="ORD102996"/>
        <s v="ORD100891"/>
        <s v="ORD100199"/>
        <s v="ORD103117"/>
        <s v="ORD103850"/>
        <s v="ORD102178"/>
        <s v="ORD102401"/>
        <s v="ORD100050"/>
        <s v="ORD103132"/>
        <s v="ORD102044"/>
        <s v="ORD101104"/>
        <s v="ORD100807"/>
        <s v="ORD103669"/>
        <s v="ORD101507"/>
        <s v="ORD102273"/>
        <s v="ORD100748"/>
        <s v="ORD102632"/>
        <s v="ORD100349"/>
        <s v="ORD101783"/>
        <s v="ORD102499"/>
        <s v="ORD100380"/>
        <s v="ORD101515"/>
        <s v="ORD103365"/>
        <s v="ORD100406"/>
        <s v="ORD103919"/>
        <s v="ORD102361"/>
        <s v="ORD101278"/>
        <s v="ORD101839"/>
        <s v="ORD102145"/>
        <s v="ORD103248"/>
        <s v="ORD101318"/>
        <s v="ORD103870"/>
        <s v="ORD102293"/>
        <s v="ORD103430"/>
        <s v="ORD100905"/>
        <s v="ORD103234"/>
        <s v="ORD100634"/>
        <s v="ORD102984"/>
        <s v="ORD103607"/>
        <s v="ORD103855"/>
        <s v="ORD101796"/>
        <s v="ORD100373"/>
        <s v="ORD103861"/>
        <s v="ORD103961"/>
        <s v="ORD102700"/>
        <s v="ORD102815"/>
        <s v="ORD100415"/>
        <s v="ORD102508"/>
        <s v="ORD102671"/>
        <s v="ORD101981"/>
        <s v="ORD103737"/>
        <s v="ORD101061"/>
        <s v="ORD103538"/>
        <s v="ORD103812"/>
        <s v="ORD100228"/>
        <s v="ORD102818"/>
        <s v="ORD100917"/>
        <s v="ORD102867"/>
        <s v="ORD101380"/>
        <s v="ORD102841"/>
        <s v="ORD103903"/>
        <s v="ORD102994"/>
        <s v="ORD100788"/>
        <s v="ORD100883"/>
        <s v="ORD101611"/>
        <s v="ORD100434"/>
        <s v="ORD101829"/>
        <s v="ORD101972"/>
        <s v="ORD100522"/>
        <s v="ORD100512"/>
        <s v="ORD103272"/>
        <s v="ORD102927"/>
        <s v="ORD103517"/>
        <s v="ORD102839"/>
        <s v="ORD103710"/>
        <s v="ORD101176"/>
        <s v="ORD102225"/>
        <s v="ORD101255"/>
        <s v="ORD101446"/>
        <s v="ORD101360"/>
        <s v="ORD102056"/>
        <s v="ORD102858"/>
        <s v="ORD100672"/>
        <s v="ORD103274"/>
        <s v="ORD100108"/>
        <s v="ORD101458"/>
        <s v="ORD103452"/>
        <s v="ORD103150"/>
        <s v="ORD102954"/>
        <s v="ORD103692"/>
        <s v="ORD103739"/>
        <s v="ORD103109"/>
        <s v="ORD100733"/>
        <s v="ORD100640"/>
        <s v="ORD102135"/>
        <s v="ORD102210"/>
        <s v="ORD103633"/>
        <s v="ORD101589"/>
        <s v="ORD103499"/>
        <s v="ORD100142"/>
        <s v="ORD103236"/>
        <s v="ORD102132"/>
        <s v="ORD102798"/>
        <s v="ORD102461"/>
        <s v="ORD103516"/>
        <s v="ORD103225"/>
        <s v="ORD102520"/>
        <s v="ORD103258"/>
        <s v="ORD101337"/>
        <s v="ORD101048"/>
        <s v="ORD103435"/>
        <s v="ORD100275"/>
        <s v="ORD101230"/>
        <s v="ORD102582"/>
        <s v="ORD102092"/>
        <s v="ORD100344"/>
        <s v="ORD100099"/>
        <s v="ORD103922"/>
        <s v="ORD103758"/>
        <s v="ORD101574"/>
        <s v="ORD102265"/>
        <s v="ORD100269"/>
        <s v="ORD102829"/>
        <s v="ORD103292"/>
        <s v="ORD102534"/>
        <s v="ORD103573"/>
        <s v="ORD103067"/>
        <s v="ORD100527"/>
        <s v="ORD100654"/>
        <s v="ORD102596"/>
        <s v="ORD101690"/>
        <s v="ORD103623"/>
        <s v="ORD100809"/>
        <s v="ORD103061"/>
        <s v="ORD103661"/>
        <s v="ORD101797"/>
        <s v="ORD101969"/>
        <s v="ORD103683"/>
        <s v="ORD101217"/>
        <s v="ORD100118"/>
        <s v="ORD102768"/>
        <s v="ORD103390"/>
        <s v="ORD101847"/>
        <s v="ORD100140"/>
        <s v="ORD101270"/>
        <s v="ORD101807"/>
        <s v="ORD103007"/>
        <s v="ORD100816"/>
        <s v="ORD101663"/>
        <s v="ORD101204"/>
        <s v="ORD100789"/>
        <s v="ORD100144"/>
        <s v="ORD103130"/>
        <s v="ORD101441"/>
        <s v="ORD101181"/>
        <s v="ORD101146"/>
        <s v="ORD102390"/>
        <s v="ORD100515"/>
        <s v="ORD101696"/>
        <s v="ORD103786"/>
        <s v="ORD100933"/>
        <s v="ORD100858"/>
        <s v="ORD101421"/>
        <s v="ORD101782"/>
        <s v="ORD103198"/>
        <s v="ORD101757"/>
        <s v="ORD103513"/>
        <s v="ORD100987"/>
        <s v="ORD101976"/>
        <s v="ORD103980"/>
        <s v="ORD102321"/>
        <s v="ORD103086"/>
        <s v="ORD101442"/>
        <s v="ORD100069"/>
        <s v="ORD103525"/>
        <s v="ORD102565"/>
        <s v="ORD103639"/>
        <s v="ORD101370"/>
        <s v="ORD102315"/>
        <s v="ORD100909"/>
        <s v="ORD101958"/>
        <s v="ORD102555"/>
        <s v="ORD101071"/>
        <s v="ORD101485"/>
        <s v="ORD102235"/>
        <s v="ORD102112"/>
        <s v="ORD101767"/>
        <s v="ORD101214"/>
        <s v="ORD102924"/>
        <s v="ORD102759"/>
        <s v="ORD103114"/>
        <s v="ORD101530"/>
        <s v="ORD103289"/>
        <s v="ORD101571"/>
        <s v="ORD101142"/>
        <s v="ORD101901"/>
        <s v="ORD101991"/>
        <s v="ORD101939"/>
        <s v="ORD102797"/>
        <s v="ORD101776"/>
        <s v="ORD101166"/>
        <s v="ORD103446"/>
        <s v="ORD102069"/>
        <s v="ORD102435"/>
        <s v="ORD102336"/>
        <s v="ORD100471"/>
        <s v="ORD102093"/>
        <s v="ORD100695"/>
        <s v="ORD101538"/>
        <s v="ORD101092"/>
        <s v="ORD100241"/>
        <s v="ORD102288"/>
        <s v="ORD102352"/>
        <s v="ORD102249"/>
        <s v="ORD101326"/>
        <s v="ORD101418"/>
        <s v="ORD101137"/>
        <s v="ORD101835"/>
        <s v="ORD103816"/>
        <s v="ORD103472"/>
        <s v="ORD101816"/>
        <s v="ORD100768"/>
        <s v="ORD102681"/>
        <s v="ORD101376"/>
        <s v="ORD100048"/>
        <s v="ORD100511"/>
        <s v="ORD100571"/>
        <s v="ORD101913"/>
        <s v="ORD103784"/>
        <s v="ORD102027"/>
        <s v="ORD101273"/>
        <s v="ORD100587"/>
        <s v="ORD102084"/>
        <s v="ORD101576"/>
        <s v="ORD103974"/>
        <s v="ORD101609"/>
        <s v="ORD102453"/>
        <s v="ORD103147"/>
        <s v="ORD103126"/>
        <s v="ORD101139"/>
        <s v="ORD103043"/>
        <s v="ORD100021"/>
        <s v="ORD101620"/>
        <s v="ORD102381"/>
        <s v="ORD100692"/>
        <s v="ORD103601"/>
        <s v="ORD102893"/>
        <s v="ORD102272"/>
        <s v="ORD101108"/>
        <s v="ORD100163"/>
        <s v="ORD102634"/>
        <s v="ORD100224"/>
        <s v="ORD100200"/>
        <s v="ORD102016"/>
        <s v="ORD100164"/>
        <s v="ORD103932"/>
        <s v="ORD100490"/>
        <s v="ORD103073"/>
        <s v="ORD100755"/>
        <s v="ORD103799"/>
        <s v="ORD103535"/>
        <s v="ORD102353"/>
        <s v="ORD102196"/>
        <s v="ORD101237"/>
        <s v="ORD102947"/>
        <s v="ORD103050"/>
        <s v="ORD101284"/>
        <s v="ORD102100"/>
        <s v="ORD101018"/>
        <s v="ORD100027"/>
        <s v="ORD102799"/>
        <s v="ORD102951"/>
        <s v="ORD102162"/>
        <s v="ORD101244"/>
        <s v="ORD102627"/>
        <s v="ORD102434"/>
        <s v="ORD100556"/>
        <s v="ORD103888"/>
        <s v="ORD103057"/>
        <s v="ORD103316"/>
        <s v="ORD100691"/>
        <s v="ORD103283"/>
        <s v="ORD103524"/>
        <s v="ORD102380"/>
        <s v="ORD103232"/>
        <s v="ORD103231"/>
        <s v="ORD102234"/>
        <s v="ORD102072"/>
        <s v="ORD100308"/>
        <s v="ORD103488"/>
        <s v="ORD103077"/>
        <s v="ORD103878"/>
        <s v="ORD103655"/>
        <s v="ORD101751"/>
        <s v="ORD102039"/>
        <s v="ORD103605"/>
        <s v="ORD101692"/>
        <s v="ORD102537"/>
        <s v="ORD100926"/>
        <s v="ORD103107"/>
        <s v="ORD102923"/>
        <s v="ORD102794"/>
        <s v="ORD100889"/>
        <s v="ORD103514"/>
        <s v="ORD102604"/>
        <s v="ORD103120"/>
        <s v="ORD103492"/>
        <s v="ORD100473"/>
        <s v="ORD103556"/>
        <s v="ORD101141"/>
        <s v="ORD103957"/>
        <s v="ORD103122"/>
        <s v="ORD102284"/>
        <s v="ORD103444"/>
        <s v="ORD100320"/>
        <s v="ORD103793"/>
        <s v="ORD101377"/>
        <s v="ORD100826"/>
        <s v="ORD103939"/>
        <s v="ORD101769"/>
        <s v="ORD102824"/>
        <s v="ORD103968"/>
        <s v="ORD100227"/>
        <s v="ORD102733"/>
        <s v="ORD102482"/>
        <s v="ORD101537"/>
        <s v="ORD101090"/>
        <s v="ORD101188"/>
        <s v="ORD102683"/>
        <s v="ORD103151"/>
        <s v="ORD102800"/>
        <s v="ORD103983"/>
        <s v="ORD100518"/>
        <s v="ORD101016"/>
        <s v="ORD102320"/>
        <s v="ORD100955"/>
        <s v="ORD101801"/>
        <s v="ORD103794"/>
        <s v="ORD101722"/>
        <s v="ORD101927"/>
        <s v="ORD102589"/>
        <s v="ORD102687"/>
        <s v="ORD102283"/>
        <s v="ORD101056"/>
        <s v="ORD100539"/>
        <s v="ORD100080"/>
        <s v="ORD103332"/>
        <s v="ORD100181"/>
        <s v="ORD103831"/>
        <s v="ORD100153"/>
        <s v="ORD100049"/>
        <s v="ORD100575"/>
        <s v="ORD100493"/>
        <s v="ORD101793"/>
        <s v="ORD102812"/>
        <s v="ORD100627"/>
        <s v="ORD101081"/>
        <s v="ORD101911"/>
        <s v="ORD100649"/>
        <s v="ORD100915"/>
        <s v="ORD102890"/>
        <s v="ORD103797"/>
        <s v="ORD100710"/>
        <s v="ORD100072"/>
        <s v="ORD100964"/>
        <s v="ORD103439"/>
        <s v="ORD102601"/>
        <s v="ORD103674"/>
        <s v="ORD100844"/>
        <s v="ORD101407"/>
        <s v="ORD100678"/>
        <s v="ORD102576"/>
        <s v="ORD103545"/>
        <s v="ORD102155"/>
        <s v="ORD102102"/>
        <s v="ORD103813"/>
        <s v="ORD103722"/>
        <s v="ORD102822"/>
        <s v="ORD101862"/>
        <s v="ORD102978"/>
        <s v="ORD100272"/>
        <s v="ORD101066"/>
        <s v="ORD103624"/>
        <s v="ORD102403"/>
        <s v="ORD101768"/>
        <s v="ORD102680"/>
        <s v="ORD103227"/>
        <s v="ORD103828"/>
        <s v="ORD101910"/>
        <s v="ORD101925"/>
        <s v="ORD100124"/>
        <s v="ORD101763"/>
        <s v="ORD103540"/>
        <s v="ORD102507"/>
        <s v="ORD103571"/>
        <s v="ORD101492"/>
        <s v="ORD102756"/>
        <s v="ORD103823"/>
        <s v="ORD100604"/>
        <s v="ORD101496"/>
        <s v="ORD101675"/>
        <s v="ORD100628"/>
        <s v="ORD102907"/>
        <s v="ORD101143"/>
        <s v="ORD102523"/>
        <s v="ORD101529"/>
        <s v="ORD101503"/>
        <s v="ORD100034"/>
        <s v="ORD101781"/>
        <s v="ORD103323"/>
        <s v="ORD100805"/>
        <s v="ORD103833"/>
        <s v="ORD101287"/>
        <s v="ORD103434"/>
        <s v="ORD100425"/>
        <s v="ORD101929"/>
        <s v="ORD101282"/>
        <s v="ORD101211"/>
        <s v="ORD100541"/>
        <s v="ORD101711"/>
        <s v="ORD101435"/>
        <s v="ORD100366"/>
        <s v="ORD102540"/>
        <s v="ORD101121"/>
        <s v="ORD101715"/>
        <s v="ORD102745"/>
        <s v="ORD102319"/>
        <s v="ORD102619"/>
        <s v="ORD100314"/>
        <s v="ORD101856"/>
        <s v="ORD102167"/>
        <s v="ORD102203"/>
        <s v="ORD103766"/>
        <s v="ORD100430"/>
        <s v="ORD102334"/>
        <s v="ORD100979"/>
        <s v="ORD103142"/>
        <s v="ORD103760"/>
        <s v="ORD101869"/>
        <s v="ORD101290"/>
        <s v="ORD102964"/>
        <s v="ORD103943"/>
        <s v="ORD103931"/>
        <s v="ORD102483"/>
        <s v="ORD102365"/>
        <s v="ORD101999"/>
        <s v="ORD103910"/>
        <s v="ORD102598"/>
        <s v="ORD101748"/>
        <s v="ORD103676"/>
        <s v="ORD102572"/>
        <s v="ORD101870"/>
        <s v="ORD100330"/>
        <s v="ORD102826"/>
        <s v="ORD101174"/>
        <s v="ORD102398"/>
        <s v="ORD100810"/>
        <s v="ORD103889"/>
        <s v="ORD102030"/>
        <s v="ORD103367"/>
        <s v="ORD101685"/>
        <s v="ORD102079"/>
        <s v="ORD103445"/>
        <s v="ORD102207"/>
        <s v="ORD100687"/>
        <s v="ORD101001"/>
        <s v="ORD100737"/>
        <s v="ORD102368"/>
        <s v="ORD102324"/>
        <s v="ORD100098"/>
        <s v="ORD103216"/>
        <s v="ORD102126"/>
        <s v="ORD100838"/>
        <s v="ORD101053"/>
        <s v="ORD102449"/>
        <s v="ORD102242"/>
        <s v="ORD100833"/>
        <s v="ORD102990"/>
        <s v="ORD100489"/>
        <s v="ORD101931"/>
        <s v="ORD102934"/>
        <s v="ORD102405"/>
        <s v="ORD100091"/>
        <s v="ORD100249"/>
        <s v="ORD101149"/>
        <s v="ORD100354"/>
        <s v="ORD100531"/>
        <s v="ORD103711"/>
        <s v="ORD100988"/>
        <s v="ORD100718"/>
        <s v="ORD103675"/>
        <s v="ORD100734"/>
        <s v="ORD104000"/>
        <s v="ORD102144"/>
        <s v="ORD103687"/>
        <s v="ORD102279"/>
        <s v="ORD100564"/>
        <s v="ORD102205"/>
        <s v="ORD103825"/>
        <s v="ORD102078"/>
        <s v="ORD102197"/>
        <s v="ORD100391"/>
        <s v="ORD100597"/>
        <s v="ORD102888"/>
        <s v="ORD103729"/>
        <s v="ORD101658"/>
        <s v="ORD101638"/>
        <s v="ORD102940"/>
        <s v="ORD103557"/>
        <s v="ORD103443"/>
        <s v="ORD101036"/>
        <s v="ORD103751"/>
        <s v="ORD100474"/>
        <s v="ORD103647"/>
        <s v="ORD103290"/>
        <s v="ORD102017"/>
        <s v="ORD102071"/>
        <s v="ORD102294"/>
        <s v="ORD100773"/>
        <s v="ORD103018"/>
        <s v="ORD101169"/>
        <s v="ORD100659"/>
        <s v="ORD103824"/>
        <s v="ORD101549"/>
        <s v="ORD102491"/>
        <s v="ORD103228"/>
        <s v="ORD103271"/>
        <s v="ORD103567"/>
        <s v="ORD102832"/>
        <s v="ORD100996"/>
        <s v="ORD102999"/>
        <s v="ORD101483"/>
        <s v="ORD101103"/>
        <s v="ORD103510"/>
        <s v="ORD101151"/>
        <s v="ORD101140"/>
        <s v="ORD100546"/>
        <s v="ORD101288"/>
        <s v="ORD101597"/>
        <s v="ORD103953"/>
        <s v="ORD101563"/>
        <s v="ORD102327"/>
        <s v="ORD100407"/>
        <s v="ORD100729"/>
        <s v="ORD103899"/>
        <s v="ORD100759"/>
        <s v="ORD100216"/>
        <s v="ORD101914"/>
        <s v="ORD101021"/>
        <s v="ORD101598"/>
        <s v="ORD102972"/>
        <s v="ORD100461"/>
        <s v="ORD103427"/>
        <s v="ORD103582"/>
        <s v="ORD102995"/>
        <s v="ORD102571"/>
        <s v="ORD101802"/>
        <s v="ORD103466"/>
        <s v="ORD100606"/>
        <s v="ORD102721"/>
        <s v="ORD103479"/>
        <s v="ORD102979"/>
        <s v="ORD102456"/>
        <s v="ORD103720"/>
        <s v="ORD103174"/>
        <s v="ORD101429"/>
        <s v="ORD102472"/>
        <s v="ORD101454"/>
        <s v="ORD103617"/>
        <s v="ORD102292"/>
        <s v="ORD103355"/>
        <s v="ORD100138"/>
        <s v="ORD103533"/>
        <s v="ORD102052"/>
        <s v="ORD100360"/>
        <s v="ORD102142"/>
        <s v="ORD100630"/>
        <s v="ORD103123"/>
        <s v="ORD101050"/>
        <s v="ORD101872"/>
        <s v="ORD101368"/>
        <s v="ORD101610"/>
        <s v="ORD101315"/>
        <s v="ORD103210"/>
        <s v="ORD100747"/>
        <s v="ORD101267"/>
        <s v="ORD103385"/>
        <s v="ORD100769"/>
        <s v="ORD102445"/>
        <s v="ORD100608"/>
        <s v="ORD102330"/>
        <s v="ORD101428"/>
        <s v="ORD100157"/>
        <s v="ORD103972"/>
        <s v="ORD103212"/>
        <s v="ORD100577"/>
        <s v="ORD103098"/>
        <s v="ORD100544"/>
        <s v="ORD101615"/>
        <s v="ORD100579"/>
        <s v="ORD102407"/>
        <s v="ORD100611"/>
        <s v="ORD102143"/>
        <s v="ORD101695"/>
        <s v="ORD103505"/>
        <s v="ORD102439"/>
        <s v="ORD102169"/>
        <s v="ORD100392"/>
        <s v="ORD102462"/>
        <s v="ORD100194"/>
        <s v="ORD101828"/>
        <s v="ORD101160"/>
        <s v="ORD100374"/>
        <s v="ORD101134"/>
        <s v="ORD102073"/>
        <s v="ORD101129"/>
        <s v="ORD103770"/>
        <s v="ORD100548"/>
        <s v="ORD102335"/>
        <s v="ORD103386"/>
        <s v="ORD102533"/>
        <s v="ORD102399"/>
        <s v="ORD103317"/>
        <s v="ORD101799"/>
        <s v="ORD102505"/>
        <s v="ORD103313"/>
        <s v="ORD103059"/>
        <s v="ORD102938"/>
        <s v="ORD100023"/>
        <s v="ORD103574"/>
        <s v="ORD100273"/>
        <s v="ORD101603"/>
        <s v="ORD100540"/>
        <s v="ORD102185"/>
        <s v="ORD102364"/>
        <s v="ORD102356"/>
        <s v="ORD101401"/>
        <s v="ORD102080"/>
        <s v="ORD100886"/>
        <s v="ORD102977"/>
        <s v="ORD100683"/>
        <s v="ORD102183"/>
        <s v="ORD101239"/>
        <s v="ORD102108"/>
        <s v="ORD102948"/>
        <s v="ORD100973"/>
        <s v="ORD103498"/>
        <s v="ORD102989"/>
        <s v="ORD101059"/>
        <s v="ORD103680"/>
        <s v="ORD103233"/>
        <s v="ORD103388"/>
        <s v="ORD100714"/>
        <s v="ORD101584"/>
        <s v="ORD103336"/>
        <s v="ORD100435"/>
        <s v="ORD101329"/>
        <s v="ORD103343"/>
        <s v="ORD102702"/>
        <s v="ORD103581"/>
        <s v="ORD103730"/>
        <s v="ORD102420"/>
        <s v="ORD100246"/>
        <s v="ORD102789"/>
        <s v="ORD101857"/>
        <s v="ORD100871"/>
        <s v="ORD103423"/>
        <s v="ORD102958"/>
        <s v="ORD101506"/>
        <s v="ORD101926"/>
        <s v="ORD102081"/>
        <s v="ORD103991"/>
        <s v="ORD100875"/>
        <s v="ORD102375"/>
        <s v="ORD102987"/>
        <s v="ORD102668"/>
        <s v="ORD100185"/>
        <s v="ORD100918"/>
        <s v="ORD102997"/>
        <s v="ORD103417"/>
        <s v="ORD102024"/>
        <s v="ORD100379"/>
        <s v="ORD102843"/>
        <s v="ORD102645"/>
        <s v="ORD103595"/>
        <s v="ORD100411"/>
        <s v="ORD100019"/>
        <s v="ORD101261"/>
        <s v="ORD100860"/>
        <s v="ORD101687"/>
        <s v="ORD100840"/>
        <s v="ORD103500"/>
        <s v="ORD102046"/>
        <s v="ORD102025"/>
        <s v="ORD103506"/>
        <s v="ORD101849"/>
        <s v="ORD101365"/>
        <s v="ORD100904"/>
        <s v="ORD102057"/>
        <s v="ORD102557"/>
        <s v="ORD100110"/>
        <s v="ORD103606"/>
        <s v="ORD101173"/>
        <s v="ORD101319"/>
        <s v="ORD100595"/>
        <s v="ORD100397"/>
        <s v="ORD100432"/>
        <s v="ORD100141"/>
        <s v="ORD100148"/>
        <s v="ORD101144"/>
        <s v="ORD100836"/>
        <s v="ORD103471"/>
        <s v="ORD102586"/>
        <s v="ORD102034"/>
        <s v="ORD101011"/>
        <s v="ORD102663"/>
        <s v="ORD100274"/>
        <s v="ORD103913"/>
        <s v="ORD103237"/>
        <s v="ORD102191"/>
        <s v="ORD103629"/>
        <s v="ORD101450"/>
        <s v="ORD101395"/>
        <s v="ORD102973"/>
        <s v="ORD103886"/>
        <s v="ORD102786"/>
        <s v="ORD101101"/>
        <s v="ORD101030"/>
        <s v="ORD103383"/>
        <s v="ORD102118"/>
        <s v="ORD101293"/>
        <s v="ORD101725"/>
        <s v="ORD103305"/>
        <s v="ORD101246"/>
        <s v="ORD102012"/>
        <s v="ORD103014"/>
        <s v="ORD102350"/>
        <s v="ORD102730"/>
        <s v="ORD103848"/>
        <s v="ORD103896"/>
        <s v="ORD103089"/>
        <s v="ORD103539"/>
        <s v="ORD102204"/>
        <s v="ORD101481"/>
        <s v="ORD103333"/>
        <s v="ORD100716"/>
        <s v="ORD103167"/>
        <s v="ORD101706"/>
        <s v="ORD101266"/>
        <s v="ORD100566"/>
        <s v="ORD102307"/>
        <s v="ORD102553"/>
        <s v="ORD100756"/>
        <s v="ORD102275"/>
        <s v="ORD100995"/>
        <s v="ORD103981"/>
        <s v="ORD100013"/>
        <s v="ORD103642"/>
        <s v="ORD102181"/>
        <s v="ORD103672"/>
        <s v="ORD101209"/>
        <s v="ORD101333"/>
        <s v="ORD101445"/>
        <s v="ORD101504"/>
        <s v="ORD103176"/>
        <s v="ORD101109"/>
        <s v="ORD102952"/>
        <s v="ORD103924"/>
        <s v="ORD102489"/>
        <s v="ORD101893"/>
        <s v="ORD101867"/>
        <s v="ORD100823"/>
        <s v="ORD101390"/>
        <s v="ORD101844"/>
        <s v="ORD101305"/>
        <s v="ORD101462"/>
        <s v="ORD100576"/>
        <s v="ORD102393"/>
        <s v="ORD100192"/>
        <s v="ORD103876"/>
        <s v="ORD100225"/>
        <s v="ORD101556"/>
        <s v="ORD101088"/>
        <s v="ORD103712"/>
        <s v="ORD103597"/>
        <s v="ORD103519"/>
        <s v="ORD101386"/>
        <s v="ORD100593"/>
        <s v="ORD102859"/>
        <s v="ORD103503"/>
        <s v="ORD103976"/>
        <s v="ORD103260"/>
        <s v="ORD100821"/>
        <s v="ORD101805"/>
        <s v="ORD103356"/>
        <s v="ORD101474"/>
        <s v="ORD101285"/>
        <s v="ORD103060"/>
        <s v="ORD102693"/>
        <s v="ORD103301"/>
        <s v="ORD103139"/>
        <s v="ORD102127"/>
        <s v="ORD103875"/>
        <s v="ORD102187"/>
        <s v="ORD102617"/>
        <s v="ORD103842"/>
        <s v="ORD102744"/>
        <s v="ORD102437"/>
        <s v="ORD101422"/>
        <s v="ORD102980"/>
        <s v="ORD100122"/>
        <s v="ORD100507"/>
        <s v="ORD102901"/>
        <s v="ORD100386"/>
        <s v="ORD102629"/>
        <s v="ORD101332"/>
        <s v="ORD101026"/>
        <s v="ORD102876"/>
        <s v="ORD101578"/>
        <s v="ORD102091"/>
        <s v="ORD103346"/>
        <s v="ORD101191"/>
        <s v="ORD100677"/>
        <s v="ORD103682"/>
        <s v="ORD100197"/>
        <s v="ORD103102"/>
        <s v="ORD100504"/>
        <s v="ORD102218"/>
        <s v="ORD102709"/>
        <s v="ORD101561"/>
        <s v="ORD102190"/>
        <s v="ORD103053"/>
        <s v="ORD103155"/>
        <s v="ORD100351"/>
        <s v="ORD101193"/>
        <s v="ORD102917"/>
        <s v="ORD103087"/>
        <s v="ORD100350"/>
        <s v="ORD103562"/>
        <s v="ORD103677"/>
        <s v="ORD103915"/>
        <s v="ORD100614"/>
        <s v="ORD100730"/>
        <s v="ORD101155"/>
        <s v="ORD103741"/>
        <s v="ORD100804"/>
        <s v="ORD101626"/>
        <s v="ORD101682"/>
        <s v="ORD101943"/>
        <s v="ORD103044"/>
        <s v="ORD101784"/>
        <s v="ORD101464"/>
        <s v="ORD102592"/>
        <s v="ORD102054"/>
        <s v="ORD102813"/>
        <s v="ORD100738"/>
        <s v="ORD103771"/>
        <s v="ORD103004"/>
        <s v="ORD102134"/>
        <s v="ORD103546"/>
        <s v="ORD102475"/>
        <s v="ORD103580"/>
        <s v="ORD101095"/>
        <s v="ORD100239"/>
        <s v="ORD100233"/>
        <s v="ORD103308"/>
        <s v="ORD103598"/>
        <s v="ORD100708"/>
        <s v="ORD100343"/>
        <s v="ORD101738"/>
        <s v="ORD101123"/>
        <s v="ORD101759"/>
        <s v="ORD101860"/>
        <s v="ORD102202"/>
        <s v="ORD102011"/>
        <s v="ORD101430"/>
        <s v="ORD101698"/>
        <s v="ORD100007"/>
        <s v="ORD101221"/>
        <s v="ORD103985"/>
        <s v="ORD103184"/>
        <s v="ORD103718"/>
        <s v="ORD102562"/>
        <s v="ORD102385"/>
        <s v="ORD100497"/>
        <s v="ORD100751"/>
        <s v="ORD101049"/>
        <s v="ORD100220"/>
        <s v="ORD101524"/>
        <s v="ORD100428"/>
        <s v="ORD101747"/>
        <s v="ORD101500"/>
        <s v="ORD100872"/>
        <s v="ORD101356"/>
        <s v="ORD102752"/>
        <s v="ORD101099"/>
        <s v="ORD103438"/>
        <s v="ORD101831"/>
        <s v="ORD103429"/>
        <s v="ORD103740"/>
        <s v="ORD100679"/>
        <s v="ORD101758"/>
        <s v="ORD101042"/>
        <s v="ORD100626"/>
        <s v="ORD102790"/>
        <s v="ORD101280"/>
        <s v="ORD103424"/>
        <s v="ORD101708"/>
        <s v="ORD103034"/>
        <s v="ORD103662"/>
        <s v="ORD103583"/>
        <s v="ORD103400"/>
        <s v="ORD100911"/>
        <s v="ORD102731"/>
        <s v="ORD102769"/>
        <s v="ORD101683"/>
        <s v="ORD100217"/>
        <s v="ORD101730"/>
        <s v="ORD103162"/>
        <s v="ORD102736"/>
        <s v="ORD102048"/>
        <s v="ORD102213"/>
        <s v="ORD100688"/>
        <s v="ORD103418"/>
        <s v="ORD101540"/>
        <s v="ORD102837"/>
        <s v="ORD101391"/>
        <s v="ORD101038"/>
        <s v="ORD102411"/>
        <s v="ORD101343"/>
        <s v="ORD100982"/>
        <s v="ORD100882"/>
        <s v="ORD102903"/>
        <s v="ORD100999"/>
        <s v="ORD100846"/>
        <s v="ORD100974"/>
        <s v="ORD101887"/>
        <s v="ORD103339"/>
        <s v="ORD102276"/>
        <s v="ORD101908"/>
        <s v="ORD102754"/>
        <s v="ORD100158"/>
        <s v="ORD103441"/>
        <s v="ORD101274"/>
        <s v="ORD100006"/>
        <s v="ORD101740"/>
        <s v="ORD103478"/>
        <s v="ORD100569"/>
        <s v="ORD100126"/>
        <s v="ORD100934"/>
        <s v="ORD103511"/>
        <s v="ORD100868"/>
        <s v="ORD102236"/>
        <s v="ORD103396"/>
        <s v="ORD100250"/>
        <s v="ORD103763"/>
        <s v="ORD101013"/>
        <s v="ORD101194"/>
        <s v="ORD102775"/>
        <s v="ORD101128"/>
        <s v="ORD101513"/>
        <s v="ORD101354"/>
        <s v="ORD101443"/>
        <s v="ORD103780"/>
        <s v="ORD100365"/>
        <s v="ORD100253"/>
        <s v="ORD100291"/>
        <s v="ORD102532"/>
        <s v="ORD100862"/>
        <s v="ORD102953"/>
        <s v="ORD103553"/>
        <s v="ORD103200"/>
        <s v="ORD103221"/>
        <s v="ORD103559"/>
        <s v="ORD102259"/>
        <s v="ORD103347"/>
        <s v="ORD102391"/>
        <s v="ORD101298"/>
        <s v="ORD102887"/>
        <s v="ORD101125"/>
        <s v="ORD103206"/>
        <s v="ORD102613"/>
        <s v="ORD102707"/>
        <s v="ORD101942"/>
        <s v="ORD103392"/>
        <s v="ORD103521"/>
        <s v="ORD101132"/>
        <s v="ORD100707"/>
        <s v="ORD100484"/>
        <s v="ORD100845"/>
        <s v="ORD102473"/>
        <s v="ORD102561"/>
        <s v="ORD103808"/>
        <s v="ORD101719"/>
        <s v="ORD100447"/>
        <s v="ORD101070"/>
        <s v="ORD101833"/>
        <s v="ORD101823"/>
        <s v="ORD102206"/>
        <s v="ORD100410"/>
        <s v="ORD102077"/>
        <s v="ORD101962"/>
        <s v="ORD103182"/>
        <s v="ORD102256"/>
        <s v="ORD100324"/>
        <s v="ORD100085"/>
        <s v="ORD102875"/>
        <s v="ORD102418"/>
        <s v="ORD100329"/>
        <s v="ORD100629"/>
        <s v="ORD101551"/>
        <s v="ORD101896"/>
        <s v="ORD102732"/>
        <s v="ORD102916"/>
        <s v="ORD103916"/>
        <s v="ORD102689"/>
        <s v="ORD100281"/>
        <s v="ORD101739"/>
        <s v="ORD102194"/>
        <s v="ORD101037"/>
        <s v="ORD100362"/>
        <s v="ORD103048"/>
        <s v="ORD100370"/>
        <s v="ORD102963"/>
        <s v="ORD101227"/>
        <s v="ORD103431"/>
        <s v="ORD101694"/>
        <s v="ORD103191"/>
        <s v="ORD103727"/>
        <s v="ORD100130"/>
        <s v="ORD100953"/>
        <s v="ORD101723"/>
        <s v="ORD103364"/>
        <s v="ORD103213"/>
        <s v="ORD102215"/>
        <s v="ORD102494"/>
        <s v="ORD100925"/>
        <s v="ORD102421"/>
        <s v="ORD103501"/>
        <s v="ORD103387"/>
        <s v="ORD101903"/>
        <s v="ORD103064"/>
        <s v="ORD100765"/>
        <s v="ORD101028"/>
        <s v="ORD102337"/>
        <s v="ORD100133"/>
        <s v="ORD103721"/>
        <s v="ORD101635"/>
        <s v="ORD100721"/>
        <s v="ORD102587"/>
        <s v="ORD103951"/>
        <s v="ORD101994"/>
        <s v="ORD101832"/>
        <s v="ORD101947"/>
        <s v="ORD102051"/>
        <s v="ORD101411"/>
        <s v="ORD102884"/>
        <s v="ORD100971"/>
        <s v="ORD100785"/>
        <s v="ORD100658"/>
        <s v="ORD102784"/>
        <s v="ORD103394"/>
        <s v="ORD101590"/>
        <s v="ORD102251"/>
        <s v="ORD100582"/>
        <s v="ORD101397"/>
        <s v="ORD101613"/>
        <s v="ORD102633"/>
        <s v="ORD100664"/>
        <s v="ORD103100"/>
        <s v="ORD103934"/>
        <s v="ORD100549"/>
        <s v="ORD102724"/>
        <s v="ORD103219"/>
        <s v="ORD102289"/>
        <s v="ORD102146"/>
        <s v="ORD103389"/>
        <s v="ORD100954"/>
        <s v="ORD102198"/>
        <s v="ORD101980"/>
        <s v="ORD100786"/>
        <s v="ORD100952"/>
        <s v="ORD101202"/>
        <s v="ORD102835"/>
        <s v="ORD102097"/>
        <s v="ORD103075"/>
        <s v="ORD101379"/>
        <s v="ORD102883"/>
        <s v="ORD103026"/>
        <s v="ORD103660"/>
        <s v="ORD103668"/>
        <s v="ORD100781"/>
        <s v="ORD100451"/>
        <s v="ORD103856"/>
        <s v="ORD102851"/>
        <s v="ORD101035"/>
        <s v="ORD100436"/>
        <s v="ORD100096"/>
        <s v="ORD100125"/>
        <s v="ORD101300"/>
        <s v="ORD101605"/>
        <s v="ORD102623"/>
        <s v="ORD100620"/>
        <s v="ORD103654"/>
        <s v="ORD103350"/>
        <s v="ORD102428"/>
        <s v="ORD101113"/>
        <s v="ORD101948"/>
        <s v="ORD101416"/>
        <s v="ORD101846"/>
        <s v="ORD101375"/>
        <s v="ORD103047"/>
        <s v="ORD101585"/>
        <s v="ORD103977"/>
        <s v="ORD100728"/>
        <s v="ORD103690"/>
        <s v="ORD102423"/>
        <s v="ORD102431"/>
        <s v="ORD102492"/>
        <s v="ORD101172"/>
        <s v="ORD102665"/>
        <s v="ORD100086"/>
        <s v="ORD103136"/>
        <s v="ORD101136"/>
        <s v="ORD103340"/>
        <s v="ORD102773"/>
        <s v="ORD100767"/>
        <s v="ORD100675"/>
        <s v="ORD103091"/>
        <s v="ORD100881"/>
        <s v="ORD101352"/>
        <s v="ORD100042"/>
        <s v="ORD101678"/>
        <s v="ORD101697"/>
        <s v="ORD101997"/>
        <s v="ORD101317"/>
        <s v="ORD103069"/>
        <s v="ORD100573"/>
        <s v="ORD100993"/>
        <s v="ORD103929"/>
        <s v="ORD103079"/>
        <s v="ORD102873"/>
        <s v="ORD102176"/>
        <s v="ORD101593"/>
        <s v="ORD101499"/>
        <s v="ORD102440"/>
        <s v="ORD100861"/>
        <s v="ORD100876"/>
        <s v="ORD103112"/>
        <s v="ORD101755"/>
        <s v="ORD103020"/>
        <s v="ORD101713"/>
        <s v="ORD100385"/>
        <s v="ORD101335"/>
        <s v="ORD100746"/>
        <s v="ORD100064"/>
        <s v="ORD102610"/>
        <s v="ORD101614"/>
        <s v="ORD102706"/>
        <s v="ORD102430"/>
        <s v="ORD101882"/>
        <s v="ORD101649"/>
        <s v="ORD101717"/>
        <s v="ORD103947"/>
        <s v="ORD100739"/>
        <s v="ORD102766"/>
        <s v="ORD100884"/>
        <s v="ORD102531"/>
        <s v="ORD103306"/>
        <s v="ORD101634"/>
        <s v="ORD101659"/>
        <s v="ORD102545"/>
        <s v="ORD100617"/>
        <s v="ORD102188"/>
        <s v="ORD101297"/>
        <s v="ORD101240"/>
        <s v="ORD102339"/>
        <s v="ORD103912"/>
        <s v="ORD103810"/>
        <s v="ORD101808"/>
        <s v="ORD103867"/>
        <s v="ORD103172"/>
        <s v="ORD101279"/>
        <s v="ORD102580"/>
        <s v="ORD103596"/>
        <s v="ORD102659"/>
        <s v="ORD103437"/>
        <s v="ORD102458"/>
        <s v="ORD101301"/>
        <s v="ORD103552"/>
        <s v="ORD103530"/>
        <s v="ORD102161"/>
        <s v="ORD102148"/>
        <s v="ORD100725"/>
        <s v="ORD101714"/>
        <s v="ORD103804"/>
        <s v="ORD102164"/>
        <s v="ORD102511"/>
        <s v="ORD103011"/>
        <s v="ORD100442"/>
        <s v="ORD102367"/>
        <s v="ORD102389"/>
        <s v="ORD100077"/>
        <s v="ORD101003"/>
        <s v="ORD102302"/>
        <s v="ORD103790"/>
        <s v="ORD103946"/>
        <s v="ORD101732"/>
        <s v="ORD100429"/>
        <s v="ORD103917"/>
        <s v="ORD102814"/>
        <s v="ORD103352"/>
        <s v="ORD103243"/>
        <s v="ORD100150"/>
        <s v="ORD100277"/>
        <s v="ORD101451"/>
        <s v="ORD101424"/>
        <s v="ORD102560"/>
        <s v="ORD103548"/>
        <s v="ORD100005"/>
        <s v="ORD103354"/>
        <s v="ORD100565"/>
        <s v="ORD102026"/>
        <s v="ORD101448"/>
        <s v="ORD100736"/>
        <s v="ORD101114"/>
        <s v="ORD101572"/>
        <s v="ORD102861"/>
        <s v="ORD103714"/>
        <s v="ORD103775"/>
        <s v="ORD100779"/>
        <s v="ORD100799"/>
        <s v="ORD103398"/>
        <s v="ORD101632"/>
        <s v="ORD102620"/>
        <s v="ORD100092"/>
        <s v="ORD102296"/>
        <s v="ORD100232"/>
        <s v="ORD100284"/>
        <s v="ORD100025"/>
        <s v="ORD102109"/>
        <s v="ORD103880"/>
        <s v="ORD100263"/>
        <s v="ORD100609"/>
        <s v="ORD103450"/>
        <s v="ORD101786"/>
        <s v="ORD100051"/>
        <s v="ORD102514"/>
        <s v="ORD101286"/>
        <s v="ORD101973"/>
        <s v="ORD100247"/>
        <s v="ORD102803"/>
        <s v="ORD101468"/>
        <s v="ORD100306"/>
        <s v="ORD100483"/>
        <s v="ORD101825"/>
        <s v="ORD101268"/>
        <s v="ORD102413"/>
        <s v="ORD102672"/>
        <s v="ORD102419"/>
        <s v="ORD103611"/>
        <s v="ORD102846"/>
        <s v="ORD100066"/>
        <s v="ORD100297"/>
        <s v="ORD102661"/>
        <s v="ORD101495"/>
        <s v="ORD101705"/>
        <s v="ORD103706"/>
        <s v="ORD102201"/>
        <s v="ORD103998"/>
        <s v="ORD103604"/>
        <s v="ORD101015"/>
        <s v="ORD101449"/>
        <s v="ORD100946"/>
        <s v="ORD103801"/>
        <s v="ORD100578"/>
        <s v="ORD102481"/>
        <s v="ORD103368"/>
        <s v="ORD102467"/>
        <s v="ORD103673"/>
        <s v="ORD101079"/>
        <s v="ORD103600"/>
        <s v="ORD103715"/>
        <s v="ORD103393"/>
        <s v="ORD101344"/>
        <s v="ORD102317"/>
        <s v="ORD101798"/>
        <s v="ORD100310"/>
        <s v="ORD100015"/>
        <s v="ORD102653"/>
        <s v="ORD100801"/>
        <s v="ORD101954"/>
        <s v="ORD101106"/>
        <s v="ORD101993"/>
        <s v="ORD100168"/>
        <s v="ORD103748"/>
        <s v="ORD100136"/>
        <s v="ORD101522"/>
        <s v="ORD101737"/>
        <s v="ORD103377"/>
        <s v="ORD102015"/>
        <s v="ORD102357"/>
        <s v="ORD101010"/>
        <s v="ORD102742"/>
        <s v="ORD101482"/>
        <s v="ORD100963"/>
        <s v="ORD100798"/>
        <s v="ORD102991"/>
        <s v="ORD103322"/>
        <s v="ORD100661"/>
        <s v="ORD102370"/>
        <s v="ORD103261"/>
        <s v="ORD101884"/>
        <s v="ORD101254"/>
        <s v="ORD103187"/>
        <s v="ORD101830"/>
        <s v="ORD102616"/>
        <s v="ORD100817"/>
        <s v="ORD102496"/>
        <s v="ORD102605"/>
        <s v="ORD103209"/>
        <s v="ORD101953"/>
        <s v="ORD102853"/>
        <s v="ORD103657"/>
        <s v="ORD103294"/>
        <s v="ORD100282"/>
        <s v="ORD100458"/>
        <s v="ORD101535"/>
        <s v="ORD100903"/>
        <s v="ORD103971"/>
        <s v="ORD103000"/>
        <s v="ORD102862"/>
        <s v="ORD100907"/>
        <s v="ORD101579"/>
        <s v="ORD102383"/>
        <s v="ORD102788"/>
        <s v="ORD103956"/>
        <s v="ORD103001"/>
        <s v="ORD102229"/>
        <s v="ORD102838"/>
        <s v="ORD101100"/>
        <s v="ORD102539"/>
        <s v="ORD100352"/>
        <s v="ORD102962"/>
        <s v="ORD100315"/>
        <s v="ORD101664"/>
        <s v="ORD101263"/>
        <s v="ORD100749"/>
        <s v="ORD101655"/>
        <s v="ORD100440"/>
        <s v="ORD103325"/>
        <s v="ORD103046"/>
        <s v="ORD101616"/>
        <s v="ORD100268"/>
        <s v="ORD103375"/>
        <s v="ORD103670"/>
        <s v="ORD101331"/>
        <s v="ORD102195"/>
        <s v="ORD103854"/>
        <s v="ORD102579"/>
        <s v="ORD102255"/>
        <s v="ORD100356"/>
        <s v="ORD103457"/>
        <s v="ORD103265"/>
        <s v="ORD102849"/>
        <s v="ORD103860"/>
        <s v="ORD103696"/>
        <s v="ORD100387"/>
        <s v="ORD101539"/>
        <s v="ORD101777"/>
        <s v="ORD101330"/>
        <s v="ORD101916"/>
        <s v="ORD100028"/>
        <s v="ORD100106"/>
        <s v="ORD102333"/>
        <s v="ORD103030"/>
        <s v="ORD103032"/>
        <s v="ORD101586"/>
        <s v="ORD101716"/>
        <s v="ORD100526"/>
        <s v="ORD100262"/>
        <s v="ORD103960"/>
        <s v="ORD103555"/>
        <s v="ORD103428"/>
        <s v="ORD103403"/>
        <s v="ORD100657"/>
        <s v="ORD102443"/>
        <s v="ORD103709"/>
        <s v="ORD100590"/>
        <s v="ORD100467"/>
        <s v="ORD102965"/>
        <s v="ORD102139"/>
        <s v="ORD103708"/>
        <s v="ORD102543"/>
        <s v="ORD100002"/>
        <s v="ORD103153"/>
        <s v="ORD102415"/>
        <s v="ORD102765"/>
        <s v="ORD101247"/>
        <s v="ORD102879"/>
        <s v="ORD102305"/>
        <s v="ORD101542"/>
        <s v="ORD101393"/>
        <s v="ORD100727"/>
        <s v="ORD100127"/>
        <s v="ORD101220"/>
        <s v="ORD102779"/>
        <s v="ORD100647"/>
        <s v="ORD101490"/>
        <s v="ORD102546"/>
        <s v="ORD103697"/>
        <s v="ORD102232"/>
        <s v="ORD103105"/>
        <s v="ORD102212"/>
        <s v="ORD102477"/>
        <s v="ORD103965"/>
        <s v="ORD101258"/>
        <s v="ORD102669"/>
        <s v="ORD102631"/>
        <s v="ORD100660"/>
        <s v="ORD100709"/>
        <s v="ORD102285"/>
        <s v="ORD102886"/>
        <s v="ORD102036"/>
        <s v="ORD101229"/>
        <s v="ORD102003"/>
        <s v="ORD101562"/>
        <s v="ORD100831"/>
        <s v="ORD101712"/>
        <s v="ORD101032"/>
        <s v="ORD101617"/>
        <s v="ORD103504"/>
        <s v="ORD103803"/>
        <s v="ORD100501"/>
        <s v="ORD100814"/>
        <s v="ORD102864"/>
        <s v="ORD103995"/>
        <s v="ORD101544"/>
        <s v="ORD101775"/>
        <s v="ORD103678"/>
        <s v="ORD102933"/>
        <s v="ORD100839"/>
        <s v="ORD101250"/>
        <s v="ORD100097"/>
        <s v="ORD100478"/>
        <s v="ORD103360"/>
        <s v="ORD103124"/>
        <s v="ORD102931"/>
        <s v="ORD101248"/>
        <s v="ORD102303"/>
        <s v="ORD103996"/>
        <s v="ORD102152"/>
        <s v="ORD100488"/>
        <s v="ORD101130"/>
        <s v="ORD101919"/>
        <s v="ORD100962"/>
        <s v="ORD103962"/>
        <s v="ORD102347"/>
        <s v="ORD100221"/>
        <s v="ORD100453"/>
        <s v="ORD101514"/>
        <s v="ORD102074"/>
        <s v="ORD103969"/>
        <s v="ORD101820"/>
        <s v="ORD100642"/>
        <s v="ORD100280"/>
        <s v="ORD102941"/>
        <s v="ORD100572"/>
        <s v="ORD100580"/>
        <s v="ORD101432"/>
        <s v="ORD101055"/>
        <s v="ORD101327"/>
        <s v="ORD103118"/>
        <s v="ORD101328"/>
        <s v="ORD100980"/>
        <s v="ORD100644"/>
        <s v="ORD102409"/>
        <s v="ORD102424"/>
        <s v="ORD103246"/>
        <s v="ORD101012"/>
        <s v="ORD101455"/>
        <s v="ORD102574"/>
        <s v="ORD102254"/>
        <s v="ORD101296"/>
        <s v="ORD100062"/>
        <s v="ORD100742"/>
        <s v="ORD100997"/>
        <s v="ORD103879"/>
        <s v="ORD103183"/>
        <s v="ORD100543"/>
        <s v="ORD103768"/>
        <s v="ORD100906"/>
        <s v="ORD101624"/>
        <s v="ORD102038"/>
        <s v="ORD100456"/>
        <s v="ORD102041"/>
        <s v="ORD100530"/>
        <s v="ORD100722"/>
        <s v="ORD100914"/>
        <s v="ORD101498"/>
        <s v="ORD103165"/>
        <s v="ORD102096"/>
        <s v="ORD100717"/>
        <s v="ORD101154"/>
        <s v="ORD100322"/>
        <s v="ORD102478"/>
        <s v="ORD101378"/>
        <s v="ORD100853"/>
        <s v="ORD102904"/>
        <s v="ORD102830"/>
        <s v="ORD102877"/>
        <s v="ORD103905"/>
        <s v="ORD100619"/>
        <s v="ORD103707"/>
        <s v="ORD103145"/>
        <s v="ORD100001"/>
        <s v="ORD101184"/>
        <s v="ORD103925"/>
        <s v="ORD102067"/>
        <s v="ORD100665"/>
        <s v="ORD102070"/>
        <s v="ORD102114"/>
        <s v="ORD100532"/>
        <s v="ORD101532"/>
        <s v="ORD103978"/>
        <s v="ORD103342"/>
        <s v="ORD101852"/>
        <s v="ORD102480"/>
        <s v="ORD102503"/>
        <s v="ORD100697"/>
        <s v="ORD102974"/>
        <s v="ORD103154"/>
        <s v="ORD100039"/>
        <s v="ORD101168"/>
        <s v="ORD101398"/>
        <s v="ORD103021"/>
        <s v="ORD103097"/>
        <s v="ORD101033"/>
        <s v="ORD101257"/>
        <s v="ORD102960"/>
        <s v="ORD103884"/>
        <s v="ORD101912"/>
      </sharedItems>
    </cacheField>
    <cacheField name="order_date" numFmtId="164">
      <sharedItems containsSemiMixedTypes="0" containsNonDate="0" containsDate="1" containsString="0" minDate="2023-01-01T00:00:00" maxDate="2025-01-01T00:00:00" count="730">
        <d v="2023-06-17T00:00:00"/>
        <d v="2024-10-17T00:00:00"/>
        <d v="2024-07-11T00:00:00"/>
        <d v="2023-11-20T00:00:00"/>
        <d v="2024-01-11T00:00:00"/>
        <d v="2024-03-18T00:00:00"/>
        <d v="2024-12-26T00:00:00"/>
        <d v="2023-08-13T00:00:00"/>
        <d v="2023-01-25T00:00:00"/>
        <d v="2024-09-13T00:00:00"/>
        <d v="2023-08-22T00:00:00"/>
        <d v="2024-10-24T00:00:00"/>
        <d v="2023-02-22T00:00:00"/>
        <d v="2023-05-22T00:00:00"/>
        <d v="2024-12-24T00:00:00"/>
        <d v="2024-06-29T00:00:00"/>
        <d v="2024-04-15T00:00:00"/>
        <d v="2024-09-24T00:00:00"/>
        <d v="2023-06-22T00:00:00"/>
        <d v="2024-08-03T00:00:00"/>
        <d v="2023-04-10T00:00:00"/>
        <d v="2024-07-07T00:00:00"/>
        <d v="2023-12-21T00:00:00"/>
        <d v="2023-08-26T00:00:00"/>
        <d v="2023-04-03T00:00:00"/>
        <d v="2023-01-10T00:00:00"/>
        <d v="2023-05-29T00:00:00"/>
        <d v="2024-08-17T00:00:00"/>
        <d v="2024-07-26T00:00:00"/>
        <d v="2024-05-25T00:00:00"/>
        <d v="2024-12-13T00:00:00"/>
        <d v="2023-12-17T00:00:00"/>
        <d v="2023-05-16T00:00:00"/>
        <d v="2023-05-25T00:00:00"/>
        <d v="2024-10-26T00:00:00"/>
        <d v="2024-11-18T00:00:00"/>
        <d v="2024-01-06T00:00:00"/>
        <d v="2024-08-25T00:00:00"/>
        <d v="2024-08-27T00:00:00"/>
        <d v="2023-05-07T00:00:00"/>
        <d v="2023-08-14T00:00:00"/>
        <d v="2023-08-02T00:00:00"/>
        <d v="2024-01-03T00:00:00"/>
        <d v="2024-06-09T00:00:00"/>
        <d v="2024-11-30T00:00:00"/>
        <d v="2023-04-08T00:00:00"/>
        <d v="2023-07-02T00:00:00"/>
        <d v="2023-05-10T00:00:00"/>
        <d v="2024-02-10T00:00:00"/>
        <d v="2023-08-19T00:00:00"/>
        <d v="2023-02-25T00:00:00"/>
        <d v="2024-05-03T00:00:00"/>
        <d v="2023-09-28T00:00:00"/>
        <d v="2023-01-04T00:00:00"/>
        <d v="2024-09-11T00:00:00"/>
        <d v="2023-09-12T00:00:00"/>
        <d v="2023-09-27T00:00:00"/>
        <d v="2023-03-06T00:00:00"/>
        <d v="2024-10-23T00:00:00"/>
        <d v="2024-11-11T00:00:00"/>
        <d v="2024-12-11T00:00:00"/>
        <d v="2023-07-11T00:00:00"/>
        <d v="2024-02-12T00:00:00"/>
        <d v="2024-06-15T00:00:00"/>
        <d v="2024-11-21T00:00:00"/>
        <d v="2024-02-16T00:00:00"/>
        <d v="2023-04-21T00:00:00"/>
        <d v="2023-07-01T00:00:00"/>
        <d v="2024-04-18T00:00:00"/>
        <d v="2024-01-13T00:00:00"/>
        <d v="2024-04-26T00:00:00"/>
        <d v="2024-03-06T00:00:00"/>
        <d v="2024-07-15T00:00:00"/>
        <d v="2023-02-14T00:00:00"/>
        <d v="2024-10-09T00:00:00"/>
        <d v="2024-12-20T00:00:00"/>
        <d v="2023-09-22T00:00:00"/>
        <d v="2023-04-11T00:00:00"/>
        <d v="2023-04-16T00:00:00"/>
        <d v="2024-03-27T00:00:00"/>
        <d v="2024-07-30T00:00:00"/>
        <d v="2023-05-24T00:00:00"/>
        <d v="2023-06-26T00:00:00"/>
        <d v="2024-03-26T00:00:00"/>
        <d v="2023-08-31T00:00:00"/>
        <d v="2024-03-28T00:00:00"/>
        <d v="2024-02-15T00:00:00"/>
        <d v="2023-06-01T00:00:00"/>
        <d v="2023-09-10T00:00:00"/>
        <d v="2024-05-01T00:00:00"/>
        <d v="2024-03-01T00:00:00"/>
        <d v="2023-06-14T00:00:00"/>
        <d v="2023-11-24T00:00:00"/>
        <d v="2023-04-18T00:00:00"/>
        <d v="2023-11-18T00:00:00"/>
        <d v="2024-11-14T00:00:00"/>
        <d v="2024-10-22T00:00:00"/>
        <d v="2024-04-17T00:00:00"/>
        <d v="2024-12-18T00:00:00"/>
        <d v="2023-07-20T00:00:00"/>
        <d v="2024-06-05T00:00:00"/>
        <d v="2024-05-22T00:00:00"/>
        <d v="2024-08-07T00:00:00"/>
        <d v="2023-10-03T00:00:00"/>
        <d v="2023-06-10T00:00:00"/>
        <d v="2023-05-14T00:00:00"/>
        <d v="2024-01-23T00:00:00"/>
        <d v="2024-02-25T00:00:00"/>
        <d v="2024-05-26T00:00:00"/>
        <d v="2024-10-10T00:00:00"/>
        <d v="2024-01-15T00:00:00"/>
        <d v="2024-05-23T00:00:00"/>
        <d v="2024-04-10T00:00:00"/>
        <d v="2023-12-19T00:00:00"/>
        <d v="2023-06-28T00:00:00"/>
        <d v="2024-06-26T00:00:00"/>
        <d v="2023-06-04T00:00:00"/>
        <d v="2023-11-11T00:00:00"/>
        <d v="2024-06-03T00:00:00"/>
        <d v="2024-07-03T00:00:00"/>
        <d v="2024-12-16T00:00:00"/>
        <d v="2024-12-17T00:00:00"/>
        <d v="2023-06-19T00:00:00"/>
        <d v="2024-02-28T00:00:00"/>
        <d v="2023-03-23T00:00:00"/>
        <d v="2024-05-14T00:00:00"/>
        <d v="2024-09-07T00:00:00"/>
        <d v="2024-03-17T00:00:00"/>
        <d v="2023-06-29T00:00:00"/>
        <d v="2023-03-26T00:00:00"/>
        <d v="2024-02-11T00:00:00"/>
        <d v="2024-05-06T00:00:00"/>
        <d v="2023-10-21T00:00:00"/>
        <d v="2023-03-18T00:00:00"/>
        <d v="2024-08-11T00:00:00"/>
        <d v="2023-05-19T00:00:00"/>
        <d v="2024-08-15T00:00:00"/>
        <d v="2024-05-12T00:00:00"/>
        <d v="2023-12-23T00:00:00"/>
        <d v="2023-06-12T00:00:00"/>
        <d v="2024-03-24T00:00:00"/>
        <d v="2023-06-30T00:00:00"/>
        <d v="2024-07-21T00:00:00"/>
        <d v="2023-03-19T00:00:00"/>
        <d v="2024-08-31T00:00:00"/>
        <d v="2023-04-13T00:00:00"/>
        <d v="2024-08-23T00:00:00"/>
        <d v="2023-03-22T00:00:00"/>
        <d v="2024-11-08T00:00:00"/>
        <d v="2023-08-21T00:00:00"/>
        <d v="2024-10-30T00:00:00"/>
        <d v="2023-04-24T00:00:00"/>
        <d v="2023-07-31T00:00:00"/>
        <d v="2024-09-06T00:00:00"/>
        <d v="2024-03-09T00:00:00"/>
        <d v="2023-12-22T00:00:00"/>
        <d v="2023-04-05T00:00:00"/>
        <d v="2023-11-19T00:00:00"/>
        <d v="2024-12-07T00:00:00"/>
        <d v="2023-02-28T00:00:00"/>
        <d v="2023-11-29T00:00:00"/>
        <d v="2024-12-30T00:00:00"/>
        <d v="2024-01-21T00:00:00"/>
        <d v="2023-01-02T00:00:00"/>
        <d v="2024-04-12T00:00:00"/>
        <d v="2024-12-04T00:00:00"/>
        <d v="2023-01-17T00:00:00"/>
        <d v="2024-04-13T00:00:00"/>
        <d v="2023-02-07T00:00:00"/>
        <d v="2024-02-09T00:00:00"/>
        <d v="2024-12-23T00:00:00"/>
        <d v="2024-11-26T00:00:00"/>
        <d v="2023-03-14T00:00:00"/>
        <d v="2024-05-08T00:00:00"/>
        <d v="2024-07-09T00:00:00"/>
        <d v="2023-11-03T00:00:00"/>
        <d v="2024-07-29T00:00:00"/>
        <d v="2023-03-10T00:00:00"/>
        <d v="2023-02-20T00:00:00"/>
        <d v="2023-08-28T00:00:00"/>
        <d v="2024-09-26T00:00:00"/>
        <d v="2023-03-16T00:00:00"/>
        <d v="2023-06-03T00:00:00"/>
        <d v="2023-11-30T00:00:00"/>
        <d v="2024-05-13T00:00:00"/>
        <d v="2023-05-08T00:00:00"/>
        <d v="2024-07-14T00:00:00"/>
        <d v="2024-04-29T00:00:00"/>
        <d v="2023-01-18T00:00:00"/>
        <d v="2024-10-12T00:00:00"/>
        <d v="2023-01-12T00:00:00"/>
        <d v="2024-05-29T00:00:00"/>
        <d v="2024-05-07T00:00:00"/>
        <d v="2023-04-20T00:00:00"/>
        <d v="2024-07-02T00:00:00"/>
        <d v="2023-07-18T00:00:00"/>
        <d v="2024-04-20T00:00:00"/>
        <d v="2023-10-15T00:00:00"/>
        <d v="2024-03-31T00:00:00"/>
        <d v="2023-12-06T00:00:00"/>
        <d v="2023-07-19T00:00:00"/>
        <d v="2023-12-04T00:00:00"/>
        <d v="2024-04-02T00:00:00"/>
        <d v="2024-01-12T00:00:00"/>
        <d v="2024-01-25T00:00:00"/>
        <d v="2023-02-03T00:00:00"/>
        <d v="2024-04-24T00:00:00"/>
        <d v="2024-06-08T00:00:00"/>
        <d v="2023-04-29T00:00:00"/>
        <d v="2024-05-24T00:00:00"/>
        <d v="2023-04-04T00:00:00"/>
        <d v="2024-11-28T00:00:00"/>
        <d v="2023-12-05T00:00:00"/>
        <d v="2023-06-05T00:00:00"/>
        <d v="2024-07-01T00:00:00"/>
        <d v="2023-10-31T00:00:00"/>
        <d v="2024-10-15T00:00:00"/>
        <d v="2023-01-07T00:00:00"/>
        <d v="2023-04-02T00:00:00"/>
        <d v="2023-03-04T00:00:00"/>
        <d v="2023-08-25T00:00:00"/>
        <d v="2023-01-28T00:00:00"/>
        <d v="2024-04-09T00:00:00"/>
        <d v="2023-01-05T00:00:00"/>
        <d v="2023-02-17T00:00:00"/>
        <d v="2024-08-05T00:00:00"/>
        <d v="2024-01-27T00:00:00"/>
        <d v="2024-04-06T00:00:00"/>
        <d v="2024-10-08T00:00:00"/>
        <d v="2024-08-22T00:00:00"/>
        <d v="2023-10-08T00:00:00"/>
        <d v="2024-09-30T00:00:00"/>
        <d v="2024-07-10T00:00:00"/>
        <d v="2023-06-25T00:00:00"/>
        <d v="2024-12-12T00:00:00"/>
        <d v="2024-06-01T00:00:00"/>
        <d v="2023-02-16T00:00:00"/>
        <d v="2023-12-18T00:00:00"/>
        <d v="2024-06-21T00:00:00"/>
        <d v="2024-01-30T00:00:00"/>
        <d v="2023-06-11T00:00:00"/>
        <d v="2024-06-02T00:00:00"/>
        <d v="2023-07-25T00:00:00"/>
        <d v="2023-06-09T00:00:00"/>
        <d v="2024-09-04T00:00:00"/>
        <d v="2023-02-21T00:00:00"/>
        <d v="2023-11-28T00:00:00"/>
        <d v="2023-09-15T00:00:00"/>
        <d v="2024-08-29T00:00:00"/>
        <d v="2024-12-06T00:00:00"/>
        <d v="2023-12-29T00:00:00"/>
        <d v="2024-06-30T00:00:00"/>
        <d v="2024-01-16T00:00:00"/>
        <d v="2024-08-12T00:00:00"/>
        <d v="2024-09-21T00:00:00"/>
        <d v="2023-10-04T00:00:00"/>
        <d v="2023-10-26T00:00:00"/>
        <d v="2023-05-23T00:00:00"/>
        <d v="2023-12-11T00:00:00"/>
        <d v="2024-01-10T00:00:00"/>
        <d v="2023-05-26T00:00:00"/>
        <d v="2024-09-15T00:00:00"/>
        <d v="2024-01-29T00:00:00"/>
        <d v="2024-09-10T00:00:00"/>
        <d v="2023-10-10T00:00:00"/>
        <d v="2023-10-12T00:00:00"/>
        <d v="2024-06-10T00:00:00"/>
        <d v="2023-05-15T00:00:00"/>
        <d v="2023-03-07T00:00:00"/>
        <d v="2023-09-05T00:00:00"/>
        <d v="2023-08-17T00:00:00"/>
        <d v="2024-08-20T00:00:00"/>
        <d v="2024-03-05T00:00:00"/>
        <d v="2023-10-18T00:00:00"/>
        <d v="2023-05-04T00:00:00"/>
        <d v="2024-11-20T00:00:00"/>
        <d v="2023-10-22T00:00:00"/>
        <d v="2023-03-29T00:00:00"/>
        <d v="2023-07-21T00:00:00"/>
        <d v="2024-01-05T00:00:00"/>
        <d v="2023-04-15T00:00:00"/>
        <d v="2024-11-10T00:00:00"/>
        <d v="2023-07-24T00:00:00"/>
        <d v="2024-07-22T00:00:00"/>
        <d v="2024-08-09T00:00:00"/>
        <d v="2023-05-01T00:00:00"/>
        <d v="2023-09-19T00:00:00"/>
        <d v="2023-09-03T00:00:00"/>
        <d v="2024-02-03T00:00:00"/>
        <d v="2024-11-02T00:00:00"/>
        <d v="2024-06-14T00:00:00"/>
        <d v="2023-05-06T00:00:00"/>
        <d v="2023-05-11T00:00:00"/>
        <d v="2023-07-15T00:00:00"/>
        <d v="2024-04-27T00:00:00"/>
        <d v="2023-09-13T00:00:00"/>
        <d v="2023-10-02T00:00:00"/>
        <d v="2023-08-16T00:00:00"/>
        <d v="2023-01-16T00:00:00"/>
        <d v="2023-05-13T00:00:00"/>
        <d v="2024-12-28T00:00:00"/>
        <d v="2024-02-24T00:00:00"/>
        <d v="2024-02-29T00:00:00"/>
        <d v="2023-11-09T00:00:00"/>
        <d v="2023-08-01T00:00:00"/>
        <d v="2024-01-26T00:00:00"/>
        <d v="2024-05-17T00:00:00"/>
        <d v="2023-09-14T00:00:00"/>
        <d v="2024-07-27T00:00:00"/>
        <d v="2024-10-05T00:00:00"/>
        <d v="2024-12-31T00:00:00"/>
        <d v="2023-01-21T00:00:00"/>
        <d v="2024-03-23T00:00:00"/>
        <d v="2024-03-04T00:00:00"/>
        <d v="2023-12-12T00:00:00"/>
        <d v="2024-03-30T00:00:00"/>
        <d v="2023-02-12T00:00:00"/>
        <d v="2024-11-07T00:00:00"/>
        <d v="2024-09-23T00:00:00"/>
        <d v="2023-05-31T00:00:00"/>
        <d v="2024-06-28T00:00:00"/>
        <d v="2023-06-18T00:00:00"/>
        <d v="2024-10-07T00:00:00"/>
        <d v="2023-05-09T00:00:00"/>
        <d v="2023-11-10T00:00:00"/>
        <d v="2024-07-06T00:00:00"/>
        <d v="2023-07-26T00:00:00"/>
        <d v="2023-11-07T00:00:00"/>
        <d v="2024-01-08T00:00:00"/>
        <d v="2023-11-02T00:00:00"/>
        <d v="2023-02-27T00:00:00"/>
        <d v="2023-04-25T00:00:00"/>
        <d v="2024-06-18T00:00:00"/>
        <d v="2024-10-03T00:00:00"/>
        <d v="2023-10-16T00:00:00"/>
        <d v="2024-08-06T00:00:00"/>
        <d v="2023-02-04T00:00:00"/>
        <d v="2024-12-21T00:00:00"/>
        <d v="2023-02-15T00:00:00"/>
        <d v="2024-11-17T00:00:00"/>
        <d v="2024-12-03T00:00:00"/>
        <d v="2024-09-20T00:00:00"/>
        <d v="2023-12-07T00:00:00"/>
        <d v="2023-03-31T00:00:00"/>
        <d v="2023-09-20T00:00:00"/>
        <d v="2023-09-21T00:00:00"/>
        <d v="2024-05-11T00:00:00"/>
        <d v="2023-02-26T00:00:00"/>
        <d v="2024-01-02T00:00:00"/>
        <d v="2023-12-13T00:00:00"/>
        <d v="2024-11-15T00:00:00"/>
        <d v="2023-01-03T00:00:00"/>
        <d v="2023-05-21T00:00:00"/>
        <d v="2023-04-01T00:00:00"/>
        <d v="2024-08-26T00:00:00"/>
        <d v="2023-12-20T00:00:00"/>
        <d v="2024-03-03T00:00:00"/>
        <d v="2024-11-09T00:00:00"/>
        <d v="2023-09-09T00:00:00"/>
        <d v="2024-06-07T00:00:00"/>
        <d v="2024-10-25T00:00:00"/>
        <d v="2024-09-17T00:00:00"/>
        <d v="2024-10-27T00:00:00"/>
        <d v="2024-05-31T00:00:00"/>
        <d v="2024-08-04T00:00:00"/>
        <d v="2024-04-11T00:00:00"/>
        <d v="2023-11-23T00:00:00"/>
        <d v="2024-11-27T00:00:00"/>
        <d v="2023-11-04T00:00:00"/>
        <d v="2024-02-26T00:00:00"/>
        <d v="2024-12-15T00:00:00"/>
        <d v="2024-03-14T00:00:00"/>
        <d v="2024-09-18T00:00:00"/>
        <d v="2023-08-18T00:00:00"/>
        <d v="2024-02-06T00:00:00"/>
        <d v="2023-08-09T00:00:00"/>
        <d v="2024-04-05T00:00:00"/>
        <d v="2023-07-08T00:00:00"/>
        <d v="2023-11-22T00:00:00"/>
        <d v="2024-01-07T00:00:00"/>
        <d v="2024-09-28T00:00:00"/>
        <d v="2023-12-08T00:00:00"/>
        <d v="2024-12-14T00:00:00"/>
        <d v="2024-09-08T00:00:00"/>
        <d v="2023-10-05T00:00:00"/>
        <d v="2023-04-30T00:00:00"/>
        <d v="2023-08-24T00:00:00"/>
        <d v="2023-11-12T00:00:00"/>
        <d v="2024-08-01T00:00:00"/>
        <d v="2023-01-31T00:00:00"/>
        <d v="2024-03-29T00:00:00"/>
        <d v="2023-12-24T00:00:00"/>
        <d v="2024-03-10T00:00:00"/>
        <d v="2023-02-13T00:00:00"/>
        <d v="2023-01-11T00:00:00"/>
        <d v="2023-10-11T00:00:00"/>
        <d v="2024-10-31T00:00:00"/>
        <d v="2023-11-26T00:00:00"/>
        <d v="2023-10-25T00:00:00"/>
        <d v="2023-02-06T00:00:00"/>
        <d v="2024-10-13T00:00:00"/>
        <d v="2023-11-25T00:00:00"/>
        <d v="2023-10-09T00:00:00"/>
        <d v="2023-01-06T00:00:00"/>
        <d v="2023-08-08T00:00:00"/>
        <d v="2024-07-08T00:00:00"/>
        <d v="2024-12-02T00:00:00"/>
        <d v="2024-04-30T00:00:00"/>
        <d v="2023-10-30T00:00:00"/>
        <d v="2023-10-14T00:00:00"/>
        <d v="2024-10-18T00:00:00"/>
        <d v="2024-04-28T00:00:00"/>
        <d v="2024-04-01T00:00:00"/>
        <d v="2024-02-02T00:00:00"/>
        <d v="2023-01-29T00:00:00"/>
        <d v="2023-07-12T00:00:00"/>
        <d v="2023-02-24T00:00:00"/>
        <d v="2023-01-19T00:00:00"/>
        <d v="2023-10-19T00:00:00"/>
        <d v="2024-05-30T00:00:00"/>
        <d v="2024-08-30T00:00:00"/>
        <d v="2023-09-02T00:00:00"/>
        <d v="2024-11-25T00:00:00"/>
        <d v="2024-08-13T00:00:00"/>
        <d v="2024-04-14T00:00:00"/>
        <d v="2023-03-11T00:00:00"/>
        <d v="2024-02-22T00:00:00"/>
        <d v="2024-03-07T00:00:00"/>
        <d v="2024-10-20T00:00:00"/>
        <d v="2023-06-02T00:00:00"/>
        <d v="2023-02-23T00:00:00"/>
        <d v="2023-05-17T00:00:00"/>
        <d v="2023-08-04T00:00:00"/>
        <d v="2023-10-13T00:00:00"/>
        <d v="2023-12-27T00:00:00"/>
        <d v="2024-02-19T00:00:00"/>
        <d v="2023-11-17T00:00:00"/>
        <d v="2023-09-06T00:00:00"/>
        <d v="2023-02-08T00:00:00"/>
        <d v="2024-03-20T00:00:00"/>
        <d v="2024-06-27T00:00:00"/>
        <d v="2023-08-12T00:00:00"/>
        <d v="2023-02-01T00:00:00"/>
        <d v="2023-05-05T00:00:00"/>
        <d v="2023-11-27T00:00:00"/>
        <d v="2023-10-17T00:00:00"/>
        <d v="2023-03-12T00:00:00"/>
        <d v="2023-10-06T00:00:00"/>
        <d v="2024-09-29T00:00:00"/>
        <d v="2023-06-13T00:00:00"/>
        <d v="2023-12-31T00:00:00"/>
        <d v="2023-04-27T00:00:00"/>
        <d v="2024-01-14T00:00:00"/>
        <d v="2024-07-23T00:00:00"/>
        <d v="2023-04-06T00:00:00"/>
        <d v="2024-07-05T00:00:00"/>
        <d v="2023-01-24T00:00:00"/>
        <d v="2024-07-24T00:00:00"/>
        <d v="2023-04-09T00:00:00"/>
        <d v="2024-06-25T00:00:00"/>
        <d v="2024-11-22T00:00:00"/>
        <d v="2023-03-25T00:00:00"/>
        <d v="2023-11-16T00:00:00"/>
        <d v="2023-01-23T00:00:00"/>
        <d v="2023-09-26T00:00:00"/>
        <d v="2024-07-17T00:00:00"/>
        <d v="2024-09-01T00:00:00"/>
        <d v="2024-06-12T00:00:00"/>
        <d v="2023-03-20T00:00:00"/>
        <d v="2024-04-03T00:00:00"/>
        <d v="2024-02-05T00:00:00"/>
        <d v="2024-04-21T00:00:00"/>
        <d v="2024-07-25T00:00:00"/>
        <d v="2024-01-04T00:00:00"/>
        <d v="2024-05-19T00:00:00"/>
        <d v="2024-09-02T00:00:00"/>
        <d v="2024-02-07T00:00:00"/>
        <d v="2023-03-09T00:00:00"/>
        <d v="2024-07-28T00:00:00"/>
        <d v="2024-06-16T00:00:00"/>
        <d v="2023-04-23T00:00:00"/>
        <d v="2023-05-28T00:00:00"/>
        <d v="2024-12-09T00:00:00"/>
        <d v="2023-07-23T00:00:00"/>
        <d v="2024-11-01T00:00:00"/>
        <d v="2024-04-08T00:00:00"/>
        <d v="2023-04-12T00:00:00"/>
        <d v="2023-05-27T00:00:00"/>
        <d v="2023-09-18T00:00:00"/>
        <d v="2023-09-07T00:00:00"/>
        <d v="2024-09-19T00:00:00"/>
        <d v="2024-11-29T00:00:00"/>
        <d v="2024-06-24T00:00:00"/>
        <d v="2024-11-19T00:00:00"/>
        <d v="2023-07-05T00:00:00"/>
        <d v="2024-06-23T00:00:00"/>
        <d v="2023-04-22T00:00:00"/>
        <d v="2023-04-28T00:00:00"/>
        <d v="2024-02-20T00:00:00"/>
        <d v="2024-10-02T00:00:00"/>
        <d v="2023-04-19T00:00:00"/>
        <d v="2023-01-30T00:00:00"/>
        <d v="2024-02-14T00:00:00"/>
        <d v="2023-05-30T00:00:00"/>
        <d v="2024-01-28T00:00:00"/>
        <d v="2023-01-26T00:00:00"/>
        <d v="2023-03-02T00:00:00"/>
        <d v="2023-01-22T00:00:00"/>
        <d v="2023-09-08T00:00:00"/>
        <d v="2024-12-08T00:00:00"/>
        <d v="2023-01-20T00:00:00"/>
        <d v="2023-10-29T00:00:00"/>
        <d v="2024-12-10T00:00:00"/>
        <d v="2024-12-01T00:00:00"/>
        <d v="2024-01-19T00:00:00"/>
        <d v="2024-01-18T00:00:00"/>
        <d v="2024-11-24T00:00:00"/>
        <d v="2024-04-04T00:00:00"/>
        <d v="2023-12-10T00:00:00"/>
        <d v="2024-03-13T00:00:00"/>
        <d v="2024-05-15T00:00:00"/>
        <d v="2023-12-26T00:00:00"/>
        <d v="2024-07-12T00:00:00"/>
        <d v="2024-07-31T00:00:00"/>
        <d v="2023-04-17T00:00:00"/>
        <d v="2023-11-13T00:00:00"/>
        <d v="2023-02-09T00:00:00"/>
        <d v="2024-07-16T00:00:00"/>
        <d v="2024-09-09T00:00:00"/>
        <d v="2023-06-16T00:00:00"/>
        <d v="2024-08-19T00:00:00"/>
        <d v="2024-03-16T00:00:00"/>
        <d v="2024-03-21T00:00:00"/>
        <d v="2024-12-22T00:00:00"/>
        <d v="2024-03-19T00:00:00"/>
        <d v="2024-02-17T00:00:00"/>
        <d v="2024-02-18T00:00:00"/>
        <d v="2023-12-30T00:00:00"/>
        <d v="2023-05-18T00:00:00"/>
        <d v="2023-02-18T00:00:00"/>
        <d v="2024-02-21T00:00:00"/>
        <d v="2023-07-10T00:00:00"/>
        <d v="2024-05-09T00:00:00"/>
        <d v="2024-04-25T00:00:00"/>
        <d v="2024-08-28T00:00:00"/>
        <d v="2024-02-13T00:00:00"/>
        <d v="2023-06-07T00:00:00"/>
        <d v="2023-06-27T00:00:00"/>
        <d v="2023-03-21T00:00:00"/>
        <d v="2024-06-22T00:00:00"/>
        <d v="2023-04-14T00:00:00"/>
        <d v="2023-09-30T00:00:00"/>
        <d v="2024-09-14T00:00:00"/>
        <d v="2023-12-03T00:00:00"/>
        <d v="2024-01-09T00:00:00"/>
        <d v="2023-03-05T00:00:00"/>
        <d v="2024-06-20T00:00:00"/>
        <d v="2024-10-28T00:00:00"/>
        <d v="2023-08-11T00:00:00"/>
        <d v="2023-06-24T00:00:00"/>
        <d v="2023-07-28T00:00:00"/>
        <d v="2023-07-22T00:00:00"/>
        <d v="2023-01-09T00:00:00"/>
        <d v="2024-08-18T00:00:00"/>
        <d v="2024-01-24T00:00:00"/>
        <d v="2024-09-16T00:00:00"/>
        <d v="2024-09-03T00:00:00"/>
        <d v="2024-09-25T00:00:00"/>
        <d v="2024-04-19T00:00:00"/>
        <d v="2024-08-08T00:00:00"/>
        <d v="2024-05-21T00:00:00"/>
        <d v="2023-06-21T00:00:00"/>
        <d v="2023-01-01T00:00:00"/>
        <d v="2024-07-20T00:00:00"/>
        <d v="2024-08-24T00:00:00"/>
        <d v="2023-02-10T00:00:00"/>
        <d v="2024-08-02T00:00:00"/>
        <d v="2023-07-13T00:00:00"/>
        <d v="2023-07-14T00:00:00"/>
        <d v="2024-09-05T00:00:00"/>
        <d v="2024-11-13T00:00:00"/>
        <d v="2023-03-24T00:00:00"/>
        <d v="2023-08-07T00:00:00"/>
        <d v="2024-05-02T00:00:00"/>
        <d v="2023-03-15T00:00:00"/>
        <d v="2023-10-07T00:00:00"/>
        <d v="2023-08-05T00:00:00"/>
        <d v="2024-10-16T00:00:00"/>
        <d v="2023-07-30T00:00:00"/>
        <d v="2024-07-13T00:00:00"/>
        <d v="2024-03-25T00:00:00"/>
        <d v="2023-03-03T00:00:00"/>
        <d v="2023-07-09T00:00:00"/>
        <d v="2024-04-07T00:00:00"/>
        <d v="2024-05-20T00:00:00"/>
        <d v="2024-02-27T00:00:00"/>
        <d v="2024-06-13T00:00:00"/>
        <d v="2023-09-16T00:00:00"/>
        <d v="2024-02-01T00:00:00"/>
        <d v="2023-07-06T00:00:00"/>
        <d v="2023-07-04T00:00:00"/>
        <d v="2023-03-17T00:00:00"/>
        <d v="2023-05-02T00:00:00"/>
        <d v="2023-09-23T00:00:00"/>
        <d v="2024-11-16T00:00:00"/>
        <d v="2023-07-17T00:00:00"/>
        <d v="2023-09-04T00:00:00"/>
        <d v="2023-05-03T00:00:00"/>
        <d v="2023-07-16T00:00:00"/>
        <d v="2023-12-09T00:00:00"/>
        <d v="2024-10-06T00:00:00"/>
        <d v="2024-10-29T00:00:00"/>
        <d v="2023-11-08T00:00:00"/>
        <d v="2024-08-16T00:00:00"/>
        <d v="2023-04-07T00:00:00"/>
        <d v="2023-09-11T00:00:00"/>
        <d v="2024-06-11T00:00:00"/>
        <d v="2024-09-22T00:00:00"/>
        <d v="2023-12-16T00:00:00"/>
        <d v="2024-08-14T00:00:00"/>
        <d v="2024-04-16T00:00:00"/>
        <d v="2023-12-28T00:00:00"/>
        <d v="2024-05-18T00:00:00"/>
        <d v="2024-05-05T00:00:00"/>
        <d v="2024-02-08T00:00:00"/>
        <d v="2023-10-23T00:00:00"/>
        <d v="2023-07-03T00:00:00"/>
        <d v="2023-07-27T00:00:00"/>
        <d v="2023-09-17T00:00:00"/>
        <d v="2024-08-21T00:00:00"/>
        <d v="2023-11-05T00:00:00"/>
        <d v="2023-12-14T00:00:00"/>
        <d v="2023-11-06T00:00:00"/>
        <d v="2023-08-29T00:00:00"/>
        <d v="2023-11-14T00:00:00"/>
        <d v="2024-10-01T00:00:00"/>
        <d v="2023-01-14T00:00:00"/>
        <d v="2024-01-17T00:00:00"/>
        <d v="2024-06-06T00:00:00"/>
        <d v="2023-01-15T00:00:00"/>
        <d v="2023-01-13T00:00:00"/>
        <d v="2024-09-27T00:00:00"/>
        <d v="2023-11-15T00:00:00"/>
        <d v="2023-03-27T00:00:00"/>
        <d v="2023-01-08T00:00:00"/>
        <d v="2023-12-25T00:00:00"/>
        <d v="2024-12-19T00:00:00"/>
        <d v="2024-01-22T00:00:00"/>
        <d v="2023-06-20T00:00:00"/>
        <d v="2023-06-23T00:00:00"/>
        <d v="2024-11-23T00:00:00"/>
        <d v="2023-10-28T00:00:00"/>
        <d v="2024-05-10T00:00:00"/>
        <d v="2023-11-21T00:00:00"/>
        <d v="2024-11-04T00:00:00"/>
        <d v="2024-11-12T00:00:00"/>
        <d v="2023-10-20T00:00:00"/>
        <d v="2024-03-12T00:00:00"/>
        <d v="2023-08-27T00:00:00"/>
        <d v="2023-03-08T00:00:00"/>
        <d v="2023-08-10T00:00:00"/>
        <d v="2023-07-07T00:00:00"/>
        <d v="2023-09-24T00:00:00"/>
        <d v="2024-11-05T00:00:00"/>
        <d v="2023-08-06T00:00:00"/>
        <d v="2024-12-29T00:00:00"/>
        <d v="2024-07-18T00:00:00"/>
        <d v="2024-03-15T00:00:00"/>
        <d v="2023-10-27T00:00:00"/>
        <d v="2023-03-28T00:00:00"/>
        <d v="2023-09-25T00:00:00"/>
        <d v="2023-05-20T00:00:00"/>
        <d v="2023-05-12T00:00:00"/>
        <d v="2024-02-04T00:00:00"/>
        <d v="2023-03-30T00:00:00"/>
        <d v="2023-06-06T00:00:00"/>
        <d v="2024-05-27T00:00:00"/>
        <d v="2023-08-03T00:00:00"/>
        <d v="2023-04-26T00:00:00"/>
        <d v="2024-03-08T00:00:00"/>
        <d v="2024-10-21T00:00:00"/>
        <d v="2023-01-27T00:00:00"/>
        <d v="2023-07-29T00:00:00"/>
        <d v="2023-08-30T00:00:00"/>
        <d v="2024-10-11T00:00:00"/>
        <d v="2024-05-04T00:00:00"/>
        <d v="2023-02-02T00:00:00"/>
        <d v="2023-06-08T00:00:00"/>
        <d v="2023-03-01T00:00:00"/>
        <d v="2024-05-16T00:00:00"/>
        <d v="2024-06-17T00:00:00"/>
        <d v="2023-09-01T00:00:00"/>
        <d v="2024-06-04T00:00:00"/>
        <d v="2024-12-27T00:00:00"/>
        <d v="2024-07-19T00:00:00"/>
        <d v="2024-04-23T00:00:00"/>
        <d v="2023-11-01T00:00:00"/>
        <d v="2023-02-19T00:00:00"/>
        <d v="2024-12-25T00:00:00"/>
        <d v="2024-04-22T00:00:00"/>
        <d v="2024-01-01T00:00:00"/>
        <d v="2023-10-24T00:00:00"/>
        <d v="2024-10-14T00:00:00"/>
        <d v="2023-03-13T00:00:00"/>
        <d v="2024-12-05T00:00:00"/>
        <d v="2024-07-04T00:00:00"/>
        <d v="2023-08-23T00:00:00"/>
        <d v="2023-06-15T00:00:00"/>
        <d v="2024-10-19T00:00:00"/>
        <d v="2023-08-15T00:00:00"/>
        <d v="2023-10-01T00:00:00"/>
        <d v="2024-01-31T00:00:00"/>
        <d v="2024-10-04T00:00:00"/>
        <d v="2023-09-29T00:00:00"/>
        <d v="2024-11-06T00:00:00"/>
        <d v="2023-02-11T00:00:00"/>
        <d v="2024-08-10T00:00:00"/>
        <d v="2024-03-11T00:00:00"/>
        <d v="2024-03-22T00:00:00"/>
        <d v="2024-03-02T00:00:00"/>
        <d v="2024-09-12T00:00:00"/>
        <d v="2024-11-03T00:00:00"/>
        <d v="2023-08-20T00:00:00"/>
        <d v="2024-02-23T00:00:00"/>
        <d v="2023-12-01T00:00:00"/>
        <d v="2023-12-15T00:00:00"/>
        <d v="2024-01-20T00:00:00"/>
        <d v="2023-12-02T00:00:00"/>
        <d v="2023-02-05T00:00:00"/>
        <d v="2024-06-19T00:00:00"/>
      </sharedItems>
      <fieldGroup par="15" base="1">
        <rangePr groupBy="months" startDate="2023-01-01T00:00:00" endDate="2025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customer_id" numFmtId="0">
      <sharedItems/>
    </cacheField>
    <cacheField name="customer_name" numFmtId="0">
      <sharedItems/>
    </cacheField>
    <cacheField name="region" numFmtId="0">
      <sharedItems count="4">
        <s v="East"/>
        <s v="Midwest"/>
        <s v="West"/>
        <s v="South"/>
      </sharedItems>
    </cacheField>
    <cacheField name="category" numFmtId="0">
      <sharedItems count="7">
        <s v="Beauty"/>
        <s v="Sports &amp; Outdoors"/>
        <s v="Books"/>
        <s v="Toys"/>
        <s v="Clothing"/>
        <s v="Home &amp; Kitchen"/>
        <s v="Electronics"/>
      </sharedItems>
    </cacheField>
    <cacheField name="product_name" numFmtId="0">
      <sharedItems count="43">
        <s v="Lip Balm"/>
        <s v="Shampoo"/>
        <s v="Moisturizer"/>
        <s v="Sunscreen SPF50"/>
        <s v="Face Mask Set"/>
        <s v="Jump Rope"/>
        <s v="Water Bottle"/>
        <s v="Fiction Novel"/>
        <s v="Cookbook"/>
        <s v="Resistance Bands"/>
        <s v="Business Strategy Book"/>
        <s v="Children's Book"/>
        <s v="Building Blocks"/>
        <s v="Action Figure"/>
        <s v="RC Car"/>
        <s v="Self-Help Guide"/>
        <s v="Board Game"/>
        <s v="Yoga Mat"/>
        <s v="Camping Tent"/>
        <s v="Puzzle 1000pc"/>
        <s v="Hiking Backpack"/>
        <s v="Running Shorts"/>
        <s v="Winter Jacket"/>
        <s v="Baseball Cap"/>
        <s v="Hoodie"/>
        <s v="Wool Socks"/>
        <s v="Denim Jeans"/>
        <s v="Cotton T-Shirt"/>
        <s v="Blender"/>
        <s v="Throw Pillow"/>
        <s v="Cutting Board"/>
        <s v="Storage Containers"/>
        <s v="LED Desk Lamp"/>
        <s v="Coffee Maker"/>
        <s v="Non-Stick Pan"/>
        <s v="Laptop Stand"/>
        <s v="Webcam"/>
        <s v="Power Bank"/>
        <s v="Wireless Mouse"/>
        <s v="Wireless Earbuds"/>
        <s v="USB-C Cable"/>
        <s v="Bluetooth Speaker"/>
        <s v="Smartphone Cas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5">
      <sharedItems containsSemiMixedTypes="0" containsString="0" containsNumber="1" minValue="6" maxValue="149.71"/>
    </cacheField>
    <cacheField name="order_status" numFmtId="0">
      <sharedItems/>
    </cacheField>
    <cacheField name="payment_method" numFmtId="0">
      <sharedItems/>
    </cacheField>
    <cacheField name="revenue" numFmtId="2">
      <sharedItems containsSemiMixedTypes="0" containsString="0" containsNumber="1" minValue="6" maxValue="735.55000000000007"/>
    </cacheField>
    <cacheField name="customer_order_count" numFmtId="0">
      <sharedItems containsSemiMixedTypes="0" containsString="0" containsNumber="1" containsInteger="1" minValue="1" maxValue="12"/>
    </cacheField>
    <cacheField name="customer_segment" numFmtId="0">
      <sharedItems count="2">
        <s v="Repeat Customer"/>
        <s v="New Customer"/>
      </sharedItems>
    </cacheField>
    <cacheField name="Quarters" numFmtId="0" databaseField="0">
      <fieldGroup base="1">
        <rangePr groupBy="quarters" startDate="2023-01-01T00:00:00" endDate="2025-01-01T00:00:00"/>
        <groupItems count="6">
          <s v="&lt;1/1/2023"/>
          <s v="Qtr1"/>
          <s v="Qtr2"/>
          <s v="Qtr3"/>
          <s v="Qtr4"/>
          <s v="&gt;1/1/2025"/>
        </groupItems>
      </fieldGroup>
    </cacheField>
    <cacheField name="Years" numFmtId="0" databaseField="0">
      <fieldGroup base="1">
        <rangePr groupBy="years" startDate="2023-01-01T00:00:00" endDate="2025-01-01T00:00:00"/>
        <groupItems count="5">
          <s v="&lt;1/1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3">
  <r>
    <x v="0"/>
    <x v="0"/>
    <s v="CUST1454"/>
    <s v="Fajar Wijaya"/>
    <x v="0"/>
    <x v="0"/>
    <x v="0"/>
    <n v="1"/>
    <n v="6"/>
    <s v="Completed"/>
    <s v="Gift Card"/>
    <n v="6"/>
    <n v="5"/>
    <x v="0"/>
  </r>
  <r>
    <x v="1"/>
    <x v="1"/>
    <s v="CUST1674"/>
    <s v="Dewi Lee"/>
    <x v="0"/>
    <x v="0"/>
    <x v="0"/>
    <n v="1"/>
    <n v="6.22"/>
    <s v="Completed"/>
    <s v="Gift Card"/>
    <n v="6.22"/>
    <n v="11"/>
    <x v="0"/>
  </r>
  <r>
    <x v="2"/>
    <x v="2"/>
    <s v="CUST1201"/>
    <s v="Linda Johnson"/>
    <x v="0"/>
    <x v="0"/>
    <x v="1"/>
    <n v="2"/>
    <n v="6.22"/>
    <s v="Completed"/>
    <s v="Credit Card"/>
    <n v="12.44"/>
    <n v="5"/>
    <x v="0"/>
  </r>
  <r>
    <x v="3"/>
    <x v="3"/>
    <s v="CUST1361"/>
    <s v="Rina Brown"/>
    <x v="0"/>
    <x v="0"/>
    <x v="2"/>
    <n v="2"/>
    <n v="6.27"/>
    <s v="Completed"/>
    <s v="Debit Card"/>
    <n v="12.54"/>
    <n v="3"/>
    <x v="0"/>
  </r>
  <r>
    <x v="4"/>
    <x v="4"/>
    <s v="CUST1798"/>
    <s v="Siti Anderson"/>
    <x v="0"/>
    <x v="0"/>
    <x v="0"/>
    <n v="1"/>
    <n v="6.38"/>
    <s v="Completed"/>
    <s v="Gift Card"/>
    <n v="6.38"/>
    <n v="10"/>
    <x v="0"/>
  </r>
  <r>
    <x v="5"/>
    <x v="5"/>
    <s v="CUST1404"/>
    <s v="Maria Tan"/>
    <x v="0"/>
    <x v="0"/>
    <x v="2"/>
    <n v="4"/>
    <n v="6.4"/>
    <s v="Completed"/>
    <s v="Debit Card"/>
    <n v="25.6"/>
    <n v="3"/>
    <x v="0"/>
  </r>
  <r>
    <x v="6"/>
    <x v="6"/>
    <s v="CUST1676"/>
    <s v="Lisa Wijaya"/>
    <x v="1"/>
    <x v="0"/>
    <x v="3"/>
    <n v="2"/>
    <n v="6.72"/>
    <s v="Completed"/>
    <s v="Gift Card"/>
    <n v="13.44"/>
    <n v="7"/>
    <x v="0"/>
  </r>
  <r>
    <x v="7"/>
    <x v="7"/>
    <s v="CUST1126"/>
    <s v="Ahmad Garcia"/>
    <x v="0"/>
    <x v="0"/>
    <x v="2"/>
    <n v="1"/>
    <n v="6.8"/>
    <s v="Returned"/>
    <s v="PayPal"/>
    <n v="6.8"/>
    <n v="6"/>
    <x v="0"/>
  </r>
  <r>
    <x v="8"/>
    <x v="8"/>
    <s v="CUST1141"/>
    <s v="Fajar Taylor"/>
    <x v="0"/>
    <x v="0"/>
    <x v="1"/>
    <n v="2"/>
    <n v="6.84"/>
    <s v="Returned"/>
    <s v="PayPal"/>
    <n v="13.68"/>
    <n v="7"/>
    <x v="0"/>
  </r>
  <r>
    <x v="9"/>
    <x v="9"/>
    <s v="CUST1870"/>
    <s v="Dewi Chen"/>
    <x v="0"/>
    <x v="0"/>
    <x v="4"/>
    <n v="2"/>
    <n v="6.86"/>
    <s v="Completed"/>
    <s v="Credit Card"/>
    <n v="13.72"/>
    <n v="8"/>
    <x v="0"/>
  </r>
  <r>
    <x v="10"/>
    <x v="10"/>
    <s v="CUST1483"/>
    <s v="Nina Anderson"/>
    <x v="0"/>
    <x v="0"/>
    <x v="3"/>
    <n v="1"/>
    <n v="6.92"/>
    <s v="Completed"/>
    <s v="PayPal"/>
    <n v="6.92"/>
    <n v="3"/>
    <x v="0"/>
  </r>
  <r>
    <x v="11"/>
    <x v="11"/>
    <s v="CUST1681"/>
    <s v="Maria Hidayat"/>
    <x v="0"/>
    <x v="0"/>
    <x v="0"/>
    <n v="2"/>
    <n v="6.95"/>
    <s v="Completed"/>
    <s v="Debit Card"/>
    <n v="13.9"/>
    <n v="9"/>
    <x v="0"/>
  </r>
  <r>
    <x v="12"/>
    <x v="12"/>
    <s v="CUST1137"/>
    <s v="Budi Wijaya"/>
    <x v="0"/>
    <x v="0"/>
    <x v="3"/>
    <n v="1"/>
    <n v="6.96"/>
    <s v="Completed"/>
    <s v="Debit Card"/>
    <n v="6.96"/>
    <n v="6"/>
    <x v="0"/>
  </r>
  <r>
    <x v="13"/>
    <x v="13"/>
    <s v="CUST1142"/>
    <s v="Kevin Salim"/>
    <x v="0"/>
    <x v="0"/>
    <x v="3"/>
    <n v="1"/>
    <n v="6.98"/>
    <s v="Completed"/>
    <s v="Gift Card"/>
    <n v="6.98"/>
    <n v="4"/>
    <x v="0"/>
  </r>
  <r>
    <x v="14"/>
    <x v="14"/>
    <s v="CUST1742"/>
    <s v="James Brown"/>
    <x v="2"/>
    <x v="0"/>
    <x v="4"/>
    <n v="1"/>
    <n v="6.98"/>
    <s v="Completed"/>
    <s v="Gift Card"/>
    <n v="6.98"/>
    <n v="3"/>
    <x v="0"/>
  </r>
  <r>
    <x v="15"/>
    <x v="15"/>
    <s v="CUST1453"/>
    <s v="James Tan"/>
    <x v="1"/>
    <x v="0"/>
    <x v="1"/>
    <n v="1"/>
    <n v="7.06"/>
    <s v="Pending"/>
    <s v="Credit Card"/>
    <n v="7.06"/>
    <n v="2"/>
    <x v="0"/>
  </r>
  <r>
    <x v="16"/>
    <x v="16"/>
    <s v="CUST1178"/>
    <s v="Michael Pratama"/>
    <x v="1"/>
    <x v="0"/>
    <x v="1"/>
    <n v="2"/>
    <n v="7.18"/>
    <s v="Completed"/>
    <s v="PayPal"/>
    <n v="14.36"/>
    <n v="6"/>
    <x v="0"/>
  </r>
  <r>
    <x v="17"/>
    <x v="17"/>
    <s v="CUST1106"/>
    <s v="Lisa Kurniawan"/>
    <x v="0"/>
    <x v="0"/>
    <x v="4"/>
    <n v="4"/>
    <n v="7.19"/>
    <s v="Completed"/>
    <s v="Gift Card"/>
    <n v="28.76"/>
    <n v="5"/>
    <x v="0"/>
  </r>
  <r>
    <x v="18"/>
    <x v="18"/>
    <s v="CUST1455"/>
    <s v="Linda Taylor"/>
    <x v="0"/>
    <x v="0"/>
    <x v="0"/>
    <n v="1"/>
    <n v="7.25"/>
    <s v="Completed"/>
    <s v="Gift Card"/>
    <n v="7.25"/>
    <n v="3"/>
    <x v="0"/>
  </r>
  <r>
    <x v="19"/>
    <x v="19"/>
    <s v="CUST1341"/>
    <s v="Fajar Wijaya"/>
    <x v="0"/>
    <x v="0"/>
    <x v="2"/>
    <n v="1"/>
    <n v="7.26"/>
    <s v="Completed"/>
    <s v="Gift Card"/>
    <n v="7.26"/>
    <n v="6"/>
    <x v="0"/>
  </r>
  <r>
    <x v="20"/>
    <x v="20"/>
    <s v="CUST1843"/>
    <s v="Siti Hidayat"/>
    <x v="0"/>
    <x v="0"/>
    <x v="3"/>
    <n v="4"/>
    <n v="7.44"/>
    <s v="Completed"/>
    <s v="PayPal"/>
    <n v="29.76"/>
    <n v="8"/>
    <x v="0"/>
  </r>
  <r>
    <x v="21"/>
    <x v="21"/>
    <s v="CUST1182"/>
    <s v="Dewi Tan"/>
    <x v="0"/>
    <x v="0"/>
    <x v="0"/>
    <n v="2"/>
    <n v="7.83"/>
    <s v="Completed"/>
    <s v="PayPal"/>
    <n v="15.66"/>
    <n v="4"/>
    <x v="0"/>
  </r>
  <r>
    <x v="22"/>
    <x v="22"/>
    <s v="CUST1527"/>
    <s v="Rina Anderson"/>
    <x v="1"/>
    <x v="0"/>
    <x v="4"/>
    <n v="1"/>
    <n v="7.84"/>
    <s v="Completed"/>
    <s v="Gift Card"/>
    <n v="7.84"/>
    <n v="5"/>
    <x v="0"/>
  </r>
  <r>
    <x v="23"/>
    <x v="23"/>
    <s v="CUST1322"/>
    <s v="Ahmad Wijaya"/>
    <x v="1"/>
    <x v="0"/>
    <x v="0"/>
    <n v="1"/>
    <n v="7.88"/>
    <s v="Completed"/>
    <s v="Debit Card"/>
    <n v="7.88"/>
    <n v="7"/>
    <x v="0"/>
  </r>
  <r>
    <x v="24"/>
    <x v="24"/>
    <s v="CUST1062"/>
    <s v="Andi Salim"/>
    <x v="3"/>
    <x v="0"/>
    <x v="0"/>
    <n v="5"/>
    <n v="7.95"/>
    <s v="Completed"/>
    <s v="Credit Card"/>
    <n v="39.75"/>
    <n v="3"/>
    <x v="0"/>
  </r>
  <r>
    <x v="25"/>
    <x v="25"/>
    <s v="CUST1825"/>
    <s v="Linda Nugroho"/>
    <x v="0"/>
    <x v="1"/>
    <x v="5"/>
    <n v="1"/>
    <n v="8.1300000000000008"/>
    <s v="Pending"/>
    <s v="Debit Card"/>
    <n v="8.1300000000000008"/>
    <n v="3"/>
    <x v="0"/>
  </r>
  <r>
    <x v="26"/>
    <x v="26"/>
    <s v="CUST1055"/>
    <s v="John Salim"/>
    <x v="0"/>
    <x v="0"/>
    <x v="1"/>
    <n v="2"/>
    <n v="8.17"/>
    <s v="Completed"/>
    <s v="Credit Card"/>
    <n v="16.34"/>
    <n v="2"/>
    <x v="0"/>
  </r>
  <r>
    <x v="27"/>
    <x v="7"/>
    <s v="CUST1560"/>
    <s v="Fajar Hidayat"/>
    <x v="0"/>
    <x v="0"/>
    <x v="2"/>
    <n v="3"/>
    <n v="8.1999999999999993"/>
    <s v="Completed"/>
    <s v="Debit Card"/>
    <n v="24.599999999999998"/>
    <n v="6"/>
    <x v="0"/>
  </r>
  <r>
    <x v="28"/>
    <x v="27"/>
    <s v="CUST1223"/>
    <s v="Michael Halim"/>
    <x v="0"/>
    <x v="0"/>
    <x v="1"/>
    <n v="2"/>
    <n v="8.2200000000000006"/>
    <s v="Completed"/>
    <s v="Debit Card"/>
    <n v="16.440000000000001"/>
    <n v="7"/>
    <x v="0"/>
  </r>
  <r>
    <x v="29"/>
    <x v="28"/>
    <s v="CUST1529"/>
    <s v="Ahmad Garcia"/>
    <x v="1"/>
    <x v="0"/>
    <x v="4"/>
    <n v="3"/>
    <n v="8.23"/>
    <s v="Cancelled"/>
    <s v="Gift Card"/>
    <n v="24.69"/>
    <n v="4"/>
    <x v="0"/>
  </r>
  <r>
    <x v="30"/>
    <x v="29"/>
    <s v="CUST1304"/>
    <s v="Michael Wilson"/>
    <x v="0"/>
    <x v="0"/>
    <x v="2"/>
    <n v="1"/>
    <n v="8.2899999999999991"/>
    <s v="Completed"/>
    <s v="Gift Card"/>
    <n v="8.2899999999999991"/>
    <n v="3"/>
    <x v="0"/>
  </r>
  <r>
    <x v="31"/>
    <x v="30"/>
    <s v="CUST1218"/>
    <s v="Siti Tan"/>
    <x v="1"/>
    <x v="1"/>
    <x v="6"/>
    <n v="1"/>
    <n v="8.2899999999999991"/>
    <s v="Completed"/>
    <s v="Debit Card"/>
    <n v="8.2899999999999991"/>
    <n v="5"/>
    <x v="0"/>
  </r>
  <r>
    <x v="32"/>
    <x v="31"/>
    <s v="CUST1311"/>
    <s v="John Nugroho"/>
    <x v="3"/>
    <x v="2"/>
    <x v="7"/>
    <n v="1"/>
    <n v="8.33"/>
    <s v="Completed"/>
    <s v="Gift Card"/>
    <n v="8.33"/>
    <n v="4"/>
    <x v="0"/>
  </r>
  <r>
    <x v="33"/>
    <x v="32"/>
    <s v="CUST1128"/>
    <s v="Rina Taylor"/>
    <x v="0"/>
    <x v="0"/>
    <x v="1"/>
    <n v="1"/>
    <n v="8.39"/>
    <s v="Completed"/>
    <s v="Credit Card"/>
    <n v="8.39"/>
    <n v="6"/>
    <x v="0"/>
  </r>
  <r>
    <x v="34"/>
    <x v="33"/>
    <s v="CUST1684"/>
    <s v="Unknown Customer"/>
    <x v="0"/>
    <x v="0"/>
    <x v="3"/>
    <n v="1"/>
    <n v="8.41"/>
    <s v="Completed"/>
    <s v="Gift Card"/>
    <n v="8.41"/>
    <n v="6"/>
    <x v="0"/>
  </r>
  <r>
    <x v="35"/>
    <x v="34"/>
    <s v="CUST1713"/>
    <s v="Unknown Customer"/>
    <x v="0"/>
    <x v="0"/>
    <x v="0"/>
    <n v="1"/>
    <n v="8.41"/>
    <s v="Completed"/>
    <s v="Credit Card"/>
    <n v="8.41"/>
    <n v="6"/>
    <x v="0"/>
  </r>
  <r>
    <x v="36"/>
    <x v="35"/>
    <s v="CUST1422"/>
    <s v="Budi Pratama"/>
    <x v="0"/>
    <x v="0"/>
    <x v="1"/>
    <n v="1"/>
    <n v="8.41"/>
    <s v="Pending"/>
    <s v="Credit Card"/>
    <n v="8.41"/>
    <n v="7"/>
    <x v="0"/>
  </r>
  <r>
    <x v="37"/>
    <x v="36"/>
    <s v="CUST1646"/>
    <s v="Maria Salim"/>
    <x v="0"/>
    <x v="2"/>
    <x v="8"/>
    <n v="1"/>
    <n v="8.43"/>
    <s v="Completed"/>
    <s v="Debit Card"/>
    <n v="8.43"/>
    <n v="3"/>
    <x v="0"/>
  </r>
  <r>
    <x v="38"/>
    <x v="37"/>
    <s v="CUST1091"/>
    <s v="Nina Wilson"/>
    <x v="0"/>
    <x v="2"/>
    <x v="7"/>
    <n v="3"/>
    <n v="8.4700000000000006"/>
    <s v="Returned"/>
    <s v="Credit Card"/>
    <n v="25.410000000000004"/>
    <n v="4"/>
    <x v="0"/>
  </r>
  <r>
    <x v="39"/>
    <x v="38"/>
    <s v="CUST1283"/>
    <s v="Unknown Customer"/>
    <x v="1"/>
    <x v="0"/>
    <x v="1"/>
    <n v="1"/>
    <n v="8.49"/>
    <s v="Completed"/>
    <s v="Gift Card"/>
    <n v="8.49"/>
    <n v="6"/>
    <x v="0"/>
  </r>
  <r>
    <x v="40"/>
    <x v="39"/>
    <s v="CUST1264"/>
    <s v="Siti Halim"/>
    <x v="0"/>
    <x v="1"/>
    <x v="9"/>
    <n v="1"/>
    <n v="8.56"/>
    <s v="Pending"/>
    <s v="Gift Card"/>
    <n v="8.56"/>
    <n v="7"/>
    <x v="0"/>
  </r>
  <r>
    <x v="41"/>
    <x v="40"/>
    <s v="CUST1702"/>
    <s v="Ahmad Salim"/>
    <x v="0"/>
    <x v="2"/>
    <x v="7"/>
    <n v="1"/>
    <n v="8.59"/>
    <s v="Completed"/>
    <s v="PayPal"/>
    <n v="8.59"/>
    <n v="3"/>
    <x v="0"/>
  </r>
  <r>
    <x v="42"/>
    <x v="41"/>
    <s v="CUST1841"/>
    <s v="Putri Anderson"/>
    <x v="0"/>
    <x v="0"/>
    <x v="4"/>
    <n v="3"/>
    <n v="8.64"/>
    <s v="Completed"/>
    <s v="PayPal"/>
    <n v="25.92"/>
    <n v="4"/>
    <x v="0"/>
  </r>
  <r>
    <x v="43"/>
    <x v="42"/>
    <s v="CUST1655"/>
    <s v="John Tan"/>
    <x v="0"/>
    <x v="2"/>
    <x v="10"/>
    <n v="1"/>
    <n v="8.75"/>
    <s v="Completed"/>
    <s v="Debit Card"/>
    <n v="8.75"/>
    <n v="9"/>
    <x v="0"/>
  </r>
  <r>
    <x v="44"/>
    <x v="43"/>
    <s v="CUST1497"/>
    <s v="David Halim"/>
    <x v="1"/>
    <x v="0"/>
    <x v="3"/>
    <n v="1"/>
    <n v="8.75"/>
    <s v="Completed"/>
    <s v="Gift Card"/>
    <n v="8.75"/>
    <n v="3"/>
    <x v="0"/>
  </r>
  <r>
    <x v="45"/>
    <x v="44"/>
    <s v="CUST1671"/>
    <s v="Unknown Customer"/>
    <x v="3"/>
    <x v="0"/>
    <x v="3"/>
    <n v="1"/>
    <n v="8.8699999999999992"/>
    <s v="Completed"/>
    <s v="Credit Card"/>
    <n v="8.8699999999999992"/>
    <n v="4"/>
    <x v="0"/>
  </r>
  <r>
    <x v="46"/>
    <x v="45"/>
    <s v="CUST1060"/>
    <s v="Ahmad Wilson"/>
    <x v="0"/>
    <x v="1"/>
    <x v="5"/>
    <n v="1"/>
    <n v="8.8800000000000008"/>
    <s v="Completed"/>
    <s v="Gift Card"/>
    <n v="8.8800000000000008"/>
    <n v="7"/>
    <x v="0"/>
  </r>
  <r>
    <x v="47"/>
    <x v="9"/>
    <s v="CUST1507"/>
    <s v="Andi Brown"/>
    <x v="0"/>
    <x v="2"/>
    <x v="8"/>
    <n v="1"/>
    <n v="8.9"/>
    <s v="Completed"/>
    <s v="PayPal"/>
    <n v="8.9"/>
    <n v="7"/>
    <x v="0"/>
  </r>
  <r>
    <x v="48"/>
    <x v="46"/>
    <s v="CUST1243"/>
    <s v="James Hidayat"/>
    <x v="1"/>
    <x v="2"/>
    <x v="11"/>
    <n v="1"/>
    <n v="8.91"/>
    <s v="Pending"/>
    <s v="Credit Card"/>
    <n v="8.91"/>
    <n v="5"/>
    <x v="0"/>
  </r>
  <r>
    <x v="49"/>
    <x v="47"/>
    <s v="CUST1815"/>
    <s v="Budi Garcia"/>
    <x v="1"/>
    <x v="2"/>
    <x v="11"/>
    <n v="2"/>
    <n v="8.9700000000000006"/>
    <s v="Completed"/>
    <s v="Gift Card"/>
    <n v="17.940000000000001"/>
    <n v="6"/>
    <x v="0"/>
  </r>
  <r>
    <x v="50"/>
    <x v="48"/>
    <s v="CUST1120"/>
    <s v="Dewi Johnson"/>
    <x v="1"/>
    <x v="2"/>
    <x v="11"/>
    <n v="2"/>
    <n v="8.98"/>
    <s v="Completed"/>
    <s v="Gift Card"/>
    <n v="17.96"/>
    <n v="6"/>
    <x v="0"/>
  </r>
  <r>
    <x v="51"/>
    <x v="49"/>
    <s v="CUST1009"/>
    <s v="James Anderson"/>
    <x v="1"/>
    <x v="1"/>
    <x v="5"/>
    <n v="1"/>
    <n v="9.0399999999999991"/>
    <s v="Completed"/>
    <s v="Gift Card"/>
    <n v="9.0399999999999991"/>
    <n v="4"/>
    <x v="0"/>
  </r>
  <r>
    <x v="52"/>
    <x v="50"/>
    <s v="CUST1386"/>
    <s v="Lisa Johnson"/>
    <x v="0"/>
    <x v="0"/>
    <x v="2"/>
    <n v="1"/>
    <n v="9.0399999999999991"/>
    <s v="Completed"/>
    <s v="Credit Card"/>
    <n v="9.0399999999999991"/>
    <n v="7"/>
    <x v="0"/>
  </r>
  <r>
    <x v="53"/>
    <x v="51"/>
    <s v="CUST1139"/>
    <s v="Maria Brown"/>
    <x v="2"/>
    <x v="0"/>
    <x v="1"/>
    <n v="2"/>
    <n v="9.0399999999999991"/>
    <s v="Completed"/>
    <s v="Debit Card"/>
    <n v="18.079999999999998"/>
    <n v="3"/>
    <x v="0"/>
  </r>
  <r>
    <x v="54"/>
    <x v="52"/>
    <s v="CUST1818"/>
    <s v="Siti Salim"/>
    <x v="0"/>
    <x v="1"/>
    <x v="6"/>
    <n v="1"/>
    <n v="9.0500000000000007"/>
    <s v="Completed"/>
    <s v="Credit Card"/>
    <n v="9.0500000000000007"/>
    <n v="8"/>
    <x v="0"/>
  </r>
  <r>
    <x v="55"/>
    <x v="53"/>
    <s v="CUST1311"/>
    <s v="John Nugroho"/>
    <x v="3"/>
    <x v="3"/>
    <x v="12"/>
    <n v="4"/>
    <n v="9.0500000000000007"/>
    <s v="Completed"/>
    <s v="PayPal"/>
    <n v="36.200000000000003"/>
    <n v="4"/>
    <x v="0"/>
  </r>
  <r>
    <x v="56"/>
    <x v="54"/>
    <s v="CUST1424"/>
    <s v="Linda Garcia"/>
    <x v="0"/>
    <x v="0"/>
    <x v="4"/>
    <n v="1"/>
    <n v="9.0500000000000007"/>
    <s v="Completed"/>
    <s v="Unknown"/>
    <n v="9.0500000000000007"/>
    <n v="6"/>
    <x v="0"/>
  </r>
  <r>
    <x v="57"/>
    <x v="55"/>
    <s v="CUST1360"/>
    <s v="Michael Santos"/>
    <x v="3"/>
    <x v="3"/>
    <x v="13"/>
    <n v="1"/>
    <n v="9.06"/>
    <s v="Completed"/>
    <s v="Debit Card"/>
    <n v="9.06"/>
    <n v="2"/>
    <x v="0"/>
  </r>
  <r>
    <x v="58"/>
    <x v="56"/>
    <s v="CUST1650"/>
    <s v="Dewi Lee"/>
    <x v="0"/>
    <x v="3"/>
    <x v="14"/>
    <n v="1"/>
    <n v="9.06"/>
    <s v="Completed"/>
    <s v="PayPal"/>
    <n v="9.06"/>
    <n v="6"/>
    <x v="0"/>
  </r>
  <r>
    <x v="59"/>
    <x v="57"/>
    <s v="CUST1415"/>
    <s v="Sarah Salim"/>
    <x v="0"/>
    <x v="3"/>
    <x v="14"/>
    <n v="3"/>
    <n v="9.07"/>
    <s v="Completed"/>
    <s v="Debit Card"/>
    <n v="27.21"/>
    <n v="5"/>
    <x v="0"/>
  </r>
  <r>
    <x v="60"/>
    <x v="58"/>
    <s v="CUST1347"/>
    <s v="Siti Halim"/>
    <x v="3"/>
    <x v="2"/>
    <x v="7"/>
    <n v="1"/>
    <n v="9.08"/>
    <s v="Completed"/>
    <s v="PayPal"/>
    <n v="9.08"/>
    <n v="3"/>
    <x v="0"/>
  </r>
  <r>
    <x v="61"/>
    <x v="59"/>
    <s v="CUST1622"/>
    <s v="Michael Garcia"/>
    <x v="0"/>
    <x v="2"/>
    <x v="15"/>
    <n v="1"/>
    <n v="9.09"/>
    <s v="Completed"/>
    <s v="Gift Card"/>
    <n v="9.09"/>
    <n v="6"/>
    <x v="0"/>
  </r>
  <r>
    <x v="62"/>
    <x v="60"/>
    <s v="CUST1067"/>
    <s v="Nina Halim"/>
    <x v="0"/>
    <x v="2"/>
    <x v="11"/>
    <n v="1"/>
    <n v="9.09"/>
    <s v="Completed"/>
    <s v="Debit Card"/>
    <n v="9.09"/>
    <n v="6"/>
    <x v="0"/>
  </r>
  <r>
    <x v="63"/>
    <x v="61"/>
    <s v="CUST1384"/>
    <s v="Siti Pratama"/>
    <x v="0"/>
    <x v="0"/>
    <x v="3"/>
    <n v="1"/>
    <n v="9.1300000000000008"/>
    <s v="Completed"/>
    <s v="Debit Card"/>
    <n v="9.1300000000000008"/>
    <n v="3"/>
    <x v="0"/>
  </r>
  <r>
    <x v="64"/>
    <x v="62"/>
    <s v="CUST1391"/>
    <s v="Siti Pratama"/>
    <x v="0"/>
    <x v="2"/>
    <x v="15"/>
    <n v="2"/>
    <n v="9.14"/>
    <s v="Completed"/>
    <s v="Credit Card"/>
    <n v="18.28"/>
    <n v="7"/>
    <x v="0"/>
  </r>
  <r>
    <x v="65"/>
    <x v="63"/>
    <s v="CUST1785"/>
    <s v="Maria Nugroho"/>
    <x v="0"/>
    <x v="0"/>
    <x v="3"/>
    <n v="1"/>
    <n v="9.18"/>
    <s v="Completed"/>
    <s v="Credit Card"/>
    <n v="9.18"/>
    <n v="5"/>
    <x v="0"/>
  </r>
  <r>
    <x v="66"/>
    <x v="64"/>
    <s v="CUST1587"/>
    <s v="Robert Santos"/>
    <x v="0"/>
    <x v="0"/>
    <x v="0"/>
    <n v="1"/>
    <n v="9.19"/>
    <s v="Completed"/>
    <s v="Debit Card"/>
    <n v="9.19"/>
    <n v="3"/>
    <x v="0"/>
  </r>
  <r>
    <x v="67"/>
    <x v="65"/>
    <s v="CUST1588"/>
    <s v="David Anderson"/>
    <x v="0"/>
    <x v="3"/>
    <x v="12"/>
    <n v="1"/>
    <n v="9.2200000000000006"/>
    <s v="Completed"/>
    <s v="Credit Card"/>
    <n v="9.2200000000000006"/>
    <n v="5"/>
    <x v="0"/>
  </r>
  <r>
    <x v="68"/>
    <x v="66"/>
    <s v="CUST1006"/>
    <s v="James Smith"/>
    <x v="0"/>
    <x v="2"/>
    <x v="15"/>
    <n v="1"/>
    <n v="9.25"/>
    <s v="Completed"/>
    <s v="Credit Card"/>
    <n v="9.25"/>
    <n v="8"/>
    <x v="0"/>
  </r>
  <r>
    <x v="69"/>
    <x v="67"/>
    <s v="CUST1339"/>
    <s v="Siti Hidayat"/>
    <x v="0"/>
    <x v="2"/>
    <x v="8"/>
    <n v="1"/>
    <n v="9.27"/>
    <s v="Returned"/>
    <s v="Debit Card"/>
    <n v="9.27"/>
    <n v="4"/>
    <x v="0"/>
  </r>
  <r>
    <x v="70"/>
    <x v="68"/>
    <s v="CUST1100"/>
    <s v="Ahmad Wijaya"/>
    <x v="1"/>
    <x v="3"/>
    <x v="16"/>
    <n v="1"/>
    <n v="9.31"/>
    <s v="Completed"/>
    <s v="Credit Card"/>
    <n v="9.31"/>
    <n v="4"/>
    <x v="0"/>
  </r>
  <r>
    <x v="71"/>
    <x v="29"/>
    <s v="CUST1402"/>
    <s v="Rina Nugroho"/>
    <x v="0"/>
    <x v="2"/>
    <x v="15"/>
    <n v="2"/>
    <n v="9.32"/>
    <s v="Completed"/>
    <s v="Debit Card"/>
    <n v="18.64"/>
    <n v="5"/>
    <x v="0"/>
  </r>
  <r>
    <x v="72"/>
    <x v="69"/>
    <s v="CUST1257"/>
    <s v="Sarah Taylor"/>
    <x v="0"/>
    <x v="2"/>
    <x v="7"/>
    <n v="2"/>
    <n v="9.35"/>
    <s v="Completed"/>
    <s v="Debit Card"/>
    <n v="18.7"/>
    <n v="7"/>
    <x v="0"/>
  </r>
  <r>
    <x v="73"/>
    <x v="70"/>
    <s v="CUST1412"/>
    <s v="Siti Anderson"/>
    <x v="0"/>
    <x v="2"/>
    <x v="11"/>
    <n v="1"/>
    <n v="9.36"/>
    <s v="Completed"/>
    <s v="Gift Card"/>
    <n v="9.36"/>
    <n v="10"/>
    <x v="0"/>
  </r>
  <r>
    <x v="74"/>
    <x v="69"/>
    <s v="CUST1496"/>
    <s v="John Smith"/>
    <x v="0"/>
    <x v="0"/>
    <x v="0"/>
    <n v="1"/>
    <n v="9.3800000000000008"/>
    <s v="Completed"/>
    <s v="Gift Card"/>
    <n v="9.3800000000000008"/>
    <n v="5"/>
    <x v="0"/>
  </r>
  <r>
    <x v="75"/>
    <x v="71"/>
    <s v="CUST1348"/>
    <s v="Putri Nugroho"/>
    <x v="0"/>
    <x v="2"/>
    <x v="15"/>
    <n v="1"/>
    <n v="9.3800000000000008"/>
    <s v="Returned"/>
    <s v="PayPal"/>
    <n v="9.3800000000000008"/>
    <n v="6"/>
    <x v="0"/>
  </r>
  <r>
    <x v="76"/>
    <x v="72"/>
    <s v="CUST1860"/>
    <s v="Rina Nugroho"/>
    <x v="0"/>
    <x v="0"/>
    <x v="0"/>
    <n v="1"/>
    <n v="9.42"/>
    <s v="Completed"/>
    <s v="PayPal"/>
    <n v="9.42"/>
    <n v="7"/>
    <x v="0"/>
  </r>
  <r>
    <x v="77"/>
    <x v="73"/>
    <s v="CUST1793"/>
    <s v="Putri Hidayat"/>
    <x v="0"/>
    <x v="0"/>
    <x v="0"/>
    <n v="2"/>
    <n v="9.42"/>
    <s v="Completed"/>
    <s v="Gift Card"/>
    <n v="18.84"/>
    <n v="2"/>
    <x v="0"/>
  </r>
  <r>
    <x v="78"/>
    <x v="43"/>
    <s v="CUST1043"/>
    <s v="Michael Wilson"/>
    <x v="0"/>
    <x v="1"/>
    <x v="17"/>
    <n v="2"/>
    <n v="9.42"/>
    <s v="Completed"/>
    <s v="Credit Card"/>
    <n v="18.84"/>
    <n v="3"/>
    <x v="0"/>
  </r>
  <r>
    <x v="79"/>
    <x v="3"/>
    <s v="CUST1465"/>
    <s v="Nina Wilson"/>
    <x v="1"/>
    <x v="3"/>
    <x v="16"/>
    <n v="1"/>
    <n v="9.49"/>
    <s v="Cancelled"/>
    <s v="Debit Card"/>
    <n v="9.49"/>
    <n v="7"/>
    <x v="0"/>
  </r>
  <r>
    <x v="80"/>
    <x v="35"/>
    <s v="CUST1849"/>
    <s v="Putri Santos"/>
    <x v="1"/>
    <x v="0"/>
    <x v="0"/>
    <n v="1"/>
    <n v="9.5"/>
    <s v="Completed"/>
    <s v="Credit Card"/>
    <n v="9.5"/>
    <n v="3"/>
    <x v="0"/>
  </r>
  <r>
    <x v="81"/>
    <x v="74"/>
    <s v="CUST1578"/>
    <s v="Putri Salim"/>
    <x v="1"/>
    <x v="0"/>
    <x v="0"/>
    <n v="1"/>
    <n v="9.52"/>
    <s v="Completed"/>
    <s v="Credit Card"/>
    <n v="9.52"/>
    <n v="4"/>
    <x v="0"/>
  </r>
  <r>
    <x v="82"/>
    <x v="75"/>
    <s v="CUST1814"/>
    <s v="Michael Taylor"/>
    <x v="0"/>
    <x v="2"/>
    <x v="11"/>
    <n v="1"/>
    <n v="9.56"/>
    <s v="Completed"/>
    <s v="PayPal"/>
    <n v="9.56"/>
    <n v="7"/>
    <x v="0"/>
  </r>
  <r>
    <x v="83"/>
    <x v="76"/>
    <s v="CUST1600"/>
    <s v="Maria Wijaya"/>
    <x v="0"/>
    <x v="3"/>
    <x v="12"/>
    <n v="1"/>
    <n v="9.56"/>
    <s v="Completed"/>
    <s v="PayPal"/>
    <n v="9.56"/>
    <n v="3"/>
    <x v="0"/>
  </r>
  <r>
    <x v="84"/>
    <x v="77"/>
    <s v="CUST1694"/>
    <s v="Ayu Tan"/>
    <x v="1"/>
    <x v="0"/>
    <x v="0"/>
    <n v="1"/>
    <n v="9.56"/>
    <s v="Cancelled"/>
    <s v="Debit Card"/>
    <n v="9.56"/>
    <n v="3"/>
    <x v="0"/>
  </r>
  <r>
    <x v="85"/>
    <x v="78"/>
    <s v="CUST1254"/>
    <s v="Nina Garcia"/>
    <x v="0"/>
    <x v="3"/>
    <x v="14"/>
    <n v="1"/>
    <n v="9.57"/>
    <s v="Completed"/>
    <s v="Unknown"/>
    <n v="9.57"/>
    <n v="6"/>
    <x v="0"/>
  </r>
  <r>
    <x v="86"/>
    <x v="76"/>
    <s v="CUST1040"/>
    <s v="Lisa Garcia"/>
    <x v="0"/>
    <x v="2"/>
    <x v="8"/>
    <n v="5"/>
    <n v="9.6199999999999992"/>
    <s v="Returned"/>
    <s v="Gift Card"/>
    <n v="48.099999999999994"/>
    <n v="3"/>
    <x v="0"/>
  </r>
  <r>
    <x v="87"/>
    <x v="79"/>
    <s v="CUST1586"/>
    <s v="Putri Smith"/>
    <x v="1"/>
    <x v="0"/>
    <x v="2"/>
    <n v="1"/>
    <n v="9.6300000000000008"/>
    <s v="Completed"/>
    <s v="PayPal"/>
    <n v="9.6300000000000008"/>
    <n v="5"/>
    <x v="0"/>
  </r>
  <r>
    <x v="88"/>
    <x v="80"/>
    <s v="CUST1288"/>
    <s v="Ahmad Halim"/>
    <x v="0"/>
    <x v="0"/>
    <x v="4"/>
    <n v="2"/>
    <n v="9.67"/>
    <s v="Completed"/>
    <s v="Gift Card"/>
    <n v="19.34"/>
    <n v="4"/>
    <x v="0"/>
  </r>
  <r>
    <x v="89"/>
    <x v="81"/>
    <s v="CUST1875"/>
    <s v="Fajar Garcia"/>
    <x v="0"/>
    <x v="2"/>
    <x v="10"/>
    <n v="1"/>
    <n v="9.69"/>
    <s v="Completed"/>
    <s v="Credit Card"/>
    <n v="9.69"/>
    <n v="4"/>
    <x v="0"/>
  </r>
  <r>
    <x v="90"/>
    <x v="82"/>
    <s v="CUST1138"/>
    <s v="Fajar Anderson"/>
    <x v="0"/>
    <x v="0"/>
    <x v="3"/>
    <n v="3"/>
    <n v="9.6999999999999993"/>
    <s v="Completed"/>
    <s v="Debit Card"/>
    <n v="29.099999999999998"/>
    <n v="7"/>
    <x v="0"/>
  </r>
  <r>
    <x v="91"/>
    <x v="83"/>
    <s v="CUST1783"/>
    <s v="Ayu Taylor"/>
    <x v="0"/>
    <x v="0"/>
    <x v="2"/>
    <n v="2"/>
    <n v="9.76"/>
    <s v="Completed"/>
    <s v="Debit Card"/>
    <n v="19.52"/>
    <n v="11"/>
    <x v="0"/>
  </r>
  <r>
    <x v="92"/>
    <x v="84"/>
    <s v="CUST1448"/>
    <s v="Maria Halim"/>
    <x v="0"/>
    <x v="0"/>
    <x v="1"/>
    <n v="1"/>
    <n v="9.82"/>
    <s v="Completed"/>
    <s v="PayPal"/>
    <n v="9.82"/>
    <n v="7"/>
    <x v="0"/>
  </r>
  <r>
    <x v="93"/>
    <x v="85"/>
    <s v="CUST1622"/>
    <s v="Michael Garcia"/>
    <x v="0"/>
    <x v="3"/>
    <x v="16"/>
    <n v="1"/>
    <n v="9.83"/>
    <s v="Completed"/>
    <s v="Credit Card"/>
    <n v="9.83"/>
    <n v="6"/>
    <x v="0"/>
  </r>
  <r>
    <x v="94"/>
    <x v="86"/>
    <s v="CUST1218"/>
    <s v="Siti Tan"/>
    <x v="1"/>
    <x v="1"/>
    <x v="18"/>
    <n v="2"/>
    <n v="9.8800000000000008"/>
    <s v="Completed"/>
    <s v="Gift Card"/>
    <n v="19.760000000000002"/>
    <n v="5"/>
    <x v="0"/>
  </r>
  <r>
    <x v="95"/>
    <x v="17"/>
    <s v="CUST1623"/>
    <s v="John Yusuf"/>
    <x v="0"/>
    <x v="3"/>
    <x v="16"/>
    <n v="1"/>
    <n v="9.8800000000000008"/>
    <s v="Completed"/>
    <s v="Credit Card"/>
    <n v="9.8800000000000008"/>
    <n v="7"/>
    <x v="0"/>
  </r>
  <r>
    <x v="96"/>
    <x v="87"/>
    <s v="CUST1835"/>
    <s v="Nina Wilson"/>
    <x v="1"/>
    <x v="0"/>
    <x v="2"/>
    <n v="1"/>
    <n v="9.91"/>
    <s v="Completed"/>
    <s v="Gift Card"/>
    <n v="9.91"/>
    <n v="6"/>
    <x v="0"/>
  </r>
  <r>
    <x v="97"/>
    <x v="57"/>
    <s v="CUST1868"/>
    <s v="Nina Lee"/>
    <x v="1"/>
    <x v="3"/>
    <x v="19"/>
    <n v="1"/>
    <n v="9.9499999999999993"/>
    <s v="Completed"/>
    <s v="PayPal"/>
    <n v="9.9499999999999993"/>
    <n v="3"/>
    <x v="0"/>
  </r>
  <r>
    <x v="98"/>
    <x v="88"/>
    <s v="CUST1738"/>
    <s v="Fajar Halim"/>
    <x v="0"/>
    <x v="0"/>
    <x v="4"/>
    <n v="2"/>
    <n v="9.9600000000000009"/>
    <s v="Completed"/>
    <s v="Debit Card"/>
    <n v="19.920000000000002"/>
    <n v="8"/>
    <x v="0"/>
  </r>
  <r>
    <x v="99"/>
    <x v="89"/>
    <s v="CUST1679"/>
    <s v="Siti Halim"/>
    <x v="0"/>
    <x v="2"/>
    <x v="10"/>
    <n v="1"/>
    <n v="9.9700000000000006"/>
    <s v="Completed"/>
    <s v="Gift Card"/>
    <n v="9.9700000000000006"/>
    <n v="8"/>
    <x v="0"/>
  </r>
  <r>
    <x v="100"/>
    <x v="90"/>
    <s v="CUST1500"/>
    <s v="Nina Hidayat"/>
    <x v="1"/>
    <x v="0"/>
    <x v="3"/>
    <n v="4"/>
    <n v="9.9700000000000006"/>
    <s v="Completed"/>
    <s v="Credit Card"/>
    <n v="39.880000000000003"/>
    <n v="5"/>
    <x v="0"/>
  </r>
  <r>
    <x v="101"/>
    <x v="91"/>
    <s v="CUST1842"/>
    <s v="Siti Salim"/>
    <x v="1"/>
    <x v="3"/>
    <x v="19"/>
    <n v="1"/>
    <n v="9.98"/>
    <s v="Returned"/>
    <s v="Debit Card"/>
    <n v="9.98"/>
    <n v="5"/>
    <x v="0"/>
  </r>
  <r>
    <x v="102"/>
    <x v="62"/>
    <s v="CUST1132"/>
    <s v="Robert Tan"/>
    <x v="0"/>
    <x v="2"/>
    <x v="7"/>
    <n v="1"/>
    <n v="10"/>
    <s v="Pending"/>
    <s v="Gift Card"/>
    <n v="10"/>
    <n v="3"/>
    <x v="0"/>
  </r>
  <r>
    <x v="103"/>
    <x v="92"/>
    <s v="CUST1357"/>
    <s v="Andi Garcia"/>
    <x v="1"/>
    <x v="0"/>
    <x v="2"/>
    <n v="1"/>
    <n v="10.01"/>
    <s v="Completed"/>
    <s v="Credit Card"/>
    <n v="10.01"/>
    <n v="2"/>
    <x v="0"/>
  </r>
  <r>
    <x v="104"/>
    <x v="93"/>
    <s v="CUST1380"/>
    <s v="Lisa Brown"/>
    <x v="1"/>
    <x v="1"/>
    <x v="20"/>
    <n v="2"/>
    <n v="10.01"/>
    <s v="Completed"/>
    <s v="Gift Card"/>
    <n v="20.02"/>
    <n v="6"/>
    <x v="0"/>
  </r>
  <r>
    <x v="105"/>
    <x v="94"/>
    <s v="CUST1629"/>
    <s v="James Tan"/>
    <x v="1"/>
    <x v="4"/>
    <x v="21"/>
    <n v="1"/>
    <n v="10.02"/>
    <s v="Completed"/>
    <s v="Unknown"/>
    <n v="10.02"/>
    <n v="5"/>
    <x v="0"/>
  </r>
  <r>
    <x v="106"/>
    <x v="95"/>
    <s v="CUST1780"/>
    <s v="Lisa Wijaya"/>
    <x v="0"/>
    <x v="4"/>
    <x v="22"/>
    <n v="1"/>
    <n v="10.050000000000001"/>
    <s v="Completed"/>
    <s v="Debit Card"/>
    <n v="10.050000000000001"/>
    <n v="6"/>
    <x v="0"/>
  </r>
  <r>
    <x v="107"/>
    <x v="96"/>
    <s v="CUST1813"/>
    <s v="Linda Pratama"/>
    <x v="0"/>
    <x v="2"/>
    <x v="8"/>
    <n v="2"/>
    <n v="10.08"/>
    <s v="Completed"/>
    <s v="Debit Card"/>
    <n v="20.16"/>
    <n v="4"/>
    <x v="0"/>
  </r>
  <r>
    <x v="108"/>
    <x v="97"/>
    <s v="CUST1372"/>
    <s v="Rina Nugroho"/>
    <x v="0"/>
    <x v="2"/>
    <x v="15"/>
    <n v="1"/>
    <n v="10.09"/>
    <s v="Cancelled"/>
    <s v="Credit Card"/>
    <n v="10.09"/>
    <n v="4"/>
    <x v="0"/>
  </r>
  <r>
    <x v="109"/>
    <x v="98"/>
    <s v="CUST1513"/>
    <s v="Robert Kurniawan"/>
    <x v="0"/>
    <x v="2"/>
    <x v="8"/>
    <n v="1"/>
    <n v="10.1"/>
    <s v="Returned"/>
    <s v="Credit Card"/>
    <n v="10.1"/>
    <n v="5"/>
    <x v="0"/>
  </r>
  <r>
    <x v="110"/>
    <x v="99"/>
    <s v="CUST1186"/>
    <s v="Andi Anderson"/>
    <x v="3"/>
    <x v="2"/>
    <x v="11"/>
    <n v="1"/>
    <n v="10.15"/>
    <s v="Completed"/>
    <s v="Debit Card"/>
    <n v="10.15"/>
    <n v="6"/>
    <x v="0"/>
  </r>
  <r>
    <x v="111"/>
    <x v="100"/>
    <s v="CUST1081"/>
    <s v="Maria Garcia"/>
    <x v="0"/>
    <x v="3"/>
    <x v="13"/>
    <n v="1"/>
    <n v="10.17"/>
    <s v="Completed"/>
    <s v="Debit Card"/>
    <n v="10.17"/>
    <n v="1"/>
    <x v="1"/>
  </r>
  <r>
    <x v="112"/>
    <x v="101"/>
    <s v="CUST1761"/>
    <s v="Ahmad Johnson"/>
    <x v="0"/>
    <x v="2"/>
    <x v="11"/>
    <n v="1"/>
    <n v="10.19"/>
    <s v="Completed"/>
    <s v="Credit Card"/>
    <n v="10.19"/>
    <n v="7"/>
    <x v="0"/>
  </r>
  <r>
    <x v="113"/>
    <x v="102"/>
    <s v="CUST1154"/>
    <s v="Michael Tan"/>
    <x v="0"/>
    <x v="3"/>
    <x v="12"/>
    <n v="1"/>
    <n v="10.24"/>
    <s v="Completed"/>
    <s v="PayPal"/>
    <n v="10.24"/>
    <n v="2"/>
    <x v="0"/>
  </r>
  <r>
    <x v="114"/>
    <x v="103"/>
    <s v="CUST1436"/>
    <s v="Lisa Garcia"/>
    <x v="0"/>
    <x v="0"/>
    <x v="2"/>
    <n v="1"/>
    <n v="10.25"/>
    <s v="Completed"/>
    <s v="Gift Card"/>
    <n v="10.25"/>
    <n v="8"/>
    <x v="0"/>
  </r>
  <r>
    <x v="115"/>
    <x v="104"/>
    <s v="CUST1713"/>
    <s v="Dewi Taylor"/>
    <x v="0"/>
    <x v="4"/>
    <x v="23"/>
    <n v="1"/>
    <n v="10.27"/>
    <s v="Cancelled"/>
    <s v="Credit Card"/>
    <n v="10.27"/>
    <n v="6"/>
    <x v="0"/>
  </r>
  <r>
    <x v="116"/>
    <x v="105"/>
    <s v="CUST1724"/>
    <s v="James Pratama"/>
    <x v="0"/>
    <x v="2"/>
    <x v="7"/>
    <n v="1"/>
    <n v="10.29"/>
    <s v="Pending"/>
    <s v="Debit Card"/>
    <n v="10.29"/>
    <n v="4"/>
    <x v="0"/>
  </r>
  <r>
    <x v="117"/>
    <x v="106"/>
    <s v="CUST1212"/>
    <s v="Budi Wilson"/>
    <x v="0"/>
    <x v="2"/>
    <x v="15"/>
    <n v="1"/>
    <n v="10.3"/>
    <s v="Completed"/>
    <s v="Debit Card"/>
    <n v="10.3"/>
    <n v="6"/>
    <x v="0"/>
  </r>
  <r>
    <x v="118"/>
    <x v="79"/>
    <s v="CUST1409"/>
    <s v="John Kurniawan"/>
    <x v="3"/>
    <x v="0"/>
    <x v="2"/>
    <n v="1"/>
    <n v="10.31"/>
    <s v="Completed"/>
    <s v="Debit Card"/>
    <n v="10.31"/>
    <n v="3"/>
    <x v="0"/>
  </r>
  <r>
    <x v="119"/>
    <x v="107"/>
    <s v="CUST1121"/>
    <s v="David Nugroho"/>
    <x v="0"/>
    <x v="1"/>
    <x v="9"/>
    <n v="3"/>
    <n v="10.31"/>
    <s v="Cancelled"/>
    <s v="Debit Card"/>
    <n v="30.93"/>
    <n v="7"/>
    <x v="0"/>
  </r>
  <r>
    <x v="120"/>
    <x v="108"/>
    <s v="CUST1057"/>
    <s v="Maria Lee"/>
    <x v="1"/>
    <x v="0"/>
    <x v="2"/>
    <n v="1"/>
    <n v="10.34"/>
    <s v="Cancelled"/>
    <s v="Debit Card"/>
    <n v="10.34"/>
    <n v="5"/>
    <x v="0"/>
  </r>
  <r>
    <x v="121"/>
    <x v="109"/>
    <s v="CUST1257"/>
    <s v="Sarah Taylor"/>
    <x v="0"/>
    <x v="4"/>
    <x v="22"/>
    <n v="5"/>
    <n v="10.35"/>
    <s v="Completed"/>
    <s v="Debit Card"/>
    <n v="51.75"/>
    <n v="7"/>
    <x v="0"/>
  </r>
  <r>
    <x v="122"/>
    <x v="4"/>
    <s v="CUST1354"/>
    <s v="Fajar Tan"/>
    <x v="0"/>
    <x v="4"/>
    <x v="21"/>
    <n v="1"/>
    <n v="10.38"/>
    <s v="Completed"/>
    <s v="Credit Card"/>
    <n v="10.38"/>
    <n v="4"/>
    <x v="0"/>
  </r>
  <r>
    <x v="123"/>
    <x v="110"/>
    <s v="CUST1692"/>
    <s v="Ayu Chen"/>
    <x v="0"/>
    <x v="2"/>
    <x v="7"/>
    <n v="1"/>
    <n v="10.39"/>
    <s v="Completed"/>
    <s v="Debit Card"/>
    <n v="10.39"/>
    <n v="1"/>
    <x v="1"/>
  </r>
  <r>
    <x v="124"/>
    <x v="111"/>
    <s v="CUST1073"/>
    <s v="Ayu Pratama"/>
    <x v="0"/>
    <x v="2"/>
    <x v="15"/>
    <n v="1"/>
    <n v="10.39"/>
    <s v="Completed"/>
    <s v="PayPal"/>
    <n v="10.39"/>
    <n v="6"/>
    <x v="0"/>
  </r>
  <r>
    <x v="125"/>
    <x v="5"/>
    <s v="CUST1785"/>
    <s v="Maria Nugroho"/>
    <x v="0"/>
    <x v="2"/>
    <x v="8"/>
    <n v="1"/>
    <n v="10.4"/>
    <s v="Completed"/>
    <s v="Credit Card"/>
    <n v="10.4"/>
    <n v="5"/>
    <x v="0"/>
  </r>
  <r>
    <x v="126"/>
    <x v="112"/>
    <s v="CUST1677"/>
    <s v="Fajar Anderson"/>
    <x v="1"/>
    <x v="1"/>
    <x v="20"/>
    <n v="2"/>
    <n v="10.42"/>
    <s v="Completed"/>
    <s v="Credit Card"/>
    <n v="20.84"/>
    <n v="3"/>
    <x v="0"/>
  </r>
  <r>
    <x v="127"/>
    <x v="113"/>
    <s v="CUST1695"/>
    <s v="James Johnson"/>
    <x v="0"/>
    <x v="1"/>
    <x v="20"/>
    <n v="2"/>
    <n v="10.44"/>
    <s v="Returned"/>
    <s v="Gift Card"/>
    <n v="20.88"/>
    <n v="2"/>
    <x v="0"/>
  </r>
  <r>
    <x v="128"/>
    <x v="114"/>
    <s v="CUST1477"/>
    <s v="Unknown Customer"/>
    <x v="3"/>
    <x v="2"/>
    <x v="10"/>
    <n v="5"/>
    <n v="10.46"/>
    <s v="Completed"/>
    <s v="Debit Card"/>
    <n v="52.300000000000004"/>
    <n v="5"/>
    <x v="0"/>
  </r>
  <r>
    <x v="129"/>
    <x v="57"/>
    <s v="CUST1867"/>
    <s v="Nina Garcia"/>
    <x v="1"/>
    <x v="0"/>
    <x v="2"/>
    <n v="2"/>
    <n v="10.48"/>
    <s v="Completed"/>
    <s v="Gift Card"/>
    <n v="20.96"/>
    <n v="4"/>
    <x v="0"/>
  </r>
  <r>
    <x v="130"/>
    <x v="115"/>
    <s v="CUST1214"/>
    <s v="Ahmad Tan"/>
    <x v="0"/>
    <x v="2"/>
    <x v="10"/>
    <n v="1"/>
    <n v="10.49"/>
    <s v="Completed"/>
    <s v="Unknown"/>
    <n v="10.49"/>
    <n v="6"/>
    <x v="0"/>
  </r>
  <r>
    <x v="131"/>
    <x v="116"/>
    <s v="CUST1532"/>
    <s v="Siti Lee"/>
    <x v="0"/>
    <x v="4"/>
    <x v="22"/>
    <n v="1"/>
    <n v="10.49"/>
    <s v="Completed"/>
    <s v="Debit Card"/>
    <n v="10.49"/>
    <n v="2"/>
    <x v="0"/>
  </r>
  <r>
    <x v="132"/>
    <x v="117"/>
    <s v="CUST1637"/>
    <s v="Linda Tan"/>
    <x v="0"/>
    <x v="0"/>
    <x v="3"/>
    <n v="1"/>
    <n v="10.51"/>
    <s v="Completed"/>
    <s v="Debit Card"/>
    <n v="10.51"/>
    <n v="6"/>
    <x v="0"/>
  </r>
  <r>
    <x v="133"/>
    <x v="118"/>
    <s v="CUST1108"/>
    <s v="Rina Garcia"/>
    <x v="0"/>
    <x v="3"/>
    <x v="13"/>
    <n v="3"/>
    <n v="10.53"/>
    <s v="Completed"/>
    <s v="Credit Card"/>
    <n v="31.589999999999996"/>
    <n v="3"/>
    <x v="0"/>
  </r>
  <r>
    <x v="134"/>
    <x v="119"/>
    <s v="CUST1456"/>
    <s v="Kevin Nugroho"/>
    <x v="0"/>
    <x v="2"/>
    <x v="11"/>
    <n v="1"/>
    <n v="10.54"/>
    <s v="Completed"/>
    <s v="Gift Card"/>
    <n v="10.54"/>
    <n v="5"/>
    <x v="0"/>
  </r>
  <r>
    <x v="135"/>
    <x v="120"/>
    <s v="CUST1673"/>
    <s v="Ahmad Smith"/>
    <x v="0"/>
    <x v="3"/>
    <x v="12"/>
    <n v="1"/>
    <n v="10.56"/>
    <s v="Completed"/>
    <s v="Credit Card"/>
    <n v="10.56"/>
    <n v="4"/>
    <x v="0"/>
  </r>
  <r>
    <x v="136"/>
    <x v="121"/>
    <s v="CUST1270"/>
    <s v="Andi Salim"/>
    <x v="0"/>
    <x v="0"/>
    <x v="4"/>
    <n v="1"/>
    <n v="10.56"/>
    <s v="Completed"/>
    <s v="Debit Card"/>
    <n v="10.56"/>
    <n v="9"/>
    <x v="0"/>
  </r>
  <r>
    <x v="137"/>
    <x v="122"/>
    <s v="CUST1702"/>
    <s v="Ahmad Salim"/>
    <x v="0"/>
    <x v="3"/>
    <x v="14"/>
    <n v="5"/>
    <n v="10.59"/>
    <s v="Cancelled"/>
    <s v="Debit Card"/>
    <n v="52.95"/>
    <n v="3"/>
    <x v="0"/>
  </r>
  <r>
    <x v="138"/>
    <x v="123"/>
    <s v="CUST1368"/>
    <s v="Budi Smith"/>
    <x v="1"/>
    <x v="3"/>
    <x v="13"/>
    <n v="1"/>
    <n v="10.6"/>
    <s v="Cancelled"/>
    <s v="Credit Card"/>
    <n v="10.6"/>
    <n v="2"/>
    <x v="0"/>
  </r>
  <r>
    <x v="139"/>
    <x v="124"/>
    <s v="CUST1459"/>
    <s v="Unknown Customer"/>
    <x v="0"/>
    <x v="0"/>
    <x v="1"/>
    <n v="3"/>
    <n v="10.61"/>
    <s v="Returned"/>
    <s v="Debit Card"/>
    <n v="31.83"/>
    <n v="4"/>
    <x v="0"/>
  </r>
  <r>
    <x v="140"/>
    <x v="125"/>
    <s v="CUST1345"/>
    <s v="Michael Santos"/>
    <x v="0"/>
    <x v="3"/>
    <x v="16"/>
    <n v="1"/>
    <n v="10.62"/>
    <s v="Completed"/>
    <s v="Gift Card"/>
    <n v="10.62"/>
    <n v="7"/>
    <x v="0"/>
  </r>
  <r>
    <x v="141"/>
    <x v="126"/>
    <s v="CUST1422"/>
    <s v="Budi Pratama"/>
    <x v="0"/>
    <x v="2"/>
    <x v="15"/>
    <n v="2"/>
    <n v="10.63"/>
    <s v="Completed"/>
    <s v="PayPal"/>
    <n v="21.26"/>
    <n v="7"/>
    <x v="0"/>
  </r>
  <r>
    <x v="142"/>
    <x v="127"/>
    <s v="CUST1884"/>
    <s v="Kevin Salim"/>
    <x v="0"/>
    <x v="1"/>
    <x v="9"/>
    <n v="1"/>
    <n v="10.67"/>
    <s v="Completed"/>
    <s v="Credit Card"/>
    <n v="10.67"/>
    <n v="7"/>
    <x v="0"/>
  </r>
  <r>
    <x v="143"/>
    <x v="128"/>
    <s v="CUST1854"/>
    <s v="Unknown Customer"/>
    <x v="1"/>
    <x v="2"/>
    <x v="15"/>
    <n v="1"/>
    <n v="10.67"/>
    <s v="Completed"/>
    <s v="PayPal"/>
    <n v="10.67"/>
    <n v="7"/>
    <x v="0"/>
  </r>
  <r>
    <x v="144"/>
    <x v="116"/>
    <s v="CUST1437"/>
    <s v="John Tan"/>
    <x v="0"/>
    <x v="4"/>
    <x v="24"/>
    <n v="4"/>
    <n v="10.67"/>
    <s v="Completed"/>
    <s v="Gift Card"/>
    <n v="42.68"/>
    <n v="3"/>
    <x v="0"/>
  </r>
  <r>
    <x v="145"/>
    <x v="53"/>
    <s v="CUST1073"/>
    <s v="Ayu Pratama"/>
    <x v="0"/>
    <x v="2"/>
    <x v="7"/>
    <n v="1"/>
    <n v="10.72"/>
    <s v="Completed"/>
    <s v="Debit Card"/>
    <n v="10.72"/>
    <n v="6"/>
    <x v="0"/>
  </r>
  <r>
    <x v="146"/>
    <x v="129"/>
    <s v="CUST1029"/>
    <s v="Nina Smith"/>
    <x v="1"/>
    <x v="2"/>
    <x v="8"/>
    <n v="1"/>
    <n v="10.73"/>
    <s v="Completed"/>
    <s v="Credit Card"/>
    <n v="10.73"/>
    <n v="8"/>
    <x v="0"/>
  </r>
  <r>
    <x v="147"/>
    <x v="130"/>
    <s v="CUST1717"/>
    <s v="Siti Sari"/>
    <x v="0"/>
    <x v="0"/>
    <x v="2"/>
    <n v="1"/>
    <n v="10.74"/>
    <s v="Completed"/>
    <s v="Credit Card"/>
    <n v="10.74"/>
    <n v="5"/>
    <x v="0"/>
  </r>
  <r>
    <x v="148"/>
    <x v="131"/>
    <s v="CUST1761"/>
    <s v="Ahmad Johnson"/>
    <x v="0"/>
    <x v="2"/>
    <x v="11"/>
    <n v="1"/>
    <n v="10.77"/>
    <s v="Completed"/>
    <s v="PayPal"/>
    <n v="10.77"/>
    <n v="7"/>
    <x v="0"/>
  </r>
  <r>
    <x v="149"/>
    <x v="132"/>
    <s v="CUST1850"/>
    <s v="Dewi Wijaya"/>
    <x v="0"/>
    <x v="4"/>
    <x v="25"/>
    <n v="2"/>
    <n v="10.79"/>
    <s v="Completed"/>
    <s v="Credit Card"/>
    <n v="21.58"/>
    <n v="6"/>
    <x v="0"/>
  </r>
  <r>
    <x v="150"/>
    <x v="133"/>
    <s v="CUST1734"/>
    <s v="Ahmad Wilson"/>
    <x v="0"/>
    <x v="1"/>
    <x v="20"/>
    <n v="1"/>
    <n v="10.83"/>
    <s v="Completed"/>
    <s v="Unknown"/>
    <n v="10.83"/>
    <n v="8"/>
    <x v="0"/>
  </r>
  <r>
    <x v="151"/>
    <x v="134"/>
    <s v="CUST1333"/>
    <s v="Unknown Customer"/>
    <x v="0"/>
    <x v="2"/>
    <x v="15"/>
    <n v="4"/>
    <n v="10.83"/>
    <s v="Completed"/>
    <s v="Credit Card"/>
    <n v="43.32"/>
    <n v="3"/>
    <x v="0"/>
  </r>
  <r>
    <x v="152"/>
    <x v="135"/>
    <s v="CUST1843"/>
    <s v="Siti Hidayat"/>
    <x v="0"/>
    <x v="2"/>
    <x v="11"/>
    <n v="2"/>
    <n v="10.87"/>
    <s v="Cancelled"/>
    <s v="Debit Card"/>
    <n v="21.74"/>
    <n v="8"/>
    <x v="0"/>
  </r>
  <r>
    <x v="153"/>
    <x v="136"/>
    <s v="CUST1726"/>
    <s v="John Tan"/>
    <x v="0"/>
    <x v="2"/>
    <x v="7"/>
    <n v="2"/>
    <n v="10.88"/>
    <s v="Completed"/>
    <s v="Gift Card"/>
    <n v="21.76"/>
    <n v="8"/>
    <x v="0"/>
  </r>
  <r>
    <x v="154"/>
    <x v="84"/>
    <s v="CUST1225"/>
    <s v="Siti Wilson"/>
    <x v="1"/>
    <x v="2"/>
    <x v="10"/>
    <n v="1"/>
    <n v="10.89"/>
    <s v="Completed"/>
    <s v="Debit Card"/>
    <n v="10.89"/>
    <n v="6"/>
    <x v="0"/>
  </r>
  <r>
    <x v="155"/>
    <x v="137"/>
    <s v="CUST1291"/>
    <s v="Dewi Wijaya"/>
    <x v="0"/>
    <x v="2"/>
    <x v="7"/>
    <n v="1"/>
    <n v="10.89"/>
    <s v="Completed"/>
    <s v="Debit Card"/>
    <n v="10.89"/>
    <n v="4"/>
    <x v="0"/>
  </r>
  <r>
    <x v="156"/>
    <x v="138"/>
    <s v="CUST1184"/>
    <s v="Michael Kurniawan"/>
    <x v="0"/>
    <x v="0"/>
    <x v="0"/>
    <n v="2"/>
    <n v="10.9"/>
    <s v="Completed"/>
    <s v="PayPal"/>
    <n v="21.8"/>
    <n v="6"/>
    <x v="0"/>
  </r>
  <r>
    <x v="157"/>
    <x v="139"/>
    <s v="CUST1178"/>
    <s v="Michael Pratama"/>
    <x v="1"/>
    <x v="1"/>
    <x v="17"/>
    <n v="1"/>
    <n v="10.93"/>
    <s v="Completed"/>
    <s v="Gift Card"/>
    <n v="10.93"/>
    <n v="6"/>
    <x v="0"/>
  </r>
  <r>
    <x v="158"/>
    <x v="140"/>
    <s v="CUST1433"/>
    <s v="Sarah Tan"/>
    <x v="0"/>
    <x v="3"/>
    <x v="13"/>
    <n v="4"/>
    <n v="10.95"/>
    <s v="Completed"/>
    <s v="Debit Card"/>
    <n v="43.8"/>
    <n v="5"/>
    <x v="0"/>
  </r>
  <r>
    <x v="159"/>
    <x v="141"/>
    <s v="CUST1679"/>
    <s v="Siti Halim"/>
    <x v="0"/>
    <x v="0"/>
    <x v="3"/>
    <n v="1"/>
    <n v="10.96"/>
    <s v="Completed"/>
    <s v="Debit Card"/>
    <n v="10.96"/>
    <n v="8"/>
    <x v="0"/>
  </r>
  <r>
    <x v="160"/>
    <x v="142"/>
    <s v="CUST1786"/>
    <s v="Siti Brown"/>
    <x v="3"/>
    <x v="4"/>
    <x v="24"/>
    <n v="4"/>
    <n v="10.99"/>
    <s v="Completed"/>
    <s v="Debit Card"/>
    <n v="43.96"/>
    <n v="4"/>
    <x v="0"/>
  </r>
  <r>
    <x v="161"/>
    <x v="143"/>
    <s v="CUST1418"/>
    <s v="Fajar Halim"/>
    <x v="0"/>
    <x v="3"/>
    <x v="14"/>
    <n v="4"/>
    <n v="11"/>
    <s v="Completed"/>
    <s v="Credit Card"/>
    <n v="44"/>
    <n v="4"/>
    <x v="0"/>
  </r>
  <r>
    <x v="162"/>
    <x v="144"/>
    <s v="CUST1338"/>
    <s v="Fajar Garcia"/>
    <x v="1"/>
    <x v="3"/>
    <x v="16"/>
    <n v="1"/>
    <n v="11.01"/>
    <s v="Completed"/>
    <s v="PayPal"/>
    <n v="11.01"/>
    <n v="2"/>
    <x v="0"/>
  </r>
  <r>
    <x v="163"/>
    <x v="72"/>
    <s v="CUST1656"/>
    <s v="Ayu Yusuf"/>
    <x v="1"/>
    <x v="2"/>
    <x v="11"/>
    <n v="3"/>
    <n v="11.03"/>
    <s v="Completed"/>
    <s v="Credit Card"/>
    <n v="33.089999999999996"/>
    <n v="4"/>
    <x v="0"/>
  </r>
  <r>
    <x v="164"/>
    <x v="145"/>
    <s v="CUST1449"/>
    <s v="Michael Chen"/>
    <x v="0"/>
    <x v="4"/>
    <x v="22"/>
    <n v="1"/>
    <n v="11.03"/>
    <s v="Completed"/>
    <s v="Gift Card"/>
    <n v="11.03"/>
    <n v="4"/>
    <x v="0"/>
  </r>
  <r>
    <x v="165"/>
    <x v="146"/>
    <s v="CUST1010"/>
    <s v="Budi Anderson"/>
    <x v="0"/>
    <x v="4"/>
    <x v="26"/>
    <n v="4"/>
    <n v="11.05"/>
    <s v="Completed"/>
    <s v="Gift Card"/>
    <n v="44.2"/>
    <n v="2"/>
    <x v="0"/>
  </r>
  <r>
    <x v="166"/>
    <x v="147"/>
    <s v="CUST1349"/>
    <s v="John Halim"/>
    <x v="0"/>
    <x v="0"/>
    <x v="2"/>
    <n v="5"/>
    <n v="11.05"/>
    <s v="Completed"/>
    <s v="Debit Card"/>
    <n v="55.25"/>
    <n v="7"/>
    <x v="0"/>
  </r>
  <r>
    <x v="167"/>
    <x v="148"/>
    <s v="CUST1384"/>
    <s v="Siti Pratama"/>
    <x v="0"/>
    <x v="0"/>
    <x v="4"/>
    <n v="3"/>
    <n v="11.12"/>
    <s v="Completed"/>
    <s v="Credit Card"/>
    <n v="33.36"/>
    <n v="3"/>
    <x v="0"/>
  </r>
  <r>
    <x v="168"/>
    <x v="149"/>
    <s v="CUST1807"/>
    <s v="Lisa Wilson"/>
    <x v="1"/>
    <x v="4"/>
    <x v="21"/>
    <n v="2"/>
    <n v="11.18"/>
    <s v="Completed"/>
    <s v="Credit Card"/>
    <n v="22.36"/>
    <n v="4"/>
    <x v="0"/>
  </r>
  <r>
    <x v="169"/>
    <x v="150"/>
    <s v="CUST1559"/>
    <s v="Fajar Sari"/>
    <x v="1"/>
    <x v="0"/>
    <x v="2"/>
    <n v="1"/>
    <n v="11.2"/>
    <s v="Completed"/>
    <s v="Debit Card"/>
    <n v="11.2"/>
    <n v="3"/>
    <x v="0"/>
  </r>
  <r>
    <x v="170"/>
    <x v="151"/>
    <s v="CUST1005"/>
    <s v="Dewi Wijaya"/>
    <x v="0"/>
    <x v="0"/>
    <x v="2"/>
    <n v="3"/>
    <n v="11.21"/>
    <s v="Completed"/>
    <s v="Debit Card"/>
    <n v="33.630000000000003"/>
    <n v="10"/>
    <x v="0"/>
  </r>
  <r>
    <x v="171"/>
    <x v="152"/>
    <s v="CUST1170"/>
    <s v="Ayu Salim"/>
    <x v="0"/>
    <x v="2"/>
    <x v="11"/>
    <n v="1"/>
    <n v="11.27"/>
    <s v="Completed"/>
    <s v="Debit Card"/>
    <n v="11.27"/>
    <n v="4"/>
    <x v="0"/>
  </r>
  <r>
    <x v="172"/>
    <x v="153"/>
    <s v="CUST1425"/>
    <s v="Linda Anderson"/>
    <x v="0"/>
    <x v="1"/>
    <x v="18"/>
    <n v="3"/>
    <n v="11.27"/>
    <s v="Completed"/>
    <s v="Gift Card"/>
    <n v="33.81"/>
    <n v="4"/>
    <x v="0"/>
  </r>
  <r>
    <x v="173"/>
    <x v="154"/>
    <s v="CUST1670"/>
    <s v="David Sari"/>
    <x v="1"/>
    <x v="3"/>
    <x v="19"/>
    <n v="4"/>
    <n v="11.28"/>
    <s v="Cancelled"/>
    <s v="PayPal"/>
    <n v="45.12"/>
    <n v="4"/>
    <x v="0"/>
  </r>
  <r>
    <x v="174"/>
    <x v="155"/>
    <s v="CUST1690"/>
    <s v="Fajar Garcia"/>
    <x v="0"/>
    <x v="0"/>
    <x v="0"/>
    <n v="1"/>
    <n v="11.31"/>
    <s v="Completed"/>
    <s v="Credit Card"/>
    <n v="11.31"/>
    <n v="4"/>
    <x v="0"/>
  </r>
  <r>
    <x v="175"/>
    <x v="156"/>
    <s v="CUST1863"/>
    <s v="David Pratama"/>
    <x v="0"/>
    <x v="2"/>
    <x v="8"/>
    <n v="1"/>
    <n v="11.36"/>
    <s v="Pending"/>
    <s v="Credit Card"/>
    <n v="11.36"/>
    <n v="6"/>
    <x v="0"/>
  </r>
  <r>
    <x v="176"/>
    <x v="157"/>
    <s v="CUST1170"/>
    <s v="Ayu Salim"/>
    <x v="0"/>
    <x v="1"/>
    <x v="9"/>
    <n v="2"/>
    <n v="11.37"/>
    <s v="Cancelled"/>
    <s v="Credit Card"/>
    <n v="22.74"/>
    <n v="4"/>
    <x v="0"/>
  </r>
  <r>
    <x v="177"/>
    <x v="130"/>
    <s v="CUST1613"/>
    <s v="Andi Garcia"/>
    <x v="0"/>
    <x v="2"/>
    <x v="15"/>
    <n v="2"/>
    <n v="11.38"/>
    <s v="Completed"/>
    <s v="Debit Card"/>
    <n v="22.76"/>
    <n v="5"/>
    <x v="0"/>
  </r>
  <r>
    <x v="178"/>
    <x v="158"/>
    <s v="CUST1589"/>
    <s v="Siti Nugroho"/>
    <x v="0"/>
    <x v="0"/>
    <x v="2"/>
    <n v="1"/>
    <n v="11.41"/>
    <s v="Completed"/>
    <s v="Credit Card"/>
    <n v="11.41"/>
    <n v="5"/>
    <x v="0"/>
  </r>
  <r>
    <x v="179"/>
    <x v="150"/>
    <s v="CUST1322"/>
    <s v="Unknown Customer"/>
    <x v="1"/>
    <x v="4"/>
    <x v="23"/>
    <n v="1"/>
    <n v="11.42"/>
    <s v="Completed"/>
    <s v="PayPal"/>
    <n v="11.42"/>
    <n v="7"/>
    <x v="0"/>
  </r>
  <r>
    <x v="180"/>
    <x v="159"/>
    <s v="CUST1294"/>
    <s v="James Yusuf"/>
    <x v="1"/>
    <x v="2"/>
    <x v="8"/>
    <n v="1"/>
    <n v="11.43"/>
    <s v="Completed"/>
    <s v="Credit Card"/>
    <n v="11.43"/>
    <n v="3"/>
    <x v="0"/>
  </r>
  <r>
    <x v="181"/>
    <x v="160"/>
    <s v="CUST1270"/>
    <s v="Andi Salim"/>
    <x v="0"/>
    <x v="0"/>
    <x v="1"/>
    <n v="1"/>
    <n v="11.43"/>
    <s v="Pending"/>
    <s v="Credit Card"/>
    <n v="11.43"/>
    <n v="9"/>
    <x v="0"/>
  </r>
  <r>
    <x v="182"/>
    <x v="161"/>
    <s v="CUST1095"/>
    <s v="Sarah Smith"/>
    <x v="0"/>
    <x v="3"/>
    <x v="19"/>
    <n v="3"/>
    <n v="11.45"/>
    <s v="Completed"/>
    <s v="Gift Card"/>
    <n v="34.349999999999994"/>
    <n v="9"/>
    <x v="0"/>
  </r>
  <r>
    <x v="183"/>
    <x v="143"/>
    <s v="CUST1366"/>
    <s v="David Anderson"/>
    <x v="0"/>
    <x v="0"/>
    <x v="0"/>
    <n v="1"/>
    <n v="11.48"/>
    <s v="Cancelled"/>
    <s v="PayPal"/>
    <n v="11.48"/>
    <n v="4"/>
    <x v="0"/>
  </r>
  <r>
    <x v="184"/>
    <x v="42"/>
    <s v="CUST1429"/>
    <s v="Rina Hidayat"/>
    <x v="0"/>
    <x v="2"/>
    <x v="11"/>
    <n v="1"/>
    <n v="11.54"/>
    <s v="Cancelled"/>
    <s v="Gift Card"/>
    <n v="11.54"/>
    <n v="1"/>
    <x v="1"/>
  </r>
  <r>
    <x v="185"/>
    <x v="125"/>
    <s v="CUST1468"/>
    <s v="Michael Tan"/>
    <x v="0"/>
    <x v="4"/>
    <x v="24"/>
    <n v="2"/>
    <n v="11.55"/>
    <s v="Completed"/>
    <s v="PayPal"/>
    <n v="23.1"/>
    <n v="8"/>
    <x v="0"/>
  </r>
  <r>
    <x v="186"/>
    <x v="162"/>
    <s v="CUST1034"/>
    <s v="Putri Pratama"/>
    <x v="0"/>
    <x v="2"/>
    <x v="7"/>
    <n v="3"/>
    <n v="11.55"/>
    <s v="Pending"/>
    <s v="PayPal"/>
    <n v="34.650000000000006"/>
    <n v="2"/>
    <x v="0"/>
  </r>
  <r>
    <x v="187"/>
    <x v="163"/>
    <s v="CUST1736"/>
    <s v="James Nugroho"/>
    <x v="0"/>
    <x v="2"/>
    <x v="8"/>
    <n v="1"/>
    <n v="11.56"/>
    <s v="Completed"/>
    <s v="Gift Card"/>
    <n v="11.56"/>
    <n v="4"/>
    <x v="0"/>
  </r>
  <r>
    <x v="188"/>
    <x v="164"/>
    <s v="CUST1740"/>
    <s v="Dewi Hidayat"/>
    <x v="0"/>
    <x v="0"/>
    <x v="2"/>
    <n v="2"/>
    <n v="11.56"/>
    <s v="Pending"/>
    <s v="Debit Card"/>
    <n v="23.12"/>
    <n v="8"/>
    <x v="0"/>
  </r>
  <r>
    <x v="189"/>
    <x v="165"/>
    <s v="CUST1089"/>
    <s v="Dewi Pratama"/>
    <x v="1"/>
    <x v="0"/>
    <x v="1"/>
    <n v="5"/>
    <n v="11.57"/>
    <s v="Pending"/>
    <s v="Credit Card"/>
    <n v="57.85"/>
    <n v="5"/>
    <x v="0"/>
  </r>
  <r>
    <x v="190"/>
    <x v="166"/>
    <s v="CUST1653"/>
    <s v="Michael Chen"/>
    <x v="1"/>
    <x v="0"/>
    <x v="3"/>
    <n v="1"/>
    <n v="11.58"/>
    <s v="Completed"/>
    <s v="Gift Card"/>
    <n v="11.58"/>
    <n v="4"/>
    <x v="0"/>
  </r>
  <r>
    <x v="191"/>
    <x v="167"/>
    <s v="CUST1818"/>
    <s v="Siti Salim"/>
    <x v="0"/>
    <x v="2"/>
    <x v="7"/>
    <n v="3"/>
    <n v="11.58"/>
    <s v="Cancelled"/>
    <s v="Debit Card"/>
    <n v="34.74"/>
    <n v="8"/>
    <x v="0"/>
  </r>
  <r>
    <x v="192"/>
    <x v="168"/>
    <s v="CUST1549"/>
    <s v="James Nugroho"/>
    <x v="0"/>
    <x v="2"/>
    <x v="7"/>
    <n v="1"/>
    <n v="11.59"/>
    <s v="Completed"/>
    <s v="Gift Card"/>
    <n v="11.59"/>
    <n v="3"/>
    <x v="0"/>
  </r>
  <r>
    <x v="193"/>
    <x v="169"/>
    <s v="CUST1825"/>
    <s v="Linda Nugroho"/>
    <x v="0"/>
    <x v="2"/>
    <x v="15"/>
    <n v="1"/>
    <n v="11.61"/>
    <s v="Cancelled"/>
    <s v="Debit Card"/>
    <n v="11.61"/>
    <n v="3"/>
    <x v="0"/>
  </r>
  <r>
    <x v="194"/>
    <x v="170"/>
    <s v="CUST1387"/>
    <s v="Budi Pratama"/>
    <x v="0"/>
    <x v="1"/>
    <x v="9"/>
    <n v="2"/>
    <n v="11.61"/>
    <s v="Completed"/>
    <s v="Unknown"/>
    <n v="23.22"/>
    <n v="4"/>
    <x v="0"/>
  </r>
  <r>
    <x v="195"/>
    <x v="171"/>
    <s v="CUST1000"/>
    <s v="Siti Santos"/>
    <x v="1"/>
    <x v="4"/>
    <x v="27"/>
    <n v="1"/>
    <n v="11.62"/>
    <s v="Completed"/>
    <s v="Debit Card"/>
    <n v="11.62"/>
    <n v="2"/>
    <x v="0"/>
  </r>
  <r>
    <x v="196"/>
    <x v="172"/>
    <s v="CUST1390"/>
    <s v="Ayu Hidayat"/>
    <x v="0"/>
    <x v="0"/>
    <x v="2"/>
    <n v="2"/>
    <n v="11.64"/>
    <s v="Completed"/>
    <s v="Gift Card"/>
    <n v="23.28"/>
    <n v="5"/>
    <x v="0"/>
  </r>
  <r>
    <x v="197"/>
    <x v="173"/>
    <s v="CUST1543"/>
    <s v="Ayu Wilson"/>
    <x v="0"/>
    <x v="4"/>
    <x v="23"/>
    <n v="1"/>
    <n v="11.65"/>
    <s v="Completed"/>
    <s v="PayPal"/>
    <n v="11.65"/>
    <n v="12"/>
    <x v="0"/>
  </r>
  <r>
    <x v="198"/>
    <x v="174"/>
    <s v="CUST1434"/>
    <s v="Fajar Pratama"/>
    <x v="2"/>
    <x v="2"/>
    <x v="11"/>
    <n v="5"/>
    <n v="11.66"/>
    <s v="Completed"/>
    <s v="Debit Card"/>
    <n v="58.3"/>
    <n v="2"/>
    <x v="0"/>
  </r>
  <r>
    <x v="199"/>
    <x v="175"/>
    <s v="CUST1194"/>
    <s v="Maria Hidayat"/>
    <x v="0"/>
    <x v="1"/>
    <x v="17"/>
    <n v="1"/>
    <n v="11.67"/>
    <s v="Completed"/>
    <s v="Debit Card"/>
    <n v="11.67"/>
    <n v="8"/>
    <x v="0"/>
  </r>
  <r>
    <x v="200"/>
    <x v="170"/>
    <s v="CUST1329"/>
    <s v="Andi Tan"/>
    <x v="0"/>
    <x v="1"/>
    <x v="5"/>
    <n v="1"/>
    <n v="11.7"/>
    <s v="Returned"/>
    <s v="PayPal"/>
    <n v="11.7"/>
    <n v="4"/>
    <x v="0"/>
  </r>
  <r>
    <x v="201"/>
    <x v="110"/>
    <s v="CUST1839"/>
    <s v="John Tan"/>
    <x v="0"/>
    <x v="0"/>
    <x v="3"/>
    <n v="1"/>
    <n v="11.73"/>
    <s v="Completed"/>
    <s v="Credit Card"/>
    <n v="11.73"/>
    <n v="10"/>
    <x v="0"/>
  </r>
  <r>
    <x v="202"/>
    <x v="176"/>
    <s v="CUST1443"/>
    <s v="Andi Hidayat"/>
    <x v="0"/>
    <x v="2"/>
    <x v="7"/>
    <n v="1"/>
    <n v="11.77"/>
    <s v="Completed"/>
    <s v="PayPal"/>
    <n v="11.77"/>
    <n v="5"/>
    <x v="0"/>
  </r>
  <r>
    <x v="203"/>
    <x v="177"/>
    <s v="CUST1412"/>
    <s v="Siti Anderson"/>
    <x v="0"/>
    <x v="2"/>
    <x v="11"/>
    <n v="1"/>
    <n v="11.8"/>
    <s v="Completed"/>
    <s v="Gift Card"/>
    <n v="11.8"/>
    <n v="10"/>
    <x v="0"/>
  </r>
  <r>
    <x v="204"/>
    <x v="178"/>
    <s v="CUST1837"/>
    <s v="Dewi Johnson"/>
    <x v="0"/>
    <x v="0"/>
    <x v="2"/>
    <n v="3"/>
    <n v="11.82"/>
    <s v="Completed"/>
    <s v="PayPal"/>
    <n v="35.46"/>
    <n v="6"/>
    <x v="0"/>
  </r>
  <r>
    <x v="205"/>
    <x v="179"/>
    <s v="CUST1092"/>
    <s v="Putri Nugroho"/>
    <x v="0"/>
    <x v="3"/>
    <x v="13"/>
    <n v="2"/>
    <n v="11.84"/>
    <s v="Pending"/>
    <s v="Debit Card"/>
    <n v="23.68"/>
    <n v="8"/>
    <x v="0"/>
  </r>
  <r>
    <x v="206"/>
    <x v="57"/>
    <s v="CUST1857"/>
    <s v="John Kurniawan"/>
    <x v="0"/>
    <x v="2"/>
    <x v="10"/>
    <n v="1"/>
    <n v="11.87"/>
    <s v="Completed"/>
    <s v="Credit Card"/>
    <n v="11.87"/>
    <n v="5"/>
    <x v="0"/>
  </r>
  <r>
    <x v="207"/>
    <x v="66"/>
    <s v="CUST1449"/>
    <s v="Michael Chen"/>
    <x v="0"/>
    <x v="2"/>
    <x v="10"/>
    <n v="1"/>
    <n v="11.9"/>
    <s v="Completed"/>
    <s v="PayPal"/>
    <n v="11.9"/>
    <n v="4"/>
    <x v="0"/>
  </r>
  <r>
    <x v="208"/>
    <x v="180"/>
    <s v="CUST1180"/>
    <s v="Rina Tan"/>
    <x v="0"/>
    <x v="0"/>
    <x v="1"/>
    <n v="1"/>
    <n v="11.93"/>
    <s v="Completed"/>
    <s v="PayPal"/>
    <n v="11.93"/>
    <n v="5"/>
    <x v="0"/>
  </r>
  <r>
    <x v="209"/>
    <x v="19"/>
    <s v="CUST1441"/>
    <s v="Fajar Hidayat"/>
    <x v="0"/>
    <x v="2"/>
    <x v="8"/>
    <n v="1"/>
    <n v="11.93"/>
    <s v="Completed"/>
    <s v="PayPal"/>
    <n v="11.93"/>
    <n v="6"/>
    <x v="0"/>
  </r>
  <r>
    <x v="210"/>
    <x v="41"/>
    <s v="CUST1261"/>
    <s v="Robert Taylor"/>
    <x v="0"/>
    <x v="2"/>
    <x v="11"/>
    <n v="5"/>
    <n v="11.93"/>
    <s v="Returned"/>
    <s v="PayPal"/>
    <n v="59.65"/>
    <n v="3"/>
    <x v="0"/>
  </r>
  <r>
    <x v="211"/>
    <x v="181"/>
    <s v="CUST1527"/>
    <s v="Rina Anderson"/>
    <x v="1"/>
    <x v="1"/>
    <x v="18"/>
    <n v="1"/>
    <n v="11.95"/>
    <s v="Completed"/>
    <s v="Credit Card"/>
    <n v="11.95"/>
    <n v="5"/>
    <x v="0"/>
  </r>
  <r>
    <x v="212"/>
    <x v="182"/>
    <s v="CUST1525"/>
    <s v="Michael Anderson"/>
    <x v="0"/>
    <x v="3"/>
    <x v="14"/>
    <n v="2"/>
    <n v="11.97"/>
    <s v="Completed"/>
    <s v="Gift Card"/>
    <n v="23.94"/>
    <n v="4"/>
    <x v="0"/>
  </r>
  <r>
    <x v="213"/>
    <x v="183"/>
    <s v="CUST1401"/>
    <s v="Nina Taylor"/>
    <x v="1"/>
    <x v="1"/>
    <x v="9"/>
    <n v="2"/>
    <n v="11.98"/>
    <s v="Completed"/>
    <s v="Debit Card"/>
    <n v="23.96"/>
    <n v="2"/>
    <x v="0"/>
  </r>
  <r>
    <x v="214"/>
    <x v="184"/>
    <s v="CUST1700"/>
    <s v="Robert Smith"/>
    <x v="0"/>
    <x v="5"/>
    <x v="28"/>
    <n v="1"/>
    <n v="12.01"/>
    <s v="Completed"/>
    <s v="Gift Card"/>
    <n v="12.01"/>
    <n v="6"/>
    <x v="0"/>
  </r>
  <r>
    <x v="215"/>
    <x v="179"/>
    <s v="CUST1504"/>
    <s v="Rina Sari"/>
    <x v="0"/>
    <x v="5"/>
    <x v="29"/>
    <n v="1"/>
    <n v="12.02"/>
    <s v="Completed"/>
    <s v="Gift Card"/>
    <n v="12.02"/>
    <n v="3"/>
    <x v="0"/>
  </r>
  <r>
    <x v="216"/>
    <x v="185"/>
    <s v="CUST1893"/>
    <s v="John Wijaya"/>
    <x v="0"/>
    <x v="3"/>
    <x v="13"/>
    <n v="5"/>
    <n v="12.04"/>
    <s v="Completed"/>
    <s v="Debit Card"/>
    <n v="60.199999999999996"/>
    <n v="6"/>
    <x v="0"/>
  </r>
  <r>
    <x v="217"/>
    <x v="186"/>
    <s v="CUST1596"/>
    <s v="Ayu Garcia"/>
    <x v="0"/>
    <x v="0"/>
    <x v="0"/>
    <n v="2"/>
    <n v="12.07"/>
    <s v="Completed"/>
    <s v="Debit Card"/>
    <n v="24.14"/>
    <n v="8"/>
    <x v="0"/>
  </r>
  <r>
    <x v="218"/>
    <x v="187"/>
    <s v="CUST1079"/>
    <s v="Siti Sari"/>
    <x v="0"/>
    <x v="0"/>
    <x v="0"/>
    <n v="2"/>
    <n v="12.08"/>
    <s v="Completed"/>
    <s v="Credit Card"/>
    <n v="24.16"/>
    <n v="6"/>
    <x v="0"/>
  </r>
  <r>
    <x v="219"/>
    <x v="166"/>
    <s v="CUST1603"/>
    <s v="Sarah Anderson"/>
    <x v="1"/>
    <x v="2"/>
    <x v="10"/>
    <n v="1"/>
    <n v="12.09"/>
    <s v="Completed"/>
    <s v="Unknown"/>
    <n v="12.09"/>
    <n v="3"/>
    <x v="0"/>
  </r>
  <r>
    <x v="220"/>
    <x v="188"/>
    <s v="CUST1327"/>
    <s v="Rina Lee"/>
    <x v="0"/>
    <x v="3"/>
    <x v="12"/>
    <n v="2"/>
    <n v="12.1"/>
    <s v="Completed"/>
    <s v="Gift Card"/>
    <n v="24.2"/>
    <n v="6"/>
    <x v="0"/>
  </r>
  <r>
    <x v="221"/>
    <x v="189"/>
    <s v="CUST1745"/>
    <s v="Ahmad Halim"/>
    <x v="0"/>
    <x v="0"/>
    <x v="3"/>
    <n v="2"/>
    <n v="12.11"/>
    <s v="Completed"/>
    <s v="Gift Card"/>
    <n v="24.22"/>
    <n v="10"/>
    <x v="0"/>
  </r>
  <r>
    <x v="222"/>
    <x v="190"/>
    <s v="CUST1728"/>
    <s v="Siti Santos"/>
    <x v="0"/>
    <x v="0"/>
    <x v="2"/>
    <n v="1"/>
    <n v="12.11"/>
    <s v="Cancelled"/>
    <s v="PayPal"/>
    <n v="12.11"/>
    <n v="5"/>
    <x v="0"/>
  </r>
  <r>
    <x v="223"/>
    <x v="191"/>
    <s v="CUST1662"/>
    <s v="Siti Lee"/>
    <x v="1"/>
    <x v="2"/>
    <x v="11"/>
    <n v="2"/>
    <n v="12.12"/>
    <s v="Completed"/>
    <s v="Credit Card"/>
    <n v="24.24"/>
    <n v="5"/>
    <x v="0"/>
  </r>
  <r>
    <x v="224"/>
    <x v="192"/>
    <s v="CUST1124"/>
    <s v="Unknown Customer"/>
    <x v="0"/>
    <x v="2"/>
    <x v="10"/>
    <n v="1"/>
    <n v="12.13"/>
    <s v="Completed"/>
    <s v="Unknown"/>
    <n v="12.13"/>
    <n v="5"/>
    <x v="0"/>
  </r>
  <r>
    <x v="225"/>
    <x v="22"/>
    <s v="CUST1430"/>
    <s v="Maria Garcia"/>
    <x v="1"/>
    <x v="2"/>
    <x v="10"/>
    <n v="2"/>
    <n v="12.16"/>
    <s v="Cancelled"/>
    <s v="PayPal"/>
    <n v="24.32"/>
    <n v="6"/>
    <x v="0"/>
  </r>
  <r>
    <x v="226"/>
    <x v="56"/>
    <s v="CUST1712"/>
    <s v="David Nugroho"/>
    <x v="0"/>
    <x v="4"/>
    <x v="21"/>
    <n v="5"/>
    <n v="12.16"/>
    <s v="Completed"/>
    <s v="PayPal"/>
    <n v="60.8"/>
    <n v="7"/>
    <x v="0"/>
  </r>
  <r>
    <x v="227"/>
    <x v="193"/>
    <s v="CUST1588"/>
    <s v="David Anderson"/>
    <x v="0"/>
    <x v="4"/>
    <x v="22"/>
    <n v="1"/>
    <n v="12.17"/>
    <s v="Completed"/>
    <s v="Credit Card"/>
    <n v="12.17"/>
    <n v="5"/>
    <x v="0"/>
  </r>
  <r>
    <x v="228"/>
    <x v="194"/>
    <s v="CUST1126"/>
    <s v="Ahmad Garcia"/>
    <x v="0"/>
    <x v="1"/>
    <x v="18"/>
    <n v="1"/>
    <n v="12.17"/>
    <s v="Completed"/>
    <s v="Debit Card"/>
    <n v="12.17"/>
    <n v="6"/>
    <x v="0"/>
  </r>
  <r>
    <x v="229"/>
    <x v="195"/>
    <s v="CUST1501"/>
    <s v="Unknown Customer"/>
    <x v="0"/>
    <x v="1"/>
    <x v="6"/>
    <n v="1"/>
    <n v="12.18"/>
    <s v="Cancelled"/>
    <s v="Debit Card"/>
    <n v="12.18"/>
    <n v="4"/>
    <x v="0"/>
  </r>
  <r>
    <x v="230"/>
    <x v="196"/>
    <s v="CUST1240"/>
    <s v="Linda Chen"/>
    <x v="0"/>
    <x v="1"/>
    <x v="18"/>
    <n v="1"/>
    <n v="12.2"/>
    <s v="Completed"/>
    <s v="Debit Card"/>
    <n v="12.2"/>
    <n v="7"/>
    <x v="0"/>
  </r>
  <r>
    <x v="231"/>
    <x v="197"/>
    <s v="CUST1827"/>
    <s v="Putri Garcia"/>
    <x v="0"/>
    <x v="3"/>
    <x v="12"/>
    <n v="1"/>
    <n v="12.21"/>
    <s v="Completed"/>
    <s v="Credit Card"/>
    <n v="12.21"/>
    <n v="3"/>
    <x v="0"/>
  </r>
  <r>
    <x v="232"/>
    <x v="82"/>
    <s v="CUST1560"/>
    <s v="Fajar Hidayat"/>
    <x v="0"/>
    <x v="0"/>
    <x v="4"/>
    <n v="1"/>
    <n v="12.22"/>
    <s v="Cancelled"/>
    <s v="Credit Card"/>
    <n v="12.22"/>
    <n v="6"/>
    <x v="0"/>
  </r>
  <r>
    <x v="233"/>
    <x v="198"/>
    <s v="CUST1293"/>
    <s v="Robert Yusuf"/>
    <x v="3"/>
    <x v="1"/>
    <x v="18"/>
    <n v="1"/>
    <n v="12.22"/>
    <s v="Completed"/>
    <s v="Gift Card"/>
    <n v="12.22"/>
    <n v="2"/>
    <x v="0"/>
  </r>
  <r>
    <x v="234"/>
    <x v="199"/>
    <s v="CUST1041"/>
    <s v="Unknown Customer"/>
    <x v="0"/>
    <x v="3"/>
    <x v="16"/>
    <n v="1"/>
    <n v="12.23"/>
    <s v="Completed"/>
    <s v="PayPal"/>
    <n v="12.23"/>
    <n v="8"/>
    <x v="0"/>
  </r>
  <r>
    <x v="235"/>
    <x v="200"/>
    <s v="CUST1417"/>
    <s v="Andi Hidayat"/>
    <x v="0"/>
    <x v="2"/>
    <x v="10"/>
    <n v="1"/>
    <n v="12.24"/>
    <s v="Completed"/>
    <s v="PayPal"/>
    <n v="12.24"/>
    <n v="6"/>
    <x v="0"/>
  </r>
  <r>
    <x v="236"/>
    <x v="201"/>
    <s v="CUST1235"/>
    <s v="Nina Halim"/>
    <x v="0"/>
    <x v="3"/>
    <x v="19"/>
    <n v="2"/>
    <n v="12.24"/>
    <s v="Completed"/>
    <s v="PayPal"/>
    <n v="24.48"/>
    <n v="7"/>
    <x v="0"/>
  </r>
  <r>
    <x v="237"/>
    <x v="157"/>
    <s v="CUST1485"/>
    <s v="Dewi Smith"/>
    <x v="0"/>
    <x v="3"/>
    <x v="16"/>
    <n v="3"/>
    <n v="12.24"/>
    <s v="Cancelled"/>
    <s v="Unknown"/>
    <n v="36.72"/>
    <n v="5"/>
    <x v="0"/>
  </r>
  <r>
    <x v="238"/>
    <x v="202"/>
    <s v="CUST1205"/>
    <s v="David Johnson"/>
    <x v="0"/>
    <x v="3"/>
    <x v="16"/>
    <n v="2"/>
    <n v="12.26"/>
    <s v="Completed"/>
    <s v="PayPal"/>
    <n v="24.52"/>
    <n v="5"/>
    <x v="0"/>
  </r>
  <r>
    <x v="239"/>
    <x v="64"/>
    <s v="CUST1352"/>
    <s v="Lisa Taylor"/>
    <x v="0"/>
    <x v="0"/>
    <x v="2"/>
    <n v="4"/>
    <n v="12.27"/>
    <s v="Completed"/>
    <s v="Gift Card"/>
    <n v="49.08"/>
    <n v="7"/>
    <x v="0"/>
  </r>
  <r>
    <x v="240"/>
    <x v="173"/>
    <s v="CUST1323"/>
    <s v="James Garcia"/>
    <x v="1"/>
    <x v="2"/>
    <x v="10"/>
    <n v="1"/>
    <n v="12.28"/>
    <s v="Returned"/>
    <s v="Gift Card"/>
    <n v="12.28"/>
    <n v="2"/>
    <x v="0"/>
  </r>
  <r>
    <x v="241"/>
    <x v="203"/>
    <s v="CUST1607"/>
    <s v="Fajar Kurniawan"/>
    <x v="0"/>
    <x v="1"/>
    <x v="5"/>
    <n v="1"/>
    <n v="12.29"/>
    <s v="Completed"/>
    <s v="PayPal"/>
    <n v="12.29"/>
    <n v="5"/>
    <x v="0"/>
  </r>
  <r>
    <x v="242"/>
    <x v="204"/>
    <s v="CUST1772"/>
    <s v="Ahmad Hidayat"/>
    <x v="0"/>
    <x v="0"/>
    <x v="2"/>
    <n v="1"/>
    <n v="12.3"/>
    <s v="Completed"/>
    <s v="Gift Card"/>
    <n v="12.3"/>
    <n v="6"/>
    <x v="0"/>
  </r>
  <r>
    <x v="243"/>
    <x v="205"/>
    <s v="CUST1068"/>
    <s v="Linda Nugroho"/>
    <x v="0"/>
    <x v="4"/>
    <x v="27"/>
    <n v="2"/>
    <n v="12.32"/>
    <s v="Completed"/>
    <s v="Debit Card"/>
    <n v="24.64"/>
    <n v="5"/>
    <x v="0"/>
  </r>
  <r>
    <x v="244"/>
    <x v="206"/>
    <s v="CUST1313"/>
    <s v="David Wilson"/>
    <x v="0"/>
    <x v="4"/>
    <x v="23"/>
    <n v="1"/>
    <n v="12.33"/>
    <s v="Cancelled"/>
    <s v="PayPal"/>
    <n v="12.33"/>
    <n v="2"/>
    <x v="0"/>
  </r>
  <r>
    <x v="245"/>
    <x v="207"/>
    <s v="CUST1348"/>
    <s v="Putri Nugroho"/>
    <x v="0"/>
    <x v="3"/>
    <x v="16"/>
    <n v="1"/>
    <n v="12.36"/>
    <s v="Completed"/>
    <s v="Gift Card"/>
    <n v="12.36"/>
    <n v="6"/>
    <x v="0"/>
  </r>
  <r>
    <x v="246"/>
    <x v="208"/>
    <s v="CUST1234"/>
    <s v="Nina Salim"/>
    <x v="0"/>
    <x v="3"/>
    <x v="14"/>
    <n v="1"/>
    <n v="12.37"/>
    <s v="Completed"/>
    <s v="PayPal"/>
    <n v="12.37"/>
    <n v="6"/>
    <x v="0"/>
  </r>
  <r>
    <x v="247"/>
    <x v="209"/>
    <s v="CUST1745"/>
    <s v="Ahmad Halim"/>
    <x v="0"/>
    <x v="5"/>
    <x v="29"/>
    <n v="2"/>
    <n v="12.41"/>
    <s v="Completed"/>
    <s v="Credit Card"/>
    <n v="24.82"/>
    <n v="10"/>
    <x v="0"/>
  </r>
  <r>
    <x v="248"/>
    <x v="200"/>
    <s v="CUST1217"/>
    <s v="Michael Santos"/>
    <x v="0"/>
    <x v="0"/>
    <x v="4"/>
    <n v="2"/>
    <n v="12.42"/>
    <s v="Completed"/>
    <s v="Debit Card"/>
    <n v="24.84"/>
    <n v="7"/>
    <x v="0"/>
  </r>
  <r>
    <x v="249"/>
    <x v="55"/>
    <s v="CUST1750"/>
    <s v="Nina Brown"/>
    <x v="3"/>
    <x v="3"/>
    <x v="12"/>
    <n v="3"/>
    <n v="12.42"/>
    <s v="Completed"/>
    <s v="Credit Card"/>
    <n v="37.26"/>
    <n v="3"/>
    <x v="0"/>
  </r>
  <r>
    <x v="250"/>
    <x v="210"/>
    <s v="CUST1804"/>
    <s v="Nina Wilson"/>
    <x v="0"/>
    <x v="2"/>
    <x v="8"/>
    <n v="3"/>
    <n v="12.43"/>
    <s v="Completed"/>
    <s v="Debit Card"/>
    <n v="37.29"/>
    <n v="3"/>
    <x v="0"/>
  </r>
  <r>
    <x v="251"/>
    <x v="133"/>
    <s v="CUST1551"/>
    <s v="Linda Smith"/>
    <x v="0"/>
    <x v="2"/>
    <x v="7"/>
    <n v="1"/>
    <n v="12.48"/>
    <s v="Completed"/>
    <s v="Gift Card"/>
    <n v="12.48"/>
    <n v="2"/>
    <x v="0"/>
  </r>
  <r>
    <x v="252"/>
    <x v="211"/>
    <s v="CUST1225"/>
    <s v="Siti Wilson"/>
    <x v="1"/>
    <x v="0"/>
    <x v="0"/>
    <n v="1"/>
    <n v="12.49"/>
    <s v="Returned"/>
    <s v="Credit Card"/>
    <n v="12.49"/>
    <n v="6"/>
    <x v="0"/>
  </r>
  <r>
    <x v="253"/>
    <x v="212"/>
    <s v="CUST1005"/>
    <s v="Dewi Wijaya"/>
    <x v="0"/>
    <x v="2"/>
    <x v="10"/>
    <n v="2"/>
    <n v="12.49"/>
    <s v="Cancelled"/>
    <s v="Gift Card"/>
    <n v="24.98"/>
    <n v="10"/>
    <x v="0"/>
  </r>
  <r>
    <x v="254"/>
    <x v="213"/>
    <s v="CUST1423"/>
    <s v="David Smith"/>
    <x v="0"/>
    <x v="2"/>
    <x v="15"/>
    <n v="2"/>
    <n v="12.53"/>
    <s v="Cancelled"/>
    <s v="Credit Card"/>
    <n v="25.06"/>
    <n v="5"/>
    <x v="0"/>
  </r>
  <r>
    <x v="255"/>
    <x v="214"/>
    <s v="CUST1235"/>
    <s v="Nina Halim"/>
    <x v="0"/>
    <x v="3"/>
    <x v="16"/>
    <n v="4"/>
    <n v="12.56"/>
    <s v="Returned"/>
    <s v="Debit Card"/>
    <n v="50.24"/>
    <n v="7"/>
    <x v="0"/>
  </r>
  <r>
    <x v="256"/>
    <x v="86"/>
    <s v="CUST1741"/>
    <s v="Siti Wilson"/>
    <x v="0"/>
    <x v="0"/>
    <x v="3"/>
    <n v="1"/>
    <n v="12.59"/>
    <s v="Completed"/>
    <s v="Debit Card"/>
    <n v="12.59"/>
    <n v="7"/>
    <x v="0"/>
  </r>
  <r>
    <x v="257"/>
    <x v="215"/>
    <s v="CUST1799"/>
    <s v="Robert Hidayat"/>
    <x v="1"/>
    <x v="0"/>
    <x v="0"/>
    <n v="1"/>
    <n v="12.66"/>
    <s v="Completed"/>
    <s v="PayPal"/>
    <n v="12.66"/>
    <n v="7"/>
    <x v="0"/>
  </r>
  <r>
    <x v="258"/>
    <x v="216"/>
    <s v="CUST1397"/>
    <s v="Maria Anderson"/>
    <x v="0"/>
    <x v="4"/>
    <x v="22"/>
    <n v="1"/>
    <n v="12.71"/>
    <s v="Completed"/>
    <s v="PayPal"/>
    <n v="12.71"/>
    <n v="4"/>
    <x v="0"/>
  </r>
  <r>
    <x v="259"/>
    <x v="217"/>
    <s v="CUST1048"/>
    <s v="Andi Kurniawan"/>
    <x v="0"/>
    <x v="3"/>
    <x v="14"/>
    <n v="1"/>
    <n v="12.71"/>
    <s v="Completed"/>
    <s v="Gift Card"/>
    <n v="12.71"/>
    <n v="4"/>
    <x v="0"/>
  </r>
  <r>
    <x v="260"/>
    <x v="218"/>
    <s v="CUST1130"/>
    <s v="Maria Johnson"/>
    <x v="0"/>
    <x v="2"/>
    <x v="11"/>
    <n v="1"/>
    <n v="12.72"/>
    <s v="Completed"/>
    <s v="Debit Card"/>
    <n v="12.72"/>
    <n v="5"/>
    <x v="0"/>
  </r>
  <r>
    <x v="261"/>
    <x v="219"/>
    <s v="CUST1097"/>
    <s v="Fajar Anderson"/>
    <x v="0"/>
    <x v="0"/>
    <x v="0"/>
    <n v="1"/>
    <n v="12.73"/>
    <s v="Returned"/>
    <s v="Gift Card"/>
    <n v="12.73"/>
    <n v="6"/>
    <x v="0"/>
  </r>
  <r>
    <x v="262"/>
    <x v="220"/>
    <s v="CUST1641"/>
    <s v="Rina Nugroho"/>
    <x v="1"/>
    <x v="2"/>
    <x v="7"/>
    <n v="1"/>
    <n v="12.73"/>
    <s v="Completed"/>
    <s v="PayPal"/>
    <n v="12.73"/>
    <n v="8"/>
    <x v="0"/>
  </r>
  <r>
    <x v="263"/>
    <x v="221"/>
    <s v="CUST1236"/>
    <s v="Michael Wilson"/>
    <x v="0"/>
    <x v="0"/>
    <x v="1"/>
    <n v="2"/>
    <n v="12.74"/>
    <s v="Completed"/>
    <s v="PayPal"/>
    <n v="25.48"/>
    <n v="6"/>
    <x v="0"/>
  </r>
  <r>
    <x v="264"/>
    <x v="222"/>
    <s v="CUST1597"/>
    <s v="Ahmad Nugroho"/>
    <x v="3"/>
    <x v="1"/>
    <x v="17"/>
    <n v="2"/>
    <n v="12.75"/>
    <s v="Completed"/>
    <s v="Gift Card"/>
    <n v="25.5"/>
    <n v="3"/>
    <x v="0"/>
  </r>
  <r>
    <x v="265"/>
    <x v="179"/>
    <s v="CUST1250"/>
    <s v="Linda Smith"/>
    <x v="0"/>
    <x v="0"/>
    <x v="2"/>
    <n v="3"/>
    <n v="12.75"/>
    <s v="Completed"/>
    <s v="Credit Card"/>
    <n v="38.25"/>
    <n v="6"/>
    <x v="0"/>
  </r>
  <r>
    <x v="266"/>
    <x v="70"/>
    <s v="CUST1010"/>
    <s v="Budi Anderson"/>
    <x v="0"/>
    <x v="5"/>
    <x v="30"/>
    <n v="4"/>
    <n v="12.77"/>
    <s v="Completed"/>
    <s v="Credit Card"/>
    <n v="51.08"/>
    <n v="2"/>
    <x v="0"/>
  </r>
  <r>
    <x v="267"/>
    <x v="223"/>
    <s v="CUST1390"/>
    <s v="Ayu Hidayat"/>
    <x v="0"/>
    <x v="4"/>
    <x v="25"/>
    <n v="2"/>
    <n v="12.8"/>
    <s v="Returned"/>
    <s v="Debit Card"/>
    <n v="25.6"/>
    <n v="5"/>
    <x v="0"/>
  </r>
  <r>
    <x v="268"/>
    <x v="222"/>
    <s v="CUST1042"/>
    <s v="Sarah Wijaya"/>
    <x v="0"/>
    <x v="0"/>
    <x v="3"/>
    <n v="1"/>
    <n v="12.82"/>
    <s v="Cancelled"/>
    <s v="Credit Card"/>
    <n v="12.82"/>
    <n v="3"/>
    <x v="0"/>
  </r>
  <r>
    <x v="269"/>
    <x v="224"/>
    <s v="CUST1414"/>
    <s v="Ayu Chen"/>
    <x v="0"/>
    <x v="4"/>
    <x v="24"/>
    <n v="4"/>
    <n v="12.85"/>
    <s v="Completed"/>
    <s v="Credit Card"/>
    <n v="51.4"/>
    <n v="6"/>
    <x v="0"/>
  </r>
  <r>
    <x v="270"/>
    <x v="225"/>
    <s v="CUST1689"/>
    <s v="Siti Tan"/>
    <x v="0"/>
    <x v="4"/>
    <x v="22"/>
    <n v="2"/>
    <n v="12.86"/>
    <s v="Completed"/>
    <s v="PayPal"/>
    <n v="25.72"/>
    <n v="7"/>
    <x v="0"/>
  </r>
  <r>
    <x v="271"/>
    <x v="226"/>
    <s v="CUST1704"/>
    <s v="Dewi Nugroho"/>
    <x v="0"/>
    <x v="2"/>
    <x v="15"/>
    <n v="1"/>
    <n v="12.89"/>
    <s v="Returned"/>
    <s v="PayPal"/>
    <n v="12.89"/>
    <n v="3"/>
    <x v="0"/>
  </r>
  <r>
    <x v="272"/>
    <x v="227"/>
    <s v="CUST1513"/>
    <s v="Robert Kurniawan"/>
    <x v="0"/>
    <x v="2"/>
    <x v="8"/>
    <n v="1"/>
    <n v="12.89"/>
    <s v="Completed"/>
    <s v="Gift Card"/>
    <n v="12.89"/>
    <n v="5"/>
    <x v="0"/>
  </r>
  <r>
    <x v="273"/>
    <x v="228"/>
    <s v="CUST1889"/>
    <s v="James Sari"/>
    <x v="1"/>
    <x v="4"/>
    <x v="25"/>
    <n v="2"/>
    <n v="12.94"/>
    <s v="Completed"/>
    <s v="Gift Card"/>
    <n v="25.88"/>
    <n v="5"/>
    <x v="0"/>
  </r>
  <r>
    <x v="274"/>
    <x v="229"/>
    <s v="CUST1390"/>
    <s v="Ayu Hidayat"/>
    <x v="0"/>
    <x v="1"/>
    <x v="18"/>
    <n v="2"/>
    <n v="12.94"/>
    <s v="Completed"/>
    <s v="Debit Card"/>
    <n v="25.88"/>
    <n v="5"/>
    <x v="0"/>
  </r>
  <r>
    <x v="275"/>
    <x v="182"/>
    <s v="CUST1676"/>
    <s v="Lisa Wijaya"/>
    <x v="1"/>
    <x v="4"/>
    <x v="21"/>
    <n v="1"/>
    <n v="12.96"/>
    <s v="Completed"/>
    <s v="Debit Card"/>
    <n v="12.96"/>
    <n v="7"/>
    <x v="0"/>
  </r>
  <r>
    <x v="276"/>
    <x v="230"/>
    <s v="CUST1460"/>
    <s v="Rina Sari"/>
    <x v="0"/>
    <x v="1"/>
    <x v="17"/>
    <n v="1"/>
    <n v="12.96"/>
    <s v="Completed"/>
    <s v="Debit Card"/>
    <n v="12.96"/>
    <n v="9"/>
    <x v="0"/>
  </r>
  <r>
    <x v="277"/>
    <x v="231"/>
    <s v="CUST1213"/>
    <s v="Michael Tan"/>
    <x v="0"/>
    <x v="3"/>
    <x v="14"/>
    <n v="2"/>
    <n v="12.96"/>
    <s v="Pending"/>
    <s v="Debit Card"/>
    <n v="25.92"/>
    <n v="6"/>
    <x v="0"/>
  </r>
  <r>
    <x v="278"/>
    <x v="232"/>
    <s v="CUST1157"/>
    <s v="Robert Kurniawan"/>
    <x v="0"/>
    <x v="4"/>
    <x v="21"/>
    <n v="1"/>
    <n v="12.97"/>
    <s v="Completed"/>
    <s v="PayPal"/>
    <n v="12.97"/>
    <n v="4"/>
    <x v="0"/>
  </r>
  <r>
    <x v="279"/>
    <x v="233"/>
    <s v="CUST1042"/>
    <s v="Sarah Wijaya"/>
    <x v="0"/>
    <x v="0"/>
    <x v="4"/>
    <n v="1"/>
    <n v="12.98"/>
    <s v="Cancelled"/>
    <s v="Debit Card"/>
    <n v="12.98"/>
    <n v="3"/>
    <x v="0"/>
  </r>
  <r>
    <x v="280"/>
    <x v="234"/>
    <s v="CUST1246"/>
    <s v="Ayu Brown"/>
    <x v="0"/>
    <x v="2"/>
    <x v="7"/>
    <n v="1"/>
    <n v="13"/>
    <s v="Completed"/>
    <s v="Debit Card"/>
    <n v="13"/>
    <n v="7"/>
    <x v="0"/>
  </r>
  <r>
    <x v="281"/>
    <x v="42"/>
    <s v="CUST1204"/>
    <s v="Dewi Garcia"/>
    <x v="2"/>
    <x v="0"/>
    <x v="0"/>
    <n v="1"/>
    <n v="13.03"/>
    <s v="Returned"/>
    <s v="Credit Card"/>
    <n v="13.03"/>
    <n v="1"/>
    <x v="1"/>
  </r>
  <r>
    <x v="282"/>
    <x v="235"/>
    <s v="CUST1381"/>
    <s v="Putri Nugroho"/>
    <x v="0"/>
    <x v="1"/>
    <x v="17"/>
    <n v="1"/>
    <n v="13.05"/>
    <s v="Completed"/>
    <s v="PayPal"/>
    <n v="13.05"/>
    <n v="3"/>
    <x v="0"/>
  </r>
  <r>
    <x v="283"/>
    <x v="236"/>
    <s v="CUST1693"/>
    <s v="Lisa Santos"/>
    <x v="0"/>
    <x v="5"/>
    <x v="30"/>
    <n v="2"/>
    <n v="13.06"/>
    <s v="Completed"/>
    <s v="PayPal"/>
    <n v="26.12"/>
    <n v="8"/>
    <x v="0"/>
  </r>
  <r>
    <x v="284"/>
    <x v="237"/>
    <s v="CUST1385"/>
    <s v="Michael Lee"/>
    <x v="0"/>
    <x v="0"/>
    <x v="4"/>
    <n v="3"/>
    <n v="13.08"/>
    <s v="Cancelled"/>
    <s v="Credit Card"/>
    <n v="39.24"/>
    <n v="7"/>
    <x v="0"/>
  </r>
  <r>
    <x v="285"/>
    <x v="238"/>
    <s v="CUST1098"/>
    <s v="Sarah Yusuf"/>
    <x v="3"/>
    <x v="1"/>
    <x v="9"/>
    <n v="2"/>
    <n v="13.09"/>
    <s v="Pending"/>
    <s v="Gift Card"/>
    <n v="26.18"/>
    <n v="4"/>
    <x v="0"/>
  </r>
  <r>
    <x v="286"/>
    <x v="112"/>
    <s v="CUST1816"/>
    <s v="John Kurniawan"/>
    <x v="0"/>
    <x v="3"/>
    <x v="12"/>
    <n v="1"/>
    <n v="13.11"/>
    <s v="Completed"/>
    <s v="Debit Card"/>
    <n v="13.11"/>
    <n v="6"/>
    <x v="0"/>
  </r>
  <r>
    <x v="287"/>
    <x v="239"/>
    <s v="CUST1074"/>
    <s v="John Sari"/>
    <x v="1"/>
    <x v="1"/>
    <x v="18"/>
    <n v="1"/>
    <n v="13.12"/>
    <s v="Completed"/>
    <s v="Gift Card"/>
    <n v="13.12"/>
    <n v="4"/>
    <x v="0"/>
  </r>
  <r>
    <x v="288"/>
    <x v="228"/>
    <s v="CUST1135"/>
    <s v="Rina Kurniawan"/>
    <x v="1"/>
    <x v="1"/>
    <x v="5"/>
    <n v="1"/>
    <n v="13.13"/>
    <s v="Completed"/>
    <s v="PayPal"/>
    <n v="13.13"/>
    <n v="5"/>
    <x v="0"/>
  </r>
  <r>
    <x v="289"/>
    <x v="11"/>
    <s v="CUST1317"/>
    <s v="David Halim"/>
    <x v="3"/>
    <x v="1"/>
    <x v="18"/>
    <n v="1"/>
    <n v="13.17"/>
    <s v="Returned"/>
    <s v="PayPal"/>
    <n v="13.17"/>
    <n v="2"/>
    <x v="0"/>
  </r>
  <r>
    <x v="290"/>
    <x v="175"/>
    <s v="CUST1064"/>
    <s v="James Lee"/>
    <x v="0"/>
    <x v="4"/>
    <x v="21"/>
    <n v="4"/>
    <n v="13.17"/>
    <s v="Completed"/>
    <s v="Credit Card"/>
    <n v="52.68"/>
    <n v="6"/>
    <x v="0"/>
  </r>
  <r>
    <x v="291"/>
    <x v="240"/>
    <s v="CUST1649"/>
    <s v="Rina Wilson"/>
    <x v="0"/>
    <x v="0"/>
    <x v="1"/>
    <n v="1"/>
    <n v="13.18"/>
    <s v="Completed"/>
    <s v="Gift Card"/>
    <n v="13.18"/>
    <n v="7"/>
    <x v="0"/>
  </r>
  <r>
    <x v="292"/>
    <x v="241"/>
    <s v="CUST1651"/>
    <s v="Rina Nugroho"/>
    <x v="0"/>
    <x v="3"/>
    <x v="19"/>
    <n v="2"/>
    <n v="13.2"/>
    <s v="Completed"/>
    <s v="Credit Card"/>
    <n v="26.4"/>
    <n v="4"/>
    <x v="0"/>
  </r>
  <r>
    <x v="293"/>
    <x v="182"/>
    <s v="CUST1551"/>
    <s v="Linda Smith"/>
    <x v="0"/>
    <x v="0"/>
    <x v="4"/>
    <n v="1"/>
    <n v="13.25"/>
    <s v="Pending"/>
    <s v="Debit Card"/>
    <n v="13.25"/>
    <n v="2"/>
    <x v="0"/>
  </r>
  <r>
    <x v="294"/>
    <x v="140"/>
    <s v="CUST1216"/>
    <s v="Robert Anderson"/>
    <x v="0"/>
    <x v="0"/>
    <x v="4"/>
    <n v="2"/>
    <n v="13.26"/>
    <s v="Completed"/>
    <s v="PayPal"/>
    <n v="26.52"/>
    <n v="6"/>
    <x v="0"/>
  </r>
  <r>
    <x v="295"/>
    <x v="242"/>
    <s v="CUST1553"/>
    <s v="Fajar Hidayat"/>
    <x v="0"/>
    <x v="0"/>
    <x v="2"/>
    <n v="1"/>
    <n v="13.32"/>
    <s v="Completed"/>
    <s v="Debit Card"/>
    <n v="13.32"/>
    <n v="5"/>
    <x v="0"/>
  </r>
  <r>
    <x v="296"/>
    <x v="201"/>
    <s v="CUST1507"/>
    <s v="Andi Brown"/>
    <x v="0"/>
    <x v="2"/>
    <x v="8"/>
    <n v="1"/>
    <n v="13.34"/>
    <s v="Completed"/>
    <s v="Gift Card"/>
    <n v="13.34"/>
    <n v="7"/>
    <x v="0"/>
  </r>
  <r>
    <x v="297"/>
    <x v="243"/>
    <s v="CUST1019"/>
    <s v="Siti Sari"/>
    <x v="1"/>
    <x v="0"/>
    <x v="0"/>
    <n v="1"/>
    <n v="13.35"/>
    <s v="Completed"/>
    <s v="Debit Card"/>
    <n v="13.35"/>
    <n v="3"/>
    <x v="0"/>
  </r>
  <r>
    <x v="298"/>
    <x v="244"/>
    <s v="CUST1685"/>
    <s v="Budi Kurniawan"/>
    <x v="3"/>
    <x v="5"/>
    <x v="29"/>
    <n v="2"/>
    <n v="13.37"/>
    <s v="Completed"/>
    <s v="PayPal"/>
    <n v="26.74"/>
    <n v="5"/>
    <x v="0"/>
  </r>
  <r>
    <x v="299"/>
    <x v="245"/>
    <s v="CUST1830"/>
    <s v="Unknown Customer"/>
    <x v="0"/>
    <x v="2"/>
    <x v="10"/>
    <n v="1"/>
    <n v="13.38"/>
    <s v="Completed"/>
    <s v="Credit Card"/>
    <n v="13.38"/>
    <n v="3"/>
    <x v="0"/>
  </r>
  <r>
    <x v="300"/>
    <x v="65"/>
    <s v="CUST1226"/>
    <s v="Fajar Pratama"/>
    <x v="0"/>
    <x v="1"/>
    <x v="18"/>
    <n v="1"/>
    <n v="13.39"/>
    <s v="Completed"/>
    <s v="Gift Card"/>
    <n v="13.39"/>
    <n v="4"/>
    <x v="0"/>
  </r>
  <r>
    <x v="301"/>
    <x v="76"/>
    <s v="CUST1853"/>
    <s v="Robert Smith"/>
    <x v="0"/>
    <x v="5"/>
    <x v="31"/>
    <n v="1"/>
    <n v="13.42"/>
    <s v="Completed"/>
    <s v="Debit Card"/>
    <n v="13.42"/>
    <n v="5"/>
    <x v="0"/>
  </r>
  <r>
    <x v="302"/>
    <x v="155"/>
    <s v="CUST1087"/>
    <s v="Linda Tan"/>
    <x v="0"/>
    <x v="2"/>
    <x v="11"/>
    <n v="1"/>
    <n v="13.43"/>
    <s v="Completed"/>
    <s v="Credit Card"/>
    <n v="13.43"/>
    <n v="7"/>
    <x v="0"/>
  </r>
  <r>
    <x v="303"/>
    <x v="137"/>
    <s v="CUST1268"/>
    <s v="Sarah Lee"/>
    <x v="0"/>
    <x v="2"/>
    <x v="8"/>
    <n v="3"/>
    <n v="13.45"/>
    <s v="Completed"/>
    <s v="Gift Card"/>
    <n v="40.349999999999994"/>
    <n v="3"/>
    <x v="0"/>
  </r>
  <r>
    <x v="304"/>
    <x v="244"/>
    <s v="CUST1634"/>
    <s v="James Sari"/>
    <x v="0"/>
    <x v="2"/>
    <x v="15"/>
    <n v="1"/>
    <n v="13.46"/>
    <s v="Completed"/>
    <s v="Credit Card"/>
    <n v="13.46"/>
    <n v="4"/>
    <x v="0"/>
  </r>
  <r>
    <x v="305"/>
    <x v="246"/>
    <s v="CUST1863"/>
    <s v="David Pratama"/>
    <x v="0"/>
    <x v="5"/>
    <x v="32"/>
    <n v="1"/>
    <n v="13.48"/>
    <s v="Completed"/>
    <s v="Gift Card"/>
    <n v="13.48"/>
    <n v="6"/>
    <x v="0"/>
  </r>
  <r>
    <x v="306"/>
    <x v="125"/>
    <s v="CUST1898"/>
    <s v="Ahmad Nugroho"/>
    <x v="1"/>
    <x v="1"/>
    <x v="20"/>
    <n v="1"/>
    <n v="13.48"/>
    <s v="Completed"/>
    <s v="Debit Card"/>
    <n v="13.48"/>
    <n v="3"/>
    <x v="0"/>
  </r>
  <r>
    <x v="307"/>
    <x v="247"/>
    <s v="CUST1766"/>
    <s v="Michael Kurniawan"/>
    <x v="0"/>
    <x v="3"/>
    <x v="16"/>
    <n v="1"/>
    <n v="13.49"/>
    <s v="Cancelled"/>
    <s v="PayPal"/>
    <n v="13.49"/>
    <n v="6"/>
    <x v="0"/>
  </r>
  <r>
    <x v="308"/>
    <x v="32"/>
    <s v="CUST1175"/>
    <s v="Lisa Kurniawan"/>
    <x v="0"/>
    <x v="3"/>
    <x v="16"/>
    <n v="1"/>
    <n v="13.5"/>
    <s v="Completed"/>
    <s v="Credit Card"/>
    <n v="13.5"/>
    <n v="6"/>
    <x v="0"/>
  </r>
  <r>
    <x v="309"/>
    <x v="248"/>
    <s v="CUST1029"/>
    <s v="Nina Smith"/>
    <x v="1"/>
    <x v="0"/>
    <x v="3"/>
    <n v="1"/>
    <n v="13.5"/>
    <s v="Completed"/>
    <s v="Credit Card"/>
    <n v="13.5"/>
    <n v="8"/>
    <x v="0"/>
  </r>
  <r>
    <x v="310"/>
    <x v="34"/>
    <s v="CUST1245"/>
    <s v="Dewi Yusuf"/>
    <x v="1"/>
    <x v="2"/>
    <x v="10"/>
    <n v="2"/>
    <n v="13.51"/>
    <s v="Completed"/>
    <s v="Debit Card"/>
    <n v="27.02"/>
    <n v="4"/>
    <x v="0"/>
  </r>
  <r>
    <x v="311"/>
    <x v="144"/>
    <s v="CUST1853"/>
    <s v="Robert Smith"/>
    <x v="0"/>
    <x v="4"/>
    <x v="26"/>
    <n v="1"/>
    <n v="13.53"/>
    <s v="Completed"/>
    <s v="Credit Card"/>
    <n v="13.53"/>
    <n v="5"/>
    <x v="0"/>
  </r>
  <r>
    <x v="312"/>
    <x v="249"/>
    <s v="CUST1095"/>
    <s v="Sarah Smith"/>
    <x v="0"/>
    <x v="4"/>
    <x v="27"/>
    <n v="1"/>
    <n v="13.54"/>
    <s v="Completed"/>
    <s v="Credit Card"/>
    <n v="13.54"/>
    <n v="9"/>
    <x v="0"/>
  </r>
  <r>
    <x v="313"/>
    <x v="145"/>
    <s v="CUST1364"/>
    <s v="Unknown Customer"/>
    <x v="0"/>
    <x v="1"/>
    <x v="6"/>
    <n v="1"/>
    <n v="13.56"/>
    <s v="Completed"/>
    <s v="Debit Card"/>
    <n v="13.56"/>
    <n v="8"/>
    <x v="0"/>
  </r>
  <r>
    <x v="314"/>
    <x v="250"/>
    <s v="CUST1145"/>
    <s v="Linda Smith"/>
    <x v="0"/>
    <x v="3"/>
    <x v="19"/>
    <n v="2"/>
    <n v="13.57"/>
    <s v="Completed"/>
    <s v="Unknown"/>
    <n v="27.14"/>
    <n v="12"/>
    <x v="0"/>
  </r>
  <r>
    <x v="315"/>
    <x v="251"/>
    <s v="CUST1815"/>
    <s v="Budi Garcia"/>
    <x v="1"/>
    <x v="3"/>
    <x v="16"/>
    <n v="3"/>
    <n v="13.58"/>
    <s v="Completed"/>
    <s v="Gift Card"/>
    <n v="40.74"/>
    <n v="6"/>
    <x v="0"/>
  </r>
  <r>
    <x v="316"/>
    <x v="252"/>
    <s v="CUST1171"/>
    <s v="Unknown Customer"/>
    <x v="0"/>
    <x v="1"/>
    <x v="18"/>
    <n v="1"/>
    <n v="13.59"/>
    <s v="Completed"/>
    <s v="Credit Card"/>
    <n v="13.59"/>
    <n v="5"/>
    <x v="0"/>
  </r>
  <r>
    <x v="317"/>
    <x v="253"/>
    <s v="CUST1616"/>
    <s v="Putri Wijaya"/>
    <x v="1"/>
    <x v="0"/>
    <x v="0"/>
    <n v="5"/>
    <n v="13.62"/>
    <s v="Completed"/>
    <s v="PayPal"/>
    <n v="68.099999999999994"/>
    <n v="3"/>
    <x v="0"/>
  </r>
  <r>
    <x v="318"/>
    <x v="254"/>
    <s v="CUST1291"/>
    <s v="Dewi Wijaya"/>
    <x v="0"/>
    <x v="0"/>
    <x v="2"/>
    <n v="1"/>
    <n v="13.64"/>
    <s v="Completed"/>
    <s v="Credit Card"/>
    <n v="13.64"/>
    <n v="4"/>
    <x v="0"/>
  </r>
  <r>
    <x v="319"/>
    <x v="42"/>
    <s v="CUST1482"/>
    <s v="Sarah Johnson"/>
    <x v="0"/>
    <x v="3"/>
    <x v="14"/>
    <n v="1"/>
    <n v="13.66"/>
    <s v="Returned"/>
    <s v="Credit Card"/>
    <n v="13.66"/>
    <n v="4"/>
    <x v="0"/>
  </r>
  <r>
    <x v="320"/>
    <x v="197"/>
    <s v="CUST1334"/>
    <s v="Fajar Santos"/>
    <x v="0"/>
    <x v="0"/>
    <x v="1"/>
    <n v="1"/>
    <n v="13.69"/>
    <s v="Completed"/>
    <s v="Debit Card"/>
    <n v="13.69"/>
    <n v="5"/>
    <x v="0"/>
  </r>
  <r>
    <x v="321"/>
    <x v="255"/>
    <s v="CUST1865"/>
    <s v="Ayu Salim"/>
    <x v="0"/>
    <x v="4"/>
    <x v="23"/>
    <n v="1"/>
    <n v="13.69"/>
    <s v="Completed"/>
    <s v="Debit Card"/>
    <n v="13.69"/>
    <n v="9"/>
    <x v="0"/>
  </r>
  <r>
    <x v="322"/>
    <x v="256"/>
    <s v="CUST1755"/>
    <s v="Budi Sari"/>
    <x v="0"/>
    <x v="3"/>
    <x v="19"/>
    <n v="1"/>
    <n v="13.71"/>
    <s v="Completed"/>
    <s v="Debit Card"/>
    <n v="13.71"/>
    <n v="11"/>
    <x v="0"/>
  </r>
  <r>
    <x v="323"/>
    <x v="257"/>
    <s v="CUST1829"/>
    <s v="Nina Nugroho"/>
    <x v="1"/>
    <x v="4"/>
    <x v="21"/>
    <n v="1"/>
    <n v="13.72"/>
    <s v="Completed"/>
    <s v="PayPal"/>
    <n v="13.72"/>
    <n v="4"/>
    <x v="0"/>
  </r>
  <r>
    <x v="324"/>
    <x v="258"/>
    <s v="CUST1576"/>
    <s v="Linda Pratama"/>
    <x v="0"/>
    <x v="2"/>
    <x v="10"/>
    <n v="1"/>
    <n v="13.73"/>
    <s v="Completed"/>
    <s v="Gift Card"/>
    <n v="13.73"/>
    <n v="4"/>
    <x v="0"/>
  </r>
  <r>
    <x v="325"/>
    <x v="15"/>
    <s v="CUST1543"/>
    <s v="Ayu Wilson"/>
    <x v="0"/>
    <x v="2"/>
    <x v="8"/>
    <n v="2"/>
    <n v="13.74"/>
    <s v="Completed"/>
    <s v="Credit Card"/>
    <n v="27.48"/>
    <n v="12"/>
    <x v="0"/>
  </r>
  <r>
    <x v="326"/>
    <x v="259"/>
    <s v="CUST1878"/>
    <s v="Ayu Sari"/>
    <x v="0"/>
    <x v="0"/>
    <x v="4"/>
    <n v="2"/>
    <n v="13.76"/>
    <s v="Completed"/>
    <s v="PayPal"/>
    <n v="27.52"/>
    <n v="5"/>
    <x v="0"/>
  </r>
  <r>
    <x v="327"/>
    <x v="260"/>
    <s v="CUST1845"/>
    <s v="David Nugroho"/>
    <x v="2"/>
    <x v="3"/>
    <x v="13"/>
    <n v="1"/>
    <n v="13.78"/>
    <s v="Completed"/>
    <s v="Debit Card"/>
    <n v="13.78"/>
    <n v="2"/>
    <x v="0"/>
  </r>
  <r>
    <x v="328"/>
    <x v="140"/>
    <s v="CUST1448"/>
    <s v="Maria Halim"/>
    <x v="0"/>
    <x v="2"/>
    <x v="11"/>
    <n v="5"/>
    <n v="13.78"/>
    <s v="Completed"/>
    <s v="Gift Card"/>
    <n v="68.899999999999991"/>
    <n v="7"/>
    <x v="0"/>
  </r>
  <r>
    <x v="329"/>
    <x v="261"/>
    <s v="CUST1664"/>
    <s v="Dewi Nugroho"/>
    <x v="1"/>
    <x v="5"/>
    <x v="33"/>
    <n v="2"/>
    <n v="13.79"/>
    <s v="Completed"/>
    <s v="PayPal"/>
    <n v="27.58"/>
    <n v="6"/>
    <x v="0"/>
  </r>
  <r>
    <x v="330"/>
    <x v="262"/>
    <s v="CUST1417"/>
    <s v="Andi Hidayat"/>
    <x v="0"/>
    <x v="2"/>
    <x v="8"/>
    <n v="5"/>
    <n v="13.8"/>
    <s v="Completed"/>
    <s v="Credit Card"/>
    <n v="69"/>
    <n v="6"/>
    <x v="0"/>
  </r>
  <r>
    <x v="331"/>
    <x v="75"/>
    <s v="CUST1226"/>
    <s v="Fajar Pratama"/>
    <x v="0"/>
    <x v="2"/>
    <x v="7"/>
    <n v="1"/>
    <n v="13.82"/>
    <s v="Completed"/>
    <s v="Unknown"/>
    <n v="13.82"/>
    <n v="4"/>
    <x v="0"/>
  </r>
  <r>
    <x v="332"/>
    <x v="263"/>
    <s v="CUST1052"/>
    <s v="Fajar Halim"/>
    <x v="0"/>
    <x v="3"/>
    <x v="14"/>
    <n v="2"/>
    <n v="13.82"/>
    <s v="Completed"/>
    <s v="Credit Card"/>
    <n v="27.64"/>
    <n v="8"/>
    <x v="0"/>
  </r>
  <r>
    <x v="333"/>
    <x v="264"/>
    <s v="CUST1792"/>
    <s v="Linda Sari"/>
    <x v="1"/>
    <x v="2"/>
    <x v="10"/>
    <n v="1"/>
    <n v="13.83"/>
    <s v="Completed"/>
    <s v="PayPal"/>
    <n v="13.83"/>
    <n v="1"/>
    <x v="1"/>
  </r>
  <r>
    <x v="334"/>
    <x v="265"/>
    <s v="CUST1213"/>
    <s v="Michael Tan"/>
    <x v="0"/>
    <x v="4"/>
    <x v="25"/>
    <n v="1"/>
    <n v="13.85"/>
    <s v="Completed"/>
    <s v="Gift Card"/>
    <n v="13.85"/>
    <n v="6"/>
    <x v="0"/>
  </r>
  <r>
    <x v="335"/>
    <x v="135"/>
    <s v="CUST1175"/>
    <s v="Lisa Kurniawan"/>
    <x v="0"/>
    <x v="3"/>
    <x v="16"/>
    <n v="1"/>
    <n v="13.85"/>
    <s v="Completed"/>
    <s v="Debit Card"/>
    <n v="13.85"/>
    <n v="6"/>
    <x v="0"/>
  </r>
  <r>
    <x v="336"/>
    <x v="46"/>
    <s v="CUST1031"/>
    <s v="Robert Tan"/>
    <x v="0"/>
    <x v="3"/>
    <x v="13"/>
    <n v="1"/>
    <n v="13.87"/>
    <s v="Completed"/>
    <s v="Gift Card"/>
    <n v="13.87"/>
    <n v="5"/>
    <x v="0"/>
  </r>
  <r>
    <x v="337"/>
    <x v="266"/>
    <s v="CUST1181"/>
    <s v="Maria Smith"/>
    <x v="1"/>
    <x v="0"/>
    <x v="2"/>
    <n v="1"/>
    <n v="13.87"/>
    <s v="Completed"/>
    <s v="Credit Card"/>
    <n v="13.87"/>
    <n v="3"/>
    <x v="0"/>
  </r>
  <r>
    <x v="338"/>
    <x v="267"/>
    <s v="CUST1011"/>
    <s v="Dewi Garcia"/>
    <x v="0"/>
    <x v="2"/>
    <x v="15"/>
    <n v="2"/>
    <n v="13.89"/>
    <s v="Completed"/>
    <s v="Gift Card"/>
    <n v="27.78"/>
    <n v="7"/>
    <x v="0"/>
  </r>
  <r>
    <x v="339"/>
    <x v="268"/>
    <s v="CUST1188"/>
    <s v="James Lee"/>
    <x v="0"/>
    <x v="1"/>
    <x v="18"/>
    <n v="1"/>
    <n v="13.92"/>
    <s v="Completed"/>
    <s v="Gift Card"/>
    <n v="13.92"/>
    <n v="6"/>
    <x v="0"/>
  </r>
  <r>
    <x v="340"/>
    <x v="269"/>
    <s v="CUST1632"/>
    <s v="Unknown Customer"/>
    <x v="0"/>
    <x v="5"/>
    <x v="29"/>
    <n v="2"/>
    <n v="13.95"/>
    <s v="Completed"/>
    <s v="Debit Card"/>
    <n v="27.9"/>
    <n v="2"/>
    <x v="0"/>
  </r>
  <r>
    <x v="341"/>
    <x v="270"/>
    <s v="CUST1258"/>
    <s v="Ayu Smith"/>
    <x v="0"/>
    <x v="0"/>
    <x v="3"/>
    <n v="1"/>
    <n v="13.96"/>
    <s v="Pending"/>
    <s v="PayPal"/>
    <n v="13.96"/>
    <n v="7"/>
    <x v="0"/>
  </r>
  <r>
    <x v="342"/>
    <x v="110"/>
    <s v="CUST1208"/>
    <s v="Sarah Pratama"/>
    <x v="0"/>
    <x v="5"/>
    <x v="32"/>
    <n v="1"/>
    <n v="13.97"/>
    <s v="Completed"/>
    <s v="PayPal"/>
    <n v="13.97"/>
    <n v="1"/>
    <x v="1"/>
  </r>
  <r>
    <x v="343"/>
    <x v="271"/>
    <s v="CUST1319"/>
    <s v="Rina Santos"/>
    <x v="0"/>
    <x v="2"/>
    <x v="11"/>
    <n v="1"/>
    <n v="13.97"/>
    <s v="Cancelled"/>
    <s v="PayPal"/>
    <n v="13.97"/>
    <n v="5"/>
    <x v="0"/>
  </r>
  <r>
    <x v="344"/>
    <x v="272"/>
    <s v="CUST1555"/>
    <s v="Andi Hidayat"/>
    <x v="1"/>
    <x v="2"/>
    <x v="15"/>
    <n v="2"/>
    <n v="13.97"/>
    <s v="Completed"/>
    <s v="Debit Card"/>
    <n v="27.94"/>
    <n v="3"/>
    <x v="0"/>
  </r>
  <r>
    <x v="345"/>
    <x v="273"/>
    <s v="CUST1064"/>
    <s v="James Lee"/>
    <x v="0"/>
    <x v="2"/>
    <x v="10"/>
    <n v="2"/>
    <n v="14"/>
    <s v="Returned"/>
    <s v="Gift Card"/>
    <n v="28"/>
    <n v="6"/>
    <x v="0"/>
  </r>
  <r>
    <x v="346"/>
    <x v="274"/>
    <s v="CUST1700"/>
    <s v="Robert Smith"/>
    <x v="0"/>
    <x v="4"/>
    <x v="21"/>
    <n v="1"/>
    <n v="14.06"/>
    <s v="Cancelled"/>
    <s v="Credit Card"/>
    <n v="14.06"/>
    <n v="6"/>
    <x v="0"/>
  </r>
  <r>
    <x v="347"/>
    <x v="275"/>
    <s v="CUST1205"/>
    <s v="David Johnson"/>
    <x v="0"/>
    <x v="4"/>
    <x v="25"/>
    <n v="1"/>
    <n v="14.07"/>
    <s v="Completed"/>
    <s v="PayPal"/>
    <n v="14.07"/>
    <n v="5"/>
    <x v="0"/>
  </r>
  <r>
    <x v="348"/>
    <x v="276"/>
    <s v="CUST1758"/>
    <s v="John Tan"/>
    <x v="1"/>
    <x v="2"/>
    <x v="10"/>
    <n v="2"/>
    <n v="14.07"/>
    <s v="Completed"/>
    <s v="Gift Card"/>
    <n v="28.14"/>
    <n v="4"/>
    <x v="0"/>
  </r>
  <r>
    <x v="349"/>
    <x v="277"/>
    <s v="CUST1432"/>
    <s v="Andi Smith"/>
    <x v="0"/>
    <x v="0"/>
    <x v="2"/>
    <n v="1"/>
    <n v="14.08"/>
    <s v="Completed"/>
    <s v="Credit Card"/>
    <n v="14.08"/>
    <n v="7"/>
    <x v="0"/>
  </r>
  <r>
    <x v="350"/>
    <x v="278"/>
    <s v="CUST1675"/>
    <s v="Putri Kurniawan"/>
    <x v="0"/>
    <x v="3"/>
    <x v="12"/>
    <n v="3"/>
    <n v="14.08"/>
    <s v="Completed"/>
    <s v="Credit Card"/>
    <n v="42.24"/>
    <n v="6"/>
    <x v="0"/>
  </r>
  <r>
    <x v="351"/>
    <x v="177"/>
    <s v="CUST1172"/>
    <s v="Nina Lee"/>
    <x v="0"/>
    <x v="5"/>
    <x v="34"/>
    <n v="1"/>
    <n v="14.11"/>
    <s v="Completed"/>
    <s v="Credit Card"/>
    <n v="14.11"/>
    <n v="8"/>
    <x v="0"/>
  </r>
  <r>
    <x v="352"/>
    <x v="279"/>
    <s v="CUST1344"/>
    <s v="Ahmad Salim"/>
    <x v="3"/>
    <x v="2"/>
    <x v="10"/>
    <n v="1"/>
    <n v="14.12"/>
    <s v="Completed"/>
    <s v="Debit Card"/>
    <n v="14.12"/>
    <n v="3"/>
    <x v="0"/>
  </r>
  <r>
    <x v="353"/>
    <x v="51"/>
    <s v="CUST1232"/>
    <s v="Michael Chen"/>
    <x v="0"/>
    <x v="2"/>
    <x v="11"/>
    <n v="2"/>
    <n v="14.14"/>
    <s v="Completed"/>
    <s v="Debit Card"/>
    <n v="28.28"/>
    <n v="6"/>
    <x v="0"/>
  </r>
  <r>
    <x v="354"/>
    <x v="191"/>
    <s v="CUST1352"/>
    <s v="Lisa Taylor"/>
    <x v="0"/>
    <x v="4"/>
    <x v="24"/>
    <n v="1"/>
    <n v="14.17"/>
    <s v="Completed"/>
    <s v="PayPal"/>
    <n v="14.17"/>
    <n v="7"/>
    <x v="0"/>
  </r>
  <r>
    <x v="355"/>
    <x v="280"/>
    <s v="CUST1258"/>
    <s v="Ayu Smith"/>
    <x v="0"/>
    <x v="2"/>
    <x v="7"/>
    <n v="1"/>
    <n v="14.21"/>
    <s v="Completed"/>
    <s v="PayPal"/>
    <n v="14.21"/>
    <n v="7"/>
    <x v="0"/>
  </r>
  <r>
    <x v="356"/>
    <x v="271"/>
    <s v="CUST1350"/>
    <s v="Linda Salim"/>
    <x v="0"/>
    <x v="0"/>
    <x v="2"/>
    <n v="1"/>
    <n v="14.22"/>
    <s v="Completed"/>
    <s v="PayPal"/>
    <n v="14.22"/>
    <n v="5"/>
    <x v="0"/>
  </r>
  <r>
    <x v="357"/>
    <x v="134"/>
    <s v="CUST1029"/>
    <s v="Nina Smith"/>
    <x v="1"/>
    <x v="5"/>
    <x v="28"/>
    <n v="5"/>
    <n v="14.22"/>
    <s v="Completed"/>
    <s v="PayPal"/>
    <n v="71.100000000000009"/>
    <n v="8"/>
    <x v="0"/>
  </r>
  <r>
    <x v="358"/>
    <x v="281"/>
    <s v="CUST1351"/>
    <s v="David Chen"/>
    <x v="1"/>
    <x v="0"/>
    <x v="1"/>
    <n v="2"/>
    <n v="14.24"/>
    <s v="Cancelled"/>
    <s v="PayPal"/>
    <n v="28.48"/>
    <n v="5"/>
    <x v="0"/>
  </r>
  <r>
    <x v="359"/>
    <x v="282"/>
    <s v="CUST1852"/>
    <s v="Putri Garcia"/>
    <x v="0"/>
    <x v="3"/>
    <x v="13"/>
    <n v="4"/>
    <n v="14.3"/>
    <s v="Completed"/>
    <s v="PayPal"/>
    <n v="57.2"/>
    <n v="5"/>
    <x v="0"/>
  </r>
  <r>
    <x v="360"/>
    <x v="283"/>
    <s v="CUST1382"/>
    <s v="David Hidayat"/>
    <x v="0"/>
    <x v="2"/>
    <x v="8"/>
    <n v="1"/>
    <n v="14.33"/>
    <s v="Completed"/>
    <s v="Credit Card"/>
    <n v="14.33"/>
    <n v="12"/>
    <x v="0"/>
  </r>
  <r>
    <x v="361"/>
    <x v="68"/>
    <s v="CUST1380"/>
    <s v="Unknown Customer"/>
    <x v="1"/>
    <x v="2"/>
    <x v="10"/>
    <n v="2"/>
    <n v="14.33"/>
    <s v="Completed"/>
    <s v="Debit Card"/>
    <n v="28.66"/>
    <n v="6"/>
    <x v="0"/>
  </r>
  <r>
    <x v="362"/>
    <x v="189"/>
    <s v="CUST1210"/>
    <s v="Nina Garcia"/>
    <x v="0"/>
    <x v="2"/>
    <x v="10"/>
    <n v="2"/>
    <n v="14.35"/>
    <s v="Pending"/>
    <s v="Credit Card"/>
    <n v="28.7"/>
    <n v="9"/>
    <x v="0"/>
  </r>
  <r>
    <x v="363"/>
    <x v="139"/>
    <s v="CUST1184"/>
    <s v="Michael Kurniawan"/>
    <x v="0"/>
    <x v="0"/>
    <x v="3"/>
    <n v="1"/>
    <n v="14.36"/>
    <s v="Completed"/>
    <s v="PayPal"/>
    <n v="14.36"/>
    <n v="6"/>
    <x v="0"/>
  </r>
  <r>
    <x v="364"/>
    <x v="171"/>
    <s v="CUST1041"/>
    <s v="Michael Wijaya"/>
    <x v="0"/>
    <x v="1"/>
    <x v="20"/>
    <n v="4"/>
    <n v="14.39"/>
    <s v="Completed"/>
    <s v="Gift Card"/>
    <n v="57.56"/>
    <n v="8"/>
    <x v="0"/>
  </r>
  <r>
    <x v="365"/>
    <x v="137"/>
    <s v="CUST1499"/>
    <s v="David Santos"/>
    <x v="0"/>
    <x v="2"/>
    <x v="10"/>
    <n v="1"/>
    <n v="14.41"/>
    <s v="Completed"/>
    <s v="Credit Card"/>
    <n v="14.41"/>
    <n v="9"/>
    <x v="0"/>
  </r>
  <r>
    <x v="366"/>
    <x v="284"/>
    <s v="CUST1661"/>
    <s v="Ayu Halim"/>
    <x v="3"/>
    <x v="0"/>
    <x v="4"/>
    <n v="1"/>
    <n v="14.41"/>
    <s v="Completed"/>
    <s v="PayPal"/>
    <n v="14.41"/>
    <n v="4"/>
    <x v="0"/>
  </r>
  <r>
    <x v="367"/>
    <x v="157"/>
    <s v="CUST1526"/>
    <s v="Robert Brown"/>
    <x v="0"/>
    <x v="3"/>
    <x v="19"/>
    <n v="1"/>
    <n v="14.43"/>
    <s v="Completed"/>
    <s v="PayPal"/>
    <n v="14.43"/>
    <n v="4"/>
    <x v="0"/>
  </r>
  <r>
    <x v="368"/>
    <x v="285"/>
    <s v="CUST1395"/>
    <s v="Lisa Kurniawan"/>
    <x v="3"/>
    <x v="2"/>
    <x v="10"/>
    <n v="1"/>
    <n v="14.43"/>
    <s v="Cancelled"/>
    <s v="Credit Card"/>
    <n v="14.43"/>
    <n v="5"/>
    <x v="0"/>
  </r>
  <r>
    <x v="369"/>
    <x v="286"/>
    <s v="CUST1464"/>
    <s v="Dewi Taylor"/>
    <x v="0"/>
    <x v="2"/>
    <x v="10"/>
    <n v="2"/>
    <n v="14.44"/>
    <s v="Completed"/>
    <s v="Credit Card"/>
    <n v="28.88"/>
    <n v="6"/>
    <x v="0"/>
  </r>
  <r>
    <x v="370"/>
    <x v="287"/>
    <s v="CUST1715"/>
    <s v="Dewi Tan"/>
    <x v="0"/>
    <x v="2"/>
    <x v="7"/>
    <n v="3"/>
    <n v="14.49"/>
    <s v="Cancelled"/>
    <s v="PayPal"/>
    <n v="43.47"/>
    <n v="4"/>
    <x v="0"/>
  </r>
  <r>
    <x v="371"/>
    <x v="288"/>
    <s v="CUST1195"/>
    <s v="Putri Wijaya"/>
    <x v="1"/>
    <x v="2"/>
    <x v="10"/>
    <n v="1"/>
    <n v="14.5"/>
    <s v="Completed"/>
    <s v="Credit Card"/>
    <n v="14.5"/>
    <n v="5"/>
    <x v="0"/>
  </r>
  <r>
    <x v="372"/>
    <x v="289"/>
    <s v="CUST1275"/>
    <s v="Andi Johnson"/>
    <x v="0"/>
    <x v="2"/>
    <x v="7"/>
    <n v="1"/>
    <n v="14.52"/>
    <s v="Completed"/>
    <s v="Gift Card"/>
    <n v="14.52"/>
    <n v="4"/>
    <x v="0"/>
  </r>
  <r>
    <x v="373"/>
    <x v="138"/>
    <s v="CUST1713"/>
    <s v="Dewi Taylor"/>
    <x v="0"/>
    <x v="2"/>
    <x v="8"/>
    <n v="1"/>
    <n v="14.54"/>
    <s v="Completed"/>
    <s v="PayPal"/>
    <n v="14.54"/>
    <n v="6"/>
    <x v="0"/>
  </r>
  <r>
    <x v="374"/>
    <x v="240"/>
    <s v="CUST1666"/>
    <s v="Unknown Customer"/>
    <x v="1"/>
    <x v="2"/>
    <x v="10"/>
    <n v="1"/>
    <n v="14.54"/>
    <s v="Returned"/>
    <s v="Credit Card"/>
    <n v="14.54"/>
    <n v="3"/>
    <x v="0"/>
  </r>
  <r>
    <x v="375"/>
    <x v="135"/>
    <s v="CUST1218"/>
    <s v="Siti Tan"/>
    <x v="1"/>
    <x v="2"/>
    <x v="15"/>
    <n v="1"/>
    <n v="14.55"/>
    <s v="Completed"/>
    <s v="PayPal"/>
    <n v="14.55"/>
    <n v="5"/>
    <x v="0"/>
  </r>
  <r>
    <x v="376"/>
    <x v="290"/>
    <s v="CUST1029"/>
    <s v="Nina Smith"/>
    <x v="1"/>
    <x v="4"/>
    <x v="21"/>
    <n v="4"/>
    <n v="14.55"/>
    <s v="Completed"/>
    <s v="Credit Card"/>
    <n v="58.2"/>
    <n v="8"/>
    <x v="0"/>
  </r>
  <r>
    <x v="377"/>
    <x v="291"/>
    <s v="CUST1281"/>
    <s v="Ahmad Hidayat"/>
    <x v="0"/>
    <x v="2"/>
    <x v="8"/>
    <n v="4"/>
    <n v="14.57"/>
    <s v="Pending"/>
    <s v="Gift Card"/>
    <n v="58.28"/>
    <n v="3"/>
    <x v="0"/>
  </r>
  <r>
    <x v="378"/>
    <x v="292"/>
    <s v="CUST1723"/>
    <s v="Ayu Wijaya"/>
    <x v="0"/>
    <x v="2"/>
    <x v="15"/>
    <n v="1"/>
    <n v="14.62"/>
    <s v="Cancelled"/>
    <s v="Credit Card"/>
    <n v="14.62"/>
    <n v="5"/>
    <x v="0"/>
  </r>
  <r>
    <x v="379"/>
    <x v="293"/>
    <s v="CUST1162"/>
    <s v="Siti Smith"/>
    <x v="0"/>
    <x v="2"/>
    <x v="8"/>
    <n v="1"/>
    <n v="14.64"/>
    <s v="Completed"/>
    <s v="Debit Card"/>
    <n v="14.64"/>
    <n v="4"/>
    <x v="0"/>
  </r>
  <r>
    <x v="380"/>
    <x v="294"/>
    <s v="CUST1041"/>
    <s v="Michael Wijaya"/>
    <x v="0"/>
    <x v="4"/>
    <x v="27"/>
    <n v="2"/>
    <n v="14.65"/>
    <s v="Completed"/>
    <s v="Gift Card"/>
    <n v="29.3"/>
    <n v="8"/>
    <x v="0"/>
  </r>
  <r>
    <x v="381"/>
    <x v="295"/>
    <s v="CUST1091"/>
    <s v="Nina Wilson"/>
    <x v="0"/>
    <x v="3"/>
    <x v="12"/>
    <n v="1"/>
    <n v="14.66"/>
    <s v="Completed"/>
    <s v="Credit Card"/>
    <n v="14.66"/>
    <n v="4"/>
    <x v="0"/>
  </r>
  <r>
    <x v="382"/>
    <x v="296"/>
    <s v="CUST1579"/>
    <s v="Kevin Tan"/>
    <x v="0"/>
    <x v="2"/>
    <x v="10"/>
    <n v="1"/>
    <n v="14.66"/>
    <s v="Completed"/>
    <s v="Debit Card"/>
    <n v="14.66"/>
    <n v="6"/>
    <x v="0"/>
  </r>
  <r>
    <x v="383"/>
    <x v="297"/>
    <s v="CUST1568"/>
    <s v="Budi Chen"/>
    <x v="0"/>
    <x v="2"/>
    <x v="8"/>
    <n v="1"/>
    <n v="14.67"/>
    <s v="Completed"/>
    <s v="Gift Card"/>
    <n v="14.67"/>
    <n v="5"/>
    <x v="0"/>
  </r>
  <r>
    <x v="384"/>
    <x v="298"/>
    <s v="CUST1402"/>
    <s v="Rina Nugroho"/>
    <x v="0"/>
    <x v="5"/>
    <x v="30"/>
    <n v="1"/>
    <n v="14.68"/>
    <s v="Completed"/>
    <s v="Debit Card"/>
    <n v="14.68"/>
    <n v="5"/>
    <x v="0"/>
  </r>
  <r>
    <x v="385"/>
    <x v="299"/>
    <s v="CUST1385"/>
    <s v="Michael Lee"/>
    <x v="0"/>
    <x v="1"/>
    <x v="20"/>
    <n v="1"/>
    <n v="14.69"/>
    <s v="Completed"/>
    <s v="Debit Card"/>
    <n v="14.69"/>
    <n v="7"/>
    <x v="0"/>
  </r>
  <r>
    <x v="386"/>
    <x v="258"/>
    <s v="CUST1655"/>
    <s v="John Tan"/>
    <x v="0"/>
    <x v="0"/>
    <x v="1"/>
    <n v="2"/>
    <n v="14.7"/>
    <s v="Completed"/>
    <s v="Credit Card"/>
    <n v="29.4"/>
    <n v="9"/>
    <x v="0"/>
  </r>
  <r>
    <x v="387"/>
    <x v="300"/>
    <s v="CUST1214"/>
    <s v="Ahmad Tan"/>
    <x v="0"/>
    <x v="2"/>
    <x v="15"/>
    <n v="1"/>
    <n v="14.72"/>
    <s v="Completed"/>
    <s v="PayPal"/>
    <n v="14.72"/>
    <n v="6"/>
    <x v="0"/>
  </r>
  <r>
    <x v="388"/>
    <x v="301"/>
    <s v="CUST1689"/>
    <s v="Siti Tan"/>
    <x v="0"/>
    <x v="4"/>
    <x v="22"/>
    <n v="1"/>
    <n v="14.73"/>
    <s v="Completed"/>
    <s v="Debit Card"/>
    <n v="14.73"/>
    <n v="7"/>
    <x v="0"/>
  </r>
  <r>
    <x v="389"/>
    <x v="302"/>
    <s v="CUST1667"/>
    <s v="Robert Halim"/>
    <x v="1"/>
    <x v="3"/>
    <x v="14"/>
    <n v="1"/>
    <n v="14.74"/>
    <s v="Cancelled"/>
    <s v="PayPal"/>
    <n v="14.74"/>
    <n v="7"/>
    <x v="0"/>
  </r>
  <r>
    <x v="390"/>
    <x v="303"/>
    <s v="CUST1334"/>
    <s v="Fajar Santos"/>
    <x v="0"/>
    <x v="1"/>
    <x v="5"/>
    <n v="1"/>
    <n v="14.75"/>
    <s v="Completed"/>
    <s v="Debit Card"/>
    <n v="14.75"/>
    <n v="5"/>
    <x v="0"/>
  </r>
  <r>
    <x v="391"/>
    <x v="145"/>
    <s v="CUST1684"/>
    <s v="Fajar Salim"/>
    <x v="0"/>
    <x v="0"/>
    <x v="1"/>
    <n v="1"/>
    <n v="14.75"/>
    <s v="Completed"/>
    <s v="Credit Card"/>
    <n v="14.75"/>
    <n v="6"/>
    <x v="0"/>
  </r>
  <r>
    <x v="392"/>
    <x v="304"/>
    <s v="CUST1745"/>
    <s v="Ahmad Halim"/>
    <x v="0"/>
    <x v="0"/>
    <x v="3"/>
    <n v="2"/>
    <n v="14.78"/>
    <s v="Completed"/>
    <s v="Gift Card"/>
    <n v="29.56"/>
    <n v="10"/>
    <x v="0"/>
  </r>
  <r>
    <x v="393"/>
    <x v="305"/>
    <s v="CUST1382"/>
    <s v="David Hidayat"/>
    <x v="0"/>
    <x v="4"/>
    <x v="22"/>
    <n v="1"/>
    <n v="14.79"/>
    <s v="Completed"/>
    <s v="Gift Card"/>
    <n v="14.79"/>
    <n v="12"/>
    <x v="0"/>
  </r>
  <r>
    <x v="394"/>
    <x v="306"/>
    <s v="CUST1003"/>
    <s v="Siti Anderson"/>
    <x v="0"/>
    <x v="3"/>
    <x v="16"/>
    <n v="4"/>
    <n v="14.81"/>
    <s v="Completed"/>
    <s v="PayPal"/>
    <n v="59.24"/>
    <n v="4"/>
    <x v="0"/>
  </r>
  <r>
    <x v="395"/>
    <x v="30"/>
    <s v="CUST1213"/>
    <s v="Michael Tan"/>
    <x v="0"/>
    <x v="5"/>
    <x v="31"/>
    <n v="2"/>
    <n v="14.82"/>
    <s v="Completed"/>
    <s v="Debit Card"/>
    <n v="29.64"/>
    <n v="6"/>
    <x v="0"/>
  </r>
  <r>
    <x v="396"/>
    <x v="304"/>
    <s v="CUST1290"/>
    <s v="Lisa Nugroho"/>
    <x v="0"/>
    <x v="0"/>
    <x v="1"/>
    <n v="1"/>
    <n v="14.84"/>
    <s v="Completed"/>
    <s v="Gift Card"/>
    <n v="14.84"/>
    <n v="3"/>
    <x v="0"/>
  </r>
  <r>
    <x v="397"/>
    <x v="307"/>
    <s v="CUST1289"/>
    <s v="Dewi Brown"/>
    <x v="0"/>
    <x v="2"/>
    <x v="7"/>
    <n v="1"/>
    <n v="14.84"/>
    <s v="Completed"/>
    <s v="Debit Card"/>
    <n v="14.84"/>
    <n v="6"/>
    <x v="0"/>
  </r>
  <r>
    <x v="398"/>
    <x v="161"/>
    <s v="CUST1382"/>
    <s v="David Hidayat"/>
    <x v="0"/>
    <x v="1"/>
    <x v="18"/>
    <n v="2"/>
    <n v="14.84"/>
    <s v="Pending"/>
    <s v="Gift Card"/>
    <n v="29.68"/>
    <n v="12"/>
    <x v="0"/>
  </r>
  <r>
    <x v="399"/>
    <x v="308"/>
    <s v="CUST1211"/>
    <s v="Sarah Santos"/>
    <x v="0"/>
    <x v="5"/>
    <x v="32"/>
    <n v="1"/>
    <n v="14.88"/>
    <s v="Completed"/>
    <s v="Credit Card"/>
    <n v="14.88"/>
    <n v="8"/>
    <x v="0"/>
  </r>
  <r>
    <x v="400"/>
    <x v="309"/>
    <s v="CUST1244"/>
    <s v="Nina Pratama"/>
    <x v="0"/>
    <x v="2"/>
    <x v="15"/>
    <n v="1"/>
    <n v="14.99"/>
    <s v="Pending"/>
    <s v="Credit Card"/>
    <n v="14.99"/>
    <n v="6"/>
    <x v="0"/>
  </r>
  <r>
    <x v="401"/>
    <x v="103"/>
    <s v="CUST1339"/>
    <s v="Siti Hidayat"/>
    <x v="0"/>
    <x v="0"/>
    <x v="1"/>
    <n v="5"/>
    <n v="15"/>
    <s v="Cancelled"/>
    <s v="Credit Card"/>
    <n v="75"/>
    <n v="4"/>
    <x v="0"/>
  </r>
  <r>
    <x v="402"/>
    <x v="310"/>
    <s v="CUST1036"/>
    <s v="Ayu Johnson"/>
    <x v="0"/>
    <x v="2"/>
    <x v="10"/>
    <n v="1"/>
    <n v="15.01"/>
    <s v="Completed"/>
    <s v="Gift Card"/>
    <n v="15.01"/>
    <n v="2"/>
    <x v="0"/>
  </r>
  <r>
    <x v="403"/>
    <x v="144"/>
    <s v="CUST1684"/>
    <s v="Fajar Salim"/>
    <x v="0"/>
    <x v="2"/>
    <x v="8"/>
    <n v="5"/>
    <n v="15.01"/>
    <s v="Completed"/>
    <s v="Credit Card"/>
    <n v="75.05"/>
    <n v="6"/>
    <x v="0"/>
  </r>
  <r>
    <x v="404"/>
    <x v="311"/>
    <s v="CUST1655"/>
    <s v="John Tan"/>
    <x v="0"/>
    <x v="5"/>
    <x v="28"/>
    <n v="2"/>
    <n v="15.04"/>
    <s v="Completed"/>
    <s v="PayPal"/>
    <n v="30.08"/>
    <n v="9"/>
    <x v="0"/>
  </r>
  <r>
    <x v="405"/>
    <x v="312"/>
    <s v="CUST1219"/>
    <s v="Linda Yusuf"/>
    <x v="0"/>
    <x v="4"/>
    <x v="25"/>
    <n v="1"/>
    <n v="15.05"/>
    <s v="Completed"/>
    <s v="Gift Card"/>
    <n v="15.05"/>
    <n v="5"/>
    <x v="0"/>
  </r>
  <r>
    <x v="406"/>
    <x v="313"/>
    <s v="CUST1174"/>
    <s v="Siti Lee"/>
    <x v="0"/>
    <x v="5"/>
    <x v="34"/>
    <n v="1"/>
    <n v="15.05"/>
    <s v="Completed"/>
    <s v="Debit Card"/>
    <n v="15.05"/>
    <n v="7"/>
    <x v="0"/>
  </r>
  <r>
    <x v="407"/>
    <x v="314"/>
    <s v="CUST1123"/>
    <s v="Andi Anderson"/>
    <x v="0"/>
    <x v="1"/>
    <x v="5"/>
    <n v="1"/>
    <n v="15.05"/>
    <s v="Completed"/>
    <s v="Debit Card"/>
    <n v="15.05"/>
    <n v="4"/>
    <x v="0"/>
  </r>
  <r>
    <x v="408"/>
    <x v="87"/>
    <s v="CUST1078"/>
    <s v="Rina Santos"/>
    <x v="0"/>
    <x v="4"/>
    <x v="21"/>
    <n v="1"/>
    <n v="15.06"/>
    <s v="Completed"/>
    <s v="PayPal"/>
    <n v="15.06"/>
    <n v="7"/>
    <x v="0"/>
  </r>
  <r>
    <x v="409"/>
    <x v="160"/>
    <s v="CUST1188"/>
    <s v="James Lee"/>
    <x v="0"/>
    <x v="2"/>
    <x v="8"/>
    <n v="2"/>
    <n v="15.06"/>
    <s v="Completed"/>
    <s v="Debit Card"/>
    <n v="30.12"/>
    <n v="6"/>
    <x v="0"/>
  </r>
  <r>
    <x v="410"/>
    <x v="315"/>
    <s v="CUST1572"/>
    <s v="Maria Yusuf"/>
    <x v="0"/>
    <x v="3"/>
    <x v="19"/>
    <n v="1"/>
    <n v="15.07"/>
    <s v="Completed"/>
    <s v="Gift Card"/>
    <n v="15.07"/>
    <n v="9"/>
    <x v="0"/>
  </r>
  <r>
    <x v="411"/>
    <x v="316"/>
    <s v="CUST1035"/>
    <s v="David Smith"/>
    <x v="0"/>
    <x v="0"/>
    <x v="2"/>
    <n v="2"/>
    <n v="15.09"/>
    <s v="Pending"/>
    <s v="Credit Card"/>
    <n v="30.18"/>
    <n v="3"/>
    <x v="0"/>
  </r>
  <r>
    <x v="412"/>
    <x v="265"/>
    <s v="CUST1220"/>
    <s v="David Wijaya"/>
    <x v="1"/>
    <x v="4"/>
    <x v="22"/>
    <n v="1"/>
    <n v="15.09"/>
    <s v="Completed"/>
    <s v="Gift Card"/>
    <n v="15.09"/>
    <n v="3"/>
    <x v="0"/>
  </r>
  <r>
    <x v="413"/>
    <x v="317"/>
    <s v="CUST1098"/>
    <s v="Sarah Yusuf"/>
    <x v="3"/>
    <x v="0"/>
    <x v="0"/>
    <n v="1"/>
    <n v="15.11"/>
    <s v="Completed"/>
    <s v="Credit Card"/>
    <n v="15.11"/>
    <n v="4"/>
    <x v="0"/>
  </r>
  <r>
    <x v="414"/>
    <x v="111"/>
    <s v="CUST1528"/>
    <s v="Maria Chen"/>
    <x v="0"/>
    <x v="2"/>
    <x v="15"/>
    <n v="1"/>
    <n v="15.12"/>
    <s v="Pending"/>
    <s v="Gift Card"/>
    <n v="15.12"/>
    <n v="6"/>
    <x v="0"/>
  </r>
  <r>
    <x v="415"/>
    <x v="318"/>
    <s v="CUST1499"/>
    <s v="David Santos"/>
    <x v="0"/>
    <x v="1"/>
    <x v="9"/>
    <n v="1"/>
    <n v="15.13"/>
    <s v="Completed"/>
    <s v="Debit Card"/>
    <n v="15.13"/>
    <n v="9"/>
    <x v="0"/>
  </r>
  <r>
    <x v="416"/>
    <x v="319"/>
    <s v="CUST1827"/>
    <s v="Putri Garcia"/>
    <x v="0"/>
    <x v="3"/>
    <x v="16"/>
    <n v="2"/>
    <n v="15.14"/>
    <s v="Completed"/>
    <s v="Credit Card"/>
    <n v="30.28"/>
    <n v="3"/>
    <x v="0"/>
  </r>
  <r>
    <x v="417"/>
    <x v="55"/>
    <s v="CUST1124"/>
    <s v="Siti Wijaya"/>
    <x v="0"/>
    <x v="2"/>
    <x v="8"/>
    <n v="2"/>
    <n v="15.14"/>
    <s v="Returned"/>
    <s v="PayPal"/>
    <n v="30.28"/>
    <n v="5"/>
    <x v="0"/>
  </r>
  <r>
    <x v="418"/>
    <x v="320"/>
    <s v="CUST1271"/>
    <s v="Lisa Chen"/>
    <x v="0"/>
    <x v="5"/>
    <x v="31"/>
    <n v="1"/>
    <n v="15.16"/>
    <s v="Completed"/>
    <s v="Debit Card"/>
    <n v="15.16"/>
    <n v="6"/>
    <x v="0"/>
  </r>
  <r>
    <x v="419"/>
    <x v="231"/>
    <s v="CUST1021"/>
    <s v="David Wijaya"/>
    <x v="0"/>
    <x v="1"/>
    <x v="20"/>
    <n v="1"/>
    <n v="15.22"/>
    <s v="Cancelled"/>
    <s v="Credit Card"/>
    <n v="15.22"/>
    <n v="6"/>
    <x v="0"/>
  </r>
  <r>
    <x v="420"/>
    <x v="26"/>
    <s v="CUST1264"/>
    <s v="Siti Halim"/>
    <x v="0"/>
    <x v="5"/>
    <x v="29"/>
    <n v="1"/>
    <n v="15.22"/>
    <s v="Pending"/>
    <s v="Credit Card"/>
    <n v="15.22"/>
    <n v="7"/>
    <x v="0"/>
  </r>
  <r>
    <x v="421"/>
    <x v="321"/>
    <s v="CUST1696"/>
    <s v="David Hidayat"/>
    <x v="0"/>
    <x v="2"/>
    <x v="10"/>
    <n v="1"/>
    <n v="15.22"/>
    <s v="Pending"/>
    <s v="PayPal"/>
    <n v="15.22"/>
    <n v="8"/>
    <x v="0"/>
  </r>
  <r>
    <x v="422"/>
    <x v="322"/>
    <s v="CUST1302"/>
    <s v="Dewi Taylor"/>
    <x v="1"/>
    <x v="0"/>
    <x v="4"/>
    <n v="1"/>
    <n v="15.25"/>
    <s v="Completed"/>
    <s v="PayPal"/>
    <n v="15.25"/>
    <n v="6"/>
    <x v="0"/>
  </r>
  <r>
    <x v="423"/>
    <x v="205"/>
    <s v="CUST1388"/>
    <s v="Rina Tan"/>
    <x v="0"/>
    <x v="5"/>
    <x v="31"/>
    <n v="1"/>
    <n v="15.26"/>
    <s v="Completed"/>
    <s v="Credit Card"/>
    <n v="15.26"/>
    <n v="7"/>
    <x v="0"/>
  </r>
  <r>
    <x v="424"/>
    <x v="323"/>
    <s v="CUST1406"/>
    <s v="Ahmad Wilson"/>
    <x v="0"/>
    <x v="2"/>
    <x v="8"/>
    <n v="1"/>
    <n v="15.29"/>
    <s v="Cancelled"/>
    <s v="Gift Card"/>
    <n v="15.29"/>
    <n v="4"/>
    <x v="0"/>
  </r>
  <r>
    <x v="425"/>
    <x v="285"/>
    <s v="CUST1223"/>
    <s v="Michael Halim"/>
    <x v="0"/>
    <x v="2"/>
    <x v="15"/>
    <n v="2"/>
    <n v="15.32"/>
    <s v="Completed"/>
    <s v="PayPal"/>
    <n v="30.64"/>
    <n v="7"/>
    <x v="0"/>
  </r>
  <r>
    <x v="426"/>
    <x v="324"/>
    <s v="CUST1107"/>
    <s v="Fajar Yusuf"/>
    <x v="0"/>
    <x v="2"/>
    <x v="15"/>
    <n v="2"/>
    <n v="15.33"/>
    <s v="Completed"/>
    <s v="Gift Card"/>
    <n v="30.66"/>
    <n v="5"/>
    <x v="0"/>
  </r>
  <r>
    <x v="427"/>
    <x v="325"/>
    <s v="CUST1035"/>
    <s v="David Smith"/>
    <x v="0"/>
    <x v="0"/>
    <x v="1"/>
    <n v="2"/>
    <n v="15.34"/>
    <s v="Completed"/>
    <s v="PayPal"/>
    <n v="30.68"/>
    <n v="3"/>
    <x v="0"/>
  </r>
  <r>
    <x v="428"/>
    <x v="199"/>
    <s v="CUST1479"/>
    <s v="Nina Nugroho"/>
    <x v="0"/>
    <x v="1"/>
    <x v="20"/>
    <n v="5"/>
    <n v="15.34"/>
    <s v="Completed"/>
    <s v="Gift Card"/>
    <n v="76.7"/>
    <n v="4"/>
    <x v="0"/>
  </r>
  <r>
    <x v="429"/>
    <x v="326"/>
    <s v="CUST1241"/>
    <s v="Fajar Hidayat"/>
    <x v="0"/>
    <x v="3"/>
    <x v="14"/>
    <n v="1"/>
    <n v="15.37"/>
    <s v="Completed"/>
    <s v="Debit Card"/>
    <n v="15.37"/>
    <n v="4"/>
    <x v="0"/>
  </r>
  <r>
    <x v="430"/>
    <x v="327"/>
    <s v="CUST1569"/>
    <s v="David Kurniawan"/>
    <x v="0"/>
    <x v="1"/>
    <x v="18"/>
    <n v="1"/>
    <n v="15.39"/>
    <s v="Completed"/>
    <s v="PayPal"/>
    <n v="15.39"/>
    <n v="9"/>
    <x v="0"/>
  </r>
  <r>
    <x v="431"/>
    <x v="219"/>
    <s v="CUST1450"/>
    <s v="David Santos"/>
    <x v="0"/>
    <x v="2"/>
    <x v="15"/>
    <n v="1"/>
    <n v="15.4"/>
    <s v="Returned"/>
    <s v="Debit Card"/>
    <n v="15.4"/>
    <n v="5"/>
    <x v="0"/>
  </r>
  <r>
    <x v="432"/>
    <x v="327"/>
    <s v="CUST1001"/>
    <s v="David Garcia"/>
    <x v="1"/>
    <x v="0"/>
    <x v="2"/>
    <n v="2"/>
    <n v="15.41"/>
    <s v="Completed"/>
    <s v="Debit Card"/>
    <n v="30.82"/>
    <n v="2"/>
    <x v="0"/>
  </r>
  <r>
    <x v="433"/>
    <x v="328"/>
    <s v="CUST1312"/>
    <s v="Linda Wijaya"/>
    <x v="1"/>
    <x v="4"/>
    <x v="25"/>
    <n v="4"/>
    <n v="15.42"/>
    <s v="Completed"/>
    <s v="Gift Card"/>
    <n v="61.68"/>
    <n v="4"/>
    <x v="0"/>
  </r>
  <r>
    <x v="434"/>
    <x v="329"/>
    <s v="CUST1608"/>
    <s v="Dewi Lee"/>
    <x v="0"/>
    <x v="0"/>
    <x v="3"/>
    <n v="2"/>
    <n v="15.43"/>
    <s v="Completed"/>
    <s v="Debit Card"/>
    <n v="30.86"/>
    <n v="5"/>
    <x v="0"/>
  </r>
  <r>
    <x v="435"/>
    <x v="156"/>
    <s v="CUST1149"/>
    <s v="Sarah Yusuf"/>
    <x v="1"/>
    <x v="3"/>
    <x v="19"/>
    <n v="1"/>
    <n v="15.44"/>
    <s v="Completed"/>
    <s v="PayPal"/>
    <n v="15.44"/>
    <n v="2"/>
    <x v="0"/>
  </r>
  <r>
    <x v="436"/>
    <x v="231"/>
    <s v="CUST1400"/>
    <s v="James Yusuf"/>
    <x v="0"/>
    <x v="6"/>
    <x v="35"/>
    <n v="1"/>
    <n v="15.47"/>
    <s v="Completed"/>
    <s v="Gift Card"/>
    <n v="15.47"/>
    <n v="7"/>
    <x v="0"/>
  </r>
  <r>
    <x v="437"/>
    <x v="290"/>
    <s v="CUST1618"/>
    <s v="Budi Lee"/>
    <x v="0"/>
    <x v="2"/>
    <x v="11"/>
    <n v="2"/>
    <n v="15.48"/>
    <s v="Completed"/>
    <s v="Credit Card"/>
    <n v="30.96"/>
    <n v="5"/>
    <x v="0"/>
  </r>
  <r>
    <x v="438"/>
    <x v="316"/>
    <s v="CUST1569"/>
    <s v="David Kurniawan"/>
    <x v="0"/>
    <x v="5"/>
    <x v="32"/>
    <n v="2"/>
    <n v="15.48"/>
    <s v="Completed"/>
    <s v="PayPal"/>
    <n v="30.96"/>
    <n v="9"/>
    <x v="0"/>
  </r>
  <r>
    <x v="439"/>
    <x v="104"/>
    <s v="CUST1341"/>
    <s v="Fajar Wijaya"/>
    <x v="0"/>
    <x v="4"/>
    <x v="25"/>
    <n v="3"/>
    <n v="15.48"/>
    <s v="Cancelled"/>
    <s v="Gift Card"/>
    <n v="46.44"/>
    <n v="6"/>
    <x v="0"/>
  </r>
  <r>
    <x v="440"/>
    <x v="330"/>
    <s v="CUST1118"/>
    <s v="Budi Anderson"/>
    <x v="0"/>
    <x v="3"/>
    <x v="14"/>
    <n v="1"/>
    <n v="15.5"/>
    <s v="Completed"/>
    <s v="Credit Card"/>
    <n v="15.5"/>
    <n v="4"/>
    <x v="0"/>
  </r>
  <r>
    <x v="441"/>
    <x v="331"/>
    <s v="CUST1498"/>
    <s v="Michael Salim"/>
    <x v="0"/>
    <x v="5"/>
    <x v="31"/>
    <n v="1"/>
    <n v="15.51"/>
    <s v="Completed"/>
    <s v="Gift Card"/>
    <n v="15.51"/>
    <n v="4"/>
    <x v="0"/>
  </r>
  <r>
    <x v="442"/>
    <x v="332"/>
    <s v="CUST1285"/>
    <s v="John Kurniawan"/>
    <x v="1"/>
    <x v="6"/>
    <x v="36"/>
    <n v="4"/>
    <n v="15.52"/>
    <s v="Pending"/>
    <s v="Gift Card"/>
    <n v="62.08"/>
    <n v="3"/>
    <x v="0"/>
  </r>
  <r>
    <x v="443"/>
    <x v="65"/>
    <s v="CUST1128"/>
    <s v="Rina Taylor"/>
    <x v="0"/>
    <x v="2"/>
    <x v="10"/>
    <n v="3"/>
    <n v="15.53"/>
    <s v="Completed"/>
    <s v="Credit Card"/>
    <n v="46.589999999999996"/>
    <n v="6"/>
    <x v="0"/>
  </r>
  <r>
    <x v="444"/>
    <x v="140"/>
    <s v="CUST1691"/>
    <s v="Dewi Anderson"/>
    <x v="0"/>
    <x v="5"/>
    <x v="28"/>
    <n v="2"/>
    <n v="15.55"/>
    <s v="Completed"/>
    <s v="PayPal"/>
    <n v="31.1"/>
    <n v="5"/>
    <x v="0"/>
  </r>
  <r>
    <x v="445"/>
    <x v="333"/>
    <s v="CUST1724"/>
    <s v="James Pratama"/>
    <x v="0"/>
    <x v="2"/>
    <x v="11"/>
    <n v="1"/>
    <n v="15.58"/>
    <s v="Pending"/>
    <s v="PayPal"/>
    <n v="15.58"/>
    <n v="4"/>
    <x v="0"/>
  </r>
  <r>
    <x v="446"/>
    <x v="334"/>
    <s v="CUST1309"/>
    <s v="Fajar Santos"/>
    <x v="3"/>
    <x v="3"/>
    <x v="14"/>
    <n v="1"/>
    <n v="15.58"/>
    <s v="Completed"/>
    <s v="Gift Card"/>
    <n v="15.58"/>
    <n v="2"/>
    <x v="0"/>
  </r>
  <r>
    <x v="447"/>
    <x v="11"/>
    <s v="CUST1283"/>
    <s v="Michael Brown"/>
    <x v="1"/>
    <x v="6"/>
    <x v="36"/>
    <n v="4"/>
    <n v="15.58"/>
    <s v="Completed"/>
    <s v="PayPal"/>
    <n v="62.32"/>
    <n v="6"/>
    <x v="0"/>
  </r>
  <r>
    <x v="448"/>
    <x v="73"/>
    <s v="CUST1761"/>
    <s v="Ahmad Johnson"/>
    <x v="0"/>
    <x v="3"/>
    <x v="13"/>
    <n v="1"/>
    <n v="15.61"/>
    <s v="Completed"/>
    <s v="PayPal"/>
    <n v="15.61"/>
    <n v="7"/>
    <x v="0"/>
  </r>
  <r>
    <x v="449"/>
    <x v="173"/>
    <s v="CUST1714"/>
    <s v="Ayu Nugroho"/>
    <x v="0"/>
    <x v="0"/>
    <x v="1"/>
    <n v="1"/>
    <n v="15.61"/>
    <s v="Completed"/>
    <s v="Gift Card"/>
    <n v="15.61"/>
    <n v="4"/>
    <x v="0"/>
  </r>
  <r>
    <x v="450"/>
    <x v="146"/>
    <s v="CUST1454"/>
    <s v="Fajar Wijaya"/>
    <x v="0"/>
    <x v="3"/>
    <x v="16"/>
    <n v="1"/>
    <n v="15.61"/>
    <s v="Completed"/>
    <s v="PayPal"/>
    <n v="15.61"/>
    <n v="5"/>
    <x v="0"/>
  </r>
  <r>
    <x v="451"/>
    <x v="335"/>
    <s v="CUST1191"/>
    <s v="Unknown Customer"/>
    <x v="1"/>
    <x v="6"/>
    <x v="37"/>
    <n v="2"/>
    <n v="15.61"/>
    <s v="Completed"/>
    <s v="Unknown"/>
    <n v="31.22"/>
    <n v="3"/>
    <x v="0"/>
  </r>
  <r>
    <x v="452"/>
    <x v="95"/>
    <s v="CUST1517"/>
    <s v="Siti Nugroho"/>
    <x v="0"/>
    <x v="3"/>
    <x v="13"/>
    <n v="3"/>
    <n v="15.62"/>
    <s v="Completed"/>
    <s v="Unknown"/>
    <n v="46.86"/>
    <n v="5"/>
    <x v="0"/>
  </r>
  <r>
    <x v="453"/>
    <x v="87"/>
    <s v="CUST1210"/>
    <s v="Nina Garcia"/>
    <x v="0"/>
    <x v="2"/>
    <x v="7"/>
    <n v="1"/>
    <n v="15.63"/>
    <s v="Completed"/>
    <s v="PayPal"/>
    <n v="15.63"/>
    <n v="9"/>
    <x v="0"/>
  </r>
  <r>
    <x v="454"/>
    <x v="98"/>
    <s v="CUST1249"/>
    <s v="Kevin Taylor"/>
    <x v="0"/>
    <x v="0"/>
    <x v="0"/>
    <n v="3"/>
    <n v="15.66"/>
    <s v="Completed"/>
    <s v="PayPal"/>
    <n v="46.980000000000004"/>
    <n v="5"/>
    <x v="0"/>
  </r>
  <r>
    <x v="455"/>
    <x v="11"/>
    <s v="CUST1431"/>
    <s v="Nina Hidayat"/>
    <x v="0"/>
    <x v="3"/>
    <x v="16"/>
    <n v="1"/>
    <n v="15.67"/>
    <s v="Completed"/>
    <s v="Gift Card"/>
    <n v="15.67"/>
    <n v="2"/>
    <x v="0"/>
  </r>
  <r>
    <x v="456"/>
    <x v="2"/>
    <s v="CUST1382"/>
    <s v="David Hidayat"/>
    <x v="0"/>
    <x v="2"/>
    <x v="7"/>
    <n v="1"/>
    <n v="15.67"/>
    <s v="Completed"/>
    <s v="Credit Card"/>
    <n v="15.67"/>
    <n v="12"/>
    <x v="0"/>
  </r>
  <r>
    <x v="457"/>
    <x v="336"/>
    <s v="CUST1196"/>
    <s v="Unknown Customer"/>
    <x v="0"/>
    <x v="2"/>
    <x v="7"/>
    <n v="2"/>
    <n v="15.67"/>
    <s v="Completed"/>
    <s v="Debit Card"/>
    <n v="31.34"/>
    <n v="6"/>
    <x v="0"/>
  </r>
  <r>
    <x v="458"/>
    <x v="53"/>
    <s v="CUST1337"/>
    <s v="Budi Smith"/>
    <x v="0"/>
    <x v="4"/>
    <x v="24"/>
    <n v="2"/>
    <n v="15.69"/>
    <s v="Completed"/>
    <s v="Credit Card"/>
    <n v="31.38"/>
    <n v="5"/>
    <x v="0"/>
  </r>
  <r>
    <x v="459"/>
    <x v="328"/>
    <s v="CUST1783"/>
    <s v="Ayu Taylor"/>
    <x v="0"/>
    <x v="0"/>
    <x v="4"/>
    <n v="2"/>
    <n v="15.69"/>
    <s v="Pending"/>
    <s v="PayPal"/>
    <n v="31.38"/>
    <n v="11"/>
    <x v="0"/>
  </r>
  <r>
    <x v="460"/>
    <x v="337"/>
    <s v="CUST1287"/>
    <s v="John Pratama"/>
    <x v="1"/>
    <x v="2"/>
    <x v="10"/>
    <n v="1"/>
    <n v="15.7"/>
    <s v="Completed"/>
    <s v="Debit Card"/>
    <n v="15.7"/>
    <n v="4"/>
    <x v="0"/>
  </r>
  <r>
    <x v="461"/>
    <x v="332"/>
    <s v="CUST1613"/>
    <s v="Andi Garcia"/>
    <x v="0"/>
    <x v="1"/>
    <x v="6"/>
    <n v="1"/>
    <n v="15.72"/>
    <s v="Cancelled"/>
    <s v="Debit Card"/>
    <n v="15.72"/>
    <n v="5"/>
    <x v="0"/>
  </r>
  <r>
    <x v="462"/>
    <x v="338"/>
    <s v="CUST1041"/>
    <s v="Michael Wijaya"/>
    <x v="0"/>
    <x v="2"/>
    <x v="11"/>
    <n v="1"/>
    <n v="15.77"/>
    <s v="Completed"/>
    <s v="Credit Card"/>
    <n v="15.77"/>
    <n v="8"/>
    <x v="0"/>
  </r>
  <r>
    <x v="463"/>
    <x v="339"/>
    <s v="CUST1775"/>
    <s v="Putri Hidayat"/>
    <x v="0"/>
    <x v="5"/>
    <x v="34"/>
    <n v="1"/>
    <n v="15.78"/>
    <s v="Completed"/>
    <s v="Gift Card"/>
    <n v="15.78"/>
    <n v="4"/>
    <x v="0"/>
  </r>
  <r>
    <x v="464"/>
    <x v="95"/>
    <s v="CUST1104"/>
    <s v="Sarah Tan"/>
    <x v="0"/>
    <x v="0"/>
    <x v="2"/>
    <n v="1"/>
    <n v="15.78"/>
    <s v="Completed"/>
    <s v="Debit Card"/>
    <n v="15.78"/>
    <n v="6"/>
    <x v="0"/>
  </r>
  <r>
    <x v="465"/>
    <x v="340"/>
    <s v="CUST1860"/>
    <s v="Rina Nugroho"/>
    <x v="0"/>
    <x v="1"/>
    <x v="18"/>
    <n v="1"/>
    <n v="15.8"/>
    <s v="Completed"/>
    <s v="PayPal"/>
    <n v="15.8"/>
    <n v="7"/>
    <x v="0"/>
  </r>
  <r>
    <x v="466"/>
    <x v="156"/>
    <s v="CUST1181"/>
    <s v="Maria Smith"/>
    <x v="1"/>
    <x v="5"/>
    <x v="28"/>
    <n v="1"/>
    <n v="15.8"/>
    <s v="Completed"/>
    <s v="Debit Card"/>
    <n v="15.8"/>
    <n v="3"/>
    <x v="0"/>
  </r>
  <r>
    <x v="467"/>
    <x v="341"/>
    <s v="CUST1895"/>
    <s v="Michael Johnson"/>
    <x v="0"/>
    <x v="0"/>
    <x v="0"/>
    <n v="1"/>
    <n v="15.81"/>
    <s v="Completed"/>
    <s v="Debit Card"/>
    <n v="15.81"/>
    <n v="8"/>
    <x v="0"/>
  </r>
  <r>
    <x v="468"/>
    <x v="194"/>
    <s v="CUST1842"/>
    <s v="Siti Salim"/>
    <x v="1"/>
    <x v="0"/>
    <x v="3"/>
    <n v="1"/>
    <n v="15.83"/>
    <s v="Returned"/>
    <s v="Debit Card"/>
    <n v="15.83"/>
    <n v="5"/>
    <x v="0"/>
  </r>
  <r>
    <x v="469"/>
    <x v="342"/>
    <s v="CUST1283"/>
    <s v="Michael Brown"/>
    <x v="1"/>
    <x v="3"/>
    <x v="12"/>
    <n v="1"/>
    <n v="15.83"/>
    <s v="Pending"/>
    <s v="Unknown"/>
    <n v="15.83"/>
    <n v="6"/>
    <x v="0"/>
  </r>
  <r>
    <x v="470"/>
    <x v="227"/>
    <s v="CUST1811"/>
    <s v="Putri Santos"/>
    <x v="1"/>
    <x v="0"/>
    <x v="0"/>
    <n v="4"/>
    <n v="15.83"/>
    <s v="Returned"/>
    <s v="PayPal"/>
    <n v="63.32"/>
    <n v="3"/>
    <x v="0"/>
  </r>
  <r>
    <x v="471"/>
    <x v="343"/>
    <s v="CUST1152"/>
    <s v="Dewi Yusuf"/>
    <x v="1"/>
    <x v="2"/>
    <x v="15"/>
    <n v="1"/>
    <n v="15.85"/>
    <s v="Completed"/>
    <s v="PayPal"/>
    <n v="15.85"/>
    <n v="5"/>
    <x v="0"/>
  </r>
  <r>
    <x v="472"/>
    <x v="344"/>
    <s v="CUST1619"/>
    <s v="Andi Smith"/>
    <x v="1"/>
    <x v="0"/>
    <x v="4"/>
    <n v="2"/>
    <n v="15.86"/>
    <s v="Completed"/>
    <s v="PayPal"/>
    <n v="31.72"/>
    <n v="7"/>
    <x v="0"/>
  </r>
  <r>
    <x v="473"/>
    <x v="345"/>
    <s v="CUST1629"/>
    <s v="James Tan"/>
    <x v="1"/>
    <x v="6"/>
    <x v="38"/>
    <n v="2"/>
    <n v="15.88"/>
    <s v="Completed"/>
    <s v="PayPal"/>
    <n v="31.76"/>
    <n v="5"/>
    <x v="0"/>
  </r>
  <r>
    <x v="474"/>
    <x v="257"/>
    <s v="CUST1843"/>
    <s v="Siti Hidayat"/>
    <x v="0"/>
    <x v="2"/>
    <x v="10"/>
    <n v="1"/>
    <n v="15.89"/>
    <s v="Completed"/>
    <s v="Credit Card"/>
    <n v="15.89"/>
    <n v="8"/>
    <x v="0"/>
  </r>
  <r>
    <x v="475"/>
    <x v="346"/>
    <s v="CUST1853"/>
    <s v="Robert Smith"/>
    <x v="0"/>
    <x v="2"/>
    <x v="15"/>
    <n v="2"/>
    <n v="15.91"/>
    <s v="Completed"/>
    <s v="Debit Card"/>
    <n v="31.82"/>
    <n v="5"/>
    <x v="0"/>
  </r>
  <r>
    <x v="476"/>
    <x v="347"/>
    <s v="CUST1436"/>
    <s v="Lisa Garcia"/>
    <x v="0"/>
    <x v="3"/>
    <x v="12"/>
    <n v="1"/>
    <n v="15.93"/>
    <s v="Completed"/>
    <s v="PayPal"/>
    <n v="15.93"/>
    <n v="8"/>
    <x v="0"/>
  </r>
  <r>
    <x v="477"/>
    <x v="262"/>
    <s v="CUST1172"/>
    <s v="Nina Lee"/>
    <x v="0"/>
    <x v="6"/>
    <x v="39"/>
    <n v="1"/>
    <n v="15.96"/>
    <s v="Completed"/>
    <s v="Debit Card"/>
    <n v="15.96"/>
    <n v="8"/>
    <x v="0"/>
  </r>
  <r>
    <x v="478"/>
    <x v="297"/>
    <s v="CUST1599"/>
    <s v="Siti Kurniawan"/>
    <x v="1"/>
    <x v="3"/>
    <x v="12"/>
    <n v="1"/>
    <n v="15.98"/>
    <s v="Cancelled"/>
    <s v="Gift Card"/>
    <n v="15.98"/>
    <n v="5"/>
    <x v="0"/>
  </r>
  <r>
    <x v="479"/>
    <x v="342"/>
    <s v="CUST1783"/>
    <s v="Ayu Taylor"/>
    <x v="0"/>
    <x v="2"/>
    <x v="15"/>
    <n v="1"/>
    <n v="15.99"/>
    <s v="Completed"/>
    <s v="Gift Card"/>
    <n v="15.99"/>
    <n v="11"/>
    <x v="0"/>
  </r>
  <r>
    <x v="480"/>
    <x v="348"/>
    <s v="CUST1306"/>
    <s v="John Chen"/>
    <x v="0"/>
    <x v="2"/>
    <x v="10"/>
    <n v="1"/>
    <n v="16.02"/>
    <s v="Completed"/>
    <s v="Credit Card"/>
    <n v="16.02"/>
    <n v="5"/>
    <x v="0"/>
  </r>
  <r>
    <x v="481"/>
    <x v="349"/>
    <s v="CUST1572"/>
    <s v="Maria Yusuf"/>
    <x v="0"/>
    <x v="2"/>
    <x v="15"/>
    <n v="1"/>
    <n v="16.04"/>
    <s v="Completed"/>
    <s v="Debit Card"/>
    <n v="16.04"/>
    <n v="9"/>
    <x v="0"/>
  </r>
  <r>
    <x v="482"/>
    <x v="350"/>
    <s v="CUST1256"/>
    <s v="James Wijaya"/>
    <x v="0"/>
    <x v="3"/>
    <x v="13"/>
    <n v="1"/>
    <n v="16.059999999999999"/>
    <s v="Completed"/>
    <s v="Debit Card"/>
    <n v="16.059999999999999"/>
    <n v="6"/>
    <x v="0"/>
  </r>
  <r>
    <x v="483"/>
    <x v="152"/>
    <s v="CUST1209"/>
    <s v="Andi Sari"/>
    <x v="0"/>
    <x v="0"/>
    <x v="4"/>
    <n v="1"/>
    <n v="16.07"/>
    <s v="Completed"/>
    <s v="Credit Card"/>
    <n v="16.07"/>
    <n v="6"/>
    <x v="0"/>
  </r>
  <r>
    <x v="484"/>
    <x v="308"/>
    <s v="CUST1814"/>
    <s v="Michael Taylor"/>
    <x v="0"/>
    <x v="2"/>
    <x v="8"/>
    <n v="3"/>
    <n v="16.07"/>
    <s v="Completed"/>
    <s v="Gift Card"/>
    <n v="48.21"/>
    <n v="7"/>
    <x v="0"/>
  </r>
  <r>
    <x v="485"/>
    <x v="30"/>
    <s v="CUST1890"/>
    <s v="Ahmad Sari"/>
    <x v="0"/>
    <x v="1"/>
    <x v="5"/>
    <n v="1"/>
    <n v="16.11"/>
    <s v="Completed"/>
    <s v="Debit Card"/>
    <n v="16.11"/>
    <n v="3"/>
    <x v="0"/>
  </r>
  <r>
    <x v="486"/>
    <x v="351"/>
    <s v="CUST1798"/>
    <s v="Siti Anderson"/>
    <x v="0"/>
    <x v="3"/>
    <x v="19"/>
    <n v="1"/>
    <n v="16.14"/>
    <s v="Completed"/>
    <s v="PayPal"/>
    <n v="16.14"/>
    <n v="10"/>
    <x v="0"/>
  </r>
  <r>
    <x v="487"/>
    <x v="198"/>
    <s v="CUST1496"/>
    <s v="John Smith"/>
    <x v="0"/>
    <x v="2"/>
    <x v="7"/>
    <n v="3"/>
    <n v="16.18"/>
    <s v="Completed"/>
    <s v="Debit Card"/>
    <n v="48.54"/>
    <n v="5"/>
    <x v="0"/>
  </r>
  <r>
    <x v="488"/>
    <x v="258"/>
    <s v="CUST1036"/>
    <s v="Ayu Johnson"/>
    <x v="0"/>
    <x v="4"/>
    <x v="24"/>
    <n v="1"/>
    <n v="16.190000000000001"/>
    <s v="Completed"/>
    <s v="Debit Card"/>
    <n v="16.190000000000001"/>
    <n v="2"/>
    <x v="0"/>
  </r>
  <r>
    <x v="489"/>
    <x v="352"/>
    <s v="CUST1513"/>
    <s v="Robert Kurniawan"/>
    <x v="0"/>
    <x v="4"/>
    <x v="22"/>
    <n v="1"/>
    <n v="16.2"/>
    <s v="Pending"/>
    <s v="Gift Card"/>
    <n v="16.2"/>
    <n v="5"/>
    <x v="0"/>
  </r>
  <r>
    <x v="490"/>
    <x v="250"/>
    <s v="CUST1135"/>
    <s v="Rina Kurniawan"/>
    <x v="1"/>
    <x v="2"/>
    <x v="10"/>
    <n v="1"/>
    <n v="16.2"/>
    <s v="Completed"/>
    <s v="PayPal"/>
    <n v="16.2"/>
    <n v="5"/>
    <x v="0"/>
  </r>
  <r>
    <x v="491"/>
    <x v="353"/>
    <s v="CUST1888"/>
    <s v="Putri Tan"/>
    <x v="0"/>
    <x v="2"/>
    <x v="15"/>
    <n v="1"/>
    <n v="16.21"/>
    <s v="Completed"/>
    <s v="Debit Card"/>
    <n v="16.21"/>
    <n v="6"/>
    <x v="0"/>
  </r>
  <r>
    <x v="492"/>
    <x v="266"/>
    <s v="CUST1103"/>
    <s v="Ahmad Salim"/>
    <x v="3"/>
    <x v="4"/>
    <x v="23"/>
    <n v="1"/>
    <n v="16.23"/>
    <s v="Completed"/>
    <s v="Credit Card"/>
    <n v="16.23"/>
    <n v="6"/>
    <x v="0"/>
  </r>
  <r>
    <x v="493"/>
    <x v="16"/>
    <s v="CUST1141"/>
    <s v="Fajar Taylor"/>
    <x v="0"/>
    <x v="2"/>
    <x v="15"/>
    <n v="1"/>
    <n v="16.239999999999998"/>
    <s v="Completed"/>
    <s v="Credit Card"/>
    <n v="16.239999999999998"/>
    <n v="7"/>
    <x v="0"/>
  </r>
  <r>
    <x v="494"/>
    <x v="305"/>
    <s v="CUST1640"/>
    <s v="Siti Smith"/>
    <x v="0"/>
    <x v="5"/>
    <x v="32"/>
    <n v="2"/>
    <n v="16.260000000000002"/>
    <s v="Completed"/>
    <s v="PayPal"/>
    <n v="32.520000000000003"/>
    <n v="9"/>
    <x v="0"/>
  </r>
  <r>
    <x v="495"/>
    <x v="159"/>
    <s v="CUST1658"/>
    <s v="Robert Chen"/>
    <x v="1"/>
    <x v="2"/>
    <x v="7"/>
    <n v="1"/>
    <n v="16.27"/>
    <s v="Completed"/>
    <s v="Unknown"/>
    <n v="16.27"/>
    <n v="3"/>
    <x v="0"/>
  </r>
  <r>
    <x v="496"/>
    <x v="354"/>
    <s v="CUST1485"/>
    <s v="Dewi Smith"/>
    <x v="0"/>
    <x v="2"/>
    <x v="10"/>
    <n v="1"/>
    <n v="16.28"/>
    <s v="Completed"/>
    <s v="Gift Card"/>
    <n v="16.28"/>
    <n v="5"/>
    <x v="0"/>
  </r>
  <r>
    <x v="497"/>
    <x v="355"/>
    <s v="CUST1634"/>
    <s v="James Sari"/>
    <x v="0"/>
    <x v="5"/>
    <x v="29"/>
    <n v="1"/>
    <n v="16.28"/>
    <s v="Completed"/>
    <s v="Credit Card"/>
    <n v="16.28"/>
    <n v="4"/>
    <x v="0"/>
  </r>
  <r>
    <x v="498"/>
    <x v="356"/>
    <s v="CUST1484"/>
    <s v="James Anderson"/>
    <x v="0"/>
    <x v="4"/>
    <x v="21"/>
    <n v="1"/>
    <n v="16.29"/>
    <s v="Pending"/>
    <s v="Credit Card"/>
    <n v="16.29"/>
    <n v="5"/>
    <x v="0"/>
  </r>
  <r>
    <x v="499"/>
    <x v="357"/>
    <s v="CUST1461"/>
    <s v="Dewi Brown"/>
    <x v="0"/>
    <x v="6"/>
    <x v="40"/>
    <n v="3"/>
    <n v="16.29"/>
    <s v="Completed"/>
    <s v="Gift Card"/>
    <n v="48.87"/>
    <n v="3"/>
    <x v="0"/>
  </r>
  <r>
    <x v="500"/>
    <x v="101"/>
    <s v="CUST1094"/>
    <s v="Siti Garcia"/>
    <x v="0"/>
    <x v="5"/>
    <x v="32"/>
    <n v="2"/>
    <n v="16.309999999999999"/>
    <s v="Completed"/>
    <s v="Gift Card"/>
    <n v="32.619999999999997"/>
    <n v="4"/>
    <x v="0"/>
  </r>
  <r>
    <x v="501"/>
    <x v="154"/>
    <s v="CUST1233"/>
    <s v="Michael Lee"/>
    <x v="0"/>
    <x v="1"/>
    <x v="6"/>
    <n v="1"/>
    <n v="16.329999999999998"/>
    <s v="Completed"/>
    <s v="Gift Card"/>
    <n v="16.329999999999998"/>
    <n v="6"/>
    <x v="0"/>
  </r>
  <r>
    <x v="502"/>
    <x v="185"/>
    <s v="CUST1025"/>
    <s v="Nina Chen"/>
    <x v="0"/>
    <x v="5"/>
    <x v="33"/>
    <n v="1"/>
    <n v="16.34"/>
    <s v="Completed"/>
    <s v="Credit Card"/>
    <n v="16.34"/>
    <n v="2"/>
    <x v="0"/>
  </r>
  <r>
    <x v="503"/>
    <x v="358"/>
    <s v="CUST1844"/>
    <s v="Ahmad Johnson"/>
    <x v="0"/>
    <x v="1"/>
    <x v="6"/>
    <n v="1"/>
    <n v="16.34"/>
    <s v="Completed"/>
    <s v="Debit Card"/>
    <n v="16.34"/>
    <n v="4"/>
    <x v="0"/>
  </r>
  <r>
    <x v="504"/>
    <x v="359"/>
    <s v="CUST1533"/>
    <s v="Andi Johnson"/>
    <x v="0"/>
    <x v="1"/>
    <x v="18"/>
    <n v="2"/>
    <n v="16.350000000000001"/>
    <s v="Completed"/>
    <s v="Credit Card"/>
    <n v="32.700000000000003"/>
    <n v="1"/>
    <x v="1"/>
  </r>
  <r>
    <x v="505"/>
    <x v="306"/>
    <s v="CUST1087"/>
    <s v="Linda Tan"/>
    <x v="0"/>
    <x v="2"/>
    <x v="8"/>
    <n v="5"/>
    <n v="16.350000000000001"/>
    <s v="Completed"/>
    <s v="Credit Card"/>
    <n v="81.75"/>
    <n v="7"/>
    <x v="0"/>
  </r>
  <r>
    <x v="506"/>
    <x v="355"/>
    <s v="CUST1408"/>
    <s v="Fajar Wijaya"/>
    <x v="0"/>
    <x v="3"/>
    <x v="16"/>
    <n v="3"/>
    <n v="16.36"/>
    <s v="Completed"/>
    <s v="Debit Card"/>
    <n v="49.08"/>
    <n v="1"/>
    <x v="1"/>
  </r>
  <r>
    <x v="507"/>
    <x v="342"/>
    <s v="CUST1392"/>
    <s v="Nina Garcia"/>
    <x v="0"/>
    <x v="3"/>
    <x v="12"/>
    <n v="2"/>
    <n v="16.37"/>
    <s v="Completed"/>
    <s v="Debit Card"/>
    <n v="32.74"/>
    <n v="5"/>
    <x v="0"/>
  </r>
  <r>
    <x v="508"/>
    <x v="360"/>
    <s v="CUST1246"/>
    <s v="Ayu Brown"/>
    <x v="0"/>
    <x v="3"/>
    <x v="13"/>
    <n v="1"/>
    <n v="16.39"/>
    <s v="Completed"/>
    <s v="Unknown"/>
    <n v="16.39"/>
    <n v="7"/>
    <x v="0"/>
  </r>
  <r>
    <x v="509"/>
    <x v="361"/>
    <s v="CUST1038"/>
    <s v="Linda Nugroho"/>
    <x v="0"/>
    <x v="0"/>
    <x v="3"/>
    <n v="2"/>
    <n v="16.399999999999999"/>
    <s v="Completed"/>
    <s v="Gift Card"/>
    <n v="32.799999999999997"/>
    <n v="6"/>
    <x v="0"/>
  </r>
  <r>
    <x v="510"/>
    <x v="55"/>
    <s v="CUST1571"/>
    <s v="Nina Nugroho"/>
    <x v="0"/>
    <x v="1"/>
    <x v="5"/>
    <n v="1"/>
    <n v="16.41"/>
    <s v="Completed"/>
    <s v="Credit Card"/>
    <n v="16.41"/>
    <n v="3"/>
    <x v="0"/>
  </r>
  <r>
    <x v="511"/>
    <x v="101"/>
    <s v="CUST1318"/>
    <s v="David Smith"/>
    <x v="3"/>
    <x v="2"/>
    <x v="8"/>
    <n v="2"/>
    <n v="16.41"/>
    <s v="Completed"/>
    <s v="PayPal"/>
    <n v="32.82"/>
    <n v="4"/>
    <x v="0"/>
  </r>
  <r>
    <x v="512"/>
    <x v="183"/>
    <s v="CUST1428"/>
    <s v="Andi Chen"/>
    <x v="0"/>
    <x v="3"/>
    <x v="19"/>
    <n v="3"/>
    <n v="16.420000000000002"/>
    <s v="Completed"/>
    <s v="PayPal"/>
    <n v="49.260000000000005"/>
    <n v="7"/>
    <x v="0"/>
  </r>
  <r>
    <x v="513"/>
    <x v="228"/>
    <s v="CUST1424"/>
    <s v="Linda Garcia"/>
    <x v="0"/>
    <x v="0"/>
    <x v="2"/>
    <n v="1"/>
    <n v="16.440000000000001"/>
    <s v="Completed"/>
    <s v="Gift Card"/>
    <n v="16.440000000000001"/>
    <n v="6"/>
    <x v="0"/>
  </r>
  <r>
    <x v="514"/>
    <x v="337"/>
    <s v="CUST1144"/>
    <s v="Kevin Smith"/>
    <x v="0"/>
    <x v="0"/>
    <x v="4"/>
    <n v="2"/>
    <n v="16.46"/>
    <s v="Completed"/>
    <s v="PayPal"/>
    <n v="32.92"/>
    <n v="5"/>
    <x v="0"/>
  </r>
  <r>
    <x v="515"/>
    <x v="170"/>
    <s v="CUST1572"/>
    <s v="Maria Yusuf"/>
    <x v="0"/>
    <x v="5"/>
    <x v="34"/>
    <n v="2"/>
    <n v="16.53"/>
    <s v="Completed"/>
    <s v="PayPal"/>
    <n v="33.06"/>
    <n v="9"/>
    <x v="0"/>
  </r>
  <r>
    <x v="516"/>
    <x v="9"/>
    <s v="CUST1128"/>
    <s v="Rina Taylor"/>
    <x v="0"/>
    <x v="4"/>
    <x v="22"/>
    <n v="2"/>
    <n v="16.54"/>
    <s v="Completed"/>
    <s v="Credit Card"/>
    <n v="33.08"/>
    <n v="6"/>
    <x v="0"/>
  </r>
  <r>
    <x v="517"/>
    <x v="362"/>
    <s v="CUST1415"/>
    <s v="Sarah Salim"/>
    <x v="0"/>
    <x v="1"/>
    <x v="6"/>
    <n v="1"/>
    <n v="16.55"/>
    <s v="Completed"/>
    <s v="Credit Card"/>
    <n v="16.55"/>
    <n v="5"/>
    <x v="0"/>
  </r>
  <r>
    <x v="518"/>
    <x v="363"/>
    <s v="CUST1656"/>
    <s v="Ayu Yusuf"/>
    <x v="1"/>
    <x v="2"/>
    <x v="10"/>
    <n v="4"/>
    <n v="16.559999999999999"/>
    <s v="Completed"/>
    <s v="Unknown"/>
    <n v="66.239999999999995"/>
    <n v="4"/>
    <x v="0"/>
  </r>
  <r>
    <x v="519"/>
    <x v="280"/>
    <s v="CUST1553"/>
    <s v="Fajar Hidayat"/>
    <x v="0"/>
    <x v="6"/>
    <x v="41"/>
    <n v="3"/>
    <n v="16.57"/>
    <s v="Completed"/>
    <s v="Debit Card"/>
    <n v="49.71"/>
    <n v="5"/>
    <x v="0"/>
  </r>
  <r>
    <x v="520"/>
    <x v="90"/>
    <s v="CUST1714"/>
    <s v="Ayu Nugroho"/>
    <x v="0"/>
    <x v="1"/>
    <x v="20"/>
    <n v="3"/>
    <n v="16.57"/>
    <s v="Completed"/>
    <s v="PayPal"/>
    <n v="49.71"/>
    <n v="4"/>
    <x v="0"/>
  </r>
  <r>
    <x v="521"/>
    <x v="364"/>
    <s v="CUST1056"/>
    <s v="Rina Smith"/>
    <x v="0"/>
    <x v="5"/>
    <x v="31"/>
    <n v="1"/>
    <n v="16.59"/>
    <s v="Completed"/>
    <s v="Debit Card"/>
    <n v="16.59"/>
    <n v="4"/>
    <x v="0"/>
  </r>
  <r>
    <x v="522"/>
    <x v="252"/>
    <s v="CUST1425"/>
    <s v="Linda Anderson"/>
    <x v="0"/>
    <x v="4"/>
    <x v="26"/>
    <n v="1"/>
    <n v="16.600000000000001"/>
    <s v="Returned"/>
    <s v="PayPal"/>
    <n v="16.600000000000001"/>
    <n v="4"/>
    <x v="0"/>
  </r>
  <r>
    <x v="523"/>
    <x v="66"/>
    <s v="CUST1638"/>
    <s v="Maria Kurniawan"/>
    <x v="0"/>
    <x v="6"/>
    <x v="36"/>
    <n v="1"/>
    <n v="16.62"/>
    <s v="Returned"/>
    <s v="Debit Card"/>
    <n v="16.62"/>
    <n v="8"/>
    <x v="0"/>
  </r>
  <r>
    <x v="524"/>
    <x v="365"/>
    <s v="CUST1488"/>
    <s v="John Taylor"/>
    <x v="0"/>
    <x v="4"/>
    <x v="23"/>
    <n v="1"/>
    <n v="16.649999999999999"/>
    <s v="Completed"/>
    <s v="PayPal"/>
    <n v="16.649999999999999"/>
    <n v="5"/>
    <x v="0"/>
  </r>
  <r>
    <x v="525"/>
    <x v="35"/>
    <s v="CUST1166"/>
    <s v="Ahmad Garcia"/>
    <x v="0"/>
    <x v="5"/>
    <x v="28"/>
    <n v="1"/>
    <n v="16.649999999999999"/>
    <s v="Completed"/>
    <s v="Credit Card"/>
    <n v="16.649999999999999"/>
    <n v="3"/>
    <x v="0"/>
  </r>
  <r>
    <x v="526"/>
    <x v="58"/>
    <s v="CUST1398"/>
    <s v="Nina Kurniawan"/>
    <x v="0"/>
    <x v="1"/>
    <x v="9"/>
    <n v="1"/>
    <n v="16.7"/>
    <s v="Completed"/>
    <s v="Debit Card"/>
    <n v="16.7"/>
    <n v="2"/>
    <x v="0"/>
  </r>
  <r>
    <x v="527"/>
    <x v="366"/>
    <s v="CUST1370"/>
    <s v="Rina Anderson"/>
    <x v="0"/>
    <x v="0"/>
    <x v="3"/>
    <n v="1"/>
    <n v="16.71"/>
    <s v="Completed"/>
    <s v="Gift Card"/>
    <n v="16.71"/>
    <n v="6"/>
    <x v="0"/>
  </r>
  <r>
    <x v="528"/>
    <x v="205"/>
    <s v="CUST1193"/>
    <s v="Dewi Kurniawan"/>
    <x v="0"/>
    <x v="2"/>
    <x v="15"/>
    <n v="1"/>
    <n v="16.71"/>
    <s v="Pending"/>
    <s v="PayPal"/>
    <n v="16.71"/>
    <n v="4"/>
    <x v="0"/>
  </r>
  <r>
    <x v="529"/>
    <x v="330"/>
    <s v="CUST1891"/>
    <s v="Sarah Lee"/>
    <x v="0"/>
    <x v="3"/>
    <x v="16"/>
    <n v="3"/>
    <n v="16.71"/>
    <s v="Cancelled"/>
    <s v="Debit Card"/>
    <n v="50.13"/>
    <n v="6"/>
    <x v="0"/>
  </r>
  <r>
    <x v="530"/>
    <x v="367"/>
    <s v="CUST1354"/>
    <s v="Fajar Tan"/>
    <x v="0"/>
    <x v="1"/>
    <x v="5"/>
    <n v="1"/>
    <n v="16.72"/>
    <s v="Completed"/>
    <s v="Gift Card"/>
    <n v="16.72"/>
    <n v="4"/>
    <x v="0"/>
  </r>
  <r>
    <x v="531"/>
    <x v="368"/>
    <s v="CUST1190"/>
    <s v="Lisa Wijaya"/>
    <x v="1"/>
    <x v="3"/>
    <x v="14"/>
    <n v="1"/>
    <n v="16.73"/>
    <s v="Completed"/>
    <s v="Gift Card"/>
    <n v="16.73"/>
    <n v="4"/>
    <x v="0"/>
  </r>
  <r>
    <x v="532"/>
    <x v="369"/>
    <s v="CUST1824"/>
    <s v="Linda Chen"/>
    <x v="0"/>
    <x v="2"/>
    <x v="15"/>
    <n v="2"/>
    <n v="16.73"/>
    <s v="Completed"/>
    <s v="Debit Card"/>
    <n v="33.46"/>
    <n v="6"/>
    <x v="0"/>
  </r>
  <r>
    <x v="533"/>
    <x v="370"/>
    <s v="CUST1795"/>
    <s v="Michael Chen"/>
    <x v="1"/>
    <x v="2"/>
    <x v="15"/>
    <n v="1"/>
    <n v="16.739999999999998"/>
    <s v="Completed"/>
    <s v="Gift Card"/>
    <n v="16.739999999999998"/>
    <n v="3"/>
    <x v="0"/>
  </r>
  <r>
    <x v="534"/>
    <x v="217"/>
    <s v="CUST1206"/>
    <s v="Siti Wilson"/>
    <x v="0"/>
    <x v="2"/>
    <x v="7"/>
    <n v="3"/>
    <n v="16.75"/>
    <s v="Completed"/>
    <s v="Credit Card"/>
    <n v="50.25"/>
    <n v="6"/>
    <x v="0"/>
  </r>
  <r>
    <x v="535"/>
    <x v="371"/>
    <s v="CUST1160"/>
    <s v="James Nugroho"/>
    <x v="0"/>
    <x v="0"/>
    <x v="4"/>
    <n v="2"/>
    <n v="16.760000000000002"/>
    <s v="Completed"/>
    <s v="Gift Card"/>
    <n v="33.520000000000003"/>
    <n v="6"/>
    <x v="0"/>
  </r>
  <r>
    <x v="536"/>
    <x v="372"/>
    <s v="CUST1820"/>
    <s v="Maria Brown"/>
    <x v="0"/>
    <x v="5"/>
    <x v="29"/>
    <n v="1"/>
    <n v="16.78"/>
    <s v="Completed"/>
    <s v="Debit Card"/>
    <n v="16.78"/>
    <n v="3"/>
    <x v="0"/>
  </r>
  <r>
    <x v="537"/>
    <x v="78"/>
    <s v="CUST1492"/>
    <s v="Sarah Nugroho"/>
    <x v="1"/>
    <x v="4"/>
    <x v="23"/>
    <n v="5"/>
    <n v="16.79"/>
    <s v="Completed"/>
    <s v="Credit Card"/>
    <n v="83.949999999999989"/>
    <n v="4"/>
    <x v="0"/>
  </r>
  <r>
    <x v="538"/>
    <x v="289"/>
    <s v="CUST1356"/>
    <s v="Ahmad Tan"/>
    <x v="0"/>
    <x v="0"/>
    <x v="3"/>
    <n v="2"/>
    <n v="16.8"/>
    <s v="Completed"/>
    <s v="PayPal"/>
    <n v="33.6"/>
    <n v="5"/>
    <x v="0"/>
  </r>
  <r>
    <x v="539"/>
    <x v="331"/>
    <s v="CUST1674"/>
    <s v="Dewi Lee"/>
    <x v="0"/>
    <x v="6"/>
    <x v="35"/>
    <n v="5"/>
    <n v="16.809999999999999"/>
    <s v="Completed"/>
    <s v="Gift Card"/>
    <n v="84.05"/>
    <n v="11"/>
    <x v="0"/>
  </r>
  <r>
    <x v="540"/>
    <x v="373"/>
    <s v="CUST1606"/>
    <s v="Lisa Halim"/>
    <x v="0"/>
    <x v="3"/>
    <x v="16"/>
    <n v="2"/>
    <n v="16.829999999999998"/>
    <s v="Completed"/>
    <s v="Gift Card"/>
    <n v="33.659999999999997"/>
    <n v="3"/>
    <x v="0"/>
  </r>
  <r>
    <x v="541"/>
    <x v="333"/>
    <s v="CUST1719"/>
    <s v="Nina Yusuf"/>
    <x v="1"/>
    <x v="0"/>
    <x v="2"/>
    <n v="3"/>
    <n v="16.86"/>
    <s v="Completed"/>
    <s v="PayPal"/>
    <n v="50.58"/>
    <n v="3"/>
    <x v="0"/>
  </r>
  <r>
    <x v="542"/>
    <x v="321"/>
    <s v="CUST1648"/>
    <s v="James Wijaya"/>
    <x v="0"/>
    <x v="2"/>
    <x v="8"/>
    <n v="1"/>
    <n v="16.89"/>
    <s v="Cancelled"/>
    <s v="Gift Card"/>
    <n v="16.89"/>
    <n v="7"/>
    <x v="0"/>
  </r>
  <r>
    <x v="543"/>
    <x v="36"/>
    <s v="CUST1539"/>
    <s v="Sarah Salim"/>
    <x v="0"/>
    <x v="2"/>
    <x v="8"/>
    <n v="1"/>
    <n v="16.91"/>
    <s v="Completed"/>
    <s v="Unknown"/>
    <n v="16.91"/>
    <n v="1"/>
    <x v="1"/>
  </r>
  <r>
    <x v="544"/>
    <x v="50"/>
    <s v="CUST1355"/>
    <s v="Michael Garcia"/>
    <x v="0"/>
    <x v="2"/>
    <x v="11"/>
    <n v="2"/>
    <n v="16.91"/>
    <s v="Completed"/>
    <s v="Debit Card"/>
    <n v="33.82"/>
    <n v="3"/>
    <x v="0"/>
  </r>
  <r>
    <x v="545"/>
    <x v="321"/>
    <s v="CUST1594"/>
    <s v="James Chen"/>
    <x v="0"/>
    <x v="4"/>
    <x v="26"/>
    <n v="2"/>
    <n v="16.91"/>
    <s v="Completed"/>
    <s v="Gift Card"/>
    <n v="33.82"/>
    <n v="4"/>
    <x v="0"/>
  </r>
  <r>
    <x v="546"/>
    <x v="339"/>
    <s v="CUST1876"/>
    <s v="John Hidayat"/>
    <x v="0"/>
    <x v="0"/>
    <x v="1"/>
    <n v="1"/>
    <n v="16.920000000000002"/>
    <s v="Completed"/>
    <s v="Gift Card"/>
    <n v="16.920000000000002"/>
    <n v="5"/>
    <x v="0"/>
  </r>
  <r>
    <x v="547"/>
    <x v="273"/>
    <s v="CUST1565"/>
    <s v="Rina Hidayat"/>
    <x v="0"/>
    <x v="0"/>
    <x v="1"/>
    <n v="3"/>
    <n v="16.920000000000002"/>
    <s v="Completed"/>
    <s v="PayPal"/>
    <n v="50.760000000000005"/>
    <n v="5"/>
    <x v="0"/>
  </r>
  <r>
    <x v="548"/>
    <x v="374"/>
    <s v="CUST1870"/>
    <s v="Dewi Chen"/>
    <x v="0"/>
    <x v="0"/>
    <x v="0"/>
    <n v="2"/>
    <n v="16.93"/>
    <s v="Cancelled"/>
    <s v="PayPal"/>
    <n v="33.86"/>
    <n v="8"/>
    <x v="0"/>
  </r>
  <r>
    <x v="549"/>
    <x v="375"/>
    <s v="CUST1127"/>
    <s v="Linda Halim"/>
    <x v="0"/>
    <x v="2"/>
    <x v="7"/>
    <n v="1"/>
    <n v="16.97"/>
    <s v="Returned"/>
    <s v="Debit Card"/>
    <n v="16.97"/>
    <n v="5"/>
    <x v="0"/>
  </r>
  <r>
    <x v="550"/>
    <x v="376"/>
    <s v="CUST1728"/>
    <s v="Siti Santos"/>
    <x v="0"/>
    <x v="3"/>
    <x v="19"/>
    <n v="1"/>
    <n v="17.04"/>
    <s v="Completed"/>
    <s v="Debit Card"/>
    <n v="17.04"/>
    <n v="5"/>
    <x v="0"/>
  </r>
  <r>
    <x v="551"/>
    <x v="154"/>
    <s v="CUST1100"/>
    <s v="Ahmad Wijaya"/>
    <x v="1"/>
    <x v="6"/>
    <x v="36"/>
    <n v="2"/>
    <n v="17.059999999999999"/>
    <s v="Completed"/>
    <s v="Debit Card"/>
    <n v="34.119999999999997"/>
    <n v="4"/>
    <x v="0"/>
  </r>
  <r>
    <x v="552"/>
    <x v="377"/>
    <s v="CUST1422"/>
    <s v="Budi Pratama"/>
    <x v="0"/>
    <x v="0"/>
    <x v="3"/>
    <n v="1"/>
    <n v="17.11"/>
    <s v="Completed"/>
    <s v="Debit Card"/>
    <n v="17.11"/>
    <n v="7"/>
    <x v="0"/>
  </r>
  <r>
    <x v="553"/>
    <x v="378"/>
    <s v="CUST1596"/>
    <s v="Ayu Garcia"/>
    <x v="0"/>
    <x v="3"/>
    <x v="13"/>
    <n v="3"/>
    <n v="17.12"/>
    <s v="Completed"/>
    <s v="PayPal"/>
    <n v="51.36"/>
    <n v="8"/>
    <x v="0"/>
  </r>
  <r>
    <x v="554"/>
    <x v="379"/>
    <s v="CUST1273"/>
    <s v="Ayu Salim"/>
    <x v="0"/>
    <x v="2"/>
    <x v="11"/>
    <n v="1"/>
    <n v="17.13"/>
    <s v="Completed"/>
    <s v="Gift Card"/>
    <n v="17.13"/>
    <n v="6"/>
    <x v="0"/>
  </r>
  <r>
    <x v="555"/>
    <x v="50"/>
    <s v="CUST1741"/>
    <s v="Siti Wilson"/>
    <x v="0"/>
    <x v="2"/>
    <x v="8"/>
    <n v="1"/>
    <n v="17.170000000000002"/>
    <s v="Completed"/>
    <s v="Debit Card"/>
    <n v="17.170000000000002"/>
    <n v="7"/>
    <x v="0"/>
  </r>
  <r>
    <x v="556"/>
    <x v="183"/>
    <s v="CUST1728"/>
    <s v="Siti Santos"/>
    <x v="0"/>
    <x v="2"/>
    <x v="11"/>
    <n v="5"/>
    <n v="17.190000000000001"/>
    <s v="Completed"/>
    <s v="Gift Card"/>
    <n v="85.95"/>
    <n v="5"/>
    <x v="0"/>
  </r>
  <r>
    <x v="557"/>
    <x v="279"/>
    <s v="CUST1075"/>
    <s v="Linda Anderson"/>
    <x v="1"/>
    <x v="4"/>
    <x v="21"/>
    <n v="1"/>
    <n v="17.21"/>
    <s v="Completed"/>
    <s v="Gift Card"/>
    <n v="17.21"/>
    <n v="5"/>
    <x v="0"/>
  </r>
  <r>
    <x v="558"/>
    <x v="380"/>
    <s v="CUST1129"/>
    <s v="Budi Wilson"/>
    <x v="0"/>
    <x v="2"/>
    <x v="7"/>
    <n v="5"/>
    <n v="17.22"/>
    <s v="Returned"/>
    <s v="Gift Card"/>
    <n v="86.1"/>
    <n v="5"/>
    <x v="0"/>
  </r>
  <r>
    <x v="559"/>
    <x v="57"/>
    <s v="CUST1014"/>
    <s v="Linda Halim"/>
    <x v="1"/>
    <x v="2"/>
    <x v="15"/>
    <n v="1"/>
    <n v="17.23"/>
    <s v="Cancelled"/>
    <s v="Debit Card"/>
    <n v="17.23"/>
    <n v="3"/>
    <x v="0"/>
  </r>
  <r>
    <x v="560"/>
    <x v="336"/>
    <s v="CUST1650"/>
    <s v="Dewi Lee"/>
    <x v="0"/>
    <x v="2"/>
    <x v="7"/>
    <n v="1"/>
    <n v="17.239999999999998"/>
    <s v="Completed"/>
    <s v="Gift Card"/>
    <n v="17.239999999999998"/>
    <n v="6"/>
    <x v="0"/>
  </r>
  <r>
    <x v="561"/>
    <x v="91"/>
    <s v="CUST1102"/>
    <s v="Maria Brown"/>
    <x v="0"/>
    <x v="2"/>
    <x v="8"/>
    <n v="2"/>
    <n v="17.239999999999998"/>
    <s v="Completed"/>
    <s v="PayPal"/>
    <n v="34.479999999999997"/>
    <n v="5"/>
    <x v="0"/>
  </r>
  <r>
    <x v="562"/>
    <x v="163"/>
    <s v="CUST1266"/>
    <s v="Kevin Nugroho"/>
    <x v="0"/>
    <x v="2"/>
    <x v="11"/>
    <n v="2"/>
    <n v="17.3"/>
    <s v="Completed"/>
    <s v="PayPal"/>
    <n v="34.6"/>
    <n v="5"/>
    <x v="0"/>
  </r>
  <r>
    <x v="563"/>
    <x v="381"/>
    <s v="CUST1818"/>
    <s v="Siti Salim"/>
    <x v="0"/>
    <x v="2"/>
    <x v="11"/>
    <n v="4"/>
    <n v="17.32"/>
    <s v="Completed"/>
    <s v="PayPal"/>
    <n v="69.28"/>
    <n v="8"/>
    <x v="0"/>
  </r>
  <r>
    <x v="564"/>
    <x v="361"/>
    <s v="CUST1353"/>
    <s v="Andi Halim"/>
    <x v="0"/>
    <x v="6"/>
    <x v="35"/>
    <n v="1"/>
    <n v="17.329999999999998"/>
    <s v="Pending"/>
    <s v="Credit Card"/>
    <n v="17.329999999999998"/>
    <n v="10"/>
    <x v="0"/>
  </r>
  <r>
    <x v="565"/>
    <x v="382"/>
    <s v="CUST1210"/>
    <s v="Nina Garcia"/>
    <x v="0"/>
    <x v="0"/>
    <x v="4"/>
    <n v="1"/>
    <n v="17.36"/>
    <s v="Returned"/>
    <s v="PayPal"/>
    <n v="17.36"/>
    <n v="9"/>
    <x v="0"/>
  </r>
  <r>
    <x v="566"/>
    <x v="383"/>
    <s v="CUST1084"/>
    <s v="Ahmad Anderson"/>
    <x v="0"/>
    <x v="0"/>
    <x v="0"/>
    <n v="1"/>
    <n v="17.39"/>
    <s v="Pending"/>
    <s v="PayPal"/>
    <n v="17.39"/>
    <n v="4"/>
    <x v="0"/>
  </r>
  <r>
    <x v="567"/>
    <x v="297"/>
    <s v="CUST1263"/>
    <s v="John Santos"/>
    <x v="0"/>
    <x v="2"/>
    <x v="15"/>
    <n v="1"/>
    <n v="17.39"/>
    <s v="Completed"/>
    <s v="Credit Card"/>
    <n v="17.39"/>
    <n v="5"/>
    <x v="0"/>
  </r>
  <r>
    <x v="568"/>
    <x v="384"/>
    <s v="CUST1860"/>
    <s v="Rina Nugroho"/>
    <x v="0"/>
    <x v="2"/>
    <x v="11"/>
    <n v="2"/>
    <n v="17.41"/>
    <s v="Completed"/>
    <s v="PayPal"/>
    <n v="34.82"/>
    <n v="7"/>
    <x v="0"/>
  </r>
  <r>
    <x v="569"/>
    <x v="367"/>
    <s v="CUST1507"/>
    <s v="Unknown Customer"/>
    <x v="0"/>
    <x v="2"/>
    <x v="10"/>
    <n v="1"/>
    <n v="17.420000000000002"/>
    <s v="Completed"/>
    <s v="Gift Card"/>
    <n v="17.420000000000002"/>
    <n v="7"/>
    <x v="0"/>
  </r>
  <r>
    <x v="570"/>
    <x v="202"/>
    <s v="CUST1361"/>
    <s v="Rina Brown"/>
    <x v="0"/>
    <x v="0"/>
    <x v="0"/>
    <n v="4"/>
    <n v="17.420000000000002"/>
    <s v="Completed"/>
    <s v="Gift Card"/>
    <n v="69.680000000000007"/>
    <n v="3"/>
    <x v="0"/>
  </r>
  <r>
    <x v="571"/>
    <x v="385"/>
    <s v="CUST1772"/>
    <s v="Ahmad Hidayat"/>
    <x v="0"/>
    <x v="0"/>
    <x v="0"/>
    <n v="1"/>
    <n v="17.43"/>
    <s v="Completed"/>
    <s v="PayPal"/>
    <n v="17.43"/>
    <n v="6"/>
    <x v="0"/>
  </r>
  <r>
    <x v="572"/>
    <x v="386"/>
    <s v="CUST1052"/>
    <s v="Fajar Halim"/>
    <x v="0"/>
    <x v="0"/>
    <x v="1"/>
    <n v="2"/>
    <n v="17.45"/>
    <s v="Completed"/>
    <s v="Credit Card"/>
    <n v="34.9"/>
    <n v="8"/>
    <x v="0"/>
  </r>
  <r>
    <x v="573"/>
    <x v="85"/>
    <s v="CUST1256"/>
    <s v="James Wijaya"/>
    <x v="0"/>
    <x v="1"/>
    <x v="18"/>
    <n v="1"/>
    <n v="17.489999999999998"/>
    <s v="Completed"/>
    <s v="Debit Card"/>
    <n v="17.489999999999998"/>
    <n v="6"/>
    <x v="0"/>
  </r>
  <r>
    <x v="574"/>
    <x v="387"/>
    <s v="CUST1508"/>
    <s v="Budi Garcia"/>
    <x v="1"/>
    <x v="2"/>
    <x v="11"/>
    <n v="2"/>
    <n v="17.489999999999998"/>
    <s v="Completed"/>
    <s v="Debit Card"/>
    <n v="34.979999999999997"/>
    <n v="5"/>
    <x v="0"/>
  </r>
  <r>
    <x v="575"/>
    <x v="388"/>
    <s v="CUST1284"/>
    <s v="Lisa Smith"/>
    <x v="0"/>
    <x v="4"/>
    <x v="25"/>
    <n v="2"/>
    <n v="17.5"/>
    <s v="Completed"/>
    <s v="Debit Card"/>
    <n v="35"/>
    <n v="7"/>
    <x v="0"/>
  </r>
  <r>
    <x v="576"/>
    <x v="94"/>
    <s v="CUST1209"/>
    <s v="Andi Sari"/>
    <x v="0"/>
    <x v="0"/>
    <x v="1"/>
    <n v="1"/>
    <n v="17.510000000000002"/>
    <s v="Completed"/>
    <s v="Credit Card"/>
    <n v="17.510000000000002"/>
    <n v="6"/>
    <x v="0"/>
  </r>
  <r>
    <x v="577"/>
    <x v="389"/>
    <s v="CUST1474"/>
    <s v="Kevin Sari"/>
    <x v="0"/>
    <x v="2"/>
    <x v="8"/>
    <n v="1"/>
    <n v="17.53"/>
    <s v="Completed"/>
    <s v="PayPal"/>
    <n v="17.53"/>
    <n v="6"/>
    <x v="0"/>
  </r>
  <r>
    <x v="578"/>
    <x v="390"/>
    <s v="CUST1798"/>
    <s v="Siti Anderson"/>
    <x v="0"/>
    <x v="1"/>
    <x v="18"/>
    <n v="1"/>
    <n v="17.53"/>
    <s v="Completed"/>
    <s v="PayPal"/>
    <n v="17.53"/>
    <n v="10"/>
    <x v="0"/>
  </r>
  <r>
    <x v="579"/>
    <x v="303"/>
    <s v="CUST1718"/>
    <s v="Dewi Lee"/>
    <x v="0"/>
    <x v="3"/>
    <x v="13"/>
    <n v="2"/>
    <n v="17.54"/>
    <s v="Pending"/>
    <s v="Gift Card"/>
    <n v="35.08"/>
    <n v="4"/>
    <x v="0"/>
  </r>
  <r>
    <x v="580"/>
    <x v="127"/>
    <s v="CUST1445"/>
    <s v="Kevin Anderson"/>
    <x v="0"/>
    <x v="2"/>
    <x v="15"/>
    <n v="2"/>
    <n v="17.57"/>
    <s v="Cancelled"/>
    <s v="PayPal"/>
    <n v="35.14"/>
    <n v="9"/>
    <x v="0"/>
  </r>
  <r>
    <x v="581"/>
    <x v="391"/>
    <s v="CUST1321"/>
    <s v="Putri Garcia"/>
    <x v="1"/>
    <x v="2"/>
    <x v="15"/>
    <n v="4"/>
    <n v="17.57"/>
    <s v="Returned"/>
    <s v="Gift Card"/>
    <n v="70.28"/>
    <n v="8"/>
    <x v="0"/>
  </r>
  <r>
    <x v="582"/>
    <x v="392"/>
    <s v="CUST1789"/>
    <s v="Sarah Nugroho"/>
    <x v="0"/>
    <x v="0"/>
    <x v="2"/>
    <n v="4"/>
    <n v="17.59"/>
    <s v="Completed"/>
    <s v="Credit Card"/>
    <n v="70.36"/>
    <n v="2"/>
    <x v="0"/>
  </r>
  <r>
    <x v="583"/>
    <x v="393"/>
    <s v="CUST1528"/>
    <s v="Maria Chen"/>
    <x v="0"/>
    <x v="0"/>
    <x v="1"/>
    <n v="2"/>
    <n v="17.600000000000001"/>
    <s v="Completed"/>
    <s v="Unknown"/>
    <n v="35.200000000000003"/>
    <n v="6"/>
    <x v="0"/>
  </r>
  <r>
    <x v="584"/>
    <x v="316"/>
    <s v="CUST1583"/>
    <s v="Andi Smith"/>
    <x v="3"/>
    <x v="6"/>
    <x v="35"/>
    <n v="4"/>
    <n v="17.61"/>
    <s v="Completed"/>
    <s v="Debit Card"/>
    <n v="70.44"/>
    <n v="3"/>
    <x v="0"/>
  </r>
  <r>
    <x v="585"/>
    <x v="394"/>
    <s v="CUST1308"/>
    <s v="Robert Yusuf"/>
    <x v="0"/>
    <x v="1"/>
    <x v="20"/>
    <n v="1"/>
    <n v="17.66"/>
    <s v="Completed"/>
    <s v="Debit Card"/>
    <n v="17.66"/>
    <n v="4"/>
    <x v="0"/>
  </r>
  <r>
    <x v="586"/>
    <x v="395"/>
    <s v="CUST1073"/>
    <s v="Ayu Pratama"/>
    <x v="0"/>
    <x v="1"/>
    <x v="18"/>
    <n v="1"/>
    <n v="17.68"/>
    <s v="Completed"/>
    <s v="Gift Card"/>
    <n v="17.68"/>
    <n v="6"/>
    <x v="0"/>
  </r>
  <r>
    <x v="587"/>
    <x v="19"/>
    <s v="CUST1503"/>
    <s v="Andi Anderson"/>
    <x v="0"/>
    <x v="1"/>
    <x v="5"/>
    <n v="1"/>
    <n v="17.690000000000001"/>
    <s v="Cancelled"/>
    <s v="Credit Card"/>
    <n v="17.690000000000001"/>
    <n v="6"/>
    <x v="0"/>
  </r>
  <r>
    <x v="588"/>
    <x v="195"/>
    <s v="CUST1457"/>
    <s v="David Johnson"/>
    <x v="0"/>
    <x v="2"/>
    <x v="10"/>
    <n v="1"/>
    <n v="17.7"/>
    <s v="Cancelled"/>
    <s v="Debit Card"/>
    <n v="17.7"/>
    <n v="4"/>
    <x v="0"/>
  </r>
  <r>
    <x v="589"/>
    <x v="138"/>
    <s v="CUST1260"/>
    <s v="Fajar Pratama"/>
    <x v="0"/>
    <x v="0"/>
    <x v="0"/>
    <n v="1"/>
    <n v="17.71"/>
    <s v="Completed"/>
    <s v="Credit Card"/>
    <n v="17.71"/>
    <n v="5"/>
    <x v="0"/>
  </r>
  <r>
    <x v="590"/>
    <x v="27"/>
    <s v="CUST1185"/>
    <s v="Unknown Customer"/>
    <x v="1"/>
    <x v="3"/>
    <x v="13"/>
    <n v="1"/>
    <n v="17.73"/>
    <s v="Cancelled"/>
    <s v="PayPal"/>
    <n v="17.73"/>
    <n v="4"/>
    <x v="0"/>
  </r>
  <r>
    <x v="591"/>
    <x v="254"/>
    <s v="CUST1523"/>
    <s v="Michael Chen"/>
    <x v="0"/>
    <x v="2"/>
    <x v="7"/>
    <n v="2"/>
    <n v="17.739999999999998"/>
    <s v="Completed"/>
    <s v="Gift Card"/>
    <n v="35.479999999999997"/>
    <n v="7"/>
    <x v="0"/>
  </r>
  <r>
    <x v="592"/>
    <x v="396"/>
    <s v="CUST1449"/>
    <s v="Michael Chen"/>
    <x v="0"/>
    <x v="2"/>
    <x v="15"/>
    <n v="1"/>
    <n v="17.760000000000002"/>
    <s v="Completed"/>
    <s v="Gift Card"/>
    <n v="17.760000000000002"/>
    <n v="4"/>
    <x v="0"/>
  </r>
  <r>
    <x v="593"/>
    <x v="99"/>
    <s v="CUST1180"/>
    <s v="Rina Tan"/>
    <x v="0"/>
    <x v="0"/>
    <x v="4"/>
    <n v="2"/>
    <n v="17.79"/>
    <s v="Completed"/>
    <s v="Gift Card"/>
    <n v="35.58"/>
    <n v="5"/>
    <x v="0"/>
  </r>
  <r>
    <x v="594"/>
    <x v="397"/>
    <s v="CUST1591"/>
    <s v="Fajar Wilson"/>
    <x v="0"/>
    <x v="3"/>
    <x v="14"/>
    <n v="2"/>
    <n v="17.809999999999999"/>
    <s v="Completed"/>
    <s v="Credit Card"/>
    <n v="35.619999999999997"/>
    <n v="9"/>
    <x v="0"/>
  </r>
  <r>
    <x v="595"/>
    <x v="398"/>
    <s v="CUST1651"/>
    <s v="Rina Nugroho"/>
    <x v="0"/>
    <x v="1"/>
    <x v="6"/>
    <n v="1"/>
    <n v="17.82"/>
    <s v="Completed"/>
    <s v="PayPal"/>
    <n v="17.82"/>
    <n v="4"/>
    <x v="0"/>
  </r>
  <r>
    <x v="596"/>
    <x v="45"/>
    <s v="CUST1164"/>
    <s v="Kevin Tan"/>
    <x v="3"/>
    <x v="6"/>
    <x v="37"/>
    <n v="1"/>
    <n v="17.82"/>
    <s v="Completed"/>
    <s v="Gift Card"/>
    <n v="17.82"/>
    <n v="2"/>
    <x v="0"/>
  </r>
  <r>
    <x v="597"/>
    <x v="399"/>
    <s v="CUST1514"/>
    <s v="Rina Wijaya"/>
    <x v="1"/>
    <x v="4"/>
    <x v="25"/>
    <n v="5"/>
    <n v="17.87"/>
    <s v="Completed"/>
    <s v="Gift Card"/>
    <n v="89.350000000000009"/>
    <n v="9"/>
    <x v="0"/>
  </r>
  <r>
    <x v="598"/>
    <x v="268"/>
    <s v="CUST1858"/>
    <s v="Maria Hidayat"/>
    <x v="0"/>
    <x v="1"/>
    <x v="9"/>
    <n v="2"/>
    <n v="17.88"/>
    <s v="Completed"/>
    <s v="Debit Card"/>
    <n v="35.76"/>
    <n v="3"/>
    <x v="0"/>
  </r>
  <r>
    <x v="599"/>
    <x v="296"/>
    <s v="CUST1156"/>
    <s v="Sarah Tan"/>
    <x v="0"/>
    <x v="0"/>
    <x v="0"/>
    <n v="5"/>
    <n v="17.89"/>
    <s v="Completed"/>
    <s v="Gift Card"/>
    <n v="89.45"/>
    <n v="2"/>
    <x v="0"/>
  </r>
  <r>
    <x v="600"/>
    <x v="378"/>
    <s v="CUST1235"/>
    <s v="Nina Halim"/>
    <x v="0"/>
    <x v="3"/>
    <x v="14"/>
    <n v="2"/>
    <n v="17.93"/>
    <s v="Completed"/>
    <s v="PayPal"/>
    <n v="35.86"/>
    <n v="7"/>
    <x v="0"/>
  </r>
  <r>
    <x v="601"/>
    <x v="250"/>
    <s v="CUST1114"/>
    <s v="Maria Lee"/>
    <x v="3"/>
    <x v="2"/>
    <x v="8"/>
    <n v="1"/>
    <n v="17.940000000000001"/>
    <s v="Cancelled"/>
    <s v="Credit Card"/>
    <n v="17.940000000000001"/>
    <n v="2"/>
    <x v="0"/>
  </r>
  <r>
    <x v="602"/>
    <x v="286"/>
    <s v="CUST1260"/>
    <s v="Fajar Pratama"/>
    <x v="0"/>
    <x v="1"/>
    <x v="20"/>
    <n v="1"/>
    <n v="17.95"/>
    <s v="Completed"/>
    <s v="Credit Card"/>
    <n v="17.95"/>
    <n v="5"/>
    <x v="0"/>
  </r>
  <r>
    <x v="603"/>
    <x v="400"/>
    <s v="CUST1479"/>
    <s v="Nina Nugroho"/>
    <x v="0"/>
    <x v="2"/>
    <x v="8"/>
    <n v="2"/>
    <n v="17.96"/>
    <s v="Completed"/>
    <s v="PayPal"/>
    <n v="35.92"/>
    <n v="4"/>
    <x v="0"/>
  </r>
  <r>
    <x v="604"/>
    <x v="98"/>
    <s v="CUST1074"/>
    <s v="John Sari"/>
    <x v="1"/>
    <x v="6"/>
    <x v="40"/>
    <n v="4"/>
    <n v="17.96"/>
    <s v="Completed"/>
    <s v="Gift Card"/>
    <n v="71.84"/>
    <n v="4"/>
    <x v="0"/>
  </r>
  <r>
    <x v="605"/>
    <x v="188"/>
    <s v="CUST1816"/>
    <s v="John Kurniawan"/>
    <x v="0"/>
    <x v="1"/>
    <x v="9"/>
    <n v="1"/>
    <n v="18"/>
    <s v="Cancelled"/>
    <s v="PayPal"/>
    <n v="18"/>
    <n v="6"/>
    <x v="0"/>
  </r>
  <r>
    <x v="606"/>
    <x v="401"/>
    <s v="CUST1710"/>
    <s v="Linda Chen"/>
    <x v="0"/>
    <x v="1"/>
    <x v="20"/>
    <n v="1"/>
    <n v="18.02"/>
    <s v="Completed"/>
    <s v="Unknown"/>
    <n v="18.02"/>
    <n v="6"/>
    <x v="0"/>
  </r>
  <r>
    <x v="607"/>
    <x v="267"/>
    <s v="CUST1127"/>
    <s v="Linda Halim"/>
    <x v="0"/>
    <x v="0"/>
    <x v="0"/>
    <n v="1"/>
    <n v="18.03"/>
    <s v="Completed"/>
    <s v="PayPal"/>
    <n v="18.03"/>
    <n v="5"/>
    <x v="0"/>
  </r>
  <r>
    <x v="608"/>
    <x v="379"/>
    <s v="CUST1876"/>
    <s v="John Hidayat"/>
    <x v="0"/>
    <x v="2"/>
    <x v="8"/>
    <n v="2"/>
    <n v="18.04"/>
    <s v="Completed"/>
    <s v="PayPal"/>
    <n v="36.08"/>
    <n v="5"/>
    <x v="0"/>
  </r>
  <r>
    <x v="609"/>
    <x v="315"/>
    <s v="CUST1884"/>
    <s v="Kevin Salim"/>
    <x v="0"/>
    <x v="2"/>
    <x v="8"/>
    <n v="3"/>
    <n v="18.04"/>
    <s v="Completed"/>
    <s v="Debit Card"/>
    <n v="54.12"/>
    <n v="7"/>
    <x v="0"/>
  </r>
  <r>
    <x v="610"/>
    <x v="376"/>
    <s v="CUST1144"/>
    <s v="Kevin Smith"/>
    <x v="0"/>
    <x v="2"/>
    <x v="11"/>
    <n v="1"/>
    <n v="18.05"/>
    <s v="Completed"/>
    <s v="Debit Card"/>
    <n v="18.05"/>
    <n v="5"/>
    <x v="0"/>
  </r>
  <r>
    <x v="611"/>
    <x v="376"/>
    <s v="CUST1278"/>
    <s v="David Salim"/>
    <x v="0"/>
    <x v="0"/>
    <x v="2"/>
    <n v="5"/>
    <n v="18.05"/>
    <s v="Completed"/>
    <s v="Credit Card"/>
    <n v="90.25"/>
    <n v="3"/>
    <x v="0"/>
  </r>
  <r>
    <x v="612"/>
    <x v="127"/>
    <s v="CUST1401"/>
    <s v="Nina Taylor"/>
    <x v="1"/>
    <x v="1"/>
    <x v="20"/>
    <n v="1"/>
    <n v="18.059999999999999"/>
    <s v="Returned"/>
    <s v="Credit Card"/>
    <n v="18.059999999999999"/>
    <n v="2"/>
    <x v="0"/>
  </r>
  <r>
    <x v="613"/>
    <x v="402"/>
    <s v="CUST1147"/>
    <s v="Sarah Wilson"/>
    <x v="0"/>
    <x v="1"/>
    <x v="20"/>
    <n v="1"/>
    <n v="18.07"/>
    <s v="Returned"/>
    <s v="Gift Card"/>
    <n v="18.07"/>
    <n v="7"/>
    <x v="0"/>
  </r>
  <r>
    <x v="614"/>
    <x v="403"/>
    <s v="CUST1181"/>
    <s v="Unknown Customer"/>
    <x v="1"/>
    <x v="2"/>
    <x v="8"/>
    <n v="2"/>
    <n v="18.07"/>
    <s v="Completed"/>
    <s v="Gift Card"/>
    <n v="36.14"/>
    <n v="3"/>
    <x v="0"/>
  </r>
  <r>
    <x v="615"/>
    <x v="404"/>
    <s v="CUST1358"/>
    <s v="Andi Yusuf"/>
    <x v="0"/>
    <x v="0"/>
    <x v="0"/>
    <n v="2"/>
    <n v="18.079999999999998"/>
    <s v="Completed"/>
    <s v="Debit Card"/>
    <n v="36.159999999999997"/>
    <n v="1"/>
    <x v="1"/>
  </r>
  <r>
    <x v="616"/>
    <x v="85"/>
    <s v="CUST1129"/>
    <s v="Budi Wilson"/>
    <x v="0"/>
    <x v="3"/>
    <x v="13"/>
    <n v="2"/>
    <n v="18.079999999999998"/>
    <s v="Completed"/>
    <s v="Gift Card"/>
    <n v="36.159999999999997"/>
    <n v="5"/>
    <x v="0"/>
  </r>
  <r>
    <x v="617"/>
    <x v="405"/>
    <s v="CUST1859"/>
    <s v="Rina Kurniawan"/>
    <x v="1"/>
    <x v="0"/>
    <x v="1"/>
    <n v="2"/>
    <n v="18.079999999999998"/>
    <s v="Completed"/>
    <s v="Credit Card"/>
    <n v="36.159999999999997"/>
    <n v="4"/>
    <x v="0"/>
  </r>
  <r>
    <x v="618"/>
    <x v="3"/>
    <s v="CUST1738"/>
    <s v="Fajar Halim"/>
    <x v="0"/>
    <x v="3"/>
    <x v="16"/>
    <n v="1"/>
    <n v="18.12"/>
    <s v="Completed"/>
    <s v="Gift Card"/>
    <n v="18.12"/>
    <n v="8"/>
    <x v="0"/>
  </r>
  <r>
    <x v="619"/>
    <x v="76"/>
    <s v="CUST1868"/>
    <s v="Nina Lee"/>
    <x v="1"/>
    <x v="2"/>
    <x v="10"/>
    <n v="1"/>
    <n v="18.14"/>
    <s v="Completed"/>
    <s v="Credit Card"/>
    <n v="18.14"/>
    <n v="3"/>
    <x v="0"/>
  </r>
  <r>
    <x v="620"/>
    <x v="406"/>
    <s v="CUST1217"/>
    <s v="Michael Santos"/>
    <x v="0"/>
    <x v="0"/>
    <x v="1"/>
    <n v="1"/>
    <n v="18.149999999999999"/>
    <s v="Returned"/>
    <s v="Unknown"/>
    <n v="18.149999999999999"/>
    <n v="7"/>
    <x v="0"/>
  </r>
  <r>
    <x v="621"/>
    <x v="149"/>
    <s v="CUST1282"/>
    <s v="Sarah Tan"/>
    <x v="0"/>
    <x v="5"/>
    <x v="29"/>
    <n v="1"/>
    <n v="18.16"/>
    <s v="Completed"/>
    <s v="PayPal"/>
    <n v="18.16"/>
    <n v="4"/>
    <x v="0"/>
  </r>
  <r>
    <x v="622"/>
    <x v="407"/>
    <s v="CUST1442"/>
    <s v="Andi Lee"/>
    <x v="0"/>
    <x v="4"/>
    <x v="25"/>
    <n v="1"/>
    <n v="18.18"/>
    <s v="Completed"/>
    <s v="PayPal"/>
    <n v="18.18"/>
    <n v="4"/>
    <x v="0"/>
  </r>
  <r>
    <x v="623"/>
    <x v="408"/>
    <s v="CUST1834"/>
    <s v="Andi Nugroho"/>
    <x v="0"/>
    <x v="4"/>
    <x v="27"/>
    <n v="2"/>
    <n v="18.23"/>
    <s v="Completed"/>
    <s v="PayPal"/>
    <n v="36.46"/>
    <n v="12"/>
    <x v="0"/>
  </r>
  <r>
    <x v="624"/>
    <x v="291"/>
    <s v="CUST1248"/>
    <s v="Andi Pratama"/>
    <x v="0"/>
    <x v="2"/>
    <x v="8"/>
    <n v="2"/>
    <n v="18.23"/>
    <s v="Completed"/>
    <s v="Debit Card"/>
    <n v="36.46"/>
    <n v="8"/>
    <x v="0"/>
  </r>
  <r>
    <x v="625"/>
    <x v="230"/>
    <s v="CUST1709"/>
    <s v="Maria Kurniawan"/>
    <x v="1"/>
    <x v="4"/>
    <x v="25"/>
    <n v="1"/>
    <n v="18.239999999999998"/>
    <s v="Completed"/>
    <s v="Credit Card"/>
    <n v="18.239999999999998"/>
    <n v="3"/>
    <x v="0"/>
  </r>
  <r>
    <x v="626"/>
    <x v="409"/>
    <s v="CUST1195"/>
    <s v="Putri Wijaya"/>
    <x v="1"/>
    <x v="3"/>
    <x v="12"/>
    <n v="1"/>
    <n v="18.25"/>
    <s v="Returned"/>
    <s v="PayPal"/>
    <n v="18.25"/>
    <n v="5"/>
    <x v="0"/>
  </r>
  <r>
    <x v="627"/>
    <x v="410"/>
    <s v="CUST1581"/>
    <s v="Rina Hidayat"/>
    <x v="0"/>
    <x v="0"/>
    <x v="1"/>
    <n v="4"/>
    <n v="18.260000000000002"/>
    <s v="Completed"/>
    <s v="PayPal"/>
    <n v="73.040000000000006"/>
    <n v="6"/>
    <x v="0"/>
  </r>
  <r>
    <x v="628"/>
    <x v="411"/>
    <s v="CUST1216"/>
    <s v="Robert Anderson"/>
    <x v="0"/>
    <x v="5"/>
    <x v="30"/>
    <n v="1"/>
    <n v="18.32"/>
    <s v="Completed"/>
    <s v="Credit Card"/>
    <n v="18.32"/>
    <n v="6"/>
    <x v="0"/>
  </r>
  <r>
    <x v="629"/>
    <x v="412"/>
    <s v="CUST1089"/>
    <s v="Dewi Pratama"/>
    <x v="1"/>
    <x v="5"/>
    <x v="29"/>
    <n v="1"/>
    <n v="18.329999999999998"/>
    <s v="Returned"/>
    <s v="Gift Card"/>
    <n v="18.329999999999998"/>
    <n v="5"/>
    <x v="0"/>
  </r>
  <r>
    <x v="630"/>
    <x v="413"/>
    <s v="CUST1798"/>
    <s v="Siti Anderson"/>
    <x v="0"/>
    <x v="4"/>
    <x v="22"/>
    <n v="1"/>
    <n v="18.34"/>
    <s v="Completed"/>
    <s v="Gift Card"/>
    <n v="18.34"/>
    <n v="10"/>
    <x v="0"/>
  </r>
  <r>
    <x v="631"/>
    <x v="414"/>
    <s v="CUST1649"/>
    <s v="Rina Wilson"/>
    <x v="0"/>
    <x v="4"/>
    <x v="26"/>
    <n v="1"/>
    <n v="18.37"/>
    <s v="Completed"/>
    <s v="Gift Card"/>
    <n v="18.37"/>
    <n v="7"/>
    <x v="0"/>
  </r>
  <r>
    <x v="632"/>
    <x v="22"/>
    <s v="CUST1311"/>
    <s v="John Nugroho"/>
    <x v="3"/>
    <x v="4"/>
    <x v="26"/>
    <n v="3"/>
    <n v="18.37"/>
    <s v="Returned"/>
    <s v="Debit Card"/>
    <n v="55.11"/>
    <n v="4"/>
    <x v="0"/>
  </r>
  <r>
    <x v="633"/>
    <x v="359"/>
    <s v="CUST1588"/>
    <s v="David Anderson"/>
    <x v="0"/>
    <x v="5"/>
    <x v="33"/>
    <n v="3"/>
    <n v="18.39"/>
    <s v="Completed"/>
    <s v="Gift Card"/>
    <n v="55.17"/>
    <n v="5"/>
    <x v="0"/>
  </r>
  <r>
    <x v="634"/>
    <x v="415"/>
    <s v="CUST1777"/>
    <s v="Ayu Chen"/>
    <x v="0"/>
    <x v="6"/>
    <x v="35"/>
    <n v="1"/>
    <n v="18.41"/>
    <s v="Completed"/>
    <s v="Unknown"/>
    <n v="18.41"/>
    <n v="8"/>
    <x v="0"/>
  </r>
  <r>
    <x v="635"/>
    <x v="416"/>
    <s v="CUST1519"/>
    <s v="Andi Santos"/>
    <x v="0"/>
    <x v="4"/>
    <x v="21"/>
    <n v="2"/>
    <n v="18.41"/>
    <s v="Completed"/>
    <s v="PayPal"/>
    <n v="36.82"/>
    <n v="7"/>
    <x v="0"/>
  </r>
  <r>
    <x v="636"/>
    <x v="279"/>
    <s v="CUST1822"/>
    <s v="Ayu Wilson"/>
    <x v="0"/>
    <x v="1"/>
    <x v="18"/>
    <n v="1"/>
    <n v="18.420000000000002"/>
    <s v="Returned"/>
    <s v="Credit Card"/>
    <n v="18.420000000000002"/>
    <n v="6"/>
    <x v="0"/>
  </r>
  <r>
    <x v="637"/>
    <x v="334"/>
    <s v="CUST1886"/>
    <s v="Robert Taylor"/>
    <x v="0"/>
    <x v="2"/>
    <x v="11"/>
    <n v="1"/>
    <n v="18.420000000000002"/>
    <s v="Completed"/>
    <s v="Debit Card"/>
    <n v="18.420000000000002"/>
    <n v="5"/>
    <x v="0"/>
  </r>
  <r>
    <x v="638"/>
    <x v="417"/>
    <s v="CUST1841"/>
    <s v="Putri Anderson"/>
    <x v="0"/>
    <x v="6"/>
    <x v="42"/>
    <n v="2"/>
    <n v="18.43"/>
    <s v="Completed"/>
    <s v="Credit Card"/>
    <n v="36.86"/>
    <n v="4"/>
    <x v="0"/>
  </r>
  <r>
    <x v="639"/>
    <x v="60"/>
    <s v="CUST1834"/>
    <s v="Andi Nugroho"/>
    <x v="0"/>
    <x v="5"/>
    <x v="32"/>
    <n v="2"/>
    <n v="18.43"/>
    <s v="Completed"/>
    <s v="PayPal"/>
    <n v="36.86"/>
    <n v="12"/>
    <x v="0"/>
  </r>
  <r>
    <x v="640"/>
    <x v="418"/>
    <s v="CUST1463"/>
    <s v="Linda Brown"/>
    <x v="0"/>
    <x v="1"/>
    <x v="18"/>
    <n v="1"/>
    <n v="18.5"/>
    <s v="Completed"/>
    <s v="PayPal"/>
    <n v="18.5"/>
    <n v="7"/>
    <x v="0"/>
  </r>
  <r>
    <x v="641"/>
    <x v="12"/>
    <s v="CUST1848"/>
    <s v="Sarah Nugroho"/>
    <x v="0"/>
    <x v="2"/>
    <x v="7"/>
    <n v="1"/>
    <n v="18.5"/>
    <s v="Completed"/>
    <s v="Gift Card"/>
    <n v="18.5"/>
    <n v="5"/>
    <x v="0"/>
  </r>
  <r>
    <x v="642"/>
    <x v="381"/>
    <s v="CUST1384"/>
    <s v="Siti Pratama"/>
    <x v="0"/>
    <x v="2"/>
    <x v="10"/>
    <n v="1"/>
    <n v="18.5"/>
    <s v="Completed"/>
    <s v="Gift Card"/>
    <n v="18.5"/>
    <n v="3"/>
    <x v="0"/>
  </r>
  <r>
    <x v="643"/>
    <x v="159"/>
    <s v="CUST1146"/>
    <s v="Ayu Smith"/>
    <x v="0"/>
    <x v="1"/>
    <x v="17"/>
    <n v="1"/>
    <n v="18.5"/>
    <s v="Cancelled"/>
    <s v="PayPal"/>
    <n v="18.5"/>
    <n v="6"/>
    <x v="0"/>
  </r>
  <r>
    <x v="644"/>
    <x v="419"/>
    <s v="CUST1115"/>
    <s v="Maria Wilson"/>
    <x v="0"/>
    <x v="3"/>
    <x v="14"/>
    <n v="1"/>
    <n v="18.5"/>
    <s v="Cancelled"/>
    <s v="Credit Card"/>
    <n v="18.5"/>
    <n v="3"/>
    <x v="0"/>
  </r>
  <r>
    <x v="645"/>
    <x v="225"/>
    <s v="CUST1560"/>
    <s v="Fajar Hidayat"/>
    <x v="0"/>
    <x v="2"/>
    <x v="15"/>
    <n v="2"/>
    <n v="18.5"/>
    <s v="Completed"/>
    <s v="Credit Card"/>
    <n v="37"/>
    <n v="6"/>
    <x v="0"/>
  </r>
  <r>
    <x v="646"/>
    <x v="2"/>
    <s v="CUST1374"/>
    <s v="Nina Garcia"/>
    <x v="1"/>
    <x v="0"/>
    <x v="2"/>
    <n v="2"/>
    <n v="18.52"/>
    <s v="Completed"/>
    <s v="Gift Card"/>
    <n v="37.04"/>
    <n v="2"/>
    <x v="0"/>
  </r>
  <r>
    <x v="647"/>
    <x v="420"/>
    <s v="CUST1839"/>
    <s v="John Tan"/>
    <x v="0"/>
    <x v="2"/>
    <x v="8"/>
    <n v="1"/>
    <n v="18.54"/>
    <s v="Completed"/>
    <s v="Gift Card"/>
    <n v="18.54"/>
    <n v="10"/>
    <x v="0"/>
  </r>
  <r>
    <x v="648"/>
    <x v="161"/>
    <s v="CUST1804"/>
    <s v="Nina Wilson"/>
    <x v="0"/>
    <x v="2"/>
    <x v="8"/>
    <n v="2"/>
    <n v="18.54"/>
    <s v="Completed"/>
    <s v="Gift Card"/>
    <n v="37.08"/>
    <n v="3"/>
    <x v="0"/>
  </r>
  <r>
    <x v="649"/>
    <x v="35"/>
    <s v="CUST1893"/>
    <s v="John Wijaya"/>
    <x v="0"/>
    <x v="3"/>
    <x v="13"/>
    <n v="2"/>
    <n v="18.54"/>
    <s v="Cancelled"/>
    <s v="Debit Card"/>
    <n v="37.08"/>
    <n v="6"/>
    <x v="0"/>
  </r>
  <r>
    <x v="650"/>
    <x v="42"/>
    <s v="CUST1183"/>
    <s v="Maria Santos"/>
    <x v="2"/>
    <x v="2"/>
    <x v="10"/>
    <n v="1"/>
    <n v="18.55"/>
    <s v="Completed"/>
    <s v="Gift Card"/>
    <n v="18.55"/>
    <n v="2"/>
    <x v="0"/>
  </r>
  <r>
    <x v="651"/>
    <x v="37"/>
    <s v="CUST1216"/>
    <s v="Robert Anderson"/>
    <x v="0"/>
    <x v="2"/>
    <x v="15"/>
    <n v="2"/>
    <n v="18.57"/>
    <s v="Cancelled"/>
    <s v="Gift Card"/>
    <n v="37.14"/>
    <n v="6"/>
    <x v="0"/>
  </r>
  <r>
    <x v="652"/>
    <x v="421"/>
    <s v="CUST1599"/>
    <s v="Siti Kurniawan"/>
    <x v="1"/>
    <x v="2"/>
    <x v="8"/>
    <n v="1"/>
    <n v="18.600000000000001"/>
    <s v="Completed"/>
    <s v="Unknown"/>
    <n v="18.600000000000001"/>
    <n v="5"/>
    <x v="0"/>
  </r>
  <r>
    <x v="653"/>
    <x v="422"/>
    <s v="CUST1648"/>
    <s v="James Wijaya"/>
    <x v="0"/>
    <x v="5"/>
    <x v="29"/>
    <n v="2"/>
    <n v="18.64"/>
    <s v="Completed"/>
    <s v="Gift Card"/>
    <n v="37.28"/>
    <n v="7"/>
    <x v="0"/>
  </r>
  <r>
    <x v="654"/>
    <x v="340"/>
    <s v="CUST1518"/>
    <s v="Siti Salim"/>
    <x v="0"/>
    <x v="2"/>
    <x v="15"/>
    <n v="1"/>
    <n v="18.649999999999999"/>
    <s v="Completed"/>
    <s v="Gift Card"/>
    <n v="18.649999999999999"/>
    <n v="1"/>
    <x v="1"/>
  </r>
  <r>
    <x v="655"/>
    <x v="423"/>
    <s v="CUST1382"/>
    <s v="David Hidayat"/>
    <x v="0"/>
    <x v="2"/>
    <x v="11"/>
    <n v="1"/>
    <n v="18.649999999999999"/>
    <s v="Completed"/>
    <s v="Gift Card"/>
    <n v="18.649999999999999"/>
    <n v="12"/>
    <x v="0"/>
  </r>
  <r>
    <x v="656"/>
    <x v="305"/>
    <s v="CUST1231"/>
    <s v="Dewi Smith"/>
    <x v="1"/>
    <x v="3"/>
    <x v="14"/>
    <n v="2"/>
    <n v="18.649999999999999"/>
    <s v="Cancelled"/>
    <s v="Gift Card"/>
    <n v="37.299999999999997"/>
    <n v="3"/>
    <x v="0"/>
  </r>
  <r>
    <x v="657"/>
    <x v="388"/>
    <s v="CUST1022"/>
    <s v="Andi Anderson"/>
    <x v="0"/>
    <x v="4"/>
    <x v="27"/>
    <n v="2"/>
    <n v="18.670000000000002"/>
    <s v="Returned"/>
    <s v="PayPal"/>
    <n v="37.340000000000003"/>
    <n v="2"/>
    <x v="0"/>
  </r>
  <r>
    <x v="658"/>
    <x v="424"/>
    <s v="CUST1237"/>
    <s v="Nina Anderson"/>
    <x v="0"/>
    <x v="3"/>
    <x v="13"/>
    <n v="1"/>
    <n v="18.73"/>
    <s v="Pending"/>
    <s v="Credit Card"/>
    <n v="18.73"/>
    <n v="5"/>
    <x v="0"/>
  </r>
  <r>
    <x v="659"/>
    <x v="135"/>
    <s v="CUST1382"/>
    <s v="David Hidayat"/>
    <x v="0"/>
    <x v="6"/>
    <x v="39"/>
    <n v="2"/>
    <n v="18.73"/>
    <s v="Completed"/>
    <s v="PayPal"/>
    <n v="37.46"/>
    <n v="12"/>
    <x v="0"/>
  </r>
  <r>
    <x v="660"/>
    <x v="425"/>
    <s v="CUST1632"/>
    <s v="Linda Lee"/>
    <x v="0"/>
    <x v="3"/>
    <x v="13"/>
    <n v="1"/>
    <n v="18.77"/>
    <s v="Completed"/>
    <s v="PayPal"/>
    <n v="18.77"/>
    <n v="2"/>
    <x v="0"/>
  </r>
  <r>
    <x v="661"/>
    <x v="426"/>
    <s v="CUST1689"/>
    <s v="Siti Tan"/>
    <x v="0"/>
    <x v="3"/>
    <x v="19"/>
    <n v="1"/>
    <n v="18.79"/>
    <s v="Returned"/>
    <s v="Credit Card"/>
    <n v="18.79"/>
    <n v="7"/>
    <x v="0"/>
  </r>
  <r>
    <x v="662"/>
    <x v="309"/>
    <s v="CUST1471"/>
    <s v="James Anderson"/>
    <x v="0"/>
    <x v="0"/>
    <x v="3"/>
    <n v="3"/>
    <n v="18.79"/>
    <s v="Pending"/>
    <s v="Credit Card"/>
    <n v="56.37"/>
    <n v="4"/>
    <x v="0"/>
  </r>
  <r>
    <x v="663"/>
    <x v="427"/>
    <s v="CUST1383"/>
    <s v="David Garcia"/>
    <x v="0"/>
    <x v="4"/>
    <x v="26"/>
    <n v="3"/>
    <n v="18.82"/>
    <s v="Completed"/>
    <s v="Credit Card"/>
    <n v="56.46"/>
    <n v="4"/>
    <x v="0"/>
  </r>
  <r>
    <x v="664"/>
    <x v="428"/>
    <s v="CUST1745"/>
    <s v="Ahmad Halim"/>
    <x v="0"/>
    <x v="2"/>
    <x v="7"/>
    <n v="2"/>
    <n v="18.86"/>
    <s v="Completed"/>
    <s v="Debit Card"/>
    <n v="37.72"/>
    <n v="10"/>
    <x v="0"/>
  </r>
  <r>
    <x v="665"/>
    <x v="207"/>
    <s v="CUST1743"/>
    <s v="Linda Chen"/>
    <x v="0"/>
    <x v="5"/>
    <x v="28"/>
    <n v="2"/>
    <n v="18.96"/>
    <s v="Returned"/>
    <s v="Debit Card"/>
    <n v="37.92"/>
    <n v="5"/>
    <x v="0"/>
  </r>
  <r>
    <x v="666"/>
    <x v="115"/>
    <s v="CUST1250"/>
    <s v="Linda Smith"/>
    <x v="0"/>
    <x v="4"/>
    <x v="24"/>
    <n v="2"/>
    <n v="18.96"/>
    <s v="Completed"/>
    <s v="Gift Card"/>
    <n v="37.92"/>
    <n v="6"/>
    <x v="0"/>
  </r>
  <r>
    <x v="667"/>
    <x v="200"/>
    <s v="CUST1314"/>
    <s v="Michael Pratama"/>
    <x v="0"/>
    <x v="1"/>
    <x v="9"/>
    <n v="1"/>
    <n v="18.98"/>
    <s v="Completed"/>
    <s v="PayPal"/>
    <n v="18.98"/>
    <n v="5"/>
    <x v="0"/>
  </r>
  <r>
    <x v="668"/>
    <x v="38"/>
    <s v="CUST1493"/>
    <s v="Lisa Kurniawan"/>
    <x v="0"/>
    <x v="0"/>
    <x v="0"/>
    <n v="1"/>
    <n v="18.989999999999998"/>
    <s v="Completed"/>
    <s v="Gift Card"/>
    <n v="18.989999999999998"/>
    <n v="8"/>
    <x v="0"/>
  </r>
  <r>
    <x v="669"/>
    <x v="55"/>
    <s v="CUST1731"/>
    <s v="Robert Anderson"/>
    <x v="3"/>
    <x v="0"/>
    <x v="0"/>
    <n v="1"/>
    <n v="19.010000000000002"/>
    <s v="Completed"/>
    <s v="Debit Card"/>
    <n v="19.010000000000002"/>
    <n v="3"/>
    <x v="0"/>
  </r>
  <r>
    <x v="670"/>
    <x v="429"/>
    <s v="CUST1141"/>
    <s v="Fajar Taylor"/>
    <x v="0"/>
    <x v="2"/>
    <x v="10"/>
    <n v="1"/>
    <n v="19.010000000000002"/>
    <s v="Completed"/>
    <s v="Credit Card"/>
    <n v="19.010000000000002"/>
    <n v="7"/>
    <x v="0"/>
  </r>
  <r>
    <x v="671"/>
    <x v="420"/>
    <s v="CUST1126"/>
    <s v="Ahmad Garcia"/>
    <x v="0"/>
    <x v="2"/>
    <x v="7"/>
    <n v="1"/>
    <n v="19.02"/>
    <s v="Completed"/>
    <s v="PayPal"/>
    <n v="19.02"/>
    <n v="6"/>
    <x v="0"/>
  </r>
  <r>
    <x v="672"/>
    <x v="430"/>
    <s v="CUST1051"/>
    <s v="Lisa Tan"/>
    <x v="0"/>
    <x v="2"/>
    <x v="8"/>
    <n v="1"/>
    <n v="19.059999999999999"/>
    <s v="Completed"/>
    <s v="Debit Card"/>
    <n v="19.059999999999999"/>
    <n v="5"/>
    <x v="0"/>
  </r>
  <r>
    <x v="673"/>
    <x v="431"/>
    <s v="CUST1833"/>
    <s v="Putri Yusuf"/>
    <x v="0"/>
    <x v="2"/>
    <x v="7"/>
    <n v="1"/>
    <n v="19.079999999999998"/>
    <s v="Completed"/>
    <s v="Credit Card"/>
    <n v="19.079999999999998"/>
    <n v="8"/>
    <x v="0"/>
  </r>
  <r>
    <x v="674"/>
    <x v="410"/>
    <s v="CUST1781"/>
    <s v="Andi Yusuf"/>
    <x v="1"/>
    <x v="3"/>
    <x v="19"/>
    <n v="1"/>
    <n v="19.09"/>
    <s v="Completed"/>
    <s v="Debit Card"/>
    <n v="19.09"/>
    <n v="5"/>
    <x v="0"/>
  </r>
  <r>
    <x v="675"/>
    <x v="199"/>
    <s v="CUST1477"/>
    <s v="Budi Tan"/>
    <x v="3"/>
    <x v="2"/>
    <x v="10"/>
    <n v="2"/>
    <n v="19.09"/>
    <s v="Completed"/>
    <s v="PayPal"/>
    <n v="38.18"/>
    <n v="5"/>
    <x v="0"/>
  </r>
  <r>
    <x v="676"/>
    <x v="432"/>
    <s v="CUST1072"/>
    <s v="Nina Salim"/>
    <x v="0"/>
    <x v="2"/>
    <x v="8"/>
    <n v="1"/>
    <n v="19.100000000000001"/>
    <s v="Completed"/>
    <s v="PayPal"/>
    <n v="19.100000000000001"/>
    <n v="2"/>
    <x v="0"/>
  </r>
  <r>
    <x v="677"/>
    <x v="175"/>
    <s v="CUST1837"/>
    <s v="Dewi Johnson"/>
    <x v="0"/>
    <x v="3"/>
    <x v="12"/>
    <n v="2"/>
    <n v="19.100000000000001"/>
    <s v="Completed"/>
    <s v="Debit Card"/>
    <n v="38.200000000000003"/>
    <n v="6"/>
    <x v="0"/>
  </r>
  <r>
    <x v="678"/>
    <x v="201"/>
    <s v="CUST1824"/>
    <s v="Linda Chen"/>
    <x v="0"/>
    <x v="0"/>
    <x v="1"/>
    <n v="1"/>
    <n v="19.11"/>
    <s v="Completed"/>
    <s v="Credit Card"/>
    <n v="19.11"/>
    <n v="6"/>
    <x v="0"/>
  </r>
  <r>
    <x v="679"/>
    <x v="182"/>
    <s v="CUST1220"/>
    <s v="David Wijaya"/>
    <x v="1"/>
    <x v="3"/>
    <x v="13"/>
    <n v="1"/>
    <n v="19.13"/>
    <s v="Completed"/>
    <s v="Gift Card"/>
    <n v="19.13"/>
    <n v="3"/>
    <x v="0"/>
  </r>
  <r>
    <x v="680"/>
    <x v="221"/>
    <s v="CUST1726"/>
    <s v="John Tan"/>
    <x v="0"/>
    <x v="4"/>
    <x v="22"/>
    <n v="3"/>
    <n v="19.13"/>
    <s v="Completed"/>
    <s v="PayPal"/>
    <n v="57.39"/>
    <n v="8"/>
    <x v="0"/>
  </r>
  <r>
    <x v="681"/>
    <x v="433"/>
    <s v="CUST1697"/>
    <s v="Michael Sari"/>
    <x v="0"/>
    <x v="2"/>
    <x v="7"/>
    <n v="2"/>
    <n v="19.149999999999999"/>
    <s v="Completed"/>
    <s v="PayPal"/>
    <n v="38.299999999999997"/>
    <n v="6"/>
    <x v="0"/>
  </r>
  <r>
    <x v="682"/>
    <x v="221"/>
    <s v="CUST1299"/>
    <s v="Lisa Chen"/>
    <x v="1"/>
    <x v="2"/>
    <x v="15"/>
    <n v="1"/>
    <n v="19.18"/>
    <s v="Completed"/>
    <s v="Debit Card"/>
    <n v="19.18"/>
    <n v="3"/>
    <x v="0"/>
  </r>
  <r>
    <x v="683"/>
    <x v="434"/>
    <s v="CUST1092"/>
    <s v="Putri Nugroho"/>
    <x v="0"/>
    <x v="4"/>
    <x v="23"/>
    <n v="1"/>
    <n v="19.22"/>
    <s v="Completed"/>
    <s v="PayPal"/>
    <n v="19.22"/>
    <n v="8"/>
    <x v="0"/>
  </r>
  <r>
    <x v="684"/>
    <x v="435"/>
    <s v="CUST1834"/>
    <s v="Andi Nugroho"/>
    <x v="0"/>
    <x v="2"/>
    <x v="7"/>
    <n v="2"/>
    <n v="19.23"/>
    <s v="Completed"/>
    <s v="Gift Card"/>
    <n v="38.46"/>
    <n v="12"/>
    <x v="0"/>
  </r>
  <r>
    <x v="685"/>
    <x v="256"/>
    <s v="CUST1638"/>
    <s v="Maria Kurniawan"/>
    <x v="0"/>
    <x v="5"/>
    <x v="31"/>
    <n v="4"/>
    <n v="19.23"/>
    <s v="Completed"/>
    <s v="Debit Card"/>
    <n v="76.92"/>
    <n v="8"/>
    <x v="0"/>
  </r>
  <r>
    <x v="686"/>
    <x v="316"/>
    <s v="CUST1177"/>
    <s v="Ayu Pratama"/>
    <x v="0"/>
    <x v="4"/>
    <x v="22"/>
    <n v="1"/>
    <n v="19.25"/>
    <s v="Completed"/>
    <s v="Credit Card"/>
    <n v="19.25"/>
    <n v="5"/>
    <x v="0"/>
  </r>
  <r>
    <x v="687"/>
    <x v="436"/>
    <s v="CUST1014"/>
    <s v="Linda Halim"/>
    <x v="1"/>
    <x v="4"/>
    <x v="27"/>
    <n v="1"/>
    <n v="19.27"/>
    <s v="Returned"/>
    <s v="Debit Card"/>
    <n v="19.27"/>
    <n v="3"/>
    <x v="0"/>
  </r>
  <r>
    <x v="688"/>
    <x v="70"/>
    <s v="CUST1107"/>
    <s v="Fajar Yusuf"/>
    <x v="0"/>
    <x v="0"/>
    <x v="1"/>
    <n v="1"/>
    <n v="19.27"/>
    <s v="Completed"/>
    <s v="PayPal"/>
    <n v="19.27"/>
    <n v="5"/>
    <x v="0"/>
  </r>
  <r>
    <x v="689"/>
    <x v="437"/>
    <s v="CUST1745"/>
    <s v="Ahmad Halim"/>
    <x v="0"/>
    <x v="3"/>
    <x v="12"/>
    <n v="2"/>
    <n v="19.3"/>
    <s v="Returned"/>
    <s v="PayPal"/>
    <n v="38.6"/>
    <n v="10"/>
    <x v="0"/>
  </r>
  <r>
    <x v="690"/>
    <x v="330"/>
    <s v="CUST1314"/>
    <s v="Unknown Customer"/>
    <x v="0"/>
    <x v="5"/>
    <x v="30"/>
    <n v="2"/>
    <n v="19.3"/>
    <s v="Completed"/>
    <s v="Debit Card"/>
    <n v="38.6"/>
    <n v="5"/>
    <x v="0"/>
  </r>
  <r>
    <x v="691"/>
    <x v="438"/>
    <s v="CUST1297"/>
    <s v="Nina Wilson"/>
    <x v="0"/>
    <x v="0"/>
    <x v="3"/>
    <n v="2"/>
    <n v="19.309999999999999"/>
    <s v="Completed"/>
    <s v="Credit Card"/>
    <n v="38.619999999999997"/>
    <n v="5"/>
    <x v="0"/>
  </r>
  <r>
    <x v="692"/>
    <x v="45"/>
    <s v="CUST1126"/>
    <s v="Ahmad Garcia"/>
    <x v="0"/>
    <x v="4"/>
    <x v="22"/>
    <n v="2"/>
    <n v="19.309999999999999"/>
    <s v="Completed"/>
    <s v="Debit Card"/>
    <n v="38.619999999999997"/>
    <n v="6"/>
    <x v="0"/>
  </r>
  <r>
    <x v="693"/>
    <x v="439"/>
    <s v="CUST1781"/>
    <s v="Andi Yusuf"/>
    <x v="1"/>
    <x v="2"/>
    <x v="8"/>
    <n v="1"/>
    <n v="19.32"/>
    <s v="Returned"/>
    <s v="PayPal"/>
    <n v="19.32"/>
    <n v="5"/>
    <x v="0"/>
  </r>
  <r>
    <x v="694"/>
    <x v="440"/>
    <s v="CUST1216"/>
    <s v="Robert Anderson"/>
    <x v="0"/>
    <x v="2"/>
    <x v="10"/>
    <n v="2"/>
    <n v="19.34"/>
    <s v="Pending"/>
    <s v="PayPal"/>
    <n v="38.68"/>
    <n v="6"/>
    <x v="0"/>
  </r>
  <r>
    <x v="695"/>
    <x v="216"/>
    <s v="CUST1428"/>
    <s v="Andi Chen"/>
    <x v="0"/>
    <x v="0"/>
    <x v="4"/>
    <n v="1"/>
    <n v="19.350000000000001"/>
    <s v="Completed"/>
    <s v="PayPal"/>
    <n v="19.350000000000001"/>
    <n v="7"/>
    <x v="0"/>
  </r>
  <r>
    <x v="696"/>
    <x v="148"/>
    <s v="CUST1667"/>
    <s v="Robert Halim"/>
    <x v="1"/>
    <x v="0"/>
    <x v="0"/>
    <n v="2"/>
    <n v="19.350000000000001"/>
    <s v="Completed"/>
    <s v="Debit Card"/>
    <n v="38.700000000000003"/>
    <n v="7"/>
    <x v="0"/>
  </r>
  <r>
    <x v="697"/>
    <x v="441"/>
    <s v="CUST1582"/>
    <s v="Michael Lee"/>
    <x v="0"/>
    <x v="0"/>
    <x v="2"/>
    <n v="2"/>
    <n v="19.36"/>
    <s v="Completed"/>
    <s v="PayPal"/>
    <n v="38.72"/>
    <n v="4"/>
    <x v="0"/>
  </r>
  <r>
    <x v="698"/>
    <x v="133"/>
    <s v="CUST1077"/>
    <s v="Ayu Brown"/>
    <x v="0"/>
    <x v="2"/>
    <x v="15"/>
    <n v="2"/>
    <n v="19.36"/>
    <s v="Completed"/>
    <s v="Gift Card"/>
    <n v="38.72"/>
    <n v="3"/>
    <x v="0"/>
  </r>
  <r>
    <x v="699"/>
    <x v="442"/>
    <s v="CUST1816"/>
    <s v="John Kurniawan"/>
    <x v="0"/>
    <x v="0"/>
    <x v="4"/>
    <n v="1"/>
    <n v="19.37"/>
    <s v="Pending"/>
    <s v="Debit Card"/>
    <n v="19.37"/>
    <n v="6"/>
    <x v="0"/>
  </r>
  <r>
    <x v="700"/>
    <x v="286"/>
    <s v="CUST1365"/>
    <s v="David Chen"/>
    <x v="1"/>
    <x v="6"/>
    <x v="36"/>
    <n v="1"/>
    <n v="19.38"/>
    <s v="Completed"/>
    <s v="PayPal"/>
    <n v="19.38"/>
    <n v="4"/>
    <x v="0"/>
  </r>
  <r>
    <x v="701"/>
    <x v="443"/>
    <s v="CUST1591"/>
    <s v="Fajar Wilson"/>
    <x v="0"/>
    <x v="2"/>
    <x v="8"/>
    <n v="5"/>
    <n v="19.38"/>
    <s v="Completed"/>
    <s v="Credit Card"/>
    <n v="96.899999999999991"/>
    <n v="9"/>
    <x v="0"/>
  </r>
  <r>
    <x v="702"/>
    <x v="444"/>
    <s v="CUST1238"/>
    <s v="John Pratama"/>
    <x v="0"/>
    <x v="4"/>
    <x v="23"/>
    <n v="2"/>
    <n v="19.39"/>
    <s v="Completed"/>
    <s v="Gift Card"/>
    <n v="38.78"/>
    <n v="8"/>
    <x v="0"/>
  </r>
  <r>
    <x v="703"/>
    <x v="445"/>
    <s v="CUST1854"/>
    <s v="Unknown Customer"/>
    <x v="1"/>
    <x v="5"/>
    <x v="32"/>
    <n v="1"/>
    <n v="19.420000000000002"/>
    <s v="Returned"/>
    <s v="Debit Card"/>
    <n v="19.420000000000002"/>
    <n v="7"/>
    <x v="0"/>
  </r>
  <r>
    <x v="704"/>
    <x v="369"/>
    <s v="CUST1502"/>
    <s v="Rina Kurniawan"/>
    <x v="0"/>
    <x v="0"/>
    <x v="4"/>
    <n v="1"/>
    <n v="19.420000000000002"/>
    <s v="Completed"/>
    <s v="Debit Card"/>
    <n v="19.420000000000002"/>
    <n v="3"/>
    <x v="0"/>
  </r>
  <r>
    <x v="705"/>
    <x v="446"/>
    <s v="CUST1898"/>
    <s v="Ahmad Nugroho"/>
    <x v="1"/>
    <x v="3"/>
    <x v="12"/>
    <n v="1"/>
    <n v="19.43"/>
    <s v="Completed"/>
    <s v="Debit Card"/>
    <n v="19.43"/>
    <n v="3"/>
    <x v="0"/>
  </r>
  <r>
    <x v="706"/>
    <x v="251"/>
    <s v="CUST1251"/>
    <s v="Nina Salim"/>
    <x v="0"/>
    <x v="3"/>
    <x v="13"/>
    <n v="1"/>
    <n v="19.43"/>
    <s v="Completed"/>
    <s v="Gift Card"/>
    <n v="19.43"/>
    <n v="8"/>
    <x v="0"/>
  </r>
  <r>
    <x v="707"/>
    <x v="200"/>
    <s v="CUST1611"/>
    <s v="Maria Sari"/>
    <x v="0"/>
    <x v="2"/>
    <x v="7"/>
    <n v="2"/>
    <n v="19.440000000000001"/>
    <s v="Completed"/>
    <s v="Debit Card"/>
    <n v="38.880000000000003"/>
    <n v="10"/>
    <x v="0"/>
  </r>
  <r>
    <x v="708"/>
    <x v="438"/>
    <s v="CUST1607"/>
    <s v="Fajar Kurniawan"/>
    <x v="0"/>
    <x v="5"/>
    <x v="34"/>
    <n v="2"/>
    <n v="19.440000000000001"/>
    <s v="Returned"/>
    <s v="Credit Card"/>
    <n v="38.880000000000003"/>
    <n v="5"/>
    <x v="0"/>
  </r>
  <r>
    <x v="709"/>
    <x v="86"/>
    <s v="CUST1063"/>
    <s v="David Anderson"/>
    <x v="0"/>
    <x v="3"/>
    <x v="19"/>
    <n v="1"/>
    <n v="19.45"/>
    <s v="Completed"/>
    <s v="Credit Card"/>
    <n v="19.45"/>
    <n v="7"/>
    <x v="0"/>
  </r>
  <r>
    <x v="710"/>
    <x v="337"/>
    <s v="CUST1295"/>
    <s v="Robert Taylor"/>
    <x v="0"/>
    <x v="2"/>
    <x v="11"/>
    <n v="3"/>
    <n v="19.45"/>
    <s v="Completed"/>
    <s v="PayPal"/>
    <n v="58.349999999999994"/>
    <n v="7"/>
    <x v="0"/>
  </r>
  <r>
    <x v="711"/>
    <x v="447"/>
    <s v="CUST1329"/>
    <s v="Andi Tan"/>
    <x v="0"/>
    <x v="3"/>
    <x v="14"/>
    <n v="1"/>
    <n v="19.46"/>
    <s v="Completed"/>
    <s v="PayPal"/>
    <n v="19.46"/>
    <n v="4"/>
    <x v="0"/>
  </r>
  <r>
    <x v="712"/>
    <x v="448"/>
    <s v="CUST1426"/>
    <s v="Ahmad Johnson"/>
    <x v="0"/>
    <x v="6"/>
    <x v="35"/>
    <n v="1"/>
    <n v="19.48"/>
    <s v="Cancelled"/>
    <s v="Debit Card"/>
    <n v="19.48"/>
    <n v="4"/>
    <x v="0"/>
  </r>
  <r>
    <x v="713"/>
    <x v="59"/>
    <s v="CUST1617"/>
    <s v="Robert Tan"/>
    <x v="0"/>
    <x v="4"/>
    <x v="27"/>
    <n v="1"/>
    <n v="19.510000000000002"/>
    <s v="Completed"/>
    <s v="Gift Card"/>
    <n v="19.510000000000002"/>
    <n v="3"/>
    <x v="0"/>
  </r>
  <r>
    <x v="714"/>
    <x v="342"/>
    <s v="CUST1097"/>
    <s v="Fajar Anderson"/>
    <x v="0"/>
    <x v="2"/>
    <x v="15"/>
    <n v="1"/>
    <n v="19.510000000000002"/>
    <s v="Completed"/>
    <s v="Debit Card"/>
    <n v="19.510000000000002"/>
    <n v="6"/>
    <x v="0"/>
  </r>
  <r>
    <x v="715"/>
    <x v="340"/>
    <s v="CUST1270"/>
    <s v="Andi Salim"/>
    <x v="0"/>
    <x v="2"/>
    <x v="11"/>
    <n v="1"/>
    <n v="19.54"/>
    <s v="Completed"/>
    <s v="Debit Card"/>
    <n v="19.54"/>
    <n v="9"/>
    <x v="0"/>
  </r>
  <r>
    <x v="716"/>
    <x v="449"/>
    <s v="CUST1161"/>
    <s v="Ayu Yusuf"/>
    <x v="0"/>
    <x v="3"/>
    <x v="16"/>
    <n v="2"/>
    <n v="19.55"/>
    <s v="Cancelled"/>
    <s v="Credit Card"/>
    <n v="39.1"/>
    <n v="4"/>
    <x v="0"/>
  </r>
  <r>
    <x v="717"/>
    <x v="450"/>
    <s v="CUST1515"/>
    <s v="John Salim"/>
    <x v="0"/>
    <x v="4"/>
    <x v="26"/>
    <n v="3"/>
    <n v="19.55"/>
    <s v="Returned"/>
    <s v="Gift Card"/>
    <n v="58.650000000000006"/>
    <n v="3"/>
    <x v="0"/>
  </r>
  <r>
    <x v="718"/>
    <x v="451"/>
    <s v="CUST1625"/>
    <s v="Lisa Pratama"/>
    <x v="0"/>
    <x v="4"/>
    <x v="23"/>
    <n v="2"/>
    <n v="19.559999999999999"/>
    <s v="Completed"/>
    <s v="PayPal"/>
    <n v="39.119999999999997"/>
    <n v="5"/>
    <x v="0"/>
  </r>
  <r>
    <x v="719"/>
    <x v="173"/>
    <s v="CUST1201"/>
    <s v="Linda Johnson"/>
    <x v="0"/>
    <x v="0"/>
    <x v="4"/>
    <n v="1"/>
    <n v="19.57"/>
    <s v="Completed"/>
    <s v="Gift Card"/>
    <n v="19.57"/>
    <n v="5"/>
    <x v="0"/>
  </r>
  <r>
    <x v="720"/>
    <x v="429"/>
    <s v="CUST1781"/>
    <s v="Andi Yusuf"/>
    <x v="1"/>
    <x v="2"/>
    <x v="10"/>
    <n v="2"/>
    <n v="19.57"/>
    <s v="Completed"/>
    <s v="Credit Card"/>
    <n v="39.14"/>
    <n v="5"/>
    <x v="0"/>
  </r>
  <r>
    <x v="721"/>
    <x v="174"/>
    <s v="CUST1577"/>
    <s v="John Anderson"/>
    <x v="0"/>
    <x v="4"/>
    <x v="22"/>
    <n v="1"/>
    <n v="19.579999999999998"/>
    <s v="Completed"/>
    <s v="Unknown"/>
    <n v="19.579999999999998"/>
    <n v="3"/>
    <x v="0"/>
  </r>
  <r>
    <x v="722"/>
    <x v="452"/>
    <s v="CUST1133"/>
    <s v="Andi Hidayat"/>
    <x v="0"/>
    <x v="1"/>
    <x v="6"/>
    <n v="1"/>
    <n v="19.59"/>
    <s v="Completed"/>
    <s v="Gift Card"/>
    <n v="19.59"/>
    <n v="7"/>
    <x v="0"/>
  </r>
  <r>
    <x v="723"/>
    <x v="74"/>
    <s v="CUST1114"/>
    <s v="Maria Lee"/>
    <x v="3"/>
    <x v="0"/>
    <x v="4"/>
    <n v="1"/>
    <n v="19.62"/>
    <s v="Completed"/>
    <s v="PayPal"/>
    <n v="19.62"/>
    <n v="2"/>
    <x v="0"/>
  </r>
  <r>
    <x v="724"/>
    <x v="453"/>
    <s v="CUST1726"/>
    <s v="John Tan"/>
    <x v="0"/>
    <x v="4"/>
    <x v="26"/>
    <n v="2"/>
    <n v="19.62"/>
    <s v="Completed"/>
    <s v="Gift Card"/>
    <n v="39.24"/>
    <n v="8"/>
    <x v="0"/>
  </r>
  <r>
    <x v="725"/>
    <x v="275"/>
    <s v="CUST1874"/>
    <s v="James Salim"/>
    <x v="2"/>
    <x v="0"/>
    <x v="0"/>
    <n v="2"/>
    <n v="19.649999999999999"/>
    <s v="Completed"/>
    <s v="Gift Card"/>
    <n v="39.299999999999997"/>
    <n v="2"/>
    <x v="0"/>
  </r>
  <r>
    <x v="726"/>
    <x v="454"/>
    <s v="CUST1377"/>
    <s v="Putri Taylor"/>
    <x v="1"/>
    <x v="2"/>
    <x v="8"/>
    <n v="2"/>
    <n v="19.670000000000002"/>
    <s v="Completed"/>
    <s v="Debit Card"/>
    <n v="39.340000000000003"/>
    <n v="3"/>
    <x v="0"/>
  </r>
  <r>
    <x v="727"/>
    <x v="455"/>
    <s v="CUST1785"/>
    <s v="Maria Nugroho"/>
    <x v="0"/>
    <x v="5"/>
    <x v="34"/>
    <n v="1"/>
    <n v="19.690000000000001"/>
    <s v="Cancelled"/>
    <s v="Credit Card"/>
    <n v="19.690000000000001"/>
    <n v="5"/>
    <x v="0"/>
  </r>
  <r>
    <x v="728"/>
    <x v="382"/>
    <s v="CUST1416"/>
    <s v="Robert Nugroho"/>
    <x v="1"/>
    <x v="2"/>
    <x v="11"/>
    <n v="3"/>
    <n v="19.7"/>
    <s v="Returned"/>
    <s v="Credit Card"/>
    <n v="59.099999999999994"/>
    <n v="5"/>
    <x v="0"/>
  </r>
  <r>
    <x v="729"/>
    <x v="456"/>
    <s v="CUST1451"/>
    <s v="Ahmad Garcia"/>
    <x v="0"/>
    <x v="0"/>
    <x v="1"/>
    <n v="4"/>
    <n v="19.71"/>
    <s v="Completed"/>
    <s v="PayPal"/>
    <n v="78.84"/>
    <n v="12"/>
    <x v="0"/>
  </r>
  <r>
    <x v="730"/>
    <x v="455"/>
    <s v="CUST1389"/>
    <s v="Fajar Salim"/>
    <x v="0"/>
    <x v="2"/>
    <x v="8"/>
    <n v="1"/>
    <n v="19.73"/>
    <s v="Completed"/>
    <s v="Credit Card"/>
    <n v="19.73"/>
    <n v="4"/>
    <x v="0"/>
  </r>
  <r>
    <x v="731"/>
    <x v="201"/>
    <s v="CUST1687"/>
    <s v="Unknown Customer"/>
    <x v="0"/>
    <x v="2"/>
    <x v="15"/>
    <n v="2"/>
    <n v="19.73"/>
    <s v="Completed"/>
    <s v="PayPal"/>
    <n v="39.46"/>
    <n v="5"/>
    <x v="0"/>
  </r>
  <r>
    <x v="732"/>
    <x v="245"/>
    <s v="CUST1877"/>
    <s v="Dewi Santos"/>
    <x v="1"/>
    <x v="2"/>
    <x v="8"/>
    <n v="3"/>
    <n v="19.739999999999998"/>
    <s v="Completed"/>
    <s v="Credit Card"/>
    <n v="59.22"/>
    <n v="2"/>
    <x v="0"/>
  </r>
  <r>
    <x v="733"/>
    <x v="58"/>
    <s v="CUST1521"/>
    <s v="John Smith"/>
    <x v="0"/>
    <x v="4"/>
    <x v="25"/>
    <n v="2"/>
    <n v="19.75"/>
    <s v="Completed"/>
    <s v="PayPal"/>
    <n v="39.5"/>
    <n v="4"/>
    <x v="0"/>
  </r>
  <r>
    <x v="734"/>
    <x v="116"/>
    <s v="CUST1348"/>
    <s v="Putri Nugroho"/>
    <x v="0"/>
    <x v="3"/>
    <x v="14"/>
    <n v="1"/>
    <n v="19.77"/>
    <s v="Cancelled"/>
    <s v="Credit Card"/>
    <n v="19.77"/>
    <n v="6"/>
    <x v="0"/>
  </r>
  <r>
    <x v="735"/>
    <x v="457"/>
    <s v="CUST1353"/>
    <s v="Andi Halim"/>
    <x v="0"/>
    <x v="2"/>
    <x v="7"/>
    <n v="1"/>
    <n v="19.77"/>
    <s v="Cancelled"/>
    <s v="Gift Card"/>
    <n v="19.77"/>
    <n v="10"/>
    <x v="0"/>
  </r>
  <r>
    <x v="736"/>
    <x v="340"/>
    <s v="CUST1189"/>
    <s v="Ahmad Kurniawan"/>
    <x v="1"/>
    <x v="3"/>
    <x v="14"/>
    <n v="2"/>
    <n v="19.809999999999999"/>
    <s v="Completed"/>
    <s v="Credit Card"/>
    <n v="39.619999999999997"/>
    <n v="6"/>
    <x v="0"/>
  </r>
  <r>
    <x v="737"/>
    <x v="458"/>
    <s v="CUST1356"/>
    <s v="Ahmad Tan"/>
    <x v="0"/>
    <x v="4"/>
    <x v="26"/>
    <n v="1"/>
    <n v="19.850000000000001"/>
    <s v="Completed"/>
    <s v="PayPal"/>
    <n v="19.850000000000001"/>
    <n v="5"/>
    <x v="0"/>
  </r>
  <r>
    <x v="738"/>
    <x v="459"/>
    <s v="CUST1240"/>
    <s v="Linda Chen"/>
    <x v="0"/>
    <x v="2"/>
    <x v="15"/>
    <n v="1"/>
    <n v="19.850000000000001"/>
    <s v="Completed"/>
    <s v="Credit Card"/>
    <n v="19.850000000000001"/>
    <n v="7"/>
    <x v="0"/>
  </r>
  <r>
    <x v="739"/>
    <x v="257"/>
    <s v="CUST1267"/>
    <s v="Maria Anderson"/>
    <x v="0"/>
    <x v="3"/>
    <x v="19"/>
    <n v="1"/>
    <n v="19.86"/>
    <s v="Completed"/>
    <s v="Gift Card"/>
    <n v="19.86"/>
    <n v="4"/>
    <x v="0"/>
  </r>
  <r>
    <x v="740"/>
    <x v="460"/>
    <s v="CUST1100"/>
    <s v="Ahmad Wijaya"/>
    <x v="1"/>
    <x v="5"/>
    <x v="32"/>
    <n v="2"/>
    <n v="19.87"/>
    <s v="Completed"/>
    <s v="PayPal"/>
    <n v="39.74"/>
    <n v="4"/>
    <x v="0"/>
  </r>
  <r>
    <x v="741"/>
    <x v="461"/>
    <s v="CUST1306"/>
    <s v="John Chen"/>
    <x v="0"/>
    <x v="2"/>
    <x v="10"/>
    <n v="1"/>
    <n v="19.88"/>
    <s v="Completed"/>
    <s v="Debit Card"/>
    <n v="19.88"/>
    <n v="5"/>
    <x v="0"/>
  </r>
  <r>
    <x v="742"/>
    <x v="298"/>
    <s v="CUST1759"/>
    <s v="Budi Johnson"/>
    <x v="1"/>
    <x v="3"/>
    <x v="14"/>
    <n v="2"/>
    <n v="19.88"/>
    <s v="Returned"/>
    <s v="Debit Card"/>
    <n v="39.76"/>
    <n v="3"/>
    <x v="0"/>
  </r>
  <r>
    <x v="743"/>
    <x v="462"/>
    <s v="CUST1254"/>
    <s v="Nina Garcia"/>
    <x v="0"/>
    <x v="5"/>
    <x v="29"/>
    <n v="2"/>
    <n v="19.940000000000001"/>
    <s v="Cancelled"/>
    <s v="Gift Card"/>
    <n v="39.880000000000003"/>
    <n v="6"/>
    <x v="0"/>
  </r>
  <r>
    <x v="744"/>
    <x v="463"/>
    <s v="CUST1591"/>
    <s v="Fajar Wilson"/>
    <x v="0"/>
    <x v="5"/>
    <x v="32"/>
    <n v="1"/>
    <n v="19.95"/>
    <s v="Completed"/>
    <s v="PayPal"/>
    <n v="19.95"/>
    <n v="9"/>
    <x v="0"/>
  </r>
  <r>
    <x v="745"/>
    <x v="464"/>
    <s v="CUST1745"/>
    <s v="Ahmad Halim"/>
    <x v="0"/>
    <x v="0"/>
    <x v="3"/>
    <n v="1"/>
    <n v="19.96"/>
    <s v="Completed"/>
    <s v="Gift Card"/>
    <n v="19.96"/>
    <n v="10"/>
    <x v="0"/>
  </r>
  <r>
    <x v="746"/>
    <x v="229"/>
    <s v="CUST1356"/>
    <s v="Unknown Customer"/>
    <x v="0"/>
    <x v="5"/>
    <x v="31"/>
    <n v="2"/>
    <n v="19.98"/>
    <s v="Cancelled"/>
    <s v="PayPal"/>
    <n v="39.96"/>
    <n v="5"/>
    <x v="0"/>
  </r>
  <r>
    <x v="747"/>
    <x v="465"/>
    <s v="CUST1296"/>
    <s v="James Sari"/>
    <x v="3"/>
    <x v="4"/>
    <x v="23"/>
    <n v="4"/>
    <n v="19.989999999999998"/>
    <s v="Completed"/>
    <s v="PayPal"/>
    <n v="79.959999999999994"/>
    <n v="2"/>
    <x v="0"/>
  </r>
  <r>
    <x v="748"/>
    <x v="466"/>
    <s v="CUST1747"/>
    <s v="Dewi Yusuf"/>
    <x v="0"/>
    <x v="3"/>
    <x v="16"/>
    <n v="1"/>
    <n v="20.059999999999999"/>
    <s v="Completed"/>
    <s v="Gift Card"/>
    <n v="20.059999999999999"/>
    <n v="2"/>
    <x v="0"/>
  </r>
  <r>
    <x v="749"/>
    <x v="331"/>
    <s v="CUST1292"/>
    <s v="Budi Halim"/>
    <x v="0"/>
    <x v="2"/>
    <x v="11"/>
    <n v="2"/>
    <n v="20.079999999999998"/>
    <s v="Completed"/>
    <s v="PayPal"/>
    <n v="40.159999999999997"/>
    <n v="6"/>
    <x v="0"/>
  </r>
  <r>
    <x v="750"/>
    <x v="467"/>
    <s v="CUST1532"/>
    <s v="Siti Lee"/>
    <x v="0"/>
    <x v="0"/>
    <x v="1"/>
    <n v="1"/>
    <n v="20.09"/>
    <s v="Completed"/>
    <s v="Debit Card"/>
    <n v="20.09"/>
    <n v="2"/>
    <x v="0"/>
  </r>
  <r>
    <x v="751"/>
    <x v="367"/>
    <s v="CUST1145"/>
    <s v="Linda Smith"/>
    <x v="0"/>
    <x v="2"/>
    <x v="8"/>
    <n v="1"/>
    <n v="20.11"/>
    <s v="Completed"/>
    <s v="Debit Card"/>
    <n v="20.11"/>
    <n v="12"/>
    <x v="0"/>
  </r>
  <r>
    <x v="752"/>
    <x v="310"/>
    <s v="CUST1060"/>
    <s v="Ahmad Wilson"/>
    <x v="0"/>
    <x v="2"/>
    <x v="15"/>
    <n v="1"/>
    <n v="20.12"/>
    <s v="Completed"/>
    <s v="Gift Card"/>
    <n v="20.12"/>
    <n v="7"/>
    <x v="0"/>
  </r>
  <r>
    <x v="753"/>
    <x v="468"/>
    <s v="CUST1760"/>
    <s v="Ayu Kurniawan"/>
    <x v="0"/>
    <x v="5"/>
    <x v="29"/>
    <n v="1"/>
    <n v="20.13"/>
    <s v="Completed"/>
    <s v="Credit Card"/>
    <n v="20.13"/>
    <n v="2"/>
    <x v="0"/>
  </r>
  <r>
    <x v="754"/>
    <x v="20"/>
    <s v="CUST1787"/>
    <s v="Ahmad Salim"/>
    <x v="0"/>
    <x v="2"/>
    <x v="11"/>
    <n v="1"/>
    <n v="20.13"/>
    <s v="Completed"/>
    <s v="PayPal"/>
    <n v="20.13"/>
    <n v="2"/>
    <x v="0"/>
  </r>
  <r>
    <x v="755"/>
    <x v="469"/>
    <s v="CUST1697"/>
    <s v="Michael Sari"/>
    <x v="0"/>
    <x v="0"/>
    <x v="1"/>
    <n v="1"/>
    <n v="20.14"/>
    <s v="Completed"/>
    <s v="Debit Card"/>
    <n v="20.14"/>
    <n v="6"/>
    <x v="0"/>
  </r>
  <r>
    <x v="756"/>
    <x v="336"/>
    <s v="CUST1753"/>
    <s v="Kevin Lee"/>
    <x v="0"/>
    <x v="0"/>
    <x v="2"/>
    <n v="1"/>
    <n v="20.149999999999999"/>
    <s v="Completed"/>
    <s v="PayPal"/>
    <n v="20.149999999999999"/>
    <n v="6"/>
    <x v="0"/>
  </r>
  <r>
    <x v="757"/>
    <x v="468"/>
    <s v="CUST1296"/>
    <s v="James Sari"/>
    <x v="3"/>
    <x v="2"/>
    <x v="8"/>
    <n v="1"/>
    <n v="20.190000000000001"/>
    <s v="Cancelled"/>
    <s v="PayPal"/>
    <n v="20.190000000000001"/>
    <n v="2"/>
    <x v="0"/>
  </r>
  <r>
    <x v="758"/>
    <x v="27"/>
    <s v="CUST1794"/>
    <s v="Robert Halim"/>
    <x v="0"/>
    <x v="3"/>
    <x v="19"/>
    <n v="1"/>
    <n v="20.2"/>
    <s v="Completed"/>
    <s v="Debit Card"/>
    <n v="20.2"/>
    <n v="3"/>
    <x v="0"/>
  </r>
  <r>
    <x v="759"/>
    <x v="470"/>
    <s v="CUST1265"/>
    <s v="Sarah Johnson"/>
    <x v="1"/>
    <x v="0"/>
    <x v="3"/>
    <n v="1"/>
    <n v="20.2"/>
    <s v="Completed"/>
    <s v="Gift Card"/>
    <n v="20.2"/>
    <n v="4"/>
    <x v="0"/>
  </r>
  <r>
    <x v="760"/>
    <x v="471"/>
    <s v="CUST1823"/>
    <s v="John Johnson"/>
    <x v="3"/>
    <x v="2"/>
    <x v="7"/>
    <n v="1"/>
    <n v="20.21"/>
    <s v="Cancelled"/>
    <s v="Debit Card"/>
    <n v="20.21"/>
    <n v="3"/>
    <x v="0"/>
  </r>
  <r>
    <x v="761"/>
    <x v="276"/>
    <s v="CUST1888"/>
    <s v="Putri Tan"/>
    <x v="0"/>
    <x v="3"/>
    <x v="14"/>
    <n v="2"/>
    <n v="20.21"/>
    <s v="Completed"/>
    <s v="Credit Card"/>
    <n v="40.42"/>
    <n v="6"/>
    <x v="0"/>
  </r>
  <r>
    <x v="762"/>
    <x v="370"/>
    <s v="CUST1614"/>
    <s v="Putri Lee"/>
    <x v="0"/>
    <x v="3"/>
    <x v="19"/>
    <n v="1"/>
    <n v="20.25"/>
    <s v="Completed"/>
    <s v="Unknown"/>
    <n v="20.25"/>
    <n v="4"/>
    <x v="0"/>
  </r>
  <r>
    <x v="763"/>
    <x v="472"/>
    <s v="CUST1819"/>
    <s v="Lisa Salim"/>
    <x v="0"/>
    <x v="5"/>
    <x v="28"/>
    <n v="1"/>
    <n v="20.27"/>
    <s v="Completed"/>
    <s v="PayPal"/>
    <n v="20.27"/>
    <n v="5"/>
    <x v="0"/>
  </r>
  <r>
    <x v="764"/>
    <x v="301"/>
    <s v="CUST1162"/>
    <s v="Siti Smith"/>
    <x v="0"/>
    <x v="2"/>
    <x v="10"/>
    <n v="1"/>
    <n v="20.28"/>
    <s v="Completed"/>
    <s v="PayPal"/>
    <n v="20.28"/>
    <n v="4"/>
    <x v="0"/>
  </r>
  <r>
    <x v="765"/>
    <x v="127"/>
    <s v="CUST1563"/>
    <s v="James Yusuf"/>
    <x v="1"/>
    <x v="2"/>
    <x v="7"/>
    <n v="2"/>
    <n v="20.29"/>
    <s v="Completed"/>
    <s v="Gift Card"/>
    <n v="40.58"/>
    <n v="7"/>
    <x v="0"/>
  </r>
  <r>
    <x v="766"/>
    <x v="220"/>
    <s v="CUST1366"/>
    <s v="David Anderson"/>
    <x v="0"/>
    <x v="0"/>
    <x v="3"/>
    <n v="1"/>
    <n v="20.309999999999999"/>
    <s v="Completed"/>
    <s v="PayPal"/>
    <n v="20.309999999999999"/>
    <n v="4"/>
    <x v="0"/>
  </r>
  <r>
    <x v="767"/>
    <x v="473"/>
    <s v="CUST1596"/>
    <s v="Ayu Garcia"/>
    <x v="0"/>
    <x v="1"/>
    <x v="20"/>
    <n v="1"/>
    <n v="20.329999999999998"/>
    <s v="Completed"/>
    <s v="Credit Card"/>
    <n v="20.329999999999998"/>
    <n v="8"/>
    <x v="0"/>
  </r>
  <r>
    <x v="768"/>
    <x v="400"/>
    <s v="CUST1700"/>
    <s v="Robert Smith"/>
    <x v="0"/>
    <x v="0"/>
    <x v="2"/>
    <n v="2"/>
    <n v="20.329999999999998"/>
    <s v="Completed"/>
    <s v="Credit Card"/>
    <n v="40.659999999999997"/>
    <n v="6"/>
    <x v="0"/>
  </r>
  <r>
    <x v="769"/>
    <x v="232"/>
    <s v="CUST1107"/>
    <s v="Fajar Yusuf"/>
    <x v="0"/>
    <x v="4"/>
    <x v="25"/>
    <n v="1"/>
    <n v="20.34"/>
    <s v="Completed"/>
    <s v="Gift Card"/>
    <n v="20.34"/>
    <n v="5"/>
    <x v="0"/>
  </r>
  <r>
    <x v="770"/>
    <x v="304"/>
    <s v="CUST1836"/>
    <s v="Kevin Salim"/>
    <x v="0"/>
    <x v="1"/>
    <x v="5"/>
    <n v="2"/>
    <n v="20.34"/>
    <s v="Completed"/>
    <s v="Credit Card"/>
    <n v="40.68"/>
    <n v="6"/>
    <x v="0"/>
  </r>
  <r>
    <x v="771"/>
    <x v="363"/>
    <s v="CUST1005"/>
    <s v="Dewi Wijaya"/>
    <x v="0"/>
    <x v="1"/>
    <x v="17"/>
    <n v="1"/>
    <n v="20.350000000000001"/>
    <s v="Completed"/>
    <s v="Gift Card"/>
    <n v="20.350000000000001"/>
    <n v="10"/>
    <x v="0"/>
  </r>
  <r>
    <x v="772"/>
    <x v="75"/>
    <s v="CUST1854"/>
    <s v="Putri Garcia"/>
    <x v="1"/>
    <x v="2"/>
    <x v="11"/>
    <n v="1"/>
    <n v="20.36"/>
    <s v="Completed"/>
    <s v="Debit Card"/>
    <n v="20.36"/>
    <n v="7"/>
    <x v="0"/>
  </r>
  <r>
    <x v="773"/>
    <x v="445"/>
    <s v="CUST1494"/>
    <s v="Unknown Customer"/>
    <x v="0"/>
    <x v="4"/>
    <x v="24"/>
    <n v="1"/>
    <n v="20.37"/>
    <s v="Completed"/>
    <s v="Gift Card"/>
    <n v="20.37"/>
    <n v="3"/>
    <x v="0"/>
  </r>
  <r>
    <x v="774"/>
    <x v="286"/>
    <s v="CUST1092"/>
    <s v="Putri Nugroho"/>
    <x v="0"/>
    <x v="3"/>
    <x v="19"/>
    <n v="2"/>
    <n v="20.39"/>
    <s v="Completed"/>
    <s v="PayPal"/>
    <n v="40.78"/>
    <n v="8"/>
    <x v="0"/>
  </r>
  <r>
    <x v="775"/>
    <x v="474"/>
    <s v="CUST1347"/>
    <s v="Siti Halim"/>
    <x v="3"/>
    <x v="3"/>
    <x v="13"/>
    <n v="2"/>
    <n v="20.39"/>
    <s v="Returned"/>
    <s v="Credit Card"/>
    <n v="40.78"/>
    <n v="3"/>
    <x v="0"/>
  </r>
  <r>
    <x v="776"/>
    <x v="453"/>
    <s v="CUST1129"/>
    <s v="Budi Wilson"/>
    <x v="0"/>
    <x v="0"/>
    <x v="0"/>
    <n v="3"/>
    <n v="20.39"/>
    <s v="Completed"/>
    <s v="Gift Card"/>
    <n v="61.17"/>
    <n v="5"/>
    <x v="0"/>
  </r>
  <r>
    <x v="777"/>
    <x v="278"/>
    <s v="CUST1892"/>
    <s v="Fajar Brown"/>
    <x v="1"/>
    <x v="2"/>
    <x v="8"/>
    <n v="1"/>
    <n v="20.440000000000001"/>
    <s v="Completed"/>
    <s v="Debit Card"/>
    <n v="20.440000000000001"/>
    <n v="2"/>
    <x v="0"/>
  </r>
  <r>
    <x v="778"/>
    <x v="65"/>
    <s v="CUST1322"/>
    <s v="Ahmad Wijaya"/>
    <x v="1"/>
    <x v="4"/>
    <x v="21"/>
    <n v="1"/>
    <n v="20.440000000000001"/>
    <s v="Completed"/>
    <s v="Debit Card"/>
    <n v="20.440000000000001"/>
    <n v="7"/>
    <x v="0"/>
  </r>
  <r>
    <x v="779"/>
    <x v="107"/>
    <s v="CUST1391"/>
    <s v="Siti Pratama"/>
    <x v="0"/>
    <x v="2"/>
    <x v="10"/>
    <n v="1"/>
    <n v="20.440000000000001"/>
    <s v="Returned"/>
    <s v="Credit Card"/>
    <n v="20.440000000000001"/>
    <n v="7"/>
    <x v="0"/>
  </r>
  <r>
    <x v="780"/>
    <x v="475"/>
    <s v="CUST1382"/>
    <s v="David Hidayat"/>
    <x v="0"/>
    <x v="0"/>
    <x v="1"/>
    <n v="1"/>
    <n v="20.45"/>
    <s v="Completed"/>
    <s v="Gift Card"/>
    <n v="20.45"/>
    <n v="12"/>
    <x v="0"/>
  </r>
  <r>
    <x v="781"/>
    <x v="476"/>
    <s v="CUST1409"/>
    <s v="John Kurniawan"/>
    <x v="3"/>
    <x v="6"/>
    <x v="35"/>
    <n v="2"/>
    <n v="20.45"/>
    <s v="Completed"/>
    <s v="Gift Card"/>
    <n v="40.9"/>
    <n v="3"/>
    <x v="0"/>
  </r>
  <r>
    <x v="782"/>
    <x v="461"/>
    <s v="CUST1830"/>
    <s v="Sarah Anderson"/>
    <x v="0"/>
    <x v="2"/>
    <x v="8"/>
    <n v="2"/>
    <n v="20.45"/>
    <s v="Completed"/>
    <s v="Gift Card"/>
    <n v="40.9"/>
    <n v="3"/>
    <x v="0"/>
  </r>
  <r>
    <x v="783"/>
    <x v="477"/>
    <s v="CUST1528"/>
    <s v="Maria Chen"/>
    <x v="0"/>
    <x v="3"/>
    <x v="14"/>
    <n v="5"/>
    <n v="20.45"/>
    <s v="Completed"/>
    <s v="Unknown"/>
    <n v="102.25"/>
    <n v="6"/>
    <x v="0"/>
  </r>
  <r>
    <x v="784"/>
    <x v="270"/>
    <s v="CUST1865"/>
    <s v="Ayu Salim"/>
    <x v="0"/>
    <x v="6"/>
    <x v="35"/>
    <n v="1"/>
    <n v="20.46"/>
    <s v="Completed"/>
    <s v="Gift Card"/>
    <n v="20.46"/>
    <n v="9"/>
    <x v="0"/>
  </r>
  <r>
    <x v="785"/>
    <x v="478"/>
    <s v="CUST1007"/>
    <s v="Budi Garcia"/>
    <x v="0"/>
    <x v="2"/>
    <x v="15"/>
    <n v="1"/>
    <n v="20.46"/>
    <s v="Completed"/>
    <s v="PayPal"/>
    <n v="20.46"/>
    <n v="5"/>
    <x v="0"/>
  </r>
  <r>
    <x v="786"/>
    <x v="479"/>
    <s v="CUST1621"/>
    <s v="James Wijaya"/>
    <x v="0"/>
    <x v="4"/>
    <x v="24"/>
    <n v="1"/>
    <n v="20.47"/>
    <s v="Completed"/>
    <s v="Credit Card"/>
    <n v="20.47"/>
    <n v="4"/>
    <x v="0"/>
  </r>
  <r>
    <x v="787"/>
    <x v="480"/>
    <s v="CUST1622"/>
    <s v="Michael Garcia"/>
    <x v="0"/>
    <x v="5"/>
    <x v="31"/>
    <n v="2"/>
    <n v="20.47"/>
    <s v="Completed"/>
    <s v="Credit Card"/>
    <n v="40.94"/>
    <n v="6"/>
    <x v="0"/>
  </r>
  <r>
    <x v="788"/>
    <x v="425"/>
    <s v="CUST1514"/>
    <s v="Rina Wijaya"/>
    <x v="1"/>
    <x v="0"/>
    <x v="3"/>
    <n v="1"/>
    <n v="20.49"/>
    <s v="Completed"/>
    <s v="Gift Card"/>
    <n v="20.49"/>
    <n v="9"/>
    <x v="0"/>
  </r>
  <r>
    <x v="789"/>
    <x v="481"/>
    <s v="CUST1450"/>
    <s v="David Santos"/>
    <x v="0"/>
    <x v="0"/>
    <x v="0"/>
    <n v="1"/>
    <n v="20.51"/>
    <s v="Completed"/>
    <s v="Gift Card"/>
    <n v="20.51"/>
    <n v="5"/>
    <x v="0"/>
  </r>
  <r>
    <x v="790"/>
    <x v="482"/>
    <s v="CUST1667"/>
    <s v="Robert Halim"/>
    <x v="1"/>
    <x v="2"/>
    <x v="15"/>
    <n v="1"/>
    <n v="20.53"/>
    <s v="Completed"/>
    <s v="PayPal"/>
    <n v="20.53"/>
    <n v="7"/>
    <x v="0"/>
  </r>
  <r>
    <x v="791"/>
    <x v="483"/>
    <s v="CUST1082"/>
    <s v="Fajar Smith"/>
    <x v="2"/>
    <x v="0"/>
    <x v="3"/>
    <n v="2"/>
    <n v="20.53"/>
    <s v="Completed"/>
    <s v="Credit Card"/>
    <n v="41.06"/>
    <n v="3"/>
    <x v="0"/>
  </r>
  <r>
    <x v="792"/>
    <x v="484"/>
    <s v="CUST1846"/>
    <s v="Kevin Kurniawan"/>
    <x v="0"/>
    <x v="0"/>
    <x v="1"/>
    <n v="3"/>
    <n v="20.54"/>
    <s v="Completed"/>
    <s v="Gift Card"/>
    <n v="61.62"/>
    <n v="4"/>
    <x v="0"/>
  </r>
  <r>
    <x v="793"/>
    <x v="485"/>
    <s v="CUST1718"/>
    <s v="Dewi Lee"/>
    <x v="0"/>
    <x v="3"/>
    <x v="16"/>
    <n v="2"/>
    <n v="20.58"/>
    <s v="Completed"/>
    <s v="Gift Card"/>
    <n v="41.16"/>
    <n v="4"/>
    <x v="0"/>
  </r>
  <r>
    <x v="794"/>
    <x v="486"/>
    <s v="CUST1808"/>
    <s v="Michael Kurniawan"/>
    <x v="1"/>
    <x v="2"/>
    <x v="8"/>
    <n v="1"/>
    <n v="20.6"/>
    <s v="Completed"/>
    <s v="Debit Card"/>
    <n v="20.6"/>
    <n v="9"/>
    <x v="0"/>
  </r>
  <r>
    <x v="795"/>
    <x v="439"/>
    <s v="CUST1544"/>
    <s v="Ayu Garcia"/>
    <x v="3"/>
    <x v="2"/>
    <x v="8"/>
    <n v="2"/>
    <n v="20.6"/>
    <s v="Completed"/>
    <s v="PayPal"/>
    <n v="41.2"/>
    <n v="3"/>
    <x v="0"/>
  </r>
  <r>
    <x v="796"/>
    <x v="368"/>
    <s v="CUST1442"/>
    <s v="Andi Lee"/>
    <x v="0"/>
    <x v="0"/>
    <x v="1"/>
    <n v="1"/>
    <n v="20.62"/>
    <s v="Pending"/>
    <s v="Gift Card"/>
    <n v="20.62"/>
    <n v="4"/>
    <x v="0"/>
  </r>
  <r>
    <x v="797"/>
    <x v="203"/>
    <s v="CUST1099"/>
    <s v="Sarah Santos"/>
    <x v="0"/>
    <x v="2"/>
    <x v="7"/>
    <n v="1"/>
    <n v="20.62"/>
    <s v="Completed"/>
    <s v="Gift Card"/>
    <n v="20.62"/>
    <n v="5"/>
    <x v="0"/>
  </r>
  <r>
    <x v="798"/>
    <x v="432"/>
    <s v="CUST1618"/>
    <s v="Budi Lee"/>
    <x v="0"/>
    <x v="0"/>
    <x v="0"/>
    <n v="4"/>
    <n v="20.63"/>
    <s v="Completed"/>
    <s v="Gift Card"/>
    <n v="82.52"/>
    <n v="5"/>
    <x v="0"/>
  </r>
  <r>
    <x v="799"/>
    <x v="487"/>
    <s v="CUST1258"/>
    <s v="Ayu Smith"/>
    <x v="0"/>
    <x v="2"/>
    <x v="11"/>
    <n v="5"/>
    <n v="20.65"/>
    <s v="Completed"/>
    <s v="Gift Card"/>
    <n v="103.25"/>
    <n v="7"/>
    <x v="0"/>
  </r>
  <r>
    <x v="800"/>
    <x v="92"/>
    <s v="CUST1710"/>
    <s v="Linda Chen"/>
    <x v="0"/>
    <x v="4"/>
    <x v="22"/>
    <n v="1"/>
    <n v="20.67"/>
    <s v="Cancelled"/>
    <s v="Credit Card"/>
    <n v="20.67"/>
    <n v="6"/>
    <x v="0"/>
  </r>
  <r>
    <x v="801"/>
    <x v="190"/>
    <s v="CUST1061"/>
    <s v="Robert Chen"/>
    <x v="0"/>
    <x v="0"/>
    <x v="2"/>
    <n v="3"/>
    <n v="20.71"/>
    <s v="Completed"/>
    <s v="Gift Card"/>
    <n v="62.13"/>
    <n v="4"/>
    <x v="0"/>
  </r>
  <r>
    <x v="802"/>
    <x v="488"/>
    <s v="CUST1862"/>
    <s v="Ahmad Santos"/>
    <x v="0"/>
    <x v="1"/>
    <x v="9"/>
    <n v="2"/>
    <n v="20.72"/>
    <s v="Completed"/>
    <s v="Debit Card"/>
    <n v="41.44"/>
    <n v="7"/>
    <x v="0"/>
  </r>
  <r>
    <x v="803"/>
    <x v="489"/>
    <s v="CUST1373"/>
    <s v="Unknown Customer"/>
    <x v="0"/>
    <x v="2"/>
    <x v="11"/>
    <n v="1"/>
    <n v="20.73"/>
    <s v="Completed"/>
    <s v="Gift Card"/>
    <n v="20.73"/>
    <n v="8"/>
    <x v="0"/>
  </r>
  <r>
    <x v="804"/>
    <x v="365"/>
    <s v="CUST1066"/>
    <s v="Michael Lee"/>
    <x v="1"/>
    <x v="3"/>
    <x v="12"/>
    <n v="1"/>
    <n v="20.73"/>
    <s v="Completed"/>
    <s v="Debit Card"/>
    <n v="20.73"/>
    <n v="5"/>
    <x v="0"/>
  </r>
  <r>
    <x v="805"/>
    <x v="490"/>
    <s v="CUST1516"/>
    <s v="Fajar Brown"/>
    <x v="0"/>
    <x v="4"/>
    <x v="25"/>
    <n v="1"/>
    <n v="20.74"/>
    <s v="Pending"/>
    <s v="Gift Card"/>
    <n v="20.74"/>
    <n v="2"/>
    <x v="0"/>
  </r>
  <r>
    <x v="806"/>
    <x v="486"/>
    <s v="CUST1394"/>
    <s v="Unknown Customer"/>
    <x v="1"/>
    <x v="5"/>
    <x v="33"/>
    <n v="1"/>
    <n v="20.77"/>
    <s v="Cancelled"/>
    <s v="Debit Card"/>
    <n v="20.77"/>
    <n v="4"/>
    <x v="0"/>
  </r>
  <r>
    <x v="807"/>
    <x v="288"/>
    <s v="CUST1002"/>
    <s v="Sarah Kurniawan"/>
    <x v="0"/>
    <x v="5"/>
    <x v="33"/>
    <n v="2"/>
    <n v="20.77"/>
    <s v="Completed"/>
    <s v="Gift Card"/>
    <n v="41.54"/>
    <n v="5"/>
    <x v="0"/>
  </r>
  <r>
    <x v="808"/>
    <x v="157"/>
    <s v="CUST1381"/>
    <s v="Unknown Customer"/>
    <x v="0"/>
    <x v="0"/>
    <x v="4"/>
    <n v="1"/>
    <n v="20.8"/>
    <s v="Cancelled"/>
    <s v="Credit Card"/>
    <n v="20.8"/>
    <n v="3"/>
    <x v="0"/>
  </r>
  <r>
    <x v="809"/>
    <x v="446"/>
    <s v="CUST1635"/>
    <s v="Sarah Yusuf"/>
    <x v="3"/>
    <x v="2"/>
    <x v="8"/>
    <n v="1"/>
    <n v="20.81"/>
    <s v="Completed"/>
    <s v="PayPal"/>
    <n v="20.81"/>
    <n v="3"/>
    <x v="0"/>
  </r>
  <r>
    <x v="810"/>
    <x v="491"/>
    <s v="CUST1591"/>
    <s v="Fajar Wilson"/>
    <x v="0"/>
    <x v="4"/>
    <x v="22"/>
    <n v="1"/>
    <n v="20.81"/>
    <s v="Completed"/>
    <s v="Credit Card"/>
    <n v="20.81"/>
    <n v="9"/>
    <x v="0"/>
  </r>
  <r>
    <x v="811"/>
    <x v="408"/>
    <s v="CUST1881"/>
    <s v="Ahmad Salim"/>
    <x v="0"/>
    <x v="0"/>
    <x v="0"/>
    <n v="2"/>
    <n v="20.82"/>
    <s v="Completed"/>
    <s v="Credit Card"/>
    <n v="41.64"/>
    <n v="3"/>
    <x v="0"/>
  </r>
  <r>
    <x v="812"/>
    <x v="341"/>
    <s v="CUST1822"/>
    <s v="Ayu Wilson"/>
    <x v="0"/>
    <x v="0"/>
    <x v="2"/>
    <n v="1"/>
    <n v="20.83"/>
    <s v="Completed"/>
    <s v="PayPal"/>
    <n v="20.83"/>
    <n v="6"/>
    <x v="0"/>
  </r>
  <r>
    <x v="813"/>
    <x v="492"/>
    <s v="CUST1693"/>
    <s v="Lisa Santos"/>
    <x v="0"/>
    <x v="2"/>
    <x v="15"/>
    <n v="1"/>
    <n v="20.83"/>
    <s v="Completed"/>
    <s v="Gift Card"/>
    <n v="20.83"/>
    <n v="8"/>
    <x v="0"/>
  </r>
  <r>
    <x v="814"/>
    <x v="132"/>
    <s v="CUST1620"/>
    <s v="Budi Chen"/>
    <x v="0"/>
    <x v="2"/>
    <x v="11"/>
    <n v="3"/>
    <n v="20.83"/>
    <s v="Completed"/>
    <s v="Debit Card"/>
    <n v="62.489999999999995"/>
    <n v="4"/>
    <x v="0"/>
  </r>
  <r>
    <x v="815"/>
    <x v="493"/>
    <s v="CUST1011"/>
    <s v="Dewi Garcia"/>
    <x v="0"/>
    <x v="2"/>
    <x v="11"/>
    <n v="2"/>
    <n v="20.86"/>
    <s v="Returned"/>
    <s v="PayPal"/>
    <n v="41.72"/>
    <n v="7"/>
    <x v="0"/>
  </r>
  <r>
    <x v="816"/>
    <x v="298"/>
    <s v="CUST1822"/>
    <s v="Ayu Wilson"/>
    <x v="0"/>
    <x v="3"/>
    <x v="13"/>
    <n v="1"/>
    <n v="20.87"/>
    <s v="Completed"/>
    <s v="Debit Card"/>
    <n v="20.87"/>
    <n v="6"/>
    <x v="0"/>
  </r>
  <r>
    <x v="817"/>
    <x v="494"/>
    <s v="CUST1660"/>
    <s v="Andi Salim"/>
    <x v="0"/>
    <x v="6"/>
    <x v="37"/>
    <n v="1"/>
    <n v="20.89"/>
    <s v="Pending"/>
    <s v="Credit Card"/>
    <n v="20.89"/>
    <n v="5"/>
    <x v="0"/>
  </r>
  <r>
    <x v="818"/>
    <x v="53"/>
    <s v="CUST1146"/>
    <s v="Ayu Smith"/>
    <x v="0"/>
    <x v="6"/>
    <x v="40"/>
    <n v="2"/>
    <n v="20.89"/>
    <s v="Completed"/>
    <s v="Gift Card"/>
    <n v="41.78"/>
    <n v="6"/>
    <x v="0"/>
  </r>
  <r>
    <x v="819"/>
    <x v="146"/>
    <s v="CUST1605"/>
    <s v="Unknown Customer"/>
    <x v="0"/>
    <x v="1"/>
    <x v="18"/>
    <n v="2"/>
    <n v="20.91"/>
    <s v="Cancelled"/>
    <s v="PayPal"/>
    <n v="41.82"/>
    <n v="5"/>
    <x v="0"/>
  </r>
  <r>
    <x v="820"/>
    <x v="353"/>
    <s v="CUST1763"/>
    <s v="Fajar Yusuf"/>
    <x v="0"/>
    <x v="6"/>
    <x v="42"/>
    <n v="1"/>
    <n v="20.92"/>
    <s v="Completed"/>
    <s v="PayPal"/>
    <n v="20.92"/>
    <n v="4"/>
    <x v="0"/>
  </r>
  <r>
    <x v="821"/>
    <x v="191"/>
    <s v="CUST1763"/>
    <s v="Fajar Yusuf"/>
    <x v="0"/>
    <x v="2"/>
    <x v="7"/>
    <n v="2"/>
    <n v="20.94"/>
    <s v="Completed"/>
    <s v="Debit Card"/>
    <n v="41.88"/>
    <n v="4"/>
    <x v="0"/>
  </r>
  <r>
    <x v="822"/>
    <x v="258"/>
    <s v="CUST1639"/>
    <s v="Dewi Salim"/>
    <x v="1"/>
    <x v="4"/>
    <x v="26"/>
    <n v="2"/>
    <n v="20.94"/>
    <s v="Completed"/>
    <s v="PayPal"/>
    <n v="41.88"/>
    <n v="7"/>
    <x v="0"/>
  </r>
  <r>
    <x v="823"/>
    <x v="49"/>
    <s v="CUST1436"/>
    <s v="Lisa Garcia"/>
    <x v="0"/>
    <x v="2"/>
    <x v="8"/>
    <n v="2"/>
    <n v="21.01"/>
    <s v="Completed"/>
    <s v="Credit Card"/>
    <n v="42.02"/>
    <n v="8"/>
    <x v="0"/>
  </r>
  <r>
    <x v="824"/>
    <x v="404"/>
    <s v="CUST1270"/>
    <s v="Andi Salim"/>
    <x v="0"/>
    <x v="4"/>
    <x v="21"/>
    <n v="1"/>
    <n v="21.02"/>
    <s v="Completed"/>
    <s v="Gift Card"/>
    <n v="21.02"/>
    <n v="9"/>
    <x v="0"/>
  </r>
  <r>
    <x v="825"/>
    <x v="14"/>
    <s v="CUST1459"/>
    <s v="Rina Smith"/>
    <x v="0"/>
    <x v="2"/>
    <x v="7"/>
    <n v="1"/>
    <n v="21.04"/>
    <s v="Completed"/>
    <s v="Debit Card"/>
    <n v="21.04"/>
    <n v="4"/>
    <x v="0"/>
  </r>
  <r>
    <x v="826"/>
    <x v="495"/>
    <s v="CUST1744"/>
    <s v="Andi Sari"/>
    <x v="0"/>
    <x v="6"/>
    <x v="37"/>
    <n v="5"/>
    <n v="21.06"/>
    <s v="Completed"/>
    <s v="PayPal"/>
    <n v="105.3"/>
    <n v="6"/>
    <x v="0"/>
  </r>
  <r>
    <x v="827"/>
    <x v="87"/>
    <s v="CUST1831"/>
    <s v="Sarah Hidayat"/>
    <x v="0"/>
    <x v="0"/>
    <x v="4"/>
    <n v="1"/>
    <n v="21.07"/>
    <s v="Completed"/>
    <s v="Credit Card"/>
    <n v="21.07"/>
    <n v="5"/>
    <x v="0"/>
  </r>
  <r>
    <x v="828"/>
    <x v="494"/>
    <s v="CUST1039"/>
    <s v="Robert Tan"/>
    <x v="0"/>
    <x v="3"/>
    <x v="12"/>
    <n v="2"/>
    <n v="21.08"/>
    <s v="Completed"/>
    <s v="PayPal"/>
    <n v="42.16"/>
    <n v="7"/>
    <x v="0"/>
  </r>
  <r>
    <x v="829"/>
    <x v="428"/>
    <s v="CUST1846"/>
    <s v="Kevin Kurniawan"/>
    <x v="0"/>
    <x v="2"/>
    <x v="10"/>
    <n v="1"/>
    <n v="21.083775510204081"/>
    <s v="Returned"/>
    <s v="Gift Card"/>
    <n v="21.083775510204081"/>
    <n v="4"/>
    <x v="0"/>
  </r>
  <r>
    <x v="830"/>
    <x v="45"/>
    <s v="CUST1161"/>
    <s v="Ayu Yusuf"/>
    <x v="0"/>
    <x v="2"/>
    <x v="10"/>
    <n v="1"/>
    <n v="21.083775510204081"/>
    <s v="Completed"/>
    <s v="Credit Card"/>
    <n v="21.083775510204081"/>
    <n v="4"/>
    <x v="0"/>
  </r>
  <r>
    <x v="831"/>
    <x v="38"/>
    <s v="CUST1386"/>
    <s v="Lisa Johnson"/>
    <x v="0"/>
    <x v="2"/>
    <x v="10"/>
    <n v="1"/>
    <n v="21.083775510204081"/>
    <s v="Completed"/>
    <s v="Credit Card"/>
    <n v="21.083775510204081"/>
    <n v="7"/>
    <x v="0"/>
  </r>
  <r>
    <x v="832"/>
    <x v="496"/>
    <s v="CUST1834"/>
    <s v="Unknown Customer"/>
    <x v="0"/>
    <x v="2"/>
    <x v="10"/>
    <n v="2"/>
    <n v="21.083775510204081"/>
    <s v="Completed"/>
    <s v="PayPal"/>
    <n v="42.167551020408162"/>
    <n v="12"/>
    <x v="0"/>
  </r>
  <r>
    <x v="833"/>
    <x v="497"/>
    <s v="CUST1798"/>
    <s v="Siti Anderson"/>
    <x v="0"/>
    <x v="2"/>
    <x v="10"/>
    <n v="2"/>
    <n v="21.083775510204081"/>
    <s v="Completed"/>
    <s v="Gift Card"/>
    <n v="42.167551020408162"/>
    <n v="10"/>
    <x v="0"/>
  </r>
  <r>
    <x v="834"/>
    <x v="212"/>
    <s v="CUST1196"/>
    <s v="Putri Pratama"/>
    <x v="0"/>
    <x v="1"/>
    <x v="6"/>
    <n v="1"/>
    <n v="21.09"/>
    <s v="Cancelled"/>
    <s v="Credit Card"/>
    <n v="21.09"/>
    <n v="6"/>
    <x v="0"/>
  </r>
  <r>
    <x v="835"/>
    <x v="300"/>
    <s v="CUST1120"/>
    <s v="Dewi Johnson"/>
    <x v="1"/>
    <x v="3"/>
    <x v="19"/>
    <n v="1"/>
    <n v="21.1"/>
    <s v="Completed"/>
    <s v="Gift Card"/>
    <n v="21.1"/>
    <n v="6"/>
    <x v="0"/>
  </r>
  <r>
    <x v="836"/>
    <x v="256"/>
    <s v="CUST1221"/>
    <s v="Siti Chen"/>
    <x v="0"/>
    <x v="0"/>
    <x v="0"/>
    <n v="1"/>
    <n v="21.11"/>
    <s v="Completed"/>
    <s v="Debit Card"/>
    <n v="21.11"/>
    <n v="5"/>
    <x v="0"/>
  </r>
  <r>
    <x v="837"/>
    <x v="376"/>
    <s v="CUST1136"/>
    <s v="Budi Hidayat"/>
    <x v="0"/>
    <x v="2"/>
    <x v="15"/>
    <n v="1"/>
    <n v="21.159464285714289"/>
    <s v="Completed"/>
    <s v="Debit Card"/>
    <n v="21.159464285714289"/>
    <n v="3"/>
    <x v="0"/>
  </r>
  <r>
    <x v="838"/>
    <x v="479"/>
    <s v="CUST1037"/>
    <s v="Unknown Customer"/>
    <x v="0"/>
    <x v="2"/>
    <x v="15"/>
    <n v="1"/>
    <n v="21.17"/>
    <s v="Pending"/>
    <s v="Debit Card"/>
    <n v="21.17"/>
    <n v="3"/>
    <x v="0"/>
  </r>
  <r>
    <x v="839"/>
    <x v="13"/>
    <s v="CUST1625"/>
    <s v="Lisa Pratama"/>
    <x v="0"/>
    <x v="2"/>
    <x v="11"/>
    <n v="1"/>
    <n v="21.2"/>
    <s v="Completed"/>
    <s v="Credit Card"/>
    <n v="21.2"/>
    <n v="5"/>
    <x v="0"/>
  </r>
  <r>
    <x v="840"/>
    <x v="498"/>
    <s v="CUST1282"/>
    <s v="Sarah Tan"/>
    <x v="0"/>
    <x v="3"/>
    <x v="16"/>
    <n v="2"/>
    <n v="21.2"/>
    <s v="Completed"/>
    <s v="Credit Card"/>
    <n v="42.4"/>
    <n v="4"/>
    <x v="0"/>
  </r>
  <r>
    <x v="841"/>
    <x v="389"/>
    <s v="CUST1780"/>
    <s v="Lisa Wijaya"/>
    <x v="0"/>
    <x v="1"/>
    <x v="17"/>
    <n v="2"/>
    <n v="21.2"/>
    <s v="Completed"/>
    <s v="Debit Card"/>
    <n v="42.4"/>
    <n v="6"/>
    <x v="0"/>
  </r>
  <r>
    <x v="842"/>
    <x v="402"/>
    <s v="CUST1352"/>
    <s v="Lisa Taylor"/>
    <x v="0"/>
    <x v="0"/>
    <x v="4"/>
    <n v="1"/>
    <n v="21.21"/>
    <s v="Completed"/>
    <s v="Gift Card"/>
    <n v="21.21"/>
    <n v="7"/>
    <x v="0"/>
  </r>
  <r>
    <x v="843"/>
    <x v="472"/>
    <s v="CUST1810"/>
    <s v="Dewi Salim"/>
    <x v="1"/>
    <x v="0"/>
    <x v="4"/>
    <n v="1"/>
    <n v="21.21"/>
    <s v="Completed"/>
    <s v="Debit Card"/>
    <n v="21.21"/>
    <n v="4"/>
    <x v="0"/>
  </r>
  <r>
    <x v="844"/>
    <x v="145"/>
    <s v="CUST1701"/>
    <s v="John Santos"/>
    <x v="1"/>
    <x v="1"/>
    <x v="17"/>
    <n v="1"/>
    <n v="21.22"/>
    <s v="Returned"/>
    <s v="PayPal"/>
    <n v="21.22"/>
    <n v="7"/>
    <x v="0"/>
  </r>
  <r>
    <x v="845"/>
    <x v="137"/>
    <s v="CUST1554"/>
    <s v="Dewi Tan"/>
    <x v="0"/>
    <x v="2"/>
    <x v="7"/>
    <n v="1"/>
    <n v="21.23"/>
    <s v="Completed"/>
    <s v="PayPal"/>
    <n v="21.23"/>
    <n v="4"/>
    <x v="0"/>
  </r>
  <r>
    <x v="846"/>
    <x v="445"/>
    <s v="CUST1451"/>
    <s v="Ahmad Garcia"/>
    <x v="0"/>
    <x v="3"/>
    <x v="19"/>
    <n v="2"/>
    <n v="21.23"/>
    <s v="Completed"/>
    <s v="Gift Card"/>
    <n v="42.46"/>
    <n v="12"/>
    <x v="0"/>
  </r>
  <r>
    <x v="847"/>
    <x v="499"/>
    <s v="CUST1314"/>
    <s v="Michael Pratama"/>
    <x v="0"/>
    <x v="2"/>
    <x v="8"/>
    <n v="3"/>
    <n v="21.24"/>
    <s v="Returned"/>
    <s v="Credit Card"/>
    <n v="63.72"/>
    <n v="5"/>
    <x v="0"/>
  </r>
  <r>
    <x v="848"/>
    <x v="56"/>
    <s v="CUST1669"/>
    <s v="Dewi Brown"/>
    <x v="0"/>
    <x v="2"/>
    <x v="11"/>
    <n v="1"/>
    <n v="21.27"/>
    <s v="Completed"/>
    <s v="Debit Card"/>
    <n v="21.27"/>
    <n v="5"/>
    <x v="0"/>
  </r>
  <r>
    <x v="849"/>
    <x v="29"/>
    <s v="CUST1686"/>
    <s v="Rina Garcia"/>
    <x v="2"/>
    <x v="3"/>
    <x v="14"/>
    <n v="4"/>
    <n v="21.29"/>
    <s v="Completed"/>
    <s v="Credit Card"/>
    <n v="85.16"/>
    <n v="1"/>
    <x v="1"/>
  </r>
  <r>
    <x v="850"/>
    <x v="500"/>
    <s v="CUST1576"/>
    <s v="Linda Pratama"/>
    <x v="0"/>
    <x v="0"/>
    <x v="0"/>
    <n v="2"/>
    <n v="21.3"/>
    <s v="Completed"/>
    <s v="Debit Card"/>
    <n v="42.6"/>
    <n v="4"/>
    <x v="0"/>
  </r>
  <r>
    <x v="851"/>
    <x v="99"/>
    <s v="CUST1248"/>
    <s v="Andi Pratama"/>
    <x v="0"/>
    <x v="2"/>
    <x v="10"/>
    <n v="3"/>
    <n v="21.31"/>
    <s v="Completed"/>
    <s v="Debit Card"/>
    <n v="63.929999999999993"/>
    <n v="8"/>
    <x v="0"/>
  </r>
  <r>
    <x v="852"/>
    <x v="212"/>
    <s v="CUST1006"/>
    <s v="James Smith"/>
    <x v="0"/>
    <x v="3"/>
    <x v="16"/>
    <n v="1"/>
    <n v="21.32"/>
    <s v="Completed"/>
    <s v="PayPal"/>
    <n v="21.32"/>
    <n v="8"/>
    <x v="0"/>
  </r>
  <r>
    <x v="853"/>
    <x v="137"/>
    <s v="CUST1395"/>
    <s v="Lisa Kurniawan"/>
    <x v="3"/>
    <x v="5"/>
    <x v="28"/>
    <n v="1"/>
    <n v="21.34"/>
    <s v="Completed"/>
    <s v="Unknown"/>
    <n v="21.34"/>
    <n v="5"/>
    <x v="0"/>
  </r>
  <r>
    <x v="854"/>
    <x v="480"/>
    <s v="CUST1211"/>
    <s v="Sarah Santos"/>
    <x v="0"/>
    <x v="5"/>
    <x v="32"/>
    <n v="3"/>
    <n v="21.34"/>
    <s v="Completed"/>
    <s v="PayPal"/>
    <n v="64.02"/>
    <n v="8"/>
    <x v="0"/>
  </r>
  <r>
    <x v="855"/>
    <x v="501"/>
    <s v="CUST1264"/>
    <s v="Siti Halim"/>
    <x v="0"/>
    <x v="3"/>
    <x v="16"/>
    <n v="4"/>
    <n v="21.36"/>
    <s v="Completed"/>
    <s v="PayPal"/>
    <n v="85.44"/>
    <n v="7"/>
    <x v="0"/>
  </r>
  <r>
    <x v="856"/>
    <x v="435"/>
    <s v="CUST1701"/>
    <s v="John Santos"/>
    <x v="1"/>
    <x v="0"/>
    <x v="1"/>
    <n v="2"/>
    <n v="21.38"/>
    <s v="Completed"/>
    <s v="PayPal"/>
    <n v="42.76"/>
    <n v="7"/>
    <x v="0"/>
  </r>
  <r>
    <x v="857"/>
    <x v="130"/>
    <s v="CUST1165"/>
    <s v="John Sari"/>
    <x v="0"/>
    <x v="2"/>
    <x v="7"/>
    <n v="2"/>
    <n v="21.41"/>
    <s v="Completed"/>
    <s v="Gift Card"/>
    <n v="42.82"/>
    <n v="3"/>
    <x v="0"/>
  </r>
  <r>
    <x v="858"/>
    <x v="40"/>
    <s v="CUST1651"/>
    <s v="Rina Nugroho"/>
    <x v="0"/>
    <x v="2"/>
    <x v="15"/>
    <n v="1"/>
    <n v="21.44"/>
    <s v="Returned"/>
    <s v="Credit Card"/>
    <n v="21.44"/>
    <n v="4"/>
    <x v="0"/>
  </r>
  <r>
    <x v="859"/>
    <x v="502"/>
    <s v="CUST1684"/>
    <s v="Fajar Salim"/>
    <x v="0"/>
    <x v="6"/>
    <x v="37"/>
    <n v="1"/>
    <n v="21.44"/>
    <s v="Completed"/>
    <s v="Gift Card"/>
    <n v="21.44"/>
    <n v="6"/>
    <x v="0"/>
  </r>
  <r>
    <x v="860"/>
    <x v="503"/>
    <s v="CUST1411"/>
    <s v="Ahmad Garcia"/>
    <x v="1"/>
    <x v="4"/>
    <x v="24"/>
    <n v="3"/>
    <n v="21.45"/>
    <s v="Cancelled"/>
    <s v="PayPal"/>
    <n v="64.349999999999994"/>
    <n v="3"/>
    <x v="0"/>
  </r>
  <r>
    <x v="861"/>
    <x v="504"/>
    <s v="CUST1445"/>
    <s v="Kevin Anderson"/>
    <x v="0"/>
    <x v="0"/>
    <x v="2"/>
    <n v="1"/>
    <n v="21.46"/>
    <s v="Completed"/>
    <s v="PayPal"/>
    <n v="21.46"/>
    <n v="9"/>
    <x v="0"/>
  </r>
  <r>
    <x v="862"/>
    <x v="505"/>
    <s v="CUST1815"/>
    <s v="Budi Garcia"/>
    <x v="1"/>
    <x v="6"/>
    <x v="36"/>
    <n v="5"/>
    <n v="21.51"/>
    <s v="Returned"/>
    <s v="Debit Card"/>
    <n v="107.55000000000001"/>
    <n v="6"/>
    <x v="0"/>
  </r>
  <r>
    <x v="863"/>
    <x v="450"/>
    <s v="CUST1763"/>
    <s v="Fajar Yusuf"/>
    <x v="0"/>
    <x v="3"/>
    <x v="19"/>
    <n v="1"/>
    <n v="21.52"/>
    <s v="Completed"/>
    <s v="PayPal"/>
    <n v="21.52"/>
    <n v="4"/>
    <x v="0"/>
  </r>
  <r>
    <x v="864"/>
    <x v="194"/>
    <s v="CUST1689"/>
    <s v="Siti Tan"/>
    <x v="0"/>
    <x v="2"/>
    <x v="15"/>
    <n v="2"/>
    <n v="21.53"/>
    <s v="Completed"/>
    <s v="Gift Card"/>
    <n v="43.06"/>
    <n v="7"/>
    <x v="0"/>
  </r>
  <r>
    <x v="865"/>
    <x v="506"/>
    <s v="CUST1389"/>
    <s v="Fajar Salim"/>
    <x v="0"/>
    <x v="0"/>
    <x v="3"/>
    <n v="2"/>
    <n v="21.54"/>
    <s v="Cancelled"/>
    <s v="PayPal"/>
    <n v="43.08"/>
    <n v="4"/>
    <x v="0"/>
  </r>
  <r>
    <x v="866"/>
    <x v="69"/>
    <s v="CUST1005"/>
    <s v="Dewi Wijaya"/>
    <x v="0"/>
    <x v="2"/>
    <x v="15"/>
    <n v="2"/>
    <n v="21.55"/>
    <s v="Returned"/>
    <s v="Credit Card"/>
    <n v="43.1"/>
    <n v="10"/>
    <x v="0"/>
  </r>
  <r>
    <x v="867"/>
    <x v="507"/>
    <s v="CUST1225"/>
    <s v="Siti Wilson"/>
    <x v="1"/>
    <x v="2"/>
    <x v="11"/>
    <n v="1"/>
    <n v="21.56"/>
    <s v="Completed"/>
    <s v="Debit Card"/>
    <n v="21.56"/>
    <n v="6"/>
    <x v="0"/>
  </r>
  <r>
    <x v="868"/>
    <x v="508"/>
    <s v="CUST1102"/>
    <s v="Maria Brown"/>
    <x v="0"/>
    <x v="2"/>
    <x v="8"/>
    <n v="2"/>
    <n v="21.566788990825685"/>
    <s v="Completed"/>
    <s v="PayPal"/>
    <n v="43.133577981651371"/>
    <n v="5"/>
    <x v="0"/>
  </r>
  <r>
    <x v="869"/>
    <x v="390"/>
    <s v="CUST1331"/>
    <s v="Ayu Chen"/>
    <x v="1"/>
    <x v="2"/>
    <x v="15"/>
    <n v="1"/>
    <n v="21.58"/>
    <s v="Cancelled"/>
    <s v="Credit Card"/>
    <n v="21.58"/>
    <n v="3"/>
    <x v="0"/>
  </r>
  <r>
    <x v="870"/>
    <x v="509"/>
    <s v="CUST1843"/>
    <s v="Siti Hidayat"/>
    <x v="0"/>
    <x v="1"/>
    <x v="17"/>
    <n v="2"/>
    <n v="21.63"/>
    <s v="Completed"/>
    <s v="PayPal"/>
    <n v="43.26"/>
    <n v="8"/>
    <x v="0"/>
  </r>
  <r>
    <x v="871"/>
    <x v="510"/>
    <s v="CUST1065"/>
    <s v="Lisa Tan"/>
    <x v="0"/>
    <x v="2"/>
    <x v="8"/>
    <n v="1"/>
    <n v="21.64"/>
    <s v="Completed"/>
    <s v="Debit Card"/>
    <n v="21.64"/>
    <n v="5"/>
    <x v="0"/>
  </r>
  <r>
    <x v="872"/>
    <x v="264"/>
    <s v="CUST1546"/>
    <s v="John Garcia"/>
    <x v="0"/>
    <x v="2"/>
    <x v="11"/>
    <n v="1"/>
    <n v="21.65"/>
    <s v="Completed"/>
    <s v="PayPal"/>
    <n v="21.65"/>
    <n v="5"/>
    <x v="0"/>
  </r>
  <r>
    <x v="873"/>
    <x v="294"/>
    <s v="CUST1259"/>
    <s v="Andi Halim"/>
    <x v="0"/>
    <x v="5"/>
    <x v="32"/>
    <n v="1"/>
    <n v="21.66"/>
    <s v="Pending"/>
    <s v="Gift Card"/>
    <n v="21.66"/>
    <n v="2"/>
    <x v="0"/>
  </r>
  <r>
    <x v="874"/>
    <x v="111"/>
    <s v="CUST1007"/>
    <s v="Budi Garcia"/>
    <x v="0"/>
    <x v="2"/>
    <x v="7"/>
    <n v="2"/>
    <n v="21.66"/>
    <s v="Completed"/>
    <s v="Gift Card"/>
    <n v="43.32"/>
    <n v="5"/>
    <x v="0"/>
  </r>
  <r>
    <x v="875"/>
    <x v="89"/>
    <s v="CUST1197"/>
    <s v="Sarah Lee"/>
    <x v="1"/>
    <x v="3"/>
    <x v="14"/>
    <n v="3"/>
    <n v="21.69"/>
    <s v="Completed"/>
    <s v="PayPal"/>
    <n v="65.070000000000007"/>
    <n v="6"/>
    <x v="0"/>
  </r>
  <r>
    <x v="876"/>
    <x v="511"/>
    <s v="CUST1574"/>
    <s v="Ahmad Hidayat"/>
    <x v="0"/>
    <x v="4"/>
    <x v="23"/>
    <n v="1"/>
    <n v="21.69"/>
    <s v="Completed"/>
    <s v="Credit Card"/>
    <n v="21.69"/>
    <n v="4"/>
    <x v="0"/>
  </r>
  <r>
    <x v="877"/>
    <x v="512"/>
    <s v="CUST1662"/>
    <s v="Siti Lee"/>
    <x v="1"/>
    <x v="2"/>
    <x v="11"/>
    <n v="1"/>
    <n v="21.7"/>
    <s v="Completed"/>
    <s v="Gift Card"/>
    <n v="21.7"/>
    <n v="5"/>
    <x v="0"/>
  </r>
  <r>
    <x v="878"/>
    <x v="496"/>
    <s v="CUST1212"/>
    <s v="Budi Wilson"/>
    <x v="0"/>
    <x v="5"/>
    <x v="33"/>
    <n v="1"/>
    <n v="21.71"/>
    <s v="Completed"/>
    <s v="Debit Card"/>
    <n v="21.71"/>
    <n v="6"/>
    <x v="0"/>
  </r>
  <r>
    <x v="879"/>
    <x v="513"/>
    <s v="CUST1439"/>
    <s v="Maria Johnson"/>
    <x v="0"/>
    <x v="2"/>
    <x v="15"/>
    <n v="2"/>
    <n v="21.71"/>
    <s v="Completed"/>
    <s v="Credit Card"/>
    <n v="43.42"/>
    <n v="6"/>
    <x v="0"/>
  </r>
  <r>
    <x v="880"/>
    <x v="513"/>
    <s v="CUST1211"/>
    <s v="Sarah Santos"/>
    <x v="0"/>
    <x v="2"/>
    <x v="11"/>
    <n v="1"/>
    <n v="21.74"/>
    <s v="Completed"/>
    <s v="PayPal"/>
    <n v="21.74"/>
    <n v="8"/>
    <x v="0"/>
  </r>
  <r>
    <x v="881"/>
    <x v="226"/>
    <s v="CUST1184"/>
    <s v="Michael Kurniawan"/>
    <x v="0"/>
    <x v="3"/>
    <x v="19"/>
    <n v="1"/>
    <n v="21.76"/>
    <s v="Completed"/>
    <s v="Gift Card"/>
    <n v="21.76"/>
    <n v="6"/>
    <x v="0"/>
  </r>
  <r>
    <x v="882"/>
    <x v="74"/>
    <s v="CUST1507"/>
    <s v="Andi Brown"/>
    <x v="0"/>
    <x v="4"/>
    <x v="21"/>
    <n v="2"/>
    <n v="21.76"/>
    <s v="Completed"/>
    <s v="Debit Card"/>
    <n v="43.52"/>
    <n v="7"/>
    <x v="0"/>
  </r>
  <r>
    <x v="883"/>
    <x v="244"/>
    <s v="CUST1222"/>
    <s v="Dewi Sari"/>
    <x v="0"/>
    <x v="2"/>
    <x v="10"/>
    <n v="1"/>
    <n v="21.81"/>
    <s v="Completed"/>
    <s v="Debit Card"/>
    <n v="21.81"/>
    <n v="9"/>
    <x v="0"/>
  </r>
  <r>
    <x v="884"/>
    <x v="70"/>
    <s v="CUST1012"/>
    <s v="Andi Yusuf"/>
    <x v="0"/>
    <x v="2"/>
    <x v="11"/>
    <n v="1"/>
    <n v="21.82"/>
    <s v="Completed"/>
    <s v="Debit Card"/>
    <n v="21.82"/>
    <n v="6"/>
    <x v="0"/>
  </r>
  <r>
    <x v="885"/>
    <x v="410"/>
    <s v="CUST1496"/>
    <s v="John Smith"/>
    <x v="0"/>
    <x v="4"/>
    <x v="26"/>
    <n v="1"/>
    <n v="21.84"/>
    <s v="Completed"/>
    <s v="Gift Card"/>
    <n v="21.84"/>
    <n v="5"/>
    <x v="0"/>
  </r>
  <r>
    <x v="886"/>
    <x v="107"/>
    <s v="CUST1543"/>
    <s v="Ayu Wilson"/>
    <x v="0"/>
    <x v="3"/>
    <x v="14"/>
    <n v="1"/>
    <n v="21.85"/>
    <s v="Completed"/>
    <s v="PayPal"/>
    <n v="21.85"/>
    <n v="12"/>
    <x v="0"/>
  </r>
  <r>
    <x v="887"/>
    <x v="514"/>
    <s v="CUST1099"/>
    <s v="Sarah Santos"/>
    <x v="0"/>
    <x v="0"/>
    <x v="4"/>
    <n v="2"/>
    <n v="21.85"/>
    <s v="Completed"/>
    <s v="PayPal"/>
    <n v="43.7"/>
    <n v="5"/>
    <x v="0"/>
  </r>
  <r>
    <x v="888"/>
    <x v="515"/>
    <s v="CUST1880"/>
    <s v="Dewi Johnson"/>
    <x v="0"/>
    <x v="0"/>
    <x v="1"/>
    <n v="1"/>
    <n v="21.86"/>
    <s v="Completed"/>
    <s v="PayPal"/>
    <n v="21.86"/>
    <n v="3"/>
    <x v="0"/>
  </r>
  <r>
    <x v="889"/>
    <x v="516"/>
    <s v="CUST1292"/>
    <s v="Budi Halim"/>
    <x v="0"/>
    <x v="2"/>
    <x v="11"/>
    <n v="1"/>
    <n v="21.87"/>
    <s v="Completed"/>
    <s v="PayPal"/>
    <n v="21.87"/>
    <n v="6"/>
    <x v="0"/>
  </r>
  <r>
    <x v="890"/>
    <x v="457"/>
    <s v="CUST1733"/>
    <s v="Lisa Sari"/>
    <x v="0"/>
    <x v="0"/>
    <x v="4"/>
    <n v="1"/>
    <n v="21.87"/>
    <s v="Completed"/>
    <s v="Gift Card"/>
    <n v="21.87"/>
    <n v="5"/>
    <x v="0"/>
  </r>
  <r>
    <x v="891"/>
    <x v="517"/>
    <s v="CUST1777"/>
    <s v="Ayu Chen"/>
    <x v="0"/>
    <x v="3"/>
    <x v="13"/>
    <n v="4"/>
    <n v="21.87"/>
    <s v="Completed"/>
    <s v="Credit Card"/>
    <n v="87.48"/>
    <n v="8"/>
    <x v="0"/>
  </r>
  <r>
    <x v="892"/>
    <x v="88"/>
    <s v="CUST1898"/>
    <s v="Ahmad Nugroho"/>
    <x v="1"/>
    <x v="6"/>
    <x v="41"/>
    <n v="1"/>
    <n v="21.9"/>
    <s v="Completed"/>
    <s v="Credit Card"/>
    <n v="21.9"/>
    <n v="3"/>
    <x v="0"/>
  </r>
  <r>
    <x v="893"/>
    <x v="490"/>
    <s v="CUST1737"/>
    <s v="Ahmad Brown"/>
    <x v="0"/>
    <x v="2"/>
    <x v="7"/>
    <n v="1"/>
    <n v="21.93"/>
    <s v="Cancelled"/>
    <s v="Credit Card"/>
    <n v="21.93"/>
    <n v="3"/>
    <x v="0"/>
  </r>
  <r>
    <x v="894"/>
    <x v="518"/>
    <s v="CUST1108"/>
    <s v="Rina Garcia"/>
    <x v="0"/>
    <x v="3"/>
    <x v="16"/>
    <n v="2"/>
    <n v="21.93"/>
    <s v="Completed"/>
    <s v="Credit Card"/>
    <n v="43.86"/>
    <n v="3"/>
    <x v="0"/>
  </r>
  <r>
    <x v="895"/>
    <x v="293"/>
    <s v="CUST1490"/>
    <s v="David Halim"/>
    <x v="0"/>
    <x v="0"/>
    <x v="1"/>
    <n v="2"/>
    <n v="21.93"/>
    <s v="Completed"/>
    <s v="Credit Card"/>
    <n v="43.86"/>
    <n v="6"/>
    <x v="0"/>
  </r>
  <r>
    <x v="896"/>
    <x v="383"/>
    <s v="CUST1746"/>
    <s v="Siti Garcia"/>
    <x v="0"/>
    <x v="6"/>
    <x v="36"/>
    <n v="1"/>
    <n v="21.94"/>
    <s v="Completed"/>
    <s v="PayPal"/>
    <n v="21.94"/>
    <n v="7"/>
    <x v="0"/>
  </r>
  <r>
    <x v="897"/>
    <x v="519"/>
    <s v="CUST1644"/>
    <s v="Andi Salim"/>
    <x v="0"/>
    <x v="2"/>
    <x v="7"/>
    <n v="1"/>
    <n v="21.95"/>
    <s v="Completed"/>
    <s v="Debit Card"/>
    <n v="21.95"/>
    <n v="6"/>
    <x v="0"/>
  </r>
  <r>
    <x v="898"/>
    <x v="520"/>
    <s v="CUST1364"/>
    <s v="David Brown"/>
    <x v="0"/>
    <x v="0"/>
    <x v="3"/>
    <n v="3"/>
    <n v="21.95"/>
    <s v="Completed"/>
    <s v="PayPal"/>
    <n v="65.849999999999994"/>
    <n v="8"/>
    <x v="0"/>
  </r>
  <r>
    <x v="899"/>
    <x v="521"/>
    <s v="CUST1772"/>
    <s v="Ahmad Hidayat"/>
    <x v="0"/>
    <x v="4"/>
    <x v="25"/>
    <n v="1"/>
    <n v="22.05"/>
    <s v="Completed"/>
    <s v="Gift Card"/>
    <n v="22.05"/>
    <n v="6"/>
    <x v="0"/>
  </r>
  <r>
    <x v="900"/>
    <x v="473"/>
    <s v="CUST1244"/>
    <s v="Nina Pratama"/>
    <x v="0"/>
    <x v="0"/>
    <x v="4"/>
    <n v="1"/>
    <n v="22.06"/>
    <s v="Completed"/>
    <s v="Credit Card"/>
    <n v="22.06"/>
    <n v="6"/>
    <x v="0"/>
  </r>
  <r>
    <x v="901"/>
    <x v="458"/>
    <s v="CUST1335"/>
    <s v="Nina Yusuf"/>
    <x v="1"/>
    <x v="2"/>
    <x v="7"/>
    <n v="1"/>
    <n v="22.08"/>
    <s v="Completed"/>
    <s v="PayPal"/>
    <n v="22.08"/>
    <n v="3"/>
    <x v="0"/>
  </r>
  <r>
    <x v="902"/>
    <x v="349"/>
    <s v="CUST1334"/>
    <s v="Fajar Santos"/>
    <x v="0"/>
    <x v="3"/>
    <x v="12"/>
    <n v="3"/>
    <n v="22.08"/>
    <s v="Returned"/>
    <s v="Gift Card"/>
    <n v="66.239999999999995"/>
    <n v="5"/>
    <x v="0"/>
  </r>
  <r>
    <x v="903"/>
    <x v="84"/>
    <s v="CUST1721"/>
    <s v="Nina Wijaya"/>
    <x v="0"/>
    <x v="5"/>
    <x v="32"/>
    <n v="4"/>
    <n v="22.08"/>
    <s v="Completed"/>
    <s v="Gift Card"/>
    <n v="88.32"/>
    <n v="4"/>
    <x v="0"/>
  </r>
  <r>
    <x v="904"/>
    <x v="522"/>
    <s v="CUST1629"/>
    <s v="James Tan"/>
    <x v="1"/>
    <x v="2"/>
    <x v="10"/>
    <n v="1"/>
    <n v="22.14"/>
    <s v="Completed"/>
    <s v="Gift Card"/>
    <n v="22.14"/>
    <n v="5"/>
    <x v="0"/>
  </r>
  <r>
    <x v="905"/>
    <x v="102"/>
    <s v="CUST1058"/>
    <s v="John Johnson"/>
    <x v="0"/>
    <x v="2"/>
    <x v="15"/>
    <n v="1"/>
    <n v="22.15"/>
    <s v="Cancelled"/>
    <s v="Gift Card"/>
    <n v="22.15"/>
    <n v="6"/>
    <x v="0"/>
  </r>
  <r>
    <x v="906"/>
    <x v="523"/>
    <s v="CUST1065"/>
    <s v="Lisa Tan"/>
    <x v="0"/>
    <x v="2"/>
    <x v="7"/>
    <n v="1"/>
    <n v="22.16"/>
    <s v="Completed"/>
    <s v="Credit Card"/>
    <n v="22.16"/>
    <n v="5"/>
    <x v="0"/>
  </r>
  <r>
    <x v="907"/>
    <x v="524"/>
    <s v="CUST1520"/>
    <s v="Unknown Customer"/>
    <x v="0"/>
    <x v="3"/>
    <x v="19"/>
    <n v="1"/>
    <n v="22.16"/>
    <s v="Completed"/>
    <s v="Debit Card"/>
    <n v="22.16"/>
    <n v="3"/>
    <x v="0"/>
  </r>
  <r>
    <x v="908"/>
    <x v="525"/>
    <s v="CUST1563"/>
    <s v="James Yusuf"/>
    <x v="1"/>
    <x v="0"/>
    <x v="1"/>
    <n v="1"/>
    <n v="22.17"/>
    <s v="Completed"/>
    <s v="Debit Card"/>
    <n v="22.17"/>
    <n v="7"/>
    <x v="0"/>
  </r>
  <r>
    <x v="909"/>
    <x v="368"/>
    <s v="CUST1061"/>
    <s v="Robert Chen"/>
    <x v="0"/>
    <x v="3"/>
    <x v="14"/>
    <n v="1"/>
    <n v="22.23"/>
    <s v="Completed"/>
    <s v="PayPal"/>
    <n v="22.23"/>
    <n v="4"/>
    <x v="0"/>
  </r>
  <r>
    <x v="910"/>
    <x v="526"/>
    <s v="CUST1124"/>
    <s v="Siti Wijaya"/>
    <x v="0"/>
    <x v="4"/>
    <x v="26"/>
    <n v="1"/>
    <n v="22.23"/>
    <s v="Cancelled"/>
    <s v="Gift Card"/>
    <n v="22.23"/>
    <n v="5"/>
    <x v="0"/>
  </r>
  <r>
    <x v="911"/>
    <x v="456"/>
    <s v="CUST1491"/>
    <s v="Rina Taylor"/>
    <x v="0"/>
    <x v="0"/>
    <x v="1"/>
    <n v="1"/>
    <n v="22.24"/>
    <s v="Cancelled"/>
    <s v="Credit Card"/>
    <n v="22.24"/>
    <n v="7"/>
    <x v="0"/>
  </r>
  <r>
    <x v="912"/>
    <x v="19"/>
    <s v="CUST1251"/>
    <s v="Nina Salim"/>
    <x v="0"/>
    <x v="2"/>
    <x v="15"/>
    <n v="1"/>
    <n v="22.24"/>
    <s v="Completed"/>
    <s v="Gift Card"/>
    <n v="22.24"/>
    <n v="8"/>
    <x v="0"/>
  </r>
  <r>
    <x v="913"/>
    <x v="380"/>
    <s v="CUST1103"/>
    <s v="Ahmad Salim"/>
    <x v="3"/>
    <x v="0"/>
    <x v="2"/>
    <n v="3"/>
    <n v="22.24"/>
    <s v="Completed"/>
    <s v="PayPal"/>
    <n v="66.72"/>
    <n v="6"/>
    <x v="0"/>
  </r>
  <r>
    <x v="914"/>
    <x v="527"/>
    <s v="CUST1113"/>
    <s v="Dewi Nugroho"/>
    <x v="1"/>
    <x v="0"/>
    <x v="2"/>
    <n v="4"/>
    <n v="22.26"/>
    <s v="Completed"/>
    <s v="PayPal"/>
    <n v="89.04"/>
    <n v="3"/>
    <x v="0"/>
  </r>
  <r>
    <x v="915"/>
    <x v="281"/>
    <s v="CUST1206"/>
    <s v="Siti Wilson"/>
    <x v="0"/>
    <x v="3"/>
    <x v="12"/>
    <n v="1"/>
    <n v="22.3"/>
    <s v="Completed"/>
    <s v="Credit Card"/>
    <n v="22.3"/>
    <n v="6"/>
    <x v="0"/>
  </r>
  <r>
    <x v="916"/>
    <x v="528"/>
    <s v="CUST1270"/>
    <s v="Andi Salim"/>
    <x v="0"/>
    <x v="2"/>
    <x v="10"/>
    <n v="1"/>
    <n v="22.33"/>
    <s v="Completed"/>
    <s v="Unknown"/>
    <n v="22.33"/>
    <n v="9"/>
    <x v="0"/>
  </r>
  <r>
    <x v="917"/>
    <x v="459"/>
    <s v="CUST1628"/>
    <s v="John Chen"/>
    <x v="3"/>
    <x v="2"/>
    <x v="10"/>
    <n v="3"/>
    <n v="22.33"/>
    <s v="Completed"/>
    <s v="Credit Card"/>
    <n v="66.989999999999995"/>
    <n v="3"/>
    <x v="0"/>
  </r>
  <r>
    <x v="918"/>
    <x v="529"/>
    <s v="CUST1184"/>
    <s v="Michael Kurniawan"/>
    <x v="0"/>
    <x v="0"/>
    <x v="4"/>
    <n v="1"/>
    <n v="22.34"/>
    <s v="Cancelled"/>
    <s v="Gift Card"/>
    <n v="22.34"/>
    <n v="6"/>
    <x v="0"/>
  </r>
  <r>
    <x v="919"/>
    <x v="3"/>
    <s v="CUST1190"/>
    <s v="Lisa Wijaya"/>
    <x v="1"/>
    <x v="1"/>
    <x v="18"/>
    <n v="5"/>
    <n v="22.34"/>
    <s v="Completed"/>
    <s v="Gift Card"/>
    <n v="111.7"/>
    <n v="4"/>
    <x v="0"/>
  </r>
  <r>
    <x v="920"/>
    <x v="19"/>
    <s v="CUST1550"/>
    <s v="Nina Anderson"/>
    <x v="0"/>
    <x v="3"/>
    <x v="12"/>
    <n v="1"/>
    <n v="22.38"/>
    <s v="Completed"/>
    <s v="PayPal"/>
    <n v="22.38"/>
    <n v="2"/>
    <x v="0"/>
  </r>
  <r>
    <x v="921"/>
    <x v="419"/>
    <s v="CUST1617"/>
    <s v="Robert Tan"/>
    <x v="0"/>
    <x v="4"/>
    <x v="26"/>
    <n v="1"/>
    <n v="22.38"/>
    <s v="Cancelled"/>
    <s v="PayPal"/>
    <n v="22.38"/>
    <n v="3"/>
    <x v="0"/>
  </r>
  <r>
    <x v="922"/>
    <x v="174"/>
    <s v="CUST1818"/>
    <s v="Siti Salim"/>
    <x v="0"/>
    <x v="0"/>
    <x v="4"/>
    <n v="1"/>
    <n v="22.43"/>
    <s v="Completed"/>
    <s v="Gift Card"/>
    <n v="22.43"/>
    <n v="8"/>
    <x v="0"/>
  </r>
  <r>
    <x v="923"/>
    <x v="530"/>
    <s v="CUST1802"/>
    <s v="Ahmad Yusuf"/>
    <x v="0"/>
    <x v="4"/>
    <x v="24"/>
    <n v="1"/>
    <n v="22.44"/>
    <s v="Cancelled"/>
    <s v="PayPal"/>
    <n v="22.44"/>
    <n v="2"/>
    <x v="0"/>
  </r>
  <r>
    <x v="924"/>
    <x v="338"/>
    <s v="CUST1507"/>
    <s v="Andi Brown"/>
    <x v="0"/>
    <x v="6"/>
    <x v="36"/>
    <n v="1"/>
    <n v="22.44"/>
    <s v="Completed"/>
    <s v="Gift Card"/>
    <n v="22.44"/>
    <n v="7"/>
    <x v="0"/>
  </r>
  <r>
    <x v="925"/>
    <x v="531"/>
    <s v="CUST1412"/>
    <s v="Siti Anderson"/>
    <x v="0"/>
    <x v="5"/>
    <x v="30"/>
    <n v="1"/>
    <n v="22.47"/>
    <s v="Completed"/>
    <s v="Credit Card"/>
    <n v="22.47"/>
    <n v="10"/>
    <x v="0"/>
  </r>
  <r>
    <x v="926"/>
    <x v="281"/>
    <s v="CUST1060"/>
    <s v="Ahmad Wilson"/>
    <x v="0"/>
    <x v="1"/>
    <x v="5"/>
    <n v="2"/>
    <n v="22.48"/>
    <s v="Completed"/>
    <s v="Gift Card"/>
    <n v="44.96"/>
    <n v="7"/>
    <x v="0"/>
  </r>
  <r>
    <x v="927"/>
    <x v="532"/>
    <s v="CUST1498"/>
    <s v="Michael Salim"/>
    <x v="0"/>
    <x v="4"/>
    <x v="23"/>
    <n v="2"/>
    <n v="22.49"/>
    <s v="Completed"/>
    <s v="PayPal"/>
    <n v="44.98"/>
    <n v="4"/>
    <x v="0"/>
  </r>
  <r>
    <x v="928"/>
    <x v="350"/>
    <s v="CUST1674"/>
    <s v="Dewi Lee"/>
    <x v="0"/>
    <x v="2"/>
    <x v="11"/>
    <n v="2"/>
    <n v="22.49"/>
    <s v="Completed"/>
    <s v="Debit Card"/>
    <n v="44.98"/>
    <n v="11"/>
    <x v="0"/>
  </r>
  <r>
    <x v="929"/>
    <x v="289"/>
    <s v="CUST1482"/>
    <s v="Sarah Johnson"/>
    <x v="0"/>
    <x v="2"/>
    <x v="10"/>
    <n v="1"/>
    <n v="22.53"/>
    <s v="Completed"/>
    <s v="Credit Card"/>
    <n v="22.53"/>
    <n v="4"/>
    <x v="0"/>
  </r>
  <r>
    <x v="930"/>
    <x v="48"/>
    <s v="CUST1837"/>
    <s v="Dewi Johnson"/>
    <x v="0"/>
    <x v="2"/>
    <x v="15"/>
    <n v="1"/>
    <n v="22.53"/>
    <s v="Completed"/>
    <s v="Gift Card"/>
    <n v="22.53"/>
    <n v="6"/>
    <x v="0"/>
  </r>
  <r>
    <x v="931"/>
    <x v="213"/>
    <s v="CUST1349"/>
    <s v="John Halim"/>
    <x v="0"/>
    <x v="2"/>
    <x v="11"/>
    <n v="2"/>
    <n v="22.54"/>
    <s v="Completed"/>
    <s v="Gift Card"/>
    <n v="45.08"/>
    <n v="7"/>
    <x v="0"/>
  </r>
  <r>
    <x v="932"/>
    <x v="49"/>
    <s v="CUST1734"/>
    <s v="Ahmad Wilson"/>
    <x v="0"/>
    <x v="4"/>
    <x v="25"/>
    <n v="1"/>
    <n v="22.57"/>
    <s v="Completed"/>
    <s v="PayPal"/>
    <n v="22.57"/>
    <n v="8"/>
    <x v="0"/>
  </r>
  <r>
    <x v="933"/>
    <x v="152"/>
    <s v="CUST1312"/>
    <s v="Linda Wijaya"/>
    <x v="1"/>
    <x v="0"/>
    <x v="3"/>
    <n v="1"/>
    <n v="22.6"/>
    <s v="Completed"/>
    <s v="Gift Card"/>
    <n v="22.6"/>
    <n v="4"/>
    <x v="0"/>
  </r>
  <r>
    <x v="934"/>
    <x v="199"/>
    <s v="CUST1561"/>
    <s v="Nina Santos"/>
    <x v="0"/>
    <x v="1"/>
    <x v="20"/>
    <n v="1"/>
    <n v="22.6"/>
    <s v="Cancelled"/>
    <s v="Debit Card"/>
    <n v="22.6"/>
    <n v="4"/>
    <x v="0"/>
  </r>
  <r>
    <x v="935"/>
    <x v="223"/>
    <s v="CUST1681"/>
    <s v="Maria Hidayat"/>
    <x v="0"/>
    <x v="1"/>
    <x v="9"/>
    <n v="1"/>
    <n v="22.62"/>
    <s v="Completed"/>
    <s v="PayPal"/>
    <n v="22.62"/>
    <n v="9"/>
    <x v="0"/>
  </r>
  <r>
    <x v="936"/>
    <x v="533"/>
    <s v="CUST1445"/>
    <s v="Kevin Anderson"/>
    <x v="0"/>
    <x v="3"/>
    <x v="19"/>
    <n v="2"/>
    <n v="22.63"/>
    <s v="Completed"/>
    <s v="PayPal"/>
    <n v="45.26"/>
    <n v="9"/>
    <x v="0"/>
  </r>
  <r>
    <x v="937"/>
    <x v="297"/>
    <s v="CUST1327"/>
    <s v="Rina Lee"/>
    <x v="0"/>
    <x v="5"/>
    <x v="29"/>
    <n v="3"/>
    <n v="22.64"/>
    <s v="Completed"/>
    <s v="Debit Card"/>
    <n v="67.92"/>
    <n v="6"/>
    <x v="0"/>
  </r>
  <r>
    <x v="938"/>
    <x v="56"/>
    <s v="CUST1472"/>
    <s v="Andi Halim"/>
    <x v="1"/>
    <x v="6"/>
    <x v="37"/>
    <n v="1"/>
    <n v="22.66"/>
    <s v="Completed"/>
    <s v="Gift Card"/>
    <n v="22.66"/>
    <n v="3"/>
    <x v="0"/>
  </r>
  <r>
    <x v="939"/>
    <x v="19"/>
    <s v="CUST1499"/>
    <s v="David Santos"/>
    <x v="0"/>
    <x v="5"/>
    <x v="34"/>
    <n v="1"/>
    <n v="22.66"/>
    <s v="Cancelled"/>
    <s v="Credit Card"/>
    <n v="22.66"/>
    <n v="9"/>
    <x v="0"/>
  </r>
  <r>
    <x v="940"/>
    <x v="178"/>
    <s v="CUST1774"/>
    <s v="Maria Wijaya"/>
    <x v="0"/>
    <x v="1"/>
    <x v="18"/>
    <n v="1"/>
    <n v="22.67"/>
    <s v="Cancelled"/>
    <s v="Debit Card"/>
    <n v="22.67"/>
    <n v="3"/>
    <x v="0"/>
  </r>
  <r>
    <x v="941"/>
    <x v="534"/>
    <s v="CUST1373"/>
    <s v="James Smith"/>
    <x v="0"/>
    <x v="3"/>
    <x v="12"/>
    <n v="1"/>
    <n v="22.69"/>
    <s v="Completed"/>
    <s v="Debit Card"/>
    <n v="22.69"/>
    <n v="8"/>
    <x v="0"/>
  </r>
  <r>
    <x v="942"/>
    <x v="309"/>
    <s v="CUST1370"/>
    <s v="Rina Anderson"/>
    <x v="0"/>
    <x v="2"/>
    <x v="11"/>
    <n v="2"/>
    <n v="22.7"/>
    <s v="Completed"/>
    <s v="Credit Card"/>
    <n v="45.4"/>
    <n v="6"/>
    <x v="0"/>
  </r>
  <r>
    <x v="943"/>
    <x v="220"/>
    <s v="CUST1491"/>
    <s v="Rina Taylor"/>
    <x v="0"/>
    <x v="0"/>
    <x v="4"/>
    <n v="2"/>
    <n v="22.73"/>
    <s v="Completed"/>
    <s v="Credit Card"/>
    <n v="45.46"/>
    <n v="7"/>
    <x v="0"/>
  </r>
  <r>
    <x v="944"/>
    <x v="535"/>
    <s v="CUST1021"/>
    <s v="David Wijaya"/>
    <x v="0"/>
    <x v="3"/>
    <x v="19"/>
    <n v="2"/>
    <n v="22.75"/>
    <s v="Completed"/>
    <s v="PayPal"/>
    <n v="45.5"/>
    <n v="6"/>
    <x v="0"/>
  </r>
  <r>
    <x v="945"/>
    <x v="172"/>
    <s v="CUST1554"/>
    <s v="Dewi Tan"/>
    <x v="0"/>
    <x v="0"/>
    <x v="3"/>
    <n v="3"/>
    <n v="22.76"/>
    <s v="Cancelled"/>
    <s v="Debit Card"/>
    <n v="68.28"/>
    <n v="4"/>
    <x v="0"/>
  </r>
  <r>
    <x v="946"/>
    <x v="335"/>
    <s v="CUST1131"/>
    <s v="Unknown Customer"/>
    <x v="2"/>
    <x v="0"/>
    <x v="2"/>
    <n v="1"/>
    <n v="22.77"/>
    <s v="Cancelled"/>
    <s v="Debit Card"/>
    <n v="22.77"/>
    <n v="1"/>
    <x v="1"/>
  </r>
  <r>
    <x v="947"/>
    <x v="247"/>
    <s v="CUST1252"/>
    <s v="Ayu Brown"/>
    <x v="0"/>
    <x v="5"/>
    <x v="30"/>
    <n v="2"/>
    <n v="22.79"/>
    <s v="Completed"/>
    <s v="Credit Card"/>
    <n v="45.58"/>
    <n v="4"/>
    <x v="0"/>
  </r>
  <r>
    <x v="948"/>
    <x v="500"/>
    <s v="CUST1798"/>
    <s v="Siti Anderson"/>
    <x v="0"/>
    <x v="3"/>
    <x v="13"/>
    <n v="1"/>
    <n v="22.81"/>
    <s v="Completed"/>
    <s v="Gift Card"/>
    <n v="22.81"/>
    <n v="10"/>
    <x v="0"/>
  </r>
  <r>
    <x v="949"/>
    <x v="136"/>
    <s v="CUST1683"/>
    <s v="Putri Lee"/>
    <x v="0"/>
    <x v="1"/>
    <x v="5"/>
    <n v="1"/>
    <n v="22.83"/>
    <s v="Completed"/>
    <s v="Debit Card"/>
    <n v="22.83"/>
    <n v="4"/>
    <x v="0"/>
  </r>
  <r>
    <x v="950"/>
    <x v="263"/>
    <s v="CUST1239"/>
    <s v="Dewi Wilson"/>
    <x v="0"/>
    <x v="0"/>
    <x v="2"/>
    <n v="1"/>
    <n v="22.85"/>
    <s v="Completed"/>
    <s v="Gift Card"/>
    <n v="22.85"/>
    <n v="4"/>
    <x v="0"/>
  </r>
  <r>
    <x v="951"/>
    <x v="449"/>
    <s v="CUST1059"/>
    <s v="Dewi Chen"/>
    <x v="1"/>
    <x v="3"/>
    <x v="16"/>
    <n v="2"/>
    <n v="22.89"/>
    <s v="Completed"/>
    <s v="PayPal"/>
    <n v="45.78"/>
    <n v="2"/>
    <x v="0"/>
  </r>
  <r>
    <x v="952"/>
    <x v="333"/>
    <s v="CUST1171"/>
    <s v="James Anderson"/>
    <x v="0"/>
    <x v="2"/>
    <x v="11"/>
    <n v="1"/>
    <n v="22.894049586776855"/>
    <s v="Completed"/>
    <s v="PayPal"/>
    <n v="22.894049586776855"/>
    <n v="5"/>
    <x v="0"/>
  </r>
  <r>
    <x v="953"/>
    <x v="149"/>
    <s v="CUST1869"/>
    <s v="Maria Garcia"/>
    <x v="0"/>
    <x v="2"/>
    <x v="11"/>
    <n v="1"/>
    <n v="22.9"/>
    <s v="Completed"/>
    <s v="Unknown"/>
    <n v="22.9"/>
    <n v="4"/>
    <x v="0"/>
  </r>
  <r>
    <x v="954"/>
    <x v="248"/>
    <s v="CUST1579"/>
    <s v="Kevin Tan"/>
    <x v="0"/>
    <x v="6"/>
    <x v="35"/>
    <n v="1"/>
    <n v="22.9"/>
    <s v="Completed"/>
    <s v="Credit Card"/>
    <n v="22.9"/>
    <n v="6"/>
    <x v="0"/>
  </r>
  <r>
    <x v="955"/>
    <x v="366"/>
    <s v="CUST1481"/>
    <s v="James Chen"/>
    <x v="0"/>
    <x v="3"/>
    <x v="16"/>
    <n v="2"/>
    <n v="22.9"/>
    <s v="Completed"/>
    <s v="Unknown"/>
    <n v="45.8"/>
    <n v="6"/>
    <x v="0"/>
  </r>
  <r>
    <x v="956"/>
    <x v="86"/>
    <s v="CUST1092"/>
    <s v="Putri Nugroho"/>
    <x v="0"/>
    <x v="2"/>
    <x v="15"/>
    <n v="4"/>
    <n v="22.9"/>
    <s v="Completed"/>
    <s v="Debit Card"/>
    <n v="91.6"/>
    <n v="8"/>
    <x v="0"/>
  </r>
  <r>
    <x v="957"/>
    <x v="536"/>
    <s v="CUST1527"/>
    <s v="Rina Anderson"/>
    <x v="1"/>
    <x v="0"/>
    <x v="0"/>
    <n v="1"/>
    <n v="22.92"/>
    <s v="Cancelled"/>
    <s v="Credit Card"/>
    <n v="22.92"/>
    <n v="5"/>
    <x v="0"/>
  </r>
  <r>
    <x v="958"/>
    <x v="257"/>
    <s v="CUST1877"/>
    <s v="Dewi Santos"/>
    <x v="1"/>
    <x v="3"/>
    <x v="13"/>
    <n v="2"/>
    <n v="22.92"/>
    <s v="Completed"/>
    <s v="Debit Card"/>
    <n v="45.84"/>
    <n v="2"/>
    <x v="0"/>
  </r>
  <r>
    <x v="959"/>
    <x v="360"/>
    <s v="CUST1814"/>
    <s v="Michael Taylor"/>
    <x v="0"/>
    <x v="2"/>
    <x v="10"/>
    <n v="5"/>
    <n v="22.94"/>
    <s v="Completed"/>
    <s v="PayPal"/>
    <n v="114.7"/>
    <n v="7"/>
    <x v="0"/>
  </r>
  <r>
    <x v="960"/>
    <x v="537"/>
    <s v="CUST1253"/>
    <s v="Unknown Customer"/>
    <x v="0"/>
    <x v="3"/>
    <x v="13"/>
    <n v="2"/>
    <n v="22.95"/>
    <s v="Completed"/>
    <s v="Credit Card"/>
    <n v="45.9"/>
    <n v="5"/>
    <x v="0"/>
  </r>
  <r>
    <x v="961"/>
    <x v="186"/>
    <s v="CUST1782"/>
    <s v="Budi Brown"/>
    <x v="1"/>
    <x v="2"/>
    <x v="15"/>
    <n v="1"/>
    <n v="22.97"/>
    <s v="Completed"/>
    <s v="Debit Card"/>
    <n v="22.97"/>
    <n v="1"/>
    <x v="1"/>
  </r>
  <r>
    <x v="962"/>
    <x v="343"/>
    <s v="CUST1146"/>
    <s v="Ayu Smith"/>
    <x v="0"/>
    <x v="1"/>
    <x v="9"/>
    <n v="2"/>
    <n v="22.97"/>
    <s v="Pending"/>
    <s v="Credit Card"/>
    <n v="45.94"/>
    <n v="6"/>
    <x v="0"/>
  </r>
  <r>
    <x v="963"/>
    <x v="436"/>
    <s v="CUST1619"/>
    <s v="Andi Smith"/>
    <x v="1"/>
    <x v="3"/>
    <x v="12"/>
    <n v="2"/>
    <n v="22.97"/>
    <s v="Completed"/>
    <s v="Gift Card"/>
    <n v="45.94"/>
    <n v="7"/>
    <x v="0"/>
  </r>
  <r>
    <x v="964"/>
    <x v="109"/>
    <s v="CUST1162"/>
    <s v="Siti Smith"/>
    <x v="0"/>
    <x v="1"/>
    <x v="17"/>
    <n v="1"/>
    <n v="23.05"/>
    <s v="Completed"/>
    <s v="Gift Card"/>
    <n v="23.05"/>
    <n v="4"/>
    <x v="0"/>
  </r>
  <r>
    <x v="965"/>
    <x v="538"/>
    <s v="CUST1710"/>
    <s v="Linda Chen"/>
    <x v="0"/>
    <x v="0"/>
    <x v="0"/>
    <n v="1"/>
    <n v="23.07"/>
    <s v="Completed"/>
    <s v="Credit Card"/>
    <n v="23.07"/>
    <n v="6"/>
    <x v="0"/>
  </r>
  <r>
    <x v="966"/>
    <x v="284"/>
    <s v="CUST1541"/>
    <s v="Linda Johnson"/>
    <x v="1"/>
    <x v="4"/>
    <x v="25"/>
    <n v="1"/>
    <n v="23.08"/>
    <s v="Completed"/>
    <s v="Credit Card"/>
    <n v="23.08"/>
    <n v="7"/>
    <x v="0"/>
  </r>
  <r>
    <x v="967"/>
    <x v="539"/>
    <s v="CUST1289"/>
    <s v="Dewi Brown"/>
    <x v="0"/>
    <x v="2"/>
    <x v="10"/>
    <n v="1"/>
    <n v="23.12"/>
    <s v="Cancelled"/>
    <s v="PayPal"/>
    <n v="23.12"/>
    <n v="6"/>
    <x v="0"/>
  </r>
  <r>
    <x v="968"/>
    <x v="537"/>
    <s v="CUST1223"/>
    <s v="Michael Halim"/>
    <x v="0"/>
    <x v="0"/>
    <x v="3"/>
    <n v="1"/>
    <n v="23.12"/>
    <s v="Completed"/>
    <s v="Gift Card"/>
    <n v="23.12"/>
    <n v="7"/>
    <x v="0"/>
  </r>
  <r>
    <x v="969"/>
    <x v="540"/>
    <s v="CUST1563"/>
    <s v="James Yusuf"/>
    <x v="1"/>
    <x v="1"/>
    <x v="20"/>
    <n v="1"/>
    <n v="23.12"/>
    <s v="Completed"/>
    <s v="PayPal"/>
    <n v="23.12"/>
    <n v="7"/>
    <x v="0"/>
  </r>
  <r>
    <x v="970"/>
    <x v="176"/>
    <s v="CUST1495"/>
    <s v="Ayu Salim"/>
    <x v="0"/>
    <x v="5"/>
    <x v="32"/>
    <n v="2"/>
    <n v="23.13"/>
    <s v="Completed"/>
    <s v="Debit Card"/>
    <n v="46.26"/>
    <n v="3"/>
    <x v="0"/>
  </r>
  <r>
    <x v="971"/>
    <x v="541"/>
    <s v="CUST1872"/>
    <s v="Siti Taylor"/>
    <x v="0"/>
    <x v="2"/>
    <x v="8"/>
    <n v="2"/>
    <n v="23.15"/>
    <s v="Completed"/>
    <s v="PayPal"/>
    <n v="46.3"/>
    <n v="5"/>
    <x v="0"/>
  </r>
  <r>
    <x v="972"/>
    <x v="424"/>
    <s v="CUST1110"/>
    <s v="Budi Lee"/>
    <x v="0"/>
    <x v="5"/>
    <x v="31"/>
    <n v="1"/>
    <n v="23.18"/>
    <s v="Completed"/>
    <s v="Credit Card"/>
    <n v="23.18"/>
    <n v="2"/>
    <x v="0"/>
  </r>
  <r>
    <x v="973"/>
    <x v="106"/>
    <s v="CUST1352"/>
    <s v="Lisa Taylor"/>
    <x v="0"/>
    <x v="0"/>
    <x v="1"/>
    <n v="2"/>
    <n v="23.18"/>
    <s v="Cancelled"/>
    <s v="Unknown"/>
    <n v="46.36"/>
    <n v="7"/>
    <x v="0"/>
  </r>
  <r>
    <x v="974"/>
    <x v="542"/>
    <s v="CUST1148"/>
    <s v="Siti Yusuf"/>
    <x v="0"/>
    <x v="3"/>
    <x v="13"/>
    <n v="1"/>
    <n v="23.21"/>
    <s v="Returned"/>
    <s v="Gift Card"/>
    <n v="23.21"/>
    <n v="4"/>
    <x v="0"/>
  </r>
  <r>
    <x v="975"/>
    <x v="370"/>
    <s v="CUST1709"/>
    <s v="Maria Kurniawan"/>
    <x v="1"/>
    <x v="5"/>
    <x v="34"/>
    <n v="1"/>
    <n v="23.21"/>
    <s v="Completed"/>
    <s v="Gift Card"/>
    <n v="23.21"/>
    <n v="3"/>
    <x v="0"/>
  </r>
  <r>
    <x v="976"/>
    <x v="29"/>
    <s v="CUST1630"/>
    <s v="John Kurniawan"/>
    <x v="0"/>
    <x v="4"/>
    <x v="23"/>
    <n v="1"/>
    <n v="23.23"/>
    <s v="Completed"/>
    <s v="Gift Card"/>
    <n v="23.23"/>
    <n v="6"/>
    <x v="0"/>
  </r>
  <r>
    <x v="977"/>
    <x v="449"/>
    <s v="CUST1272"/>
    <s v="Michael Nugroho"/>
    <x v="3"/>
    <x v="3"/>
    <x v="19"/>
    <n v="1"/>
    <n v="23.25"/>
    <s v="Completed"/>
    <s v="Gift Card"/>
    <n v="23.25"/>
    <n v="2"/>
    <x v="0"/>
  </r>
  <r>
    <x v="978"/>
    <x v="277"/>
    <s v="CUST1170"/>
    <s v="Ayu Salim"/>
    <x v="0"/>
    <x v="2"/>
    <x v="10"/>
    <n v="1"/>
    <n v="23.26"/>
    <s v="Completed"/>
    <s v="Credit Card"/>
    <n v="23.26"/>
    <n v="4"/>
    <x v="0"/>
  </r>
  <r>
    <x v="979"/>
    <x v="47"/>
    <s v="CUST1535"/>
    <s v="Maria Brown"/>
    <x v="0"/>
    <x v="2"/>
    <x v="15"/>
    <n v="1"/>
    <n v="23.26"/>
    <s v="Completed"/>
    <s v="Debit Card"/>
    <n v="23.26"/>
    <n v="5"/>
    <x v="0"/>
  </r>
  <r>
    <x v="980"/>
    <x v="415"/>
    <s v="CUST1405"/>
    <s v="Rina Lee"/>
    <x v="0"/>
    <x v="4"/>
    <x v="27"/>
    <n v="2"/>
    <n v="23.26"/>
    <s v="Completed"/>
    <s v="PayPal"/>
    <n v="46.52"/>
    <n v="4"/>
    <x v="0"/>
  </r>
  <r>
    <x v="981"/>
    <x v="290"/>
    <s v="CUST1659"/>
    <s v="Kevin Hidayat"/>
    <x v="1"/>
    <x v="0"/>
    <x v="0"/>
    <n v="1"/>
    <n v="23.28"/>
    <s v="Returned"/>
    <s v="Gift Card"/>
    <n v="23.28"/>
    <n v="4"/>
    <x v="0"/>
  </r>
  <r>
    <x v="982"/>
    <x v="181"/>
    <s v="CUST1896"/>
    <s v="Andi Taylor"/>
    <x v="0"/>
    <x v="0"/>
    <x v="1"/>
    <n v="1"/>
    <n v="23.29"/>
    <s v="Cancelled"/>
    <s v="Debit Card"/>
    <n v="23.29"/>
    <n v="5"/>
    <x v="0"/>
  </r>
  <r>
    <x v="983"/>
    <x v="450"/>
    <s v="CUST1279"/>
    <s v="Rina Garcia"/>
    <x v="0"/>
    <x v="3"/>
    <x v="16"/>
    <n v="2"/>
    <n v="23.33"/>
    <s v="Completed"/>
    <s v="Gift Card"/>
    <n v="46.66"/>
    <n v="4"/>
    <x v="0"/>
  </r>
  <r>
    <x v="984"/>
    <x v="416"/>
    <s v="CUST1044"/>
    <s v="David Smith"/>
    <x v="2"/>
    <x v="0"/>
    <x v="4"/>
    <n v="1"/>
    <n v="23.36"/>
    <s v="Cancelled"/>
    <s v="PayPal"/>
    <n v="23.36"/>
    <n v="1"/>
    <x v="1"/>
  </r>
  <r>
    <x v="985"/>
    <x v="96"/>
    <s v="CUST1147"/>
    <s v="Sarah Wilson"/>
    <x v="0"/>
    <x v="3"/>
    <x v="19"/>
    <n v="1"/>
    <n v="23.36"/>
    <s v="Completed"/>
    <s v="PayPal"/>
    <n v="23.36"/>
    <n v="7"/>
    <x v="0"/>
  </r>
  <r>
    <x v="986"/>
    <x v="410"/>
    <s v="CUST1487"/>
    <s v="Andi Lee"/>
    <x v="0"/>
    <x v="0"/>
    <x v="2"/>
    <n v="3"/>
    <n v="23.36"/>
    <s v="Completed"/>
    <s v="PayPal"/>
    <n v="70.08"/>
    <n v="7"/>
    <x v="0"/>
  </r>
  <r>
    <x v="987"/>
    <x v="396"/>
    <s v="CUST1391"/>
    <s v="Siti Pratama"/>
    <x v="0"/>
    <x v="0"/>
    <x v="3"/>
    <n v="1"/>
    <n v="23.39"/>
    <s v="Completed"/>
    <s v="Gift Card"/>
    <n v="23.39"/>
    <n v="7"/>
    <x v="0"/>
  </r>
  <r>
    <x v="988"/>
    <x v="543"/>
    <s v="CUST1165"/>
    <s v="John Sari"/>
    <x v="0"/>
    <x v="2"/>
    <x v="7"/>
    <n v="1"/>
    <n v="23.4"/>
    <s v="Completed"/>
    <s v="Credit Card"/>
    <n v="23.4"/>
    <n v="3"/>
    <x v="0"/>
  </r>
  <r>
    <x v="989"/>
    <x v="467"/>
    <s v="CUST1821"/>
    <s v="Ayu Kurniawan"/>
    <x v="1"/>
    <x v="1"/>
    <x v="18"/>
    <n v="1"/>
    <n v="23.41"/>
    <s v="Completed"/>
    <s v="Debit Card"/>
    <n v="23.41"/>
    <n v="4"/>
    <x v="0"/>
  </r>
  <r>
    <x v="990"/>
    <x v="313"/>
    <s v="CUST1367"/>
    <s v="James Salim"/>
    <x v="1"/>
    <x v="2"/>
    <x v="15"/>
    <n v="4"/>
    <n v="23.41"/>
    <s v="Completed"/>
    <s v="PayPal"/>
    <n v="93.64"/>
    <n v="4"/>
    <x v="0"/>
  </r>
  <r>
    <x v="991"/>
    <x v="232"/>
    <s v="CUST1188"/>
    <s v="James Lee"/>
    <x v="0"/>
    <x v="2"/>
    <x v="7"/>
    <n v="4"/>
    <n v="23.41"/>
    <s v="Completed"/>
    <s v="Credit Card"/>
    <n v="93.64"/>
    <n v="6"/>
    <x v="0"/>
  </r>
  <r>
    <x v="992"/>
    <x v="165"/>
    <s v="CUST1040"/>
    <s v="Lisa Garcia"/>
    <x v="0"/>
    <x v="5"/>
    <x v="34"/>
    <n v="1"/>
    <n v="23.42"/>
    <s v="Completed"/>
    <s v="PayPal"/>
    <n v="23.42"/>
    <n v="3"/>
    <x v="0"/>
  </r>
  <r>
    <x v="993"/>
    <x v="544"/>
    <s v="CUST1238"/>
    <s v="John Pratama"/>
    <x v="0"/>
    <x v="2"/>
    <x v="15"/>
    <n v="1"/>
    <n v="23.43"/>
    <s v="Pending"/>
    <s v="Gift Card"/>
    <n v="23.43"/>
    <n v="8"/>
    <x v="0"/>
  </r>
  <r>
    <x v="994"/>
    <x v="75"/>
    <s v="CUST1714"/>
    <s v="Ayu Nugroho"/>
    <x v="0"/>
    <x v="3"/>
    <x v="14"/>
    <n v="1"/>
    <n v="23.45"/>
    <s v="Completed"/>
    <s v="Debit Card"/>
    <n v="23.45"/>
    <n v="4"/>
    <x v="0"/>
  </r>
  <r>
    <x v="995"/>
    <x v="30"/>
    <s v="CUST1111"/>
    <s v="Siti Halim"/>
    <x v="0"/>
    <x v="0"/>
    <x v="4"/>
    <n v="2"/>
    <n v="23.45"/>
    <s v="Completed"/>
    <s v="PayPal"/>
    <n v="46.9"/>
    <n v="6"/>
    <x v="0"/>
  </r>
  <r>
    <x v="996"/>
    <x v="545"/>
    <s v="CUST1313"/>
    <s v="David Wilson"/>
    <x v="0"/>
    <x v="2"/>
    <x v="11"/>
    <n v="1"/>
    <n v="23.46"/>
    <s v="Completed"/>
    <s v="PayPal"/>
    <n v="23.46"/>
    <n v="2"/>
    <x v="0"/>
  </r>
  <r>
    <x v="997"/>
    <x v="80"/>
    <s v="CUST1409"/>
    <s v="John Kurniawan"/>
    <x v="3"/>
    <x v="2"/>
    <x v="11"/>
    <n v="1"/>
    <n v="23.49"/>
    <s v="Completed"/>
    <s v="PayPal"/>
    <n v="23.49"/>
    <n v="3"/>
    <x v="0"/>
  </r>
  <r>
    <x v="998"/>
    <x v="87"/>
    <s v="CUST1850"/>
    <s v="Dewi Wijaya"/>
    <x v="0"/>
    <x v="0"/>
    <x v="2"/>
    <n v="1"/>
    <n v="23.54"/>
    <s v="Completed"/>
    <s v="Credit Card"/>
    <n v="23.54"/>
    <n v="6"/>
    <x v="0"/>
  </r>
  <r>
    <x v="999"/>
    <x v="438"/>
    <s v="CUST1392"/>
    <s v="Nina Garcia"/>
    <x v="0"/>
    <x v="1"/>
    <x v="5"/>
    <n v="2"/>
    <n v="23.55"/>
    <s v="Completed"/>
    <s v="Credit Card"/>
    <n v="47.1"/>
    <n v="5"/>
    <x v="0"/>
  </r>
  <r>
    <x v="1000"/>
    <x v="433"/>
    <s v="CUST1463"/>
    <s v="Linda Brown"/>
    <x v="0"/>
    <x v="4"/>
    <x v="24"/>
    <n v="1"/>
    <n v="23.56"/>
    <s v="Cancelled"/>
    <s v="PayPal"/>
    <n v="23.56"/>
    <n v="7"/>
    <x v="0"/>
  </r>
  <r>
    <x v="1001"/>
    <x v="348"/>
    <s v="CUST1541"/>
    <s v="Linda Johnson"/>
    <x v="1"/>
    <x v="6"/>
    <x v="37"/>
    <n v="1"/>
    <n v="23.57"/>
    <s v="Completed"/>
    <s v="Credit Card"/>
    <n v="23.57"/>
    <n v="7"/>
    <x v="0"/>
  </r>
  <r>
    <x v="1002"/>
    <x v="331"/>
    <s v="CUST1087"/>
    <s v="Linda Tan"/>
    <x v="0"/>
    <x v="3"/>
    <x v="14"/>
    <n v="1"/>
    <n v="23.58"/>
    <s v="Completed"/>
    <s v="Credit Card"/>
    <n v="23.58"/>
    <n v="7"/>
    <x v="0"/>
  </r>
  <r>
    <x v="1003"/>
    <x v="546"/>
    <s v="CUST1393"/>
    <s v="Putri Johnson"/>
    <x v="0"/>
    <x v="2"/>
    <x v="8"/>
    <n v="1"/>
    <n v="23.58"/>
    <s v="Cancelled"/>
    <s v="PayPal"/>
    <n v="23.58"/>
    <n v="4"/>
    <x v="0"/>
  </r>
  <r>
    <x v="1004"/>
    <x v="456"/>
    <s v="CUST1624"/>
    <s v="Budi Smith"/>
    <x v="0"/>
    <x v="2"/>
    <x v="10"/>
    <n v="2"/>
    <n v="23.58"/>
    <s v="Completed"/>
    <s v="Unknown"/>
    <n v="47.16"/>
    <n v="5"/>
    <x v="0"/>
  </r>
  <r>
    <x v="1005"/>
    <x v="495"/>
    <s v="CUST1351"/>
    <s v="David Chen"/>
    <x v="1"/>
    <x v="2"/>
    <x v="10"/>
    <n v="3"/>
    <n v="23.6"/>
    <s v="Completed"/>
    <s v="Unknown"/>
    <n v="70.800000000000011"/>
    <n v="5"/>
    <x v="0"/>
  </r>
  <r>
    <x v="1006"/>
    <x v="547"/>
    <s v="CUST1355"/>
    <s v="Michael Garcia"/>
    <x v="0"/>
    <x v="3"/>
    <x v="14"/>
    <n v="1"/>
    <n v="23.65"/>
    <s v="Completed"/>
    <s v="Debit Card"/>
    <n v="23.65"/>
    <n v="3"/>
    <x v="0"/>
  </r>
  <r>
    <x v="1007"/>
    <x v="548"/>
    <s v="CUST1253"/>
    <s v="Ahmad Garcia"/>
    <x v="0"/>
    <x v="0"/>
    <x v="2"/>
    <n v="1"/>
    <n v="23.66"/>
    <s v="Completed"/>
    <s v="Unknown"/>
    <n v="23.66"/>
    <n v="5"/>
    <x v="0"/>
  </r>
  <r>
    <x v="1008"/>
    <x v="549"/>
    <s v="CUST1371"/>
    <s v="Sarah Taylor"/>
    <x v="1"/>
    <x v="2"/>
    <x v="8"/>
    <n v="1"/>
    <n v="23.67"/>
    <s v="Pending"/>
    <s v="PayPal"/>
    <n v="23.67"/>
    <n v="1"/>
    <x v="1"/>
  </r>
  <r>
    <x v="1009"/>
    <x v="460"/>
    <s v="CUST1343"/>
    <s v="Dewi Sari"/>
    <x v="0"/>
    <x v="4"/>
    <x v="26"/>
    <n v="1"/>
    <n v="23.67"/>
    <s v="Completed"/>
    <s v="Gift Card"/>
    <n v="23.67"/>
    <n v="4"/>
    <x v="0"/>
  </r>
  <r>
    <x v="1010"/>
    <x v="344"/>
    <s v="CUST1294"/>
    <s v="James Yusuf"/>
    <x v="1"/>
    <x v="0"/>
    <x v="0"/>
    <n v="3"/>
    <n v="23.67"/>
    <s v="Completed"/>
    <s v="Debit Card"/>
    <n v="71.010000000000005"/>
    <n v="3"/>
    <x v="0"/>
  </r>
  <r>
    <x v="1011"/>
    <x v="550"/>
    <s v="CUST1840"/>
    <s v="Maria Taylor"/>
    <x v="0"/>
    <x v="1"/>
    <x v="18"/>
    <n v="1"/>
    <n v="23.69"/>
    <s v="Completed"/>
    <s v="Credit Card"/>
    <n v="23.69"/>
    <n v="2"/>
    <x v="0"/>
  </r>
  <r>
    <x v="1012"/>
    <x v="551"/>
    <s v="CUST1186"/>
    <s v="Andi Anderson"/>
    <x v="3"/>
    <x v="0"/>
    <x v="3"/>
    <n v="1"/>
    <n v="23.71"/>
    <s v="Completed"/>
    <s v="Debit Card"/>
    <n v="23.71"/>
    <n v="6"/>
    <x v="0"/>
  </r>
  <r>
    <x v="1013"/>
    <x v="552"/>
    <s v="CUST1198"/>
    <s v="Putri Anderson"/>
    <x v="0"/>
    <x v="0"/>
    <x v="1"/>
    <n v="2"/>
    <n v="23.72"/>
    <s v="Completed"/>
    <s v="PayPal"/>
    <n v="47.44"/>
    <n v="4"/>
    <x v="0"/>
  </r>
  <r>
    <x v="1014"/>
    <x v="211"/>
    <s v="CUST1542"/>
    <s v="Linda Smith"/>
    <x v="0"/>
    <x v="2"/>
    <x v="11"/>
    <n v="5"/>
    <n v="23.72"/>
    <s v="Completed"/>
    <s v="PayPal"/>
    <n v="118.6"/>
    <n v="2"/>
    <x v="0"/>
  </r>
  <r>
    <x v="1015"/>
    <x v="442"/>
    <s v="CUST1833"/>
    <s v="Putri Yusuf"/>
    <x v="0"/>
    <x v="5"/>
    <x v="32"/>
    <n v="1"/>
    <n v="23.73"/>
    <s v="Completed"/>
    <s v="Gift Card"/>
    <n v="23.73"/>
    <n v="8"/>
    <x v="0"/>
  </r>
  <r>
    <x v="1016"/>
    <x v="553"/>
    <s v="CUST1330"/>
    <s v="Putri Johnson"/>
    <x v="1"/>
    <x v="2"/>
    <x v="7"/>
    <n v="1"/>
    <n v="23.73"/>
    <s v="Completed"/>
    <s v="Gift Card"/>
    <n v="23.73"/>
    <n v="3"/>
    <x v="0"/>
  </r>
  <r>
    <x v="1017"/>
    <x v="554"/>
    <s v="CUST1894"/>
    <s v="Putri Anderson"/>
    <x v="0"/>
    <x v="0"/>
    <x v="0"/>
    <n v="3"/>
    <n v="23.73"/>
    <s v="Returned"/>
    <s v="Gift Card"/>
    <n v="71.19"/>
    <n v="4"/>
    <x v="0"/>
  </r>
  <r>
    <x v="1018"/>
    <x v="202"/>
    <s v="CUST1495"/>
    <s v="Ayu Salim"/>
    <x v="0"/>
    <x v="5"/>
    <x v="31"/>
    <n v="1"/>
    <n v="23.75"/>
    <s v="Completed"/>
    <s v="PayPal"/>
    <n v="23.75"/>
    <n v="3"/>
    <x v="0"/>
  </r>
  <r>
    <x v="1019"/>
    <x v="166"/>
    <s v="CUST1066"/>
    <s v="Michael Lee"/>
    <x v="1"/>
    <x v="3"/>
    <x v="14"/>
    <n v="1"/>
    <n v="23.76"/>
    <s v="Completed"/>
    <s v="Gift Card"/>
    <n v="23.76"/>
    <n v="5"/>
    <x v="0"/>
  </r>
  <r>
    <x v="1020"/>
    <x v="555"/>
    <s v="CUST1344"/>
    <s v="Ahmad Salim"/>
    <x v="3"/>
    <x v="1"/>
    <x v="18"/>
    <n v="2"/>
    <n v="23.78"/>
    <s v="Completed"/>
    <s v="PayPal"/>
    <n v="47.56"/>
    <n v="3"/>
    <x v="0"/>
  </r>
  <r>
    <x v="1021"/>
    <x v="135"/>
    <s v="CUST1268"/>
    <s v="Sarah Lee"/>
    <x v="0"/>
    <x v="6"/>
    <x v="36"/>
    <n v="1"/>
    <n v="23.8"/>
    <s v="Completed"/>
    <s v="Unknown"/>
    <n v="23.8"/>
    <n v="3"/>
    <x v="0"/>
  </r>
  <r>
    <x v="1022"/>
    <x v="459"/>
    <s v="CUST1103"/>
    <s v="Ahmad Salim"/>
    <x v="3"/>
    <x v="1"/>
    <x v="18"/>
    <n v="1"/>
    <n v="23.81"/>
    <s v="Completed"/>
    <s v="PayPal"/>
    <n v="23.81"/>
    <n v="6"/>
    <x v="0"/>
  </r>
  <r>
    <x v="1023"/>
    <x v="270"/>
    <s v="CUST1863"/>
    <s v="David Pratama"/>
    <x v="0"/>
    <x v="3"/>
    <x v="12"/>
    <n v="1"/>
    <n v="23.86"/>
    <s v="Returned"/>
    <s v="Debit Card"/>
    <n v="23.86"/>
    <n v="6"/>
    <x v="0"/>
  </r>
  <r>
    <x v="1024"/>
    <x v="556"/>
    <s v="CUST1064"/>
    <s v="James Lee"/>
    <x v="0"/>
    <x v="0"/>
    <x v="3"/>
    <n v="1"/>
    <n v="23.87"/>
    <s v="Completed"/>
    <s v="PayPal"/>
    <n v="23.87"/>
    <n v="6"/>
    <x v="0"/>
  </r>
  <r>
    <x v="1025"/>
    <x v="469"/>
    <s v="CUST1568"/>
    <s v="Budi Chen"/>
    <x v="0"/>
    <x v="2"/>
    <x v="15"/>
    <n v="1"/>
    <n v="23.88"/>
    <s v="Completed"/>
    <s v="Debit Card"/>
    <n v="23.88"/>
    <n v="5"/>
    <x v="0"/>
  </r>
  <r>
    <x v="1026"/>
    <x v="223"/>
    <s v="CUST1364"/>
    <s v="David Brown"/>
    <x v="0"/>
    <x v="4"/>
    <x v="23"/>
    <n v="1"/>
    <n v="23.9"/>
    <s v="Returned"/>
    <s v="Credit Card"/>
    <n v="23.9"/>
    <n v="8"/>
    <x v="0"/>
  </r>
  <r>
    <x v="1027"/>
    <x v="70"/>
    <s v="CUST1058"/>
    <s v="John Johnson"/>
    <x v="0"/>
    <x v="2"/>
    <x v="8"/>
    <n v="1"/>
    <n v="23.91"/>
    <s v="Completed"/>
    <s v="Gift Card"/>
    <n v="23.91"/>
    <n v="6"/>
    <x v="0"/>
  </r>
  <r>
    <x v="1028"/>
    <x v="488"/>
    <s v="CUST1082"/>
    <s v="Fajar Smith"/>
    <x v="2"/>
    <x v="5"/>
    <x v="29"/>
    <n v="1"/>
    <n v="23.91"/>
    <s v="Completed"/>
    <s v="Credit Card"/>
    <n v="23.91"/>
    <n v="3"/>
    <x v="0"/>
  </r>
  <r>
    <x v="1029"/>
    <x v="69"/>
    <s v="CUST1079"/>
    <s v="Siti Sari"/>
    <x v="0"/>
    <x v="2"/>
    <x v="8"/>
    <n v="1"/>
    <n v="23.92"/>
    <s v="Returned"/>
    <s v="Gift Card"/>
    <n v="23.92"/>
    <n v="6"/>
    <x v="0"/>
  </r>
  <r>
    <x v="1030"/>
    <x v="408"/>
    <s v="CUST1438"/>
    <s v="John Smith"/>
    <x v="1"/>
    <x v="1"/>
    <x v="5"/>
    <n v="2"/>
    <n v="23.92"/>
    <s v="Pending"/>
    <s v="Unknown"/>
    <n v="47.84"/>
    <n v="3"/>
    <x v="0"/>
  </r>
  <r>
    <x v="1031"/>
    <x v="413"/>
    <s v="CUST1609"/>
    <s v="Rina Chen"/>
    <x v="0"/>
    <x v="5"/>
    <x v="28"/>
    <n v="1"/>
    <n v="23.93"/>
    <s v="Completed"/>
    <s v="Unknown"/>
    <n v="23.93"/>
    <n v="5"/>
    <x v="0"/>
  </r>
  <r>
    <x v="1032"/>
    <x v="167"/>
    <s v="CUST1506"/>
    <s v="Lisa Wilson"/>
    <x v="1"/>
    <x v="6"/>
    <x v="38"/>
    <n v="1"/>
    <n v="23.97"/>
    <s v="Completed"/>
    <s v="PayPal"/>
    <n v="23.97"/>
    <n v="5"/>
    <x v="0"/>
  </r>
  <r>
    <x v="1033"/>
    <x v="202"/>
    <s v="CUST1436"/>
    <s v="Lisa Garcia"/>
    <x v="0"/>
    <x v="4"/>
    <x v="25"/>
    <n v="1"/>
    <n v="23.98"/>
    <s v="Completed"/>
    <s v="Debit Card"/>
    <n v="23.98"/>
    <n v="8"/>
    <x v="0"/>
  </r>
  <r>
    <x v="1034"/>
    <x v="308"/>
    <s v="CUST1110"/>
    <s v="Budi Lee"/>
    <x v="0"/>
    <x v="2"/>
    <x v="15"/>
    <n v="1"/>
    <n v="23.99"/>
    <s v="Completed"/>
    <s v="Credit Card"/>
    <n v="23.99"/>
    <n v="2"/>
    <x v="0"/>
  </r>
  <r>
    <x v="1035"/>
    <x v="557"/>
    <s v="CUST1681"/>
    <s v="Maria Hidayat"/>
    <x v="0"/>
    <x v="4"/>
    <x v="27"/>
    <n v="1"/>
    <n v="23.99"/>
    <s v="Completed"/>
    <s v="Credit Card"/>
    <n v="23.99"/>
    <n v="9"/>
    <x v="0"/>
  </r>
  <r>
    <x v="1036"/>
    <x v="76"/>
    <s v="CUST1190"/>
    <s v="Lisa Wijaya"/>
    <x v="1"/>
    <x v="5"/>
    <x v="34"/>
    <n v="1"/>
    <n v="24"/>
    <s v="Completed"/>
    <s v="Debit Card"/>
    <n v="24"/>
    <n v="4"/>
    <x v="0"/>
  </r>
  <r>
    <x v="1037"/>
    <x v="558"/>
    <s v="CUST1201"/>
    <s v="Linda Johnson"/>
    <x v="0"/>
    <x v="2"/>
    <x v="15"/>
    <n v="2"/>
    <n v="24"/>
    <s v="Completed"/>
    <s v="Credit Card"/>
    <n v="48"/>
    <n v="5"/>
    <x v="0"/>
  </r>
  <r>
    <x v="1038"/>
    <x v="153"/>
    <s v="CUST1626"/>
    <s v="Fajar Pratama"/>
    <x v="1"/>
    <x v="3"/>
    <x v="13"/>
    <n v="1"/>
    <n v="24.02"/>
    <s v="Completed"/>
    <s v="Credit Card"/>
    <n v="24.02"/>
    <n v="2"/>
    <x v="0"/>
  </r>
  <r>
    <x v="1039"/>
    <x v="559"/>
    <s v="CUST1087"/>
    <s v="Linda Tan"/>
    <x v="0"/>
    <x v="4"/>
    <x v="21"/>
    <n v="1"/>
    <n v="24.07"/>
    <s v="Completed"/>
    <s v="Gift Card"/>
    <n v="24.07"/>
    <n v="7"/>
    <x v="0"/>
  </r>
  <r>
    <x v="1040"/>
    <x v="245"/>
    <s v="CUST1557"/>
    <s v="Rina Lee"/>
    <x v="1"/>
    <x v="2"/>
    <x v="7"/>
    <n v="2"/>
    <n v="24.08"/>
    <s v="Completed"/>
    <s v="PayPal"/>
    <n v="48.16"/>
    <n v="1"/>
    <x v="1"/>
  </r>
  <r>
    <x v="1041"/>
    <x v="560"/>
    <s v="CUST1699"/>
    <s v="John Yusuf"/>
    <x v="0"/>
    <x v="5"/>
    <x v="34"/>
    <n v="1"/>
    <n v="24.09"/>
    <s v="Completed"/>
    <s v="Credit Card"/>
    <n v="24.09"/>
    <n v="6"/>
    <x v="0"/>
  </r>
  <r>
    <x v="1042"/>
    <x v="396"/>
    <s v="CUST1085"/>
    <s v="John Kurniawan"/>
    <x v="0"/>
    <x v="4"/>
    <x v="23"/>
    <n v="3"/>
    <n v="24.12"/>
    <s v="Completed"/>
    <s v="PayPal"/>
    <n v="72.36"/>
    <n v="7"/>
    <x v="0"/>
  </r>
  <r>
    <x v="1043"/>
    <x v="290"/>
    <s v="CUST1456"/>
    <s v="Kevin Nugroho"/>
    <x v="0"/>
    <x v="1"/>
    <x v="9"/>
    <n v="3"/>
    <n v="24.13"/>
    <s v="Completed"/>
    <s v="Debit Card"/>
    <n v="72.39"/>
    <n v="5"/>
    <x v="0"/>
  </r>
  <r>
    <x v="1044"/>
    <x v="227"/>
    <s v="CUST1709"/>
    <s v="Maria Kurniawan"/>
    <x v="1"/>
    <x v="1"/>
    <x v="9"/>
    <n v="1"/>
    <n v="24.13"/>
    <s v="Completed"/>
    <s v="Credit Card"/>
    <n v="24.13"/>
    <n v="3"/>
    <x v="0"/>
  </r>
  <r>
    <x v="1045"/>
    <x v="561"/>
    <s v="CUST1769"/>
    <s v="Nina Tan"/>
    <x v="1"/>
    <x v="5"/>
    <x v="28"/>
    <n v="1"/>
    <n v="24.14"/>
    <s v="Completed"/>
    <s v="Debit Card"/>
    <n v="24.14"/>
    <n v="2"/>
    <x v="0"/>
  </r>
  <r>
    <x v="1046"/>
    <x v="277"/>
    <s v="CUST1479"/>
    <s v="Nina Nugroho"/>
    <x v="0"/>
    <x v="0"/>
    <x v="3"/>
    <n v="4"/>
    <n v="24.14"/>
    <s v="Completed"/>
    <s v="Credit Card"/>
    <n v="96.56"/>
    <n v="4"/>
    <x v="0"/>
  </r>
  <r>
    <x v="1047"/>
    <x v="491"/>
    <s v="CUST1734"/>
    <s v="Ahmad Wilson"/>
    <x v="0"/>
    <x v="2"/>
    <x v="8"/>
    <n v="1"/>
    <n v="24.17"/>
    <s v="Completed"/>
    <s v="PayPal"/>
    <n v="24.17"/>
    <n v="8"/>
    <x v="0"/>
  </r>
  <r>
    <x v="1048"/>
    <x v="363"/>
    <s v="CUST1501"/>
    <s v="Fajar Yusuf"/>
    <x v="0"/>
    <x v="1"/>
    <x v="17"/>
    <n v="3"/>
    <n v="24.19"/>
    <s v="Completed"/>
    <s v="Gift Card"/>
    <n v="72.570000000000007"/>
    <n v="4"/>
    <x v="0"/>
  </r>
  <r>
    <x v="1049"/>
    <x v="132"/>
    <s v="CUST1756"/>
    <s v="Putri Kurniawan"/>
    <x v="1"/>
    <x v="0"/>
    <x v="0"/>
    <n v="1"/>
    <n v="24.22"/>
    <s v="Completed"/>
    <s v="PayPal"/>
    <n v="24.22"/>
    <n v="3"/>
    <x v="0"/>
  </r>
  <r>
    <x v="1050"/>
    <x v="231"/>
    <s v="CUST1224"/>
    <s v="Ayu Salim"/>
    <x v="3"/>
    <x v="6"/>
    <x v="40"/>
    <n v="2"/>
    <n v="24.24"/>
    <s v="Completed"/>
    <s v="Gift Card"/>
    <n v="48.48"/>
    <n v="2"/>
    <x v="0"/>
  </r>
  <r>
    <x v="1051"/>
    <x v="562"/>
    <s v="CUST1048"/>
    <s v="Andi Kurniawan"/>
    <x v="0"/>
    <x v="4"/>
    <x v="25"/>
    <n v="1"/>
    <n v="24.26"/>
    <s v="Completed"/>
    <s v="PayPal"/>
    <n v="24.26"/>
    <n v="4"/>
    <x v="0"/>
  </r>
  <r>
    <x v="1052"/>
    <x v="412"/>
    <s v="CUST1819"/>
    <s v="Lisa Salim"/>
    <x v="0"/>
    <x v="4"/>
    <x v="22"/>
    <n v="2"/>
    <n v="24.27"/>
    <s v="Cancelled"/>
    <s v="Unknown"/>
    <n v="48.54"/>
    <n v="5"/>
    <x v="0"/>
  </r>
  <r>
    <x v="1053"/>
    <x v="92"/>
    <s v="CUST1880"/>
    <s v="Dewi Johnson"/>
    <x v="0"/>
    <x v="1"/>
    <x v="5"/>
    <n v="1"/>
    <n v="24.29"/>
    <s v="Completed"/>
    <s v="PayPal"/>
    <n v="24.29"/>
    <n v="3"/>
    <x v="0"/>
  </r>
  <r>
    <x v="1054"/>
    <x v="288"/>
    <s v="CUST1473"/>
    <s v="Maria Pratama"/>
    <x v="0"/>
    <x v="2"/>
    <x v="15"/>
    <n v="1"/>
    <n v="24.31"/>
    <s v="Completed"/>
    <s v="Debit Card"/>
    <n v="24.31"/>
    <n v="5"/>
    <x v="0"/>
  </r>
  <r>
    <x v="1055"/>
    <x v="126"/>
    <s v="CUST1886"/>
    <s v="Robert Taylor"/>
    <x v="0"/>
    <x v="4"/>
    <x v="26"/>
    <n v="1"/>
    <n v="24.31"/>
    <s v="Completed"/>
    <s v="Debit Card"/>
    <n v="24.31"/>
    <n v="5"/>
    <x v="0"/>
  </r>
  <r>
    <x v="1056"/>
    <x v="551"/>
    <s v="CUST1506"/>
    <s v="Lisa Wilson"/>
    <x v="1"/>
    <x v="6"/>
    <x v="40"/>
    <n v="2"/>
    <n v="24.32"/>
    <s v="Completed"/>
    <s v="Unknown"/>
    <n v="48.64"/>
    <n v="5"/>
    <x v="0"/>
  </r>
  <r>
    <x v="1057"/>
    <x v="87"/>
    <s v="CUST1801"/>
    <s v="John Brown"/>
    <x v="0"/>
    <x v="4"/>
    <x v="23"/>
    <n v="1"/>
    <n v="24.33"/>
    <s v="Completed"/>
    <s v="Gift Card"/>
    <n v="24.33"/>
    <n v="3"/>
    <x v="0"/>
  </r>
  <r>
    <x v="1058"/>
    <x v="485"/>
    <s v="CUST1121"/>
    <s v="David Nugroho"/>
    <x v="0"/>
    <x v="5"/>
    <x v="31"/>
    <n v="1"/>
    <n v="24.34"/>
    <s v="Completed"/>
    <s v="PayPal"/>
    <n v="24.34"/>
    <n v="7"/>
    <x v="0"/>
  </r>
  <r>
    <x v="1059"/>
    <x v="197"/>
    <s v="CUST1540"/>
    <s v="Dewi Yusuf"/>
    <x v="0"/>
    <x v="4"/>
    <x v="22"/>
    <n v="2"/>
    <n v="24.34"/>
    <s v="Completed"/>
    <s v="Gift Card"/>
    <n v="48.68"/>
    <n v="4"/>
    <x v="0"/>
  </r>
  <r>
    <x v="1060"/>
    <x v="53"/>
    <s v="CUST1347"/>
    <s v="Siti Halim"/>
    <x v="3"/>
    <x v="2"/>
    <x v="8"/>
    <n v="1"/>
    <n v="24.35"/>
    <s v="Completed"/>
    <s v="Credit Card"/>
    <n v="24.35"/>
    <n v="3"/>
    <x v="0"/>
  </r>
  <r>
    <x v="1061"/>
    <x v="467"/>
    <s v="CUST1043"/>
    <s v="Michael Wilson"/>
    <x v="0"/>
    <x v="2"/>
    <x v="7"/>
    <n v="1"/>
    <n v="24.38"/>
    <s v="Returned"/>
    <s v="Gift Card"/>
    <n v="24.38"/>
    <n v="3"/>
    <x v="0"/>
  </r>
  <r>
    <x v="1062"/>
    <x v="194"/>
    <s v="CUST1214"/>
    <s v="Ahmad Tan"/>
    <x v="0"/>
    <x v="6"/>
    <x v="36"/>
    <n v="2"/>
    <n v="24.38"/>
    <s v="Completed"/>
    <s v="Gift Card"/>
    <n v="48.76"/>
    <n v="6"/>
    <x v="0"/>
  </r>
  <r>
    <x v="1063"/>
    <x v="461"/>
    <s v="CUST1152"/>
    <s v="Dewi Yusuf"/>
    <x v="1"/>
    <x v="3"/>
    <x v="19"/>
    <n v="3"/>
    <n v="24.4"/>
    <s v="Completed"/>
    <s v="Gift Card"/>
    <n v="73.199999999999989"/>
    <n v="5"/>
    <x v="0"/>
  </r>
  <r>
    <x v="1064"/>
    <x v="131"/>
    <s v="CUST1433"/>
    <s v="Sarah Tan"/>
    <x v="0"/>
    <x v="2"/>
    <x v="11"/>
    <n v="1"/>
    <n v="24.41"/>
    <s v="Completed"/>
    <s v="PayPal"/>
    <n v="24.41"/>
    <n v="5"/>
    <x v="0"/>
  </r>
  <r>
    <x v="1065"/>
    <x v="563"/>
    <s v="CUST1415"/>
    <s v="Sarah Salim"/>
    <x v="0"/>
    <x v="5"/>
    <x v="30"/>
    <n v="1"/>
    <n v="24.42"/>
    <s v="Completed"/>
    <s v="PayPal"/>
    <n v="24.42"/>
    <n v="5"/>
    <x v="0"/>
  </r>
  <r>
    <x v="1066"/>
    <x v="181"/>
    <s v="CUST1299"/>
    <s v="Lisa Chen"/>
    <x v="1"/>
    <x v="0"/>
    <x v="1"/>
    <n v="5"/>
    <n v="24.42"/>
    <s v="Completed"/>
    <s v="Debit Card"/>
    <n v="122.10000000000001"/>
    <n v="3"/>
    <x v="0"/>
  </r>
  <r>
    <x v="1067"/>
    <x v="497"/>
    <s v="CUST1660"/>
    <s v="Andi Salim"/>
    <x v="0"/>
    <x v="2"/>
    <x v="15"/>
    <n v="1"/>
    <n v="24.48"/>
    <s v="Completed"/>
    <s v="Debit Card"/>
    <n v="24.48"/>
    <n v="5"/>
    <x v="0"/>
  </r>
  <r>
    <x v="1068"/>
    <x v="214"/>
    <s v="CUST1565"/>
    <s v="Rina Hidayat"/>
    <x v="0"/>
    <x v="1"/>
    <x v="9"/>
    <n v="1"/>
    <n v="24.49"/>
    <s v="Cancelled"/>
    <s v="Gift Card"/>
    <n v="24.49"/>
    <n v="5"/>
    <x v="0"/>
  </r>
  <r>
    <x v="1069"/>
    <x v="8"/>
    <s v="CUST1677"/>
    <s v="Fajar Anderson"/>
    <x v="1"/>
    <x v="0"/>
    <x v="4"/>
    <n v="1"/>
    <n v="24.5"/>
    <s v="Completed"/>
    <s v="Gift Card"/>
    <n v="24.5"/>
    <n v="3"/>
    <x v="0"/>
  </r>
  <r>
    <x v="1070"/>
    <x v="95"/>
    <s v="CUST1414"/>
    <s v="Ayu Chen"/>
    <x v="0"/>
    <x v="5"/>
    <x v="31"/>
    <n v="1"/>
    <n v="24.51"/>
    <s v="Completed"/>
    <s v="Credit Card"/>
    <n v="24.51"/>
    <n v="6"/>
    <x v="0"/>
  </r>
  <r>
    <x v="1071"/>
    <x v="196"/>
    <s v="CUST1675"/>
    <s v="Putri Kurniawan"/>
    <x v="0"/>
    <x v="2"/>
    <x v="7"/>
    <n v="1"/>
    <n v="24.58"/>
    <s v="Completed"/>
    <s v="Credit Card"/>
    <n v="24.58"/>
    <n v="6"/>
    <x v="0"/>
  </r>
  <r>
    <x v="1072"/>
    <x v="168"/>
    <s v="CUST1075"/>
    <s v="Linda Anderson"/>
    <x v="1"/>
    <x v="1"/>
    <x v="17"/>
    <n v="2"/>
    <n v="24.58"/>
    <s v="Completed"/>
    <s v="Credit Card"/>
    <n v="49.16"/>
    <n v="5"/>
    <x v="0"/>
  </r>
  <r>
    <x v="1073"/>
    <x v="150"/>
    <s v="CUST1579"/>
    <s v="Kevin Tan"/>
    <x v="0"/>
    <x v="3"/>
    <x v="13"/>
    <n v="1"/>
    <n v="24.59"/>
    <s v="Completed"/>
    <s v="Credit Card"/>
    <n v="24.59"/>
    <n v="6"/>
    <x v="0"/>
  </r>
  <r>
    <x v="1074"/>
    <x v="107"/>
    <s v="CUST1741"/>
    <s v="Siti Wilson"/>
    <x v="0"/>
    <x v="0"/>
    <x v="2"/>
    <n v="1"/>
    <n v="24.59"/>
    <s v="Completed"/>
    <s v="Debit Card"/>
    <n v="24.59"/>
    <n v="7"/>
    <x v="0"/>
  </r>
  <r>
    <x v="1075"/>
    <x v="235"/>
    <s v="CUST1135"/>
    <s v="Rina Kurniawan"/>
    <x v="1"/>
    <x v="2"/>
    <x v="11"/>
    <n v="2"/>
    <n v="24.61"/>
    <s v="Completed"/>
    <s v="PayPal"/>
    <n v="49.22"/>
    <n v="5"/>
    <x v="0"/>
  </r>
  <r>
    <x v="1076"/>
    <x v="503"/>
    <s v="CUST1155"/>
    <s v="Budi Brown"/>
    <x v="0"/>
    <x v="2"/>
    <x v="8"/>
    <n v="1"/>
    <n v="24.66"/>
    <s v="Pending"/>
    <s v="Gift Card"/>
    <n v="24.66"/>
    <n v="5"/>
    <x v="0"/>
  </r>
  <r>
    <x v="1077"/>
    <x v="564"/>
    <s v="CUST1005"/>
    <s v="Dewi Wijaya"/>
    <x v="0"/>
    <x v="6"/>
    <x v="37"/>
    <n v="2"/>
    <n v="24.67"/>
    <s v="Completed"/>
    <s v="Debit Card"/>
    <n v="49.34"/>
    <n v="10"/>
    <x v="0"/>
  </r>
  <r>
    <x v="1078"/>
    <x v="70"/>
    <s v="CUST1479"/>
    <s v="Nina Nugroho"/>
    <x v="0"/>
    <x v="6"/>
    <x v="38"/>
    <n v="1"/>
    <n v="24.68"/>
    <s v="Completed"/>
    <s v="PayPal"/>
    <n v="24.68"/>
    <n v="4"/>
    <x v="0"/>
  </r>
  <r>
    <x v="1079"/>
    <x v="275"/>
    <s v="CUST1246"/>
    <s v="Ayu Brown"/>
    <x v="0"/>
    <x v="6"/>
    <x v="36"/>
    <n v="4"/>
    <n v="24.69"/>
    <s v="Cancelled"/>
    <s v="Credit Card"/>
    <n v="98.76"/>
    <n v="7"/>
    <x v="0"/>
  </r>
  <r>
    <x v="1080"/>
    <x v="124"/>
    <s v="CUST1690"/>
    <s v="Fajar Garcia"/>
    <x v="0"/>
    <x v="3"/>
    <x v="12"/>
    <n v="1"/>
    <n v="24.71"/>
    <s v="Completed"/>
    <s v="Gift Card"/>
    <n v="24.71"/>
    <n v="4"/>
    <x v="0"/>
  </r>
  <r>
    <x v="1081"/>
    <x v="348"/>
    <s v="CUST1433"/>
    <s v="Sarah Tan"/>
    <x v="0"/>
    <x v="2"/>
    <x v="8"/>
    <n v="2"/>
    <n v="24.72"/>
    <s v="Completed"/>
    <s v="Credit Card"/>
    <n v="49.44"/>
    <n v="5"/>
    <x v="0"/>
  </r>
  <r>
    <x v="1082"/>
    <x v="148"/>
    <s v="CUST1507"/>
    <s v="Andi Brown"/>
    <x v="0"/>
    <x v="6"/>
    <x v="39"/>
    <n v="2"/>
    <n v="24.72"/>
    <s v="Completed"/>
    <s v="Unknown"/>
    <n v="49.44"/>
    <n v="7"/>
    <x v="0"/>
  </r>
  <r>
    <x v="1083"/>
    <x v="565"/>
    <s v="CUST1416"/>
    <s v="Robert Nugroho"/>
    <x v="1"/>
    <x v="4"/>
    <x v="23"/>
    <n v="4"/>
    <n v="24.72"/>
    <s v="Completed"/>
    <s v="Debit Card"/>
    <n v="98.88"/>
    <n v="5"/>
    <x v="0"/>
  </r>
  <r>
    <x v="1084"/>
    <x v="184"/>
    <s v="CUST1002"/>
    <s v="Sarah Kurniawan"/>
    <x v="0"/>
    <x v="3"/>
    <x v="13"/>
    <n v="2"/>
    <n v="24.75"/>
    <s v="Completed"/>
    <s v="PayPal"/>
    <n v="49.5"/>
    <n v="5"/>
    <x v="0"/>
  </r>
  <r>
    <x v="1085"/>
    <x v="145"/>
    <s v="CUST1192"/>
    <s v="Lisa Kurniawan"/>
    <x v="0"/>
    <x v="1"/>
    <x v="20"/>
    <n v="1"/>
    <n v="24.8"/>
    <s v="Completed"/>
    <s v="Credit Card"/>
    <n v="24.8"/>
    <n v="4"/>
    <x v="0"/>
  </r>
  <r>
    <x v="1086"/>
    <x v="527"/>
    <s v="CUST1295"/>
    <s v="Robert Taylor"/>
    <x v="0"/>
    <x v="4"/>
    <x v="23"/>
    <n v="1"/>
    <n v="24.8"/>
    <s v="Completed"/>
    <s v="Credit Card"/>
    <n v="24.8"/>
    <n v="7"/>
    <x v="0"/>
  </r>
  <r>
    <x v="1087"/>
    <x v="566"/>
    <s v="CUST1023"/>
    <s v="Siti Wilson"/>
    <x v="0"/>
    <x v="1"/>
    <x v="20"/>
    <n v="1"/>
    <n v="24.82"/>
    <s v="Completed"/>
    <s v="Debit Card"/>
    <n v="24.82"/>
    <n v="3"/>
    <x v="0"/>
  </r>
  <r>
    <x v="1088"/>
    <x v="444"/>
    <s v="CUST1649"/>
    <s v="Rina Wilson"/>
    <x v="0"/>
    <x v="6"/>
    <x v="40"/>
    <n v="1"/>
    <n v="24.82"/>
    <s v="Completed"/>
    <s v="Gift Card"/>
    <n v="24.82"/>
    <n v="7"/>
    <x v="0"/>
  </r>
  <r>
    <x v="1089"/>
    <x v="33"/>
    <s v="CUST1620"/>
    <s v="Budi Chen"/>
    <x v="0"/>
    <x v="3"/>
    <x v="12"/>
    <n v="1"/>
    <n v="24.83"/>
    <s v="Completed"/>
    <s v="PayPal"/>
    <n v="24.83"/>
    <n v="4"/>
    <x v="0"/>
  </r>
  <r>
    <x v="1090"/>
    <x v="567"/>
    <s v="CUST1753"/>
    <s v="Kevin Lee"/>
    <x v="0"/>
    <x v="4"/>
    <x v="21"/>
    <n v="2"/>
    <n v="24.84"/>
    <s v="Completed"/>
    <s v="PayPal"/>
    <n v="49.68"/>
    <n v="6"/>
    <x v="0"/>
  </r>
  <r>
    <x v="1091"/>
    <x v="86"/>
    <s v="CUST1441"/>
    <s v="Fajar Hidayat"/>
    <x v="0"/>
    <x v="2"/>
    <x v="8"/>
    <n v="1"/>
    <n v="24.85"/>
    <s v="Completed"/>
    <s v="Gift Card"/>
    <n v="24.85"/>
    <n v="6"/>
    <x v="0"/>
  </r>
  <r>
    <x v="1092"/>
    <x v="231"/>
    <s v="CUST1140"/>
    <s v="Maria Wijaya"/>
    <x v="0"/>
    <x v="0"/>
    <x v="0"/>
    <n v="1"/>
    <n v="24.85"/>
    <s v="Completed"/>
    <s v="Gift Card"/>
    <n v="24.85"/>
    <n v="5"/>
    <x v="0"/>
  </r>
  <r>
    <x v="1093"/>
    <x v="288"/>
    <s v="CUST1469"/>
    <s v="Michael Lee"/>
    <x v="1"/>
    <x v="2"/>
    <x v="7"/>
    <n v="3"/>
    <n v="24.85"/>
    <s v="Pending"/>
    <s v="Debit Card"/>
    <n v="74.550000000000011"/>
    <n v="4"/>
    <x v="0"/>
  </r>
  <r>
    <x v="1094"/>
    <x v="246"/>
    <s v="CUST1876"/>
    <s v="John Hidayat"/>
    <x v="0"/>
    <x v="2"/>
    <x v="11"/>
    <n v="1"/>
    <n v="24.89"/>
    <s v="Completed"/>
    <s v="Credit Card"/>
    <n v="24.89"/>
    <n v="5"/>
    <x v="0"/>
  </r>
  <r>
    <x v="1095"/>
    <x v="487"/>
    <s v="CUST1591"/>
    <s v="Fajar Wilson"/>
    <x v="0"/>
    <x v="2"/>
    <x v="15"/>
    <n v="1"/>
    <n v="24.9"/>
    <s v="Pending"/>
    <s v="PayPal"/>
    <n v="24.9"/>
    <n v="9"/>
    <x v="0"/>
  </r>
  <r>
    <x v="1096"/>
    <x v="96"/>
    <s v="CUST1861"/>
    <s v="Unknown Customer"/>
    <x v="0"/>
    <x v="1"/>
    <x v="17"/>
    <n v="3"/>
    <n v="24.93"/>
    <s v="Completed"/>
    <s v="Gift Card"/>
    <n v="74.789999999999992"/>
    <n v="4"/>
    <x v="0"/>
  </r>
  <r>
    <x v="1097"/>
    <x v="339"/>
    <s v="CUST1418"/>
    <s v="Unknown Customer"/>
    <x v="0"/>
    <x v="1"/>
    <x v="18"/>
    <n v="4"/>
    <n v="24.96"/>
    <s v="Returned"/>
    <s v="Gift Card"/>
    <n v="99.84"/>
    <n v="4"/>
    <x v="0"/>
  </r>
  <r>
    <x v="1098"/>
    <x v="371"/>
    <s v="CUST1508"/>
    <s v="Unknown Customer"/>
    <x v="1"/>
    <x v="4"/>
    <x v="26"/>
    <n v="1"/>
    <n v="24.97"/>
    <s v="Completed"/>
    <s v="PayPal"/>
    <n v="24.97"/>
    <n v="5"/>
    <x v="0"/>
  </r>
  <r>
    <x v="1099"/>
    <x v="568"/>
    <s v="CUST1471"/>
    <s v="James Anderson"/>
    <x v="0"/>
    <x v="0"/>
    <x v="0"/>
    <n v="1"/>
    <n v="24.97"/>
    <s v="Completed"/>
    <s v="Debit Card"/>
    <n v="24.97"/>
    <n v="4"/>
    <x v="0"/>
  </r>
  <r>
    <x v="1100"/>
    <x v="251"/>
    <s v="CUST1466"/>
    <s v="Lisa Wijaya"/>
    <x v="0"/>
    <x v="2"/>
    <x v="10"/>
    <n v="2"/>
    <n v="24.98"/>
    <s v="Completed"/>
    <s v="Unknown"/>
    <n v="49.96"/>
    <n v="5"/>
    <x v="0"/>
  </r>
  <r>
    <x v="1101"/>
    <x v="452"/>
    <s v="CUST1764"/>
    <s v="Andi Yusuf"/>
    <x v="0"/>
    <x v="0"/>
    <x v="4"/>
    <n v="4"/>
    <n v="24.98"/>
    <s v="Completed"/>
    <s v="PayPal"/>
    <n v="99.92"/>
    <n v="7"/>
    <x v="0"/>
  </r>
  <r>
    <x v="1102"/>
    <x v="36"/>
    <s v="CUST1033"/>
    <s v="Linda Sari"/>
    <x v="0"/>
    <x v="2"/>
    <x v="15"/>
    <n v="1"/>
    <n v="25.01"/>
    <s v="Completed"/>
    <s v="Credit Card"/>
    <n v="25.01"/>
    <n v="4"/>
    <x v="0"/>
  </r>
  <r>
    <x v="1103"/>
    <x v="569"/>
    <s v="CUST1125"/>
    <s v="Lisa Santos"/>
    <x v="0"/>
    <x v="3"/>
    <x v="13"/>
    <n v="1"/>
    <n v="25.01"/>
    <s v="Returned"/>
    <s v="Credit Card"/>
    <n v="25.01"/>
    <n v="2"/>
    <x v="0"/>
  </r>
  <r>
    <x v="1104"/>
    <x v="487"/>
    <s v="CUST1194"/>
    <s v="Maria Hidayat"/>
    <x v="0"/>
    <x v="5"/>
    <x v="30"/>
    <n v="2"/>
    <n v="25.02"/>
    <s v="Completed"/>
    <s v="Credit Card"/>
    <n v="50.04"/>
    <n v="8"/>
    <x v="0"/>
  </r>
  <r>
    <x v="1105"/>
    <x v="112"/>
    <s v="CUST1704"/>
    <s v="Dewi Nugroho"/>
    <x v="0"/>
    <x v="2"/>
    <x v="11"/>
    <n v="1"/>
    <n v="25.03"/>
    <s v="Cancelled"/>
    <s v="Gift Card"/>
    <n v="25.03"/>
    <n v="3"/>
    <x v="0"/>
  </r>
  <r>
    <x v="1106"/>
    <x v="570"/>
    <s v="CUST1670"/>
    <s v="David Sari"/>
    <x v="1"/>
    <x v="2"/>
    <x v="11"/>
    <n v="1"/>
    <n v="25.03"/>
    <s v="Completed"/>
    <s v="Gift Card"/>
    <n v="25.03"/>
    <n v="4"/>
    <x v="0"/>
  </r>
  <r>
    <x v="1107"/>
    <x v="571"/>
    <s v="CUST1805"/>
    <s v="John Chen"/>
    <x v="3"/>
    <x v="5"/>
    <x v="31"/>
    <n v="2"/>
    <n v="25.03"/>
    <s v="Completed"/>
    <s v="Gift Card"/>
    <n v="50.06"/>
    <n v="1"/>
    <x v="1"/>
  </r>
  <r>
    <x v="1108"/>
    <x v="145"/>
    <s v="CUST1685"/>
    <s v="Budi Kurniawan"/>
    <x v="3"/>
    <x v="2"/>
    <x v="8"/>
    <n v="1"/>
    <n v="25.04"/>
    <s v="Completed"/>
    <s v="Gift Card"/>
    <n v="25.04"/>
    <n v="5"/>
    <x v="0"/>
  </r>
  <r>
    <x v="1109"/>
    <x v="543"/>
    <s v="CUST1716"/>
    <s v="Budi Salim"/>
    <x v="0"/>
    <x v="3"/>
    <x v="19"/>
    <n v="1"/>
    <n v="25.05"/>
    <s v="Cancelled"/>
    <s v="Credit Card"/>
    <n v="25.05"/>
    <n v="2"/>
    <x v="0"/>
  </r>
  <r>
    <x v="1110"/>
    <x v="284"/>
    <s v="CUST1039"/>
    <s v="Robert Tan"/>
    <x v="0"/>
    <x v="2"/>
    <x v="15"/>
    <n v="1"/>
    <n v="25.06"/>
    <s v="Completed"/>
    <s v="Credit Card"/>
    <n v="25.06"/>
    <n v="7"/>
    <x v="0"/>
  </r>
  <r>
    <x v="1111"/>
    <x v="572"/>
    <s v="CUST1136"/>
    <s v="Budi Hidayat"/>
    <x v="0"/>
    <x v="6"/>
    <x v="37"/>
    <n v="1"/>
    <n v="25.07"/>
    <s v="Returned"/>
    <s v="PayPal"/>
    <n v="25.07"/>
    <n v="3"/>
    <x v="0"/>
  </r>
  <r>
    <x v="1112"/>
    <x v="389"/>
    <s v="CUST1616"/>
    <s v="Putri Wijaya"/>
    <x v="1"/>
    <x v="2"/>
    <x v="15"/>
    <n v="1"/>
    <n v="25.08"/>
    <s v="Completed"/>
    <s v="Debit Card"/>
    <n v="25.08"/>
    <n v="3"/>
    <x v="0"/>
  </r>
  <r>
    <x v="1113"/>
    <x v="297"/>
    <s v="CUST1187"/>
    <s v="Dewi Anderson"/>
    <x v="1"/>
    <x v="3"/>
    <x v="13"/>
    <n v="1"/>
    <n v="25.09"/>
    <s v="Completed"/>
    <s v="PayPal"/>
    <n v="25.09"/>
    <n v="4"/>
    <x v="0"/>
  </r>
  <r>
    <x v="1114"/>
    <x v="573"/>
    <s v="CUST1121"/>
    <s v="David Nugroho"/>
    <x v="0"/>
    <x v="0"/>
    <x v="3"/>
    <n v="2"/>
    <n v="25.1"/>
    <s v="Completed"/>
    <s v="Debit Card"/>
    <n v="50.2"/>
    <n v="7"/>
    <x v="0"/>
  </r>
  <r>
    <x v="1115"/>
    <x v="384"/>
    <s v="CUST1257"/>
    <s v="Sarah Taylor"/>
    <x v="0"/>
    <x v="0"/>
    <x v="3"/>
    <n v="4"/>
    <n v="25.1"/>
    <s v="Pending"/>
    <s v="Gift Card"/>
    <n v="100.4"/>
    <n v="7"/>
    <x v="0"/>
  </r>
  <r>
    <x v="1116"/>
    <x v="574"/>
    <s v="CUST1222"/>
    <s v="Dewi Sari"/>
    <x v="0"/>
    <x v="2"/>
    <x v="11"/>
    <n v="1"/>
    <n v="25.16"/>
    <s v="Completed"/>
    <s v="Credit Card"/>
    <n v="25.16"/>
    <n v="9"/>
    <x v="0"/>
  </r>
  <r>
    <x v="1117"/>
    <x v="468"/>
    <s v="CUST1581"/>
    <s v="Rina Hidayat"/>
    <x v="0"/>
    <x v="6"/>
    <x v="39"/>
    <n v="2"/>
    <n v="25.16"/>
    <s v="Completed"/>
    <s v="Gift Card"/>
    <n v="50.32"/>
    <n v="6"/>
    <x v="0"/>
  </r>
  <r>
    <x v="1118"/>
    <x v="233"/>
    <s v="CUST1263"/>
    <s v="John Santos"/>
    <x v="0"/>
    <x v="2"/>
    <x v="15"/>
    <n v="3"/>
    <n v="25.16"/>
    <s v="Completed"/>
    <s v="Debit Card"/>
    <n v="75.48"/>
    <n v="5"/>
    <x v="0"/>
  </r>
  <r>
    <x v="1119"/>
    <x v="359"/>
    <s v="CUST1249"/>
    <s v="Kevin Taylor"/>
    <x v="0"/>
    <x v="5"/>
    <x v="32"/>
    <n v="2"/>
    <n v="25.18"/>
    <s v="Completed"/>
    <s v="Gift Card"/>
    <n v="50.36"/>
    <n v="5"/>
    <x v="0"/>
  </r>
  <r>
    <x v="1120"/>
    <x v="544"/>
    <s v="CUST1186"/>
    <s v="Andi Anderson"/>
    <x v="3"/>
    <x v="0"/>
    <x v="2"/>
    <n v="1"/>
    <n v="25.19"/>
    <s v="Completed"/>
    <s v="Credit Card"/>
    <n v="25.19"/>
    <n v="6"/>
    <x v="0"/>
  </r>
  <r>
    <x v="1121"/>
    <x v="147"/>
    <s v="CUST1500"/>
    <s v="Nina Hidayat"/>
    <x v="1"/>
    <x v="2"/>
    <x v="11"/>
    <n v="1"/>
    <n v="25.2"/>
    <s v="Completed"/>
    <s v="Debit Card"/>
    <n v="25.2"/>
    <n v="5"/>
    <x v="0"/>
  </r>
  <r>
    <x v="1122"/>
    <x v="401"/>
    <s v="CUST1754"/>
    <s v="Kevin Salim"/>
    <x v="1"/>
    <x v="2"/>
    <x v="10"/>
    <n v="1"/>
    <n v="25.21"/>
    <s v="Completed"/>
    <s v="Gift Card"/>
    <n v="25.21"/>
    <n v="5"/>
    <x v="0"/>
  </r>
  <r>
    <x v="1123"/>
    <x v="39"/>
    <s v="CUST1335"/>
    <s v="Nina Yusuf"/>
    <x v="1"/>
    <x v="6"/>
    <x v="38"/>
    <n v="1"/>
    <n v="25.23"/>
    <s v="Completed"/>
    <s v="PayPal"/>
    <n v="25.23"/>
    <n v="3"/>
    <x v="0"/>
  </r>
  <r>
    <x v="1124"/>
    <x v="268"/>
    <s v="CUST1274"/>
    <s v="Dewi Anderson"/>
    <x v="0"/>
    <x v="0"/>
    <x v="3"/>
    <n v="2"/>
    <n v="25.24"/>
    <s v="Completed"/>
    <s v="Debit Card"/>
    <n v="50.48"/>
    <n v="2"/>
    <x v="0"/>
  </r>
  <r>
    <x v="1125"/>
    <x v="541"/>
    <s v="CUST1351"/>
    <s v="David Chen"/>
    <x v="1"/>
    <x v="4"/>
    <x v="23"/>
    <n v="1"/>
    <n v="25.25"/>
    <s v="Completed"/>
    <s v="Credit Card"/>
    <n v="25.25"/>
    <n v="5"/>
    <x v="0"/>
  </r>
  <r>
    <x v="1126"/>
    <x v="181"/>
    <s v="CUST1714"/>
    <s v="Ayu Nugroho"/>
    <x v="0"/>
    <x v="4"/>
    <x v="27"/>
    <n v="1"/>
    <n v="25.29"/>
    <s v="Cancelled"/>
    <s v="Unknown"/>
    <n v="25.29"/>
    <n v="4"/>
    <x v="0"/>
  </r>
  <r>
    <x v="1127"/>
    <x v="511"/>
    <s v="CUST1399"/>
    <s v="Rina Lee"/>
    <x v="0"/>
    <x v="2"/>
    <x v="7"/>
    <n v="2"/>
    <n v="25.3"/>
    <s v="Completed"/>
    <s v="Unknown"/>
    <n v="50.6"/>
    <n v="4"/>
    <x v="0"/>
  </r>
  <r>
    <x v="1128"/>
    <x v="368"/>
    <s v="CUST1137"/>
    <s v="Budi Wijaya"/>
    <x v="0"/>
    <x v="2"/>
    <x v="7"/>
    <n v="1"/>
    <n v="25.32"/>
    <s v="Completed"/>
    <s v="Debit Card"/>
    <n v="25.32"/>
    <n v="6"/>
    <x v="0"/>
  </r>
  <r>
    <x v="1129"/>
    <x v="575"/>
    <s v="CUST1005"/>
    <s v="Dewi Wijaya"/>
    <x v="0"/>
    <x v="2"/>
    <x v="11"/>
    <n v="1"/>
    <n v="25.33"/>
    <s v="Completed"/>
    <s v="PayPal"/>
    <n v="25.33"/>
    <n v="10"/>
    <x v="0"/>
  </r>
  <r>
    <x v="1130"/>
    <x v="490"/>
    <s v="CUST1211"/>
    <s v="Sarah Santos"/>
    <x v="0"/>
    <x v="3"/>
    <x v="16"/>
    <n v="2"/>
    <n v="25.33"/>
    <s v="Cancelled"/>
    <s v="Credit Card"/>
    <n v="50.66"/>
    <n v="8"/>
    <x v="0"/>
  </r>
  <r>
    <x v="1131"/>
    <x v="516"/>
    <s v="CUST1233"/>
    <s v="Michael Lee"/>
    <x v="0"/>
    <x v="1"/>
    <x v="9"/>
    <n v="2"/>
    <n v="25.34"/>
    <s v="Pending"/>
    <s v="Debit Card"/>
    <n v="50.68"/>
    <n v="6"/>
    <x v="0"/>
  </r>
  <r>
    <x v="1132"/>
    <x v="548"/>
    <s v="CUST1623"/>
    <s v="John Yusuf"/>
    <x v="0"/>
    <x v="3"/>
    <x v="16"/>
    <n v="1"/>
    <n v="25.35"/>
    <s v="Completed"/>
    <s v="Credit Card"/>
    <n v="25.35"/>
    <n v="7"/>
    <x v="0"/>
  </r>
  <r>
    <x v="1133"/>
    <x v="576"/>
    <s v="CUST1306"/>
    <s v="John Chen"/>
    <x v="0"/>
    <x v="2"/>
    <x v="15"/>
    <n v="2"/>
    <n v="25.35"/>
    <s v="Completed"/>
    <s v="PayPal"/>
    <n v="50.7"/>
    <n v="5"/>
    <x v="0"/>
  </r>
  <r>
    <x v="1134"/>
    <x v="156"/>
    <s v="CUST1240"/>
    <s v="Linda Chen"/>
    <x v="0"/>
    <x v="2"/>
    <x v="10"/>
    <n v="2"/>
    <n v="25.37"/>
    <s v="Completed"/>
    <s v="Debit Card"/>
    <n v="50.74"/>
    <n v="7"/>
    <x v="0"/>
  </r>
  <r>
    <x v="1135"/>
    <x v="577"/>
    <s v="CUST1311"/>
    <s v="John Nugroho"/>
    <x v="3"/>
    <x v="6"/>
    <x v="41"/>
    <n v="1"/>
    <n v="25.38"/>
    <s v="Completed"/>
    <s v="Debit Card"/>
    <n v="25.38"/>
    <n v="4"/>
    <x v="0"/>
  </r>
  <r>
    <x v="1136"/>
    <x v="458"/>
    <s v="CUST1832"/>
    <s v="Rina Pratama"/>
    <x v="3"/>
    <x v="0"/>
    <x v="0"/>
    <n v="2"/>
    <n v="25.391499999999994"/>
    <s v="Completed"/>
    <s v="PayPal"/>
    <n v="50.782999999999987"/>
    <n v="4"/>
    <x v="0"/>
  </r>
  <r>
    <x v="1137"/>
    <x v="532"/>
    <s v="CUST1267"/>
    <s v="Maria Anderson"/>
    <x v="0"/>
    <x v="3"/>
    <x v="14"/>
    <n v="2"/>
    <n v="25.4"/>
    <s v="Completed"/>
    <s v="PayPal"/>
    <n v="50.8"/>
    <n v="4"/>
    <x v="0"/>
  </r>
  <r>
    <x v="1138"/>
    <x v="461"/>
    <s v="CUST1003"/>
    <s v="Siti Anderson"/>
    <x v="0"/>
    <x v="0"/>
    <x v="2"/>
    <n v="1"/>
    <n v="25.44"/>
    <s v="Completed"/>
    <s v="Debit Card"/>
    <n v="25.44"/>
    <n v="4"/>
    <x v="0"/>
  </r>
  <r>
    <x v="1139"/>
    <x v="57"/>
    <s v="CUST1674"/>
    <s v="Dewi Lee"/>
    <x v="0"/>
    <x v="2"/>
    <x v="15"/>
    <n v="4"/>
    <n v="25.46"/>
    <s v="Completed"/>
    <s v="Credit Card"/>
    <n v="101.84"/>
    <n v="11"/>
    <x v="0"/>
  </r>
  <r>
    <x v="1140"/>
    <x v="369"/>
    <s v="CUST1128"/>
    <s v="Rina Taylor"/>
    <x v="0"/>
    <x v="0"/>
    <x v="2"/>
    <n v="1"/>
    <n v="25.47"/>
    <s v="Completed"/>
    <s v="Debit Card"/>
    <n v="25.47"/>
    <n v="6"/>
    <x v="0"/>
  </r>
  <r>
    <x v="1141"/>
    <x v="171"/>
    <s v="CUST1474"/>
    <s v="Kevin Sari"/>
    <x v="0"/>
    <x v="2"/>
    <x v="10"/>
    <n v="2"/>
    <n v="25.47"/>
    <s v="Completed"/>
    <s v="Gift Card"/>
    <n v="50.94"/>
    <n v="6"/>
    <x v="0"/>
  </r>
  <r>
    <x v="1142"/>
    <x v="578"/>
    <s v="CUST1254"/>
    <s v="Nina Garcia"/>
    <x v="0"/>
    <x v="3"/>
    <x v="19"/>
    <n v="1"/>
    <n v="25.48"/>
    <s v="Completed"/>
    <s v="Gift Card"/>
    <n v="25.48"/>
    <n v="6"/>
    <x v="0"/>
  </r>
  <r>
    <x v="1143"/>
    <x v="462"/>
    <s v="CUST1164"/>
    <s v="Kevin Tan"/>
    <x v="3"/>
    <x v="2"/>
    <x v="15"/>
    <n v="1"/>
    <n v="25.48"/>
    <s v="Completed"/>
    <s v="Gift Card"/>
    <n v="25.48"/>
    <n v="2"/>
    <x v="0"/>
  </r>
  <r>
    <x v="1144"/>
    <x v="127"/>
    <s v="CUST1276"/>
    <s v="Rina Nugroho"/>
    <x v="0"/>
    <x v="6"/>
    <x v="42"/>
    <n v="1"/>
    <n v="25.49"/>
    <s v="Completed"/>
    <s v="Gift Card"/>
    <n v="25.49"/>
    <n v="4"/>
    <x v="0"/>
  </r>
  <r>
    <x v="1145"/>
    <x v="123"/>
    <s v="CUST1477"/>
    <s v="Budi Tan"/>
    <x v="3"/>
    <x v="0"/>
    <x v="0"/>
    <n v="1"/>
    <n v="25.5"/>
    <s v="Completed"/>
    <s v="Gift Card"/>
    <n v="25.5"/>
    <n v="5"/>
    <x v="0"/>
  </r>
  <r>
    <x v="1146"/>
    <x v="235"/>
    <s v="CUST1566"/>
    <s v="Sarah Chen"/>
    <x v="1"/>
    <x v="2"/>
    <x v="11"/>
    <n v="2"/>
    <n v="25.51"/>
    <s v="Completed"/>
    <s v="Credit Card"/>
    <n v="51.02"/>
    <n v="2"/>
    <x v="0"/>
  </r>
  <r>
    <x v="1147"/>
    <x v="524"/>
    <s v="CUST1657"/>
    <s v="Lisa Brown"/>
    <x v="1"/>
    <x v="2"/>
    <x v="8"/>
    <n v="1"/>
    <n v="25.52"/>
    <s v="Completed"/>
    <s v="Gift Card"/>
    <n v="25.52"/>
    <n v="5"/>
    <x v="0"/>
  </r>
  <r>
    <x v="1148"/>
    <x v="353"/>
    <s v="CUST1865"/>
    <s v="Ayu Salim"/>
    <x v="0"/>
    <x v="6"/>
    <x v="42"/>
    <n v="1"/>
    <n v="25.52"/>
    <s v="Completed"/>
    <s v="PayPal"/>
    <n v="25.52"/>
    <n v="9"/>
    <x v="0"/>
  </r>
  <r>
    <x v="1149"/>
    <x v="93"/>
    <s v="CUST1231"/>
    <s v="Dewi Smith"/>
    <x v="1"/>
    <x v="2"/>
    <x v="11"/>
    <n v="1"/>
    <n v="25.52"/>
    <s v="Completed"/>
    <s v="Debit Card"/>
    <n v="25.52"/>
    <n v="3"/>
    <x v="0"/>
  </r>
  <r>
    <x v="1150"/>
    <x v="562"/>
    <s v="CUST1301"/>
    <s v="Sarah Tan"/>
    <x v="0"/>
    <x v="2"/>
    <x v="11"/>
    <n v="1"/>
    <n v="25.54"/>
    <s v="Completed"/>
    <s v="Gift Card"/>
    <n v="25.54"/>
    <n v="6"/>
    <x v="0"/>
  </r>
  <r>
    <x v="1151"/>
    <x v="472"/>
    <s v="CUST1235"/>
    <s v="Nina Halim"/>
    <x v="0"/>
    <x v="2"/>
    <x v="15"/>
    <n v="2"/>
    <n v="25.55"/>
    <s v="Completed"/>
    <s v="Credit Card"/>
    <n v="51.1"/>
    <n v="7"/>
    <x v="0"/>
  </r>
  <r>
    <x v="1152"/>
    <x v="579"/>
    <s v="CUST1823"/>
    <s v="John Johnson"/>
    <x v="3"/>
    <x v="2"/>
    <x v="15"/>
    <n v="1"/>
    <n v="25.56"/>
    <s v="Completed"/>
    <s v="PayPal"/>
    <n v="25.56"/>
    <n v="3"/>
    <x v="0"/>
  </r>
  <r>
    <x v="1153"/>
    <x v="289"/>
    <s v="CUST1749"/>
    <s v="Unknown Customer"/>
    <x v="2"/>
    <x v="3"/>
    <x v="16"/>
    <n v="1"/>
    <n v="25.57"/>
    <s v="Completed"/>
    <s v="Gift Card"/>
    <n v="25.57"/>
    <n v="1"/>
    <x v="1"/>
  </r>
  <r>
    <x v="1154"/>
    <x v="475"/>
    <s v="CUST1657"/>
    <s v="Lisa Brown"/>
    <x v="1"/>
    <x v="1"/>
    <x v="9"/>
    <n v="1"/>
    <n v="25.58"/>
    <s v="Completed"/>
    <s v="Debit Card"/>
    <n v="25.58"/>
    <n v="5"/>
    <x v="0"/>
  </r>
  <r>
    <x v="1155"/>
    <x v="350"/>
    <s v="CUST1633"/>
    <s v="James Kurniawan"/>
    <x v="0"/>
    <x v="2"/>
    <x v="11"/>
    <n v="2"/>
    <n v="25.58"/>
    <s v="Completed"/>
    <s v="PayPal"/>
    <n v="51.16"/>
    <n v="6"/>
    <x v="0"/>
  </r>
  <r>
    <x v="1156"/>
    <x v="32"/>
    <s v="CUST1897"/>
    <s v="Linda Kurniawan"/>
    <x v="3"/>
    <x v="3"/>
    <x v="16"/>
    <n v="1"/>
    <n v="25.59"/>
    <s v="Cancelled"/>
    <s v="PayPal"/>
    <n v="25.59"/>
    <n v="3"/>
    <x v="0"/>
  </r>
  <r>
    <x v="1157"/>
    <x v="49"/>
    <s v="CUST1865"/>
    <s v="Ayu Salim"/>
    <x v="0"/>
    <x v="0"/>
    <x v="4"/>
    <n v="1"/>
    <n v="25.62"/>
    <s v="Completed"/>
    <s v="Credit Card"/>
    <n v="25.62"/>
    <n v="9"/>
    <x v="0"/>
  </r>
  <r>
    <x v="1158"/>
    <x v="567"/>
    <s v="CUST1634"/>
    <s v="James Sari"/>
    <x v="0"/>
    <x v="2"/>
    <x v="15"/>
    <n v="1"/>
    <n v="25.62"/>
    <s v="Pending"/>
    <s v="Gift Card"/>
    <n v="25.62"/>
    <n v="4"/>
    <x v="0"/>
  </r>
  <r>
    <x v="1159"/>
    <x v="520"/>
    <s v="CUST1569"/>
    <s v="David Kurniawan"/>
    <x v="0"/>
    <x v="5"/>
    <x v="28"/>
    <n v="1"/>
    <n v="25.62"/>
    <s v="Completed"/>
    <s v="Gift Card"/>
    <n v="25.62"/>
    <n v="9"/>
    <x v="0"/>
  </r>
  <r>
    <x v="1160"/>
    <x v="580"/>
    <s v="CUST1085"/>
    <s v="John Kurniawan"/>
    <x v="0"/>
    <x v="0"/>
    <x v="1"/>
    <n v="2"/>
    <n v="25.63"/>
    <s v="Completed"/>
    <s v="Gift Card"/>
    <n v="51.26"/>
    <n v="7"/>
    <x v="0"/>
  </r>
  <r>
    <x v="1161"/>
    <x v="214"/>
    <s v="CUST1237"/>
    <s v="Nina Anderson"/>
    <x v="0"/>
    <x v="2"/>
    <x v="15"/>
    <n v="2"/>
    <n v="25.64"/>
    <s v="Completed"/>
    <s v="Unknown"/>
    <n v="51.28"/>
    <n v="5"/>
    <x v="0"/>
  </r>
  <r>
    <x v="1162"/>
    <x v="526"/>
    <s v="CUST1343"/>
    <s v="Dewi Sari"/>
    <x v="0"/>
    <x v="2"/>
    <x v="15"/>
    <n v="1"/>
    <n v="25.66"/>
    <s v="Completed"/>
    <s v="Credit Card"/>
    <n v="25.66"/>
    <n v="4"/>
    <x v="0"/>
  </r>
  <r>
    <x v="1163"/>
    <x v="109"/>
    <s v="CUST1322"/>
    <s v="Ahmad Wijaya"/>
    <x v="1"/>
    <x v="2"/>
    <x v="15"/>
    <n v="1"/>
    <n v="25.66"/>
    <s v="Completed"/>
    <s v="Debit Card"/>
    <n v="25.66"/>
    <n v="7"/>
    <x v="0"/>
  </r>
  <r>
    <x v="1164"/>
    <x v="166"/>
    <s v="CUST1370"/>
    <s v="Rina Anderson"/>
    <x v="0"/>
    <x v="3"/>
    <x v="19"/>
    <n v="1"/>
    <n v="25.68"/>
    <s v="Completed"/>
    <s v="Debit Card"/>
    <n v="25.68"/>
    <n v="6"/>
    <x v="0"/>
  </r>
  <r>
    <x v="1165"/>
    <x v="177"/>
    <s v="CUST1058"/>
    <s v="John Johnson"/>
    <x v="0"/>
    <x v="3"/>
    <x v="16"/>
    <n v="2"/>
    <n v="25.69"/>
    <s v="Completed"/>
    <s v="Credit Card"/>
    <n v="51.38"/>
    <n v="6"/>
    <x v="0"/>
  </r>
  <r>
    <x v="1166"/>
    <x v="479"/>
    <s v="CUST1173"/>
    <s v="John Tan"/>
    <x v="0"/>
    <x v="3"/>
    <x v="13"/>
    <n v="2"/>
    <n v="25.71"/>
    <s v="Completed"/>
    <s v="Credit Card"/>
    <n v="51.42"/>
    <n v="5"/>
    <x v="0"/>
  </r>
  <r>
    <x v="1167"/>
    <x v="402"/>
    <s v="CUST1826"/>
    <s v="Maria Halim"/>
    <x v="0"/>
    <x v="3"/>
    <x v="16"/>
    <n v="1"/>
    <n v="25.72"/>
    <s v="Completed"/>
    <s v="PayPal"/>
    <n v="25.72"/>
    <n v="6"/>
    <x v="0"/>
  </r>
  <r>
    <x v="1168"/>
    <x v="423"/>
    <s v="CUST1753"/>
    <s v="Kevin Lee"/>
    <x v="0"/>
    <x v="2"/>
    <x v="8"/>
    <n v="1"/>
    <n v="25.74"/>
    <s v="Completed"/>
    <s v="Debit Card"/>
    <n v="25.74"/>
    <n v="6"/>
    <x v="0"/>
  </r>
  <r>
    <x v="1169"/>
    <x v="581"/>
    <s v="CUST1693"/>
    <s v="Lisa Santos"/>
    <x v="0"/>
    <x v="0"/>
    <x v="3"/>
    <n v="1"/>
    <n v="25.74"/>
    <s v="Completed"/>
    <s v="Unknown"/>
    <n v="25.74"/>
    <n v="8"/>
    <x v="0"/>
  </r>
  <r>
    <x v="1170"/>
    <x v="582"/>
    <s v="CUST1826"/>
    <s v="Maria Halim"/>
    <x v="0"/>
    <x v="2"/>
    <x v="8"/>
    <n v="4"/>
    <n v="25.75"/>
    <s v="Completed"/>
    <s v="Debit Card"/>
    <n v="103"/>
    <n v="6"/>
    <x v="0"/>
  </r>
  <r>
    <x v="1171"/>
    <x v="583"/>
    <s v="CUST1466"/>
    <s v="Lisa Wijaya"/>
    <x v="0"/>
    <x v="3"/>
    <x v="19"/>
    <n v="1"/>
    <n v="25.77"/>
    <s v="Completed"/>
    <s v="Gift Card"/>
    <n v="25.77"/>
    <n v="5"/>
    <x v="0"/>
  </r>
  <r>
    <x v="1172"/>
    <x v="377"/>
    <s v="CUST1822"/>
    <s v="Ayu Wilson"/>
    <x v="0"/>
    <x v="1"/>
    <x v="5"/>
    <n v="1"/>
    <n v="25.77"/>
    <s v="Completed"/>
    <s v="Gift Card"/>
    <n v="25.77"/>
    <n v="6"/>
    <x v="0"/>
  </r>
  <r>
    <x v="1173"/>
    <x v="584"/>
    <s v="CUST1848"/>
    <s v="Sarah Nugroho"/>
    <x v="0"/>
    <x v="6"/>
    <x v="39"/>
    <n v="2"/>
    <n v="25.8"/>
    <s v="Completed"/>
    <s v="Credit Card"/>
    <n v="51.6"/>
    <n v="5"/>
    <x v="0"/>
  </r>
  <r>
    <x v="1174"/>
    <x v="474"/>
    <s v="CUST1589"/>
    <s v="Siti Nugroho"/>
    <x v="0"/>
    <x v="2"/>
    <x v="10"/>
    <n v="1"/>
    <n v="25.83"/>
    <s v="Completed"/>
    <s v="Gift Card"/>
    <n v="25.83"/>
    <n v="5"/>
    <x v="0"/>
  </r>
  <r>
    <x v="1175"/>
    <x v="272"/>
    <s v="CUST1007"/>
    <s v="Budi Garcia"/>
    <x v="0"/>
    <x v="0"/>
    <x v="4"/>
    <n v="1"/>
    <n v="25.86"/>
    <s v="Completed"/>
    <s v="PayPal"/>
    <n v="25.86"/>
    <n v="5"/>
    <x v="0"/>
  </r>
  <r>
    <x v="1176"/>
    <x v="585"/>
    <s v="CUST1441"/>
    <s v="Fajar Hidayat"/>
    <x v="0"/>
    <x v="2"/>
    <x v="15"/>
    <n v="2"/>
    <n v="25.86"/>
    <s v="Completed"/>
    <s v="Credit Card"/>
    <n v="51.72"/>
    <n v="6"/>
    <x v="0"/>
  </r>
  <r>
    <x v="1177"/>
    <x v="586"/>
    <s v="CUST1450"/>
    <s v="David Santos"/>
    <x v="0"/>
    <x v="4"/>
    <x v="26"/>
    <n v="1"/>
    <n v="25.87"/>
    <s v="Completed"/>
    <s v="PayPal"/>
    <n v="25.87"/>
    <n v="5"/>
    <x v="0"/>
  </r>
  <r>
    <x v="1178"/>
    <x v="203"/>
    <s v="CUST1701"/>
    <s v="John Santos"/>
    <x v="1"/>
    <x v="2"/>
    <x v="8"/>
    <n v="1"/>
    <n v="25.87"/>
    <s v="Completed"/>
    <s v="Gift Card"/>
    <n v="25.87"/>
    <n v="7"/>
    <x v="0"/>
  </r>
  <r>
    <x v="1179"/>
    <x v="287"/>
    <s v="CUST1608"/>
    <s v="Dewi Lee"/>
    <x v="0"/>
    <x v="2"/>
    <x v="8"/>
    <n v="1"/>
    <n v="25.88"/>
    <s v="Completed"/>
    <s v="Debit Card"/>
    <n v="25.88"/>
    <n v="5"/>
    <x v="0"/>
  </r>
  <r>
    <x v="1180"/>
    <x v="163"/>
    <s v="CUST1492"/>
    <s v="Sarah Nugroho"/>
    <x v="1"/>
    <x v="0"/>
    <x v="3"/>
    <n v="1"/>
    <n v="25.88"/>
    <s v="Completed"/>
    <s v="Credit Card"/>
    <n v="25.88"/>
    <n v="4"/>
    <x v="0"/>
  </r>
  <r>
    <x v="1181"/>
    <x v="184"/>
    <s v="CUST1611"/>
    <s v="Maria Sari"/>
    <x v="0"/>
    <x v="3"/>
    <x v="14"/>
    <n v="1"/>
    <n v="25.88"/>
    <s v="Returned"/>
    <s v="PayPal"/>
    <n v="25.88"/>
    <n v="10"/>
    <x v="0"/>
  </r>
  <r>
    <x v="1182"/>
    <x v="105"/>
    <s v="CUST1105"/>
    <s v="Rina Pratama"/>
    <x v="1"/>
    <x v="4"/>
    <x v="24"/>
    <n v="1"/>
    <n v="25.88"/>
    <s v="Completed"/>
    <s v="Gift Card"/>
    <n v="25.88"/>
    <n v="4"/>
    <x v="0"/>
  </r>
  <r>
    <x v="1183"/>
    <x v="294"/>
    <s v="CUST1437"/>
    <s v="John Tan"/>
    <x v="0"/>
    <x v="3"/>
    <x v="13"/>
    <n v="1"/>
    <n v="25.9"/>
    <s v="Completed"/>
    <s v="Debit Card"/>
    <n v="25.9"/>
    <n v="3"/>
    <x v="0"/>
  </r>
  <r>
    <x v="1184"/>
    <x v="529"/>
    <s v="CUST1828"/>
    <s v="Andi Chen"/>
    <x v="0"/>
    <x v="0"/>
    <x v="2"/>
    <n v="2"/>
    <n v="25.902155172413806"/>
    <s v="Returned"/>
    <s v="PayPal"/>
    <n v="51.804310344827613"/>
    <n v="2"/>
    <x v="0"/>
  </r>
  <r>
    <x v="1185"/>
    <x v="102"/>
    <s v="CUST1628"/>
    <s v="John Chen"/>
    <x v="3"/>
    <x v="0"/>
    <x v="2"/>
    <n v="3"/>
    <n v="25.902155172413806"/>
    <s v="Completed"/>
    <s v="PayPal"/>
    <n v="77.706465517241412"/>
    <n v="3"/>
    <x v="0"/>
  </r>
  <r>
    <x v="1186"/>
    <x v="303"/>
    <s v="CUST1183"/>
    <s v="Maria Santos"/>
    <x v="2"/>
    <x v="6"/>
    <x v="40"/>
    <n v="1"/>
    <n v="25.91"/>
    <s v="Completed"/>
    <s v="Credit Card"/>
    <n v="25.91"/>
    <n v="2"/>
    <x v="0"/>
  </r>
  <r>
    <x v="1187"/>
    <x v="171"/>
    <s v="CUST1177"/>
    <s v="Ayu Pratama"/>
    <x v="0"/>
    <x v="0"/>
    <x v="3"/>
    <n v="1"/>
    <n v="25.918431372549026"/>
    <s v="Completed"/>
    <s v="Debit Card"/>
    <n v="25.918431372549026"/>
    <n v="5"/>
    <x v="0"/>
  </r>
  <r>
    <x v="1188"/>
    <x v="587"/>
    <s v="CUST1380"/>
    <s v="Lisa Brown"/>
    <x v="1"/>
    <x v="0"/>
    <x v="3"/>
    <n v="1"/>
    <n v="25.918431372549026"/>
    <s v="Completed"/>
    <s v="PayPal"/>
    <n v="25.918431372549026"/>
    <n v="6"/>
    <x v="0"/>
  </r>
  <r>
    <x v="1189"/>
    <x v="143"/>
    <s v="CUST1722"/>
    <s v="Sarah Wilson"/>
    <x v="1"/>
    <x v="2"/>
    <x v="11"/>
    <n v="1"/>
    <n v="25.92"/>
    <s v="Completed"/>
    <s v="PayPal"/>
    <n v="25.92"/>
    <n v="3"/>
    <x v="0"/>
  </r>
  <r>
    <x v="1190"/>
    <x v="588"/>
    <s v="CUST1410"/>
    <s v="Fajar Hidayat"/>
    <x v="1"/>
    <x v="4"/>
    <x v="25"/>
    <n v="3"/>
    <n v="25.94"/>
    <s v="Completed"/>
    <s v="Gift Card"/>
    <n v="77.820000000000007"/>
    <n v="6"/>
    <x v="0"/>
  </r>
  <r>
    <x v="1191"/>
    <x v="589"/>
    <s v="CUST1867"/>
    <s v="Nina Garcia"/>
    <x v="1"/>
    <x v="0"/>
    <x v="1"/>
    <n v="1"/>
    <n v="25.94"/>
    <s v="Completed"/>
    <s v="Credit Card"/>
    <n v="25.94"/>
    <n v="4"/>
    <x v="0"/>
  </r>
  <r>
    <x v="1192"/>
    <x v="427"/>
    <s v="CUST1396"/>
    <s v="David Wijaya"/>
    <x v="0"/>
    <x v="0"/>
    <x v="0"/>
    <n v="1"/>
    <n v="25.97"/>
    <s v="Completed"/>
    <s v="Gift Card"/>
    <n v="25.97"/>
    <n v="5"/>
    <x v="0"/>
  </r>
  <r>
    <x v="1193"/>
    <x v="81"/>
    <s v="CUST1111"/>
    <s v="Siti Halim"/>
    <x v="0"/>
    <x v="4"/>
    <x v="25"/>
    <n v="2"/>
    <n v="25.97"/>
    <s v="Cancelled"/>
    <s v="PayPal"/>
    <n v="51.94"/>
    <n v="6"/>
    <x v="0"/>
  </r>
  <r>
    <x v="1194"/>
    <x v="242"/>
    <s v="CUST1657"/>
    <s v="Lisa Brown"/>
    <x v="1"/>
    <x v="6"/>
    <x v="36"/>
    <n v="1"/>
    <n v="25.98"/>
    <s v="Completed"/>
    <s v="Debit Card"/>
    <n v="25.98"/>
    <n v="5"/>
    <x v="0"/>
  </r>
  <r>
    <x v="1195"/>
    <x v="565"/>
    <s v="CUST1746"/>
    <s v="Siti Garcia"/>
    <x v="0"/>
    <x v="0"/>
    <x v="0"/>
    <n v="1"/>
    <n v="25.99"/>
    <s v="Completed"/>
    <s v="Debit Card"/>
    <n v="25.99"/>
    <n v="7"/>
    <x v="0"/>
  </r>
  <r>
    <x v="1196"/>
    <x v="312"/>
    <s v="CUST1662"/>
    <s v="Siti Lee"/>
    <x v="1"/>
    <x v="2"/>
    <x v="7"/>
    <n v="1"/>
    <n v="26"/>
    <s v="Completed"/>
    <s v="Gift Card"/>
    <n v="26"/>
    <n v="5"/>
    <x v="0"/>
  </r>
  <r>
    <x v="1197"/>
    <x v="33"/>
    <s v="CUST1455"/>
    <s v="Linda Taylor"/>
    <x v="0"/>
    <x v="1"/>
    <x v="6"/>
    <n v="2"/>
    <n v="26"/>
    <s v="Completed"/>
    <s v="Debit Card"/>
    <n v="52"/>
    <n v="3"/>
    <x v="0"/>
  </r>
  <r>
    <x v="1198"/>
    <x v="136"/>
    <s v="CUST1232"/>
    <s v="Michael Chen"/>
    <x v="0"/>
    <x v="2"/>
    <x v="15"/>
    <n v="3"/>
    <n v="26.02"/>
    <s v="Completed"/>
    <s v="Gift Card"/>
    <n v="78.06"/>
    <n v="6"/>
    <x v="0"/>
  </r>
  <r>
    <x v="1199"/>
    <x v="234"/>
    <s v="CUST1641"/>
    <s v="Rina Nugroho"/>
    <x v="1"/>
    <x v="2"/>
    <x v="10"/>
    <n v="1"/>
    <n v="26.03"/>
    <s v="Completed"/>
    <s v="Credit Card"/>
    <n v="26.03"/>
    <n v="8"/>
    <x v="0"/>
  </r>
  <r>
    <x v="1200"/>
    <x v="590"/>
    <s v="CUST1166"/>
    <s v="Ahmad Garcia"/>
    <x v="0"/>
    <x v="1"/>
    <x v="20"/>
    <n v="1"/>
    <n v="26.03"/>
    <s v="Completed"/>
    <s v="Gift Card"/>
    <n v="26.03"/>
    <n v="3"/>
    <x v="0"/>
  </r>
  <r>
    <x v="1201"/>
    <x v="591"/>
    <s v="CUST1679"/>
    <s v="Siti Halim"/>
    <x v="0"/>
    <x v="2"/>
    <x v="7"/>
    <n v="2"/>
    <n v="26.03"/>
    <s v="Completed"/>
    <s v="Debit Card"/>
    <n v="52.06"/>
    <n v="8"/>
    <x v="0"/>
  </r>
  <r>
    <x v="1202"/>
    <x v="242"/>
    <s v="CUST1812"/>
    <s v="Putri Hidayat"/>
    <x v="1"/>
    <x v="6"/>
    <x v="39"/>
    <n v="1"/>
    <n v="26.05"/>
    <s v="Returned"/>
    <s v="Gift Card"/>
    <n v="26.05"/>
    <n v="4"/>
    <x v="0"/>
  </r>
  <r>
    <x v="1203"/>
    <x v="507"/>
    <s v="CUST1147"/>
    <s v="Sarah Wilson"/>
    <x v="0"/>
    <x v="6"/>
    <x v="38"/>
    <n v="1"/>
    <n v="26.05"/>
    <s v="Completed"/>
    <s v="Debit Card"/>
    <n v="26.05"/>
    <n v="7"/>
    <x v="0"/>
  </r>
  <r>
    <x v="1204"/>
    <x v="592"/>
    <s v="CUST1271"/>
    <s v="Lisa Chen"/>
    <x v="0"/>
    <x v="5"/>
    <x v="29"/>
    <n v="1"/>
    <n v="26.05"/>
    <s v="Completed"/>
    <s v="Debit Card"/>
    <n v="26.05"/>
    <n v="6"/>
    <x v="0"/>
  </r>
  <r>
    <x v="1205"/>
    <x v="593"/>
    <s v="CUST1120"/>
    <s v="Dewi Johnson"/>
    <x v="1"/>
    <x v="0"/>
    <x v="3"/>
    <n v="1"/>
    <n v="26.07"/>
    <s v="Completed"/>
    <s v="PayPal"/>
    <n v="26.07"/>
    <n v="6"/>
    <x v="0"/>
  </r>
  <r>
    <x v="1206"/>
    <x v="395"/>
    <s v="CUST1217"/>
    <s v="Michael Santos"/>
    <x v="0"/>
    <x v="2"/>
    <x v="7"/>
    <n v="2"/>
    <n v="26.07"/>
    <s v="Completed"/>
    <s v="Credit Card"/>
    <n v="52.14"/>
    <n v="7"/>
    <x v="0"/>
  </r>
  <r>
    <x v="1207"/>
    <x v="594"/>
    <s v="CUST1719"/>
    <s v="Unknown Customer"/>
    <x v="1"/>
    <x v="5"/>
    <x v="31"/>
    <n v="5"/>
    <n v="26.08"/>
    <s v="Cancelled"/>
    <s v="PayPal"/>
    <n v="130.39999999999998"/>
    <n v="3"/>
    <x v="0"/>
  </r>
  <r>
    <x v="1208"/>
    <x v="595"/>
    <s v="CUST1351"/>
    <s v="David Chen"/>
    <x v="1"/>
    <x v="5"/>
    <x v="30"/>
    <n v="2"/>
    <n v="26.13"/>
    <s v="Completed"/>
    <s v="Debit Card"/>
    <n v="52.26"/>
    <n v="5"/>
    <x v="0"/>
  </r>
  <r>
    <x v="1209"/>
    <x v="459"/>
    <s v="CUST1097"/>
    <s v="Fajar Anderson"/>
    <x v="0"/>
    <x v="1"/>
    <x v="20"/>
    <n v="2"/>
    <n v="26.14"/>
    <s v="Cancelled"/>
    <s v="Debit Card"/>
    <n v="52.28"/>
    <n v="6"/>
    <x v="0"/>
  </r>
  <r>
    <x v="1210"/>
    <x v="312"/>
    <s v="CUST1141"/>
    <s v="Fajar Taylor"/>
    <x v="0"/>
    <x v="2"/>
    <x v="11"/>
    <n v="1"/>
    <n v="26.15"/>
    <s v="Completed"/>
    <s v="PayPal"/>
    <n v="26.15"/>
    <n v="7"/>
    <x v="0"/>
  </r>
  <r>
    <x v="1211"/>
    <x v="217"/>
    <s v="CUST1872"/>
    <s v="Siti Taylor"/>
    <x v="0"/>
    <x v="2"/>
    <x v="15"/>
    <n v="1"/>
    <n v="26.15"/>
    <s v="Completed"/>
    <s v="Credit Card"/>
    <n v="26.15"/>
    <n v="5"/>
    <x v="0"/>
  </r>
  <r>
    <x v="1212"/>
    <x v="112"/>
    <s v="CUST1676"/>
    <s v="Lisa Wijaya"/>
    <x v="1"/>
    <x v="3"/>
    <x v="13"/>
    <n v="1"/>
    <n v="26.2"/>
    <s v="Completed"/>
    <s v="Debit Card"/>
    <n v="26.2"/>
    <n v="7"/>
    <x v="0"/>
  </r>
  <r>
    <x v="1213"/>
    <x v="245"/>
    <s v="CUST1124"/>
    <s v="Siti Wijaya"/>
    <x v="0"/>
    <x v="3"/>
    <x v="16"/>
    <n v="2"/>
    <n v="26.2"/>
    <s v="Cancelled"/>
    <s v="Debit Card"/>
    <n v="52.4"/>
    <n v="5"/>
    <x v="0"/>
  </r>
  <r>
    <x v="1214"/>
    <x v="589"/>
    <s v="CUST1445"/>
    <s v="Kevin Anderson"/>
    <x v="0"/>
    <x v="2"/>
    <x v="11"/>
    <n v="4"/>
    <n v="26.2"/>
    <s v="Completed"/>
    <s v="Credit Card"/>
    <n v="104.8"/>
    <n v="9"/>
    <x v="0"/>
  </r>
  <r>
    <x v="1215"/>
    <x v="596"/>
    <s v="CUST1485"/>
    <s v="Dewi Smith"/>
    <x v="0"/>
    <x v="4"/>
    <x v="27"/>
    <n v="1"/>
    <n v="26.21"/>
    <s v="Completed"/>
    <s v="Credit Card"/>
    <n v="26.21"/>
    <n v="5"/>
    <x v="0"/>
  </r>
  <r>
    <x v="1216"/>
    <x v="597"/>
    <s v="CUST1362"/>
    <s v="Linda Taylor"/>
    <x v="1"/>
    <x v="3"/>
    <x v="19"/>
    <n v="1"/>
    <n v="26.24"/>
    <s v="Cancelled"/>
    <s v="Credit Card"/>
    <n v="26.24"/>
    <n v="4"/>
    <x v="0"/>
  </r>
  <r>
    <x v="1217"/>
    <x v="432"/>
    <s v="CUST1821"/>
    <s v="Ayu Kurniawan"/>
    <x v="1"/>
    <x v="6"/>
    <x v="41"/>
    <n v="2"/>
    <n v="26.26"/>
    <s v="Pending"/>
    <s v="Debit Card"/>
    <n v="52.52"/>
    <n v="4"/>
    <x v="0"/>
  </r>
  <r>
    <x v="1218"/>
    <x v="324"/>
    <s v="CUST1143"/>
    <s v="Linda Wijaya"/>
    <x v="0"/>
    <x v="0"/>
    <x v="2"/>
    <n v="2"/>
    <n v="26.27"/>
    <s v="Completed"/>
    <s v="Credit Card"/>
    <n v="52.54"/>
    <n v="4"/>
    <x v="0"/>
  </r>
  <r>
    <x v="1219"/>
    <x v="451"/>
    <s v="CUST1095"/>
    <s v="Sarah Smith"/>
    <x v="0"/>
    <x v="5"/>
    <x v="29"/>
    <n v="1"/>
    <n v="26.33"/>
    <s v="Completed"/>
    <s v="Gift Card"/>
    <n v="26.33"/>
    <n v="9"/>
    <x v="0"/>
  </r>
  <r>
    <x v="1220"/>
    <x v="67"/>
    <s v="CUST1617"/>
    <s v="Robert Tan"/>
    <x v="0"/>
    <x v="0"/>
    <x v="1"/>
    <n v="1"/>
    <n v="26.343603603603594"/>
    <s v="Pending"/>
    <s v="Debit Card"/>
    <n v="26.343603603603594"/>
    <n v="3"/>
    <x v="0"/>
  </r>
  <r>
    <x v="1221"/>
    <x v="598"/>
    <s v="CUST1497"/>
    <s v="David Halim"/>
    <x v="1"/>
    <x v="0"/>
    <x v="3"/>
    <n v="1"/>
    <n v="26.39"/>
    <s v="Completed"/>
    <s v="Credit Card"/>
    <n v="26.39"/>
    <n v="3"/>
    <x v="0"/>
  </r>
  <r>
    <x v="1222"/>
    <x v="447"/>
    <s v="CUST1323"/>
    <s v="James Garcia"/>
    <x v="1"/>
    <x v="4"/>
    <x v="23"/>
    <n v="1"/>
    <n v="26.39"/>
    <s v="Cancelled"/>
    <s v="Credit Card"/>
    <n v="26.39"/>
    <n v="2"/>
    <x v="0"/>
  </r>
  <r>
    <x v="1223"/>
    <x v="331"/>
    <s v="CUST1783"/>
    <s v="Ayu Taylor"/>
    <x v="0"/>
    <x v="5"/>
    <x v="29"/>
    <n v="1"/>
    <n v="26.41"/>
    <s v="Cancelled"/>
    <s v="PayPal"/>
    <n v="26.41"/>
    <n v="11"/>
    <x v="0"/>
  </r>
  <r>
    <x v="1224"/>
    <x v="414"/>
    <s v="CUST1026"/>
    <s v="Putri Yusuf"/>
    <x v="0"/>
    <x v="2"/>
    <x v="15"/>
    <n v="1"/>
    <n v="26.43"/>
    <s v="Completed"/>
    <s v="Gift Card"/>
    <n v="26.43"/>
    <n v="6"/>
    <x v="0"/>
  </r>
  <r>
    <x v="1225"/>
    <x v="156"/>
    <s v="CUST1629"/>
    <s v="James Tan"/>
    <x v="1"/>
    <x v="6"/>
    <x v="37"/>
    <n v="1"/>
    <n v="26.43"/>
    <s v="Completed"/>
    <s v="PayPal"/>
    <n v="26.43"/>
    <n v="5"/>
    <x v="0"/>
  </r>
  <r>
    <x v="1226"/>
    <x v="572"/>
    <s v="CUST1155"/>
    <s v="Budi Brown"/>
    <x v="0"/>
    <x v="1"/>
    <x v="20"/>
    <n v="4"/>
    <n v="26.43"/>
    <s v="Pending"/>
    <s v="PayPal"/>
    <n v="105.72"/>
    <n v="5"/>
    <x v="0"/>
  </r>
  <r>
    <x v="1227"/>
    <x v="175"/>
    <s v="CUST1279"/>
    <s v="Rina Garcia"/>
    <x v="0"/>
    <x v="3"/>
    <x v="19"/>
    <n v="2"/>
    <n v="26.44"/>
    <s v="Completed"/>
    <s v="Unknown"/>
    <n v="52.88"/>
    <n v="4"/>
    <x v="0"/>
  </r>
  <r>
    <x v="1228"/>
    <x v="279"/>
    <s v="CUST1090"/>
    <s v="Lisa Pratama"/>
    <x v="0"/>
    <x v="0"/>
    <x v="2"/>
    <n v="5"/>
    <n v="26.48"/>
    <s v="Completed"/>
    <s v="Debit Card"/>
    <n v="132.4"/>
    <n v="4"/>
    <x v="0"/>
  </r>
  <r>
    <x v="1229"/>
    <x v="599"/>
    <s v="CUST1574"/>
    <s v="Ahmad Hidayat"/>
    <x v="0"/>
    <x v="2"/>
    <x v="15"/>
    <n v="2"/>
    <n v="26.52"/>
    <s v="Completed"/>
    <s v="Debit Card"/>
    <n v="53.04"/>
    <n v="4"/>
    <x v="0"/>
  </r>
  <r>
    <x v="1230"/>
    <x v="147"/>
    <s v="CUST1771"/>
    <s v="Putri Salim"/>
    <x v="0"/>
    <x v="0"/>
    <x v="4"/>
    <n v="1"/>
    <n v="26.53"/>
    <s v="Completed"/>
    <s v="Gift Card"/>
    <n v="26.53"/>
    <n v="7"/>
    <x v="0"/>
  </r>
  <r>
    <x v="1231"/>
    <x v="305"/>
    <s v="CUST1225"/>
    <s v="Siti Wilson"/>
    <x v="1"/>
    <x v="2"/>
    <x v="10"/>
    <n v="1"/>
    <n v="26.53"/>
    <s v="Completed"/>
    <s v="PayPal"/>
    <n v="26.53"/>
    <n v="6"/>
    <x v="0"/>
  </r>
  <r>
    <x v="1232"/>
    <x v="94"/>
    <s v="CUST1640"/>
    <s v="Siti Smith"/>
    <x v="0"/>
    <x v="6"/>
    <x v="40"/>
    <n v="1"/>
    <n v="26.53"/>
    <s v="Completed"/>
    <s v="Gift Card"/>
    <n v="26.53"/>
    <n v="9"/>
    <x v="0"/>
  </r>
  <r>
    <x v="1233"/>
    <x v="437"/>
    <s v="CUST1779"/>
    <s v="Andi Yusuf"/>
    <x v="0"/>
    <x v="1"/>
    <x v="17"/>
    <n v="1"/>
    <n v="26.53"/>
    <s v="Completed"/>
    <s v="PayPal"/>
    <n v="26.53"/>
    <n v="8"/>
    <x v="0"/>
  </r>
  <r>
    <x v="1234"/>
    <x v="155"/>
    <s v="CUST1284"/>
    <s v="Lisa Smith"/>
    <x v="0"/>
    <x v="2"/>
    <x v="10"/>
    <n v="1"/>
    <n v="26.54"/>
    <s v="Completed"/>
    <s v="Credit Card"/>
    <n v="26.54"/>
    <n v="7"/>
    <x v="0"/>
  </r>
  <r>
    <x v="1235"/>
    <x v="41"/>
    <s v="CUST1855"/>
    <s v="James Brown"/>
    <x v="0"/>
    <x v="2"/>
    <x v="15"/>
    <n v="2"/>
    <n v="26.54"/>
    <s v="Completed"/>
    <s v="Debit Card"/>
    <n v="53.08"/>
    <n v="5"/>
    <x v="0"/>
  </r>
  <r>
    <x v="1236"/>
    <x v="600"/>
    <s v="CUST1364"/>
    <s v="David Brown"/>
    <x v="0"/>
    <x v="2"/>
    <x v="15"/>
    <n v="1"/>
    <n v="26.55"/>
    <s v="Completed"/>
    <s v="Credit Card"/>
    <n v="26.55"/>
    <n v="8"/>
    <x v="0"/>
  </r>
  <r>
    <x v="1237"/>
    <x v="462"/>
    <s v="CUST1357"/>
    <s v="Andi Garcia"/>
    <x v="1"/>
    <x v="1"/>
    <x v="9"/>
    <n v="1"/>
    <n v="26.56"/>
    <s v="Pending"/>
    <s v="Gift Card"/>
    <n v="26.56"/>
    <n v="2"/>
    <x v="0"/>
  </r>
  <r>
    <x v="1238"/>
    <x v="501"/>
    <s v="CUST1346"/>
    <s v="Dewi Taylor"/>
    <x v="0"/>
    <x v="2"/>
    <x v="11"/>
    <n v="1"/>
    <n v="26.59"/>
    <s v="Completed"/>
    <s v="Credit Card"/>
    <n v="26.59"/>
    <n v="3"/>
    <x v="0"/>
  </r>
  <r>
    <x v="1239"/>
    <x v="34"/>
    <s v="CUST1843"/>
    <s v="Siti Hidayat"/>
    <x v="0"/>
    <x v="0"/>
    <x v="2"/>
    <n v="1"/>
    <n v="26.59"/>
    <s v="Completed"/>
    <s v="Credit Card"/>
    <n v="26.59"/>
    <n v="8"/>
    <x v="0"/>
  </r>
  <r>
    <x v="1240"/>
    <x v="601"/>
    <s v="CUST1578"/>
    <s v="Putri Salim"/>
    <x v="1"/>
    <x v="2"/>
    <x v="10"/>
    <n v="1"/>
    <n v="26.59"/>
    <s v="Completed"/>
    <s v="Credit Card"/>
    <n v="26.59"/>
    <n v="4"/>
    <x v="0"/>
  </r>
  <r>
    <x v="1241"/>
    <x v="5"/>
    <s v="CUST1506"/>
    <s v="Lisa Wilson"/>
    <x v="1"/>
    <x v="0"/>
    <x v="3"/>
    <n v="2"/>
    <n v="26.61"/>
    <s v="Completed"/>
    <s v="Debit Card"/>
    <n v="53.22"/>
    <n v="5"/>
    <x v="0"/>
  </r>
  <r>
    <x v="1242"/>
    <x v="211"/>
    <s v="CUST1719"/>
    <s v="Nina Yusuf"/>
    <x v="1"/>
    <x v="2"/>
    <x v="10"/>
    <n v="1"/>
    <n v="26.62"/>
    <s v="Returned"/>
    <s v="Credit Card"/>
    <n v="26.62"/>
    <n v="3"/>
    <x v="0"/>
  </r>
  <r>
    <x v="1243"/>
    <x v="227"/>
    <s v="CUST1841"/>
    <s v="Putri Anderson"/>
    <x v="0"/>
    <x v="4"/>
    <x v="24"/>
    <n v="1"/>
    <n v="26.63"/>
    <s v="Completed"/>
    <s v="Gift Card"/>
    <n v="26.63"/>
    <n v="4"/>
    <x v="0"/>
  </r>
  <r>
    <x v="1244"/>
    <x v="450"/>
    <s v="CUST1285"/>
    <s v="John Kurniawan"/>
    <x v="1"/>
    <x v="3"/>
    <x v="13"/>
    <n v="1"/>
    <n v="26.67"/>
    <s v="Completed"/>
    <s v="Gift Card"/>
    <n v="26.67"/>
    <n v="3"/>
    <x v="0"/>
  </r>
  <r>
    <x v="1245"/>
    <x v="602"/>
    <s v="CUST1067"/>
    <s v="Nina Halim"/>
    <x v="0"/>
    <x v="3"/>
    <x v="12"/>
    <n v="2"/>
    <n v="26.69"/>
    <s v="Cancelled"/>
    <s v="Gift Card"/>
    <n v="53.38"/>
    <n v="6"/>
    <x v="0"/>
  </r>
  <r>
    <x v="1246"/>
    <x v="342"/>
    <s v="CUST1487"/>
    <s v="Andi Lee"/>
    <x v="0"/>
    <x v="3"/>
    <x v="12"/>
    <n v="1"/>
    <n v="26.71"/>
    <s v="Pending"/>
    <s v="PayPal"/>
    <n v="26.71"/>
    <n v="7"/>
    <x v="0"/>
  </r>
  <r>
    <x v="1247"/>
    <x v="512"/>
    <s v="CUST1445"/>
    <s v="Kevin Anderson"/>
    <x v="0"/>
    <x v="1"/>
    <x v="9"/>
    <n v="1"/>
    <n v="26.72"/>
    <s v="Pending"/>
    <s v="Credit Card"/>
    <n v="26.72"/>
    <n v="9"/>
    <x v="0"/>
  </r>
  <r>
    <x v="1248"/>
    <x v="209"/>
    <s v="CUST1484"/>
    <s v="James Anderson"/>
    <x v="0"/>
    <x v="2"/>
    <x v="8"/>
    <n v="1"/>
    <n v="26.72"/>
    <s v="Completed"/>
    <s v="PayPal"/>
    <n v="26.72"/>
    <n v="5"/>
    <x v="0"/>
  </r>
  <r>
    <x v="1249"/>
    <x v="102"/>
    <s v="CUST1459"/>
    <s v="Rina Smith"/>
    <x v="0"/>
    <x v="3"/>
    <x v="19"/>
    <n v="2"/>
    <n v="26.73"/>
    <s v="Completed"/>
    <s v="Debit Card"/>
    <n v="53.46"/>
    <n v="4"/>
    <x v="0"/>
  </r>
  <r>
    <x v="1250"/>
    <x v="126"/>
    <s v="CUST1729"/>
    <s v="Rina Halim"/>
    <x v="0"/>
    <x v="4"/>
    <x v="24"/>
    <n v="1"/>
    <n v="26.74"/>
    <s v="Completed"/>
    <s v="Credit Card"/>
    <n v="26.74"/>
    <n v="2"/>
    <x v="0"/>
  </r>
  <r>
    <x v="1251"/>
    <x v="603"/>
    <s v="CUST1314"/>
    <s v="Michael Pratama"/>
    <x v="0"/>
    <x v="3"/>
    <x v="16"/>
    <n v="2"/>
    <n v="26.74"/>
    <s v="Cancelled"/>
    <s v="Credit Card"/>
    <n v="53.48"/>
    <n v="5"/>
    <x v="0"/>
  </r>
  <r>
    <x v="1252"/>
    <x v="604"/>
    <s v="CUST1871"/>
    <s v="Andi Smith"/>
    <x v="0"/>
    <x v="6"/>
    <x v="41"/>
    <n v="1"/>
    <n v="26.75"/>
    <s v="Completed"/>
    <s v="Debit Card"/>
    <n v="26.75"/>
    <n v="3"/>
    <x v="0"/>
  </r>
  <r>
    <x v="1253"/>
    <x v="605"/>
    <s v="CUST1103"/>
    <s v="Ahmad Salim"/>
    <x v="3"/>
    <x v="0"/>
    <x v="1"/>
    <n v="1"/>
    <n v="26.76"/>
    <s v="Completed"/>
    <s v="PayPal"/>
    <n v="26.76"/>
    <n v="6"/>
    <x v="0"/>
  </r>
  <r>
    <x v="1254"/>
    <x v="109"/>
    <s v="CUST1000"/>
    <s v="Siti Santos"/>
    <x v="1"/>
    <x v="2"/>
    <x v="11"/>
    <n v="2"/>
    <n v="26.77"/>
    <s v="Completed"/>
    <s v="PayPal"/>
    <n v="53.54"/>
    <n v="2"/>
    <x v="0"/>
  </r>
  <r>
    <x v="1255"/>
    <x v="361"/>
    <s v="CUST1121"/>
    <s v="David Nugroho"/>
    <x v="0"/>
    <x v="0"/>
    <x v="0"/>
    <n v="2"/>
    <n v="26.8"/>
    <s v="Completed"/>
    <s v="Gift Card"/>
    <n v="53.6"/>
    <n v="7"/>
    <x v="0"/>
  </r>
  <r>
    <x v="1256"/>
    <x v="52"/>
    <s v="CUST1145"/>
    <s v="Linda Smith"/>
    <x v="0"/>
    <x v="4"/>
    <x v="23"/>
    <n v="1"/>
    <n v="26.82"/>
    <s v="Completed"/>
    <s v="Credit Card"/>
    <n v="26.82"/>
    <n v="12"/>
    <x v="0"/>
  </r>
  <r>
    <x v="1257"/>
    <x v="40"/>
    <s v="CUST1466"/>
    <s v="Lisa Wijaya"/>
    <x v="0"/>
    <x v="2"/>
    <x v="10"/>
    <n v="2"/>
    <n v="26.82"/>
    <s v="Completed"/>
    <s v="Debit Card"/>
    <n v="53.64"/>
    <n v="5"/>
    <x v="0"/>
  </r>
  <r>
    <x v="1258"/>
    <x v="70"/>
    <s v="CUST1587"/>
    <s v="Robert Santos"/>
    <x v="0"/>
    <x v="0"/>
    <x v="3"/>
    <n v="1"/>
    <n v="26.83"/>
    <s v="Completed"/>
    <s v="Debit Card"/>
    <n v="26.83"/>
    <n v="3"/>
    <x v="0"/>
  </r>
  <r>
    <x v="1259"/>
    <x v="606"/>
    <s v="CUST1434"/>
    <s v="Fajar Pratama"/>
    <x v="2"/>
    <x v="2"/>
    <x v="8"/>
    <n v="1"/>
    <n v="26.84"/>
    <s v="Completed"/>
    <s v="PayPal"/>
    <n v="26.84"/>
    <n v="2"/>
    <x v="0"/>
  </r>
  <r>
    <x v="1260"/>
    <x v="265"/>
    <s v="CUST1253"/>
    <s v="Ahmad Garcia"/>
    <x v="0"/>
    <x v="3"/>
    <x v="16"/>
    <n v="3"/>
    <n v="26.86"/>
    <s v="Completed"/>
    <s v="Credit Card"/>
    <n v="80.58"/>
    <n v="5"/>
    <x v="0"/>
  </r>
  <r>
    <x v="1261"/>
    <x v="607"/>
    <s v="CUST1082"/>
    <s v="Fajar Smith"/>
    <x v="2"/>
    <x v="0"/>
    <x v="3"/>
    <n v="2"/>
    <n v="26.89"/>
    <s v="Completed"/>
    <s v="Unknown"/>
    <n v="53.78"/>
    <n v="3"/>
    <x v="0"/>
  </r>
  <r>
    <x v="1262"/>
    <x v="285"/>
    <s v="CUST1295"/>
    <s v="Unknown Customer"/>
    <x v="0"/>
    <x v="2"/>
    <x v="7"/>
    <n v="2"/>
    <n v="26.91"/>
    <s v="Completed"/>
    <s v="PayPal"/>
    <n v="53.82"/>
    <n v="7"/>
    <x v="0"/>
  </r>
  <r>
    <x v="1263"/>
    <x v="276"/>
    <s v="CUST1026"/>
    <s v="Putri Yusuf"/>
    <x v="0"/>
    <x v="2"/>
    <x v="11"/>
    <n v="1"/>
    <n v="26.97"/>
    <s v="Completed"/>
    <s v="PayPal"/>
    <n v="26.97"/>
    <n v="6"/>
    <x v="0"/>
  </r>
  <r>
    <x v="1264"/>
    <x v="63"/>
    <s v="CUST1886"/>
    <s v="Robert Taylor"/>
    <x v="0"/>
    <x v="0"/>
    <x v="0"/>
    <n v="1"/>
    <n v="26.97"/>
    <s v="Completed"/>
    <s v="Gift Card"/>
    <n v="26.97"/>
    <n v="5"/>
    <x v="0"/>
  </r>
  <r>
    <x v="1265"/>
    <x v="180"/>
    <s v="CUST1244"/>
    <s v="Nina Pratama"/>
    <x v="0"/>
    <x v="5"/>
    <x v="30"/>
    <n v="2"/>
    <n v="27.07"/>
    <s v="Completed"/>
    <s v="Gift Card"/>
    <n v="54.14"/>
    <n v="6"/>
    <x v="0"/>
  </r>
  <r>
    <x v="1266"/>
    <x v="464"/>
    <s v="CUST1543"/>
    <s v="Ayu Wilson"/>
    <x v="0"/>
    <x v="5"/>
    <x v="31"/>
    <n v="1"/>
    <n v="27.08"/>
    <s v="Completed"/>
    <s v="PayPal"/>
    <n v="27.08"/>
    <n v="12"/>
    <x v="0"/>
  </r>
  <r>
    <x v="1267"/>
    <x v="204"/>
    <s v="CUST1683"/>
    <s v="Putri Lee"/>
    <x v="0"/>
    <x v="0"/>
    <x v="2"/>
    <n v="4"/>
    <n v="27.12"/>
    <s v="Completed"/>
    <s v="Gift Card"/>
    <n v="108.48"/>
    <n v="4"/>
    <x v="0"/>
  </r>
  <r>
    <x v="1268"/>
    <x v="73"/>
    <s v="CUST1341"/>
    <s v="Fajar Wijaya"/>
    <x v="0"/>
    <x v="3"/>
    <x v="12"/>
    <n v="4"/>
    <n v="27.13"/>
    <s v="Completed"/>
    <s v="Unknown"/>
    <n v="108.52"/>
    <n v="6"/>
    <x v="0"/>
  </r>
  <r>
    <x v="1269"/>
    <x v="192"/>
    <s v="CUST1733"/>
    <s v="Lisa Sari"/>
    <x v="0"/>
    <x v="2"/>
    <x v="7"/>
    <n v="1"/>
    <n v="27.16"/>
    <s v="Cancelled"/>
    <s v="Credit Card"/>
    <n v="27.16"/>
    <n v="5"/>
    <x v="0"/>
  </r>
  <r>
    <x v="1270"/>
    <x v="152"/>
    <s v="CUST1078"/>
    <s v="Rina Santos"/>
    <x v="0"/>
    <x v="0"/>
    <x v="4"/>
    <n v="1"/>
    <n v="27.17"/>
    <s v="Completed"/>
    <s v="PayPal"/>
    <n v="27.17"/>
    <n v="7"/>
    <x v="0"/>
  </r>
  <r>
    <x v="1271"/>
    <x v="217"/>
    <s v="CUST1180"/>
    <s v="Rina Tan"/>
    <x v="0"/>
    <x v="0"/>
    <x v="4"/>
    <n v="1"/>
    <n v="27.18"/>
    <s v="Pending"/>
    <s v="PayPal"/>
    <n v="27.18"/>
    <n v="5"/>
    <x v="0"/>
  </r>
  <r>
    <x v="1272"/>
    <x v="125"/>
    <s v="CUST1681"/>
    <s v="Maria Hidayat"/>
    <x v="0"/>
    <x v="5"/>
    <x v="29"/>
    <n v="5"/>
    <n v="27.18"/>
    <s v="Completed"/>
    <s v="Gift Card"/>
    <n v="135.9"/>
    <n v="9"/>
    <x v="0"/>
  </r>
  <r>
    <x v="1273"/>
    <x v="277"/>
    <s v="CUST1308"/>
    <s v="Robert Yusuf"/>
    <x v="0"/>
    <x v="2"/>
    <x v="7"/>
    <n v="1"/>
    <n v="27.19"/>
    <s v="Completed"/>
    <s v="PayPal"/>
    <n v="27.19"/>
    <n v="4"/>
    <x v="0"/>
  </r>
  <r>
    <x v="1274"/>
    <x v="413"/>
    <s v="CUST1425"/>
    <s v="Linda Anderson"/>
    <x v="0"/>
    <x v="5"/>
    <x v="30"/>
    <n v="4"/>
    <n v="27.19"/>
    <s v="Completed"/>
    <s v="Gift Card"/>
    <n v="108.76"/>
    <n v="4"/>
    <x v="0"/>
  </r>
  <r>
    <x v="1275"/>
    <x v="372"/>
    <s v="CUST1712"/>
    <s v="David Nugroho"/>
    <x v="0"/>
    <x v="3"/>
    <x v="16"/>
    <n v="4"/>
    <n v="27.2"/>
    <s v="Cancelled"/>
    <s v="Credit Card"/>
    <n v="108.8"/>
    <n v="7"/>
    <x v="0"/>
  </r>
  <r>
    <x v="1276"/>
    <x v="608"/>
    <s v="CUST1237"/>
    <s v="Nina Anderson"/>
    <x v="0"/>
    <x v="0"/>
    <x v="1"/>
    <n v="1"/>
    <n v="27.21"/>
    <s v="Completed"/>
    <s v="Credit Card"/>
    <n v="27.21"/>
    <n v="5"/>
    <x v="0"/>
  </r>
  <r>
    <x v="1277"/>
    <x v="125"/>
    <s v="CUST1304"/>
    <s v="Unknown Customer"/>
    <x v="0"/>
    <x v="4"/>
    <x v="23"/>
    <n v="4"/>
    <n v="27.23"/>
    <s v="Completed"/>
    <s v="Credit Card"/>
    <n v="108.92"/>
    <n v="3"/>
    <x v="0"/>
  </r>
  <r>
    <x v="1278"/>
    <x v="353"/>
    <s v="CUST1781"/>
    <s v="Andi Yusuf"/>
    <x v="1"/>
    <x v="2"/>
    <x v="11"/>
    <n v="1"/>
    <n v="27.24"/>
    <s v="Completed"/>
    <s v="PayPal"/>
    <n v="27.24"/>
    <n v="5"/>
    <x v="0"/>
  </r>
  <r>
    <x v="1279"/>
    <x v="70"/>
    <s v="CUST1349"/>
    <s v="Unknown Customer"/>
    <x v="0"/>
    <x v="5"/>
    <x v="29"/>
    <n v="4"/>
    <n v="27.24"/>
    <s v="Completed"/>
    <s v="Gift Card"/>
    <n v="108.96"/>
    <n v="7"/>
    <x v="0"/>
  </r>
  <r>
    <x v="1280"/>
    <x v="573"/>
    <s v="CUST1633"/>
    <s v="James Kurniawan"/>
    <x v="0"/>
    <x v="2"/>
    <x v="11"/>
    <n v="1"/>
    <n v="27.25"/>
    <s v="Completed"/>
    <s v="PayPal"/>
    <n v="27.25"/>
    <n v="6"/>
    <x v="0"/>
  </r>
  <r>
    <x v="1281"/>
    <x v="448"/>
    <s v="CUST1445"/>
    <s v="Kevin Anderson"/>
    <x v="0"/>
    <x v="4"/>
    <x v="25"/>
    <n v="2"/>
    <n v="27.25"/>
    <s v="Cancelled"/>
    <s v="Gift Card"/>
    <n v="54.5"/>
    <n v="9"/>
    <x v="0"/>
  </r>
  <r>
    <x v="1282"/>
    <x v="336"/>
    <s v="CUST1229"/>
    <s v="Kevin Anderson"/>
    <x v="0"/>
    <x v="5"/>
    <x v="29"/>
    <n v="3"/>
    <n v="27.26"/>
    <s v="Completed"/>
    <s v="Credit Card"/>
    <n v="81.78"/>
    <n v="4"/>
    <x v="0"/>
  </r>
  <r>
    <x v="1283"/>
    <x v="455"/>
    <s v="CUST1487"/>
    <s v="Andi Lee"/>
    <x v="0"/>
    <x v="2"/>
    <x v="15"/>
    <n v="1"/>
    <n v="27.27"/>
    <s v="Completed"/>
    <s v="Debit Card"/>
    <n v="27.27"/>
    <n v="7"/>
    <x v="0"/>
  </r>
  <r>
    <x v="1284"/>
    <x v="395"/>
    <s v="CUST1305"/>
    <s v="Linda Nugroho"/>
    <x v="0"/>
    <x v="4"/>
    <x v="27"/>
    <n v="1"/>
    <n v="27.28"/>
    <s v="Cancelled"/>
    <s v="Debit Card"/>
    <n v="27.28"/>
    <n v="5"/>
    <x v="0"/>
  </r>
  <r>
    <x v="1285"/>
    <x v="191"/>
    <s v="CUST1482"/>
    <s v="Sarah Johnson"/>
    <x v="0"/>
    <x v="0"/>
    <x v="3"/>
    <n v="2"/>
    <n v="27.28"/>
    <s v="Completed"/>
    <s v="Credit Card"/>
    <n v="54.56"/>
    <n v="4"/>
    <x v="0"/>
  </r>
  <r>
    <x v="1286"/>
    <x v="49"/>
    <s v="CUST1656"/>
    <s v="Ayu Yusuf"/>
    <x v="1"/>
    <x v="0"/>
    <x v="4"/>
    <n v="2"/>
    <n v="27.29"/>
    <s v="Returned"/>
    <s v="Gift Card"/>
    <n v="54.58"/>
    <n v="4"/>
    <x v="0"/>
  </r>
  <r>
    <x v="1287"/>
    <x v="42"/>
    <s v="CUST1012"/>
    <s v="Andi Yusuf"/>
    <x v="0"/>
    <x v="0"/>
    <x v="0"/>
    <n v="1"/>
    <n v="27.32"/>
    <s v="Completed"/>
    <s v="Credit Card"/>
    <n v="27.32"/>
    <n v="6"/>
    <x v="0"/>
  </r>
  <r>
    <x v="1288"/>
    <x v="300"/>
    <s v="CUST1014"/>
    <s v="Linda Halim"/>
    <x v="1"/>
    <x v="6"/>
    <x v="38"/>
    <n v="1"/>
    <n v="27.33"/>
    <s v="Completed"/>
    <s v="Credit Card"/>
    <n v="27.33"/>
    <n v="3"/>
    <x v="0"/>
  </r>
  <r>
    <x v="1289"/>
    <x v="3"/>
    <s v="CUST1264"/>
    <s v="Siti Halim"/>
    <x v="0"/>
    <x v="0"/>
    <x v="4"/>
    <n v="2"/>
    <n v="27.35"/>
    <s v="Completed"/>
    <s v="Debit Card"/>
    <n v="54.7"/>
    <n v="7"/>
    <x v="0"/>
  </r>
  <r>
    <x v="1290"/>
    <x v="542"/>
    <s v="CUST1448"/>
    <s v="Maria Halim"/>
    <x v="0"/>
    <x v="2"/>
    <x v="11"/>
    <n v="4"/>
    <n v="27.36"/>
    <s v="Completed"/>
    <s v="PayPal"/>
    <n v="109.44"/>
    <n v="7"/>
    <x v="0"/>
  </r>
  <r>
    <x v="1291"/>
    <x v="189"/>
    <s v="CUST1745"/>
    <s v="Ahmad Halim"/>
    <x v="0"/>
    <x v="1"/>
    <x v="5"/>
    <n v="1"/>
    <n v="27.37"/>
    <s v="Completed"/>
    <s v="Credit Card"/>
    <n v="27.37"/>
    <n v="10"/>
    <x v="0"/>
  </r>
  <r>
    <x v="1292"/>
    <x v="237"/>
    <s v="CUST1153"/>
    <s v="Fajar Salim"/>
    <x v="0"/>
    <x v="4"/>
    <x v="25"/>
    <n v="1"/>
    <n v="27.4"/>
    <s v="Completed"/>
    <s v="Debit Card"/>
    <n v="27.4"/>
    <n v="6"/>
    <x v="0"/>
  </r>
  <r>
    <x v="1293"/>
    <x v="99"/>
    <s v="CUST1814"/>
    <s v="Michael Taylor"/>
    <x v="0"/>
    <x v="2"/>
    <x v="8"/>
    <n v="2"/>
    <n v="27.41"/>
    <s v="Completed"/>
    <s v="Gift Card"/>
    <n v="54.82"/>
    <n v="7"/>
    <x v="0"/>
  </r>
  <r>
    <x v="1294"/>
    <x v="457"/>
    <s v="CUST1124"/>
    <s v="Siti Wijaya"/>
    <x v="0"/>
    <x v="1"/>
    <x v="6"/>
    <n v="1"/>
    <n v="27.42"/>
    <s v="Completed"/>
    <s v="PayPal"/>
    <n v="27.42"/>
    <n v="5"/>
    <x v="0"/>
  </r>
  <r>
    <x v="1295"/>
    <x v="487"/>
    <s v="CUST1383"/>
    <s v="David Garcia"/>
    <x v="0"/>
    <x v="5"/>
    <x v="28"/>
    <n v="4"/>
    <n v="27.44"/>
    <s v="Completed"/>
    <s v="Gift Card"/>
    <n v="109.76"/>
    <n v="4"/>
    <x v="0"/>
  </r>
  <r>
    <x v="1296"/>
    <x v="270"/>
    <s v="CUST1771"/>
    <s v="Putri Salim"/>
    <x v="0"/>
    <x v="3"/>
    <x v="13"/>
    <n v="1"/>
    <n v="27.46"/>
    <s v="Cancelled"/>
    <s v="PayPal"/>
    <n v="27.46"/>
    <n v="7"/>
    <x v="0"/>
  </r>
  <r>
    <x v="1297"/>
    <x v="592"/>
    <s v="CUST1046"/>
    <s v="Michael Pratama"/>
    <x v="1"/>
    <x v="5"/>
    <x v="31"/>
    <n v="1"/>
    <n v="27.47"/>
    <s v="Completed"/>
    <s v="Gift Card"/>
    <n v="27.47"/>
    <n v="2"/>
    <x v="0"/>
  </r>
  <r>
    <x v="1298"/>
    <x v="475"/>
    <s v="CUST1864"/>
    <s v="John Anderson"/>
    <x v="3"/>
    <x v="2"/>
    <x v="10"/>
    <n v="1"/>
    <n v="27.47"/>
    <s v="Completed"/>
    <s v="Credit Card"/>
    <n v="27.47"/>
    <n v="1"/>
    <x v="1"/>
  </r>
  <r>
    <x v="1299"/>
    <x v="126"/>
    <s v="CUST1701"/>
    <s v="John Santos"/>
    <x v="1"/>
    <x v="3"/>
    <x v="14"/>
    <n v="2"/>
    <n v="27.47"/>
    <s v="Completed"/>
    <s v="PayPal"/>
    <n v="54.94"/>
    <n v="7"/>
    <x v="0"/>
  </r>
  <r>
    <x v="1300"/>
    <x v="609"/>
    <s v="CUST1888"/>
    <s v="Putri Tan"/>
    <x v="0"/>
    <x v="5"/>
    <x v="28"/>
    <n v="5"/>
    <n v="27.47"/>
    <s v="Returned"/>
    <s v="Gift Card"/>
    <n v="137.35"/>
    <n v="6"/>
    <x v="0"/>
  </r>
  <r>
    <x v="1301"/>
    <x v="435"/>
    <s v="CUST1622"/>
    <s v="Michael Garcia"/>
    <x v="0"/>
    <x v="6"/>
    <x v="42"/>
    <n v="1"/>
    <n v="27.5"/>
    <s v="Cancelled"/>
    <s v="PayPal"/>
    <n v="27.5"/>
    <n v="6"/>
    <x v="0"/>
  </r>
  <r>
    <x v="1302"/>
    <x v="610"/>
    <s v="CUST1674"/>
    <s v="Dewi Lee"/>
    <x v="0"/>
    <x v="2"/>
    <x v="7"/>
    <n v="1"/>
    <n v="27.51"/>
    <s v="Completed"/>
    <s v="Credit Card"/>
    <n v="27.51"/>
    <n v="11"/>
    <x v="0"/>
  </r>
  <r>
    <x v="1303"/>
    <x v="84"/>
    <s v="CUST1178"/>
    <s v="Michael Pratama"/>
    <x v="1"/>
    <x v="3"/>
    <x v="14"/>
    <n v="1"/>
    <n v="27.52"/>
    <s v="Cancelled"/>
    <s v="Gift Card"/>
    <n v="27.52"/>
    <n v="6"/>
    <x v="0"/>
  </r>
  <r>
    <x v="1304"/>
    <x v="404"/>
    <s v="CUST1288"/>
    <s v="Ahmad Halim"/>
    <x v="0"/>
    <x v="4"/>
    <x v="23"/>
    <n v="2"/>
    <n v="27.53"/>
    <s v="Returned"/>
    <s v="Gift Card"/>
    <n v="55.06"/>
    <n v="4"/>
    <x v="0"/>
  </r>
  <r>
    <x v="1305"/>
    <x v="582"/>
    <s v="CUST1063"/>
    <s v="David Anderson"/>
    <x v="0"/>
    <x v="3"/>
    <x v="14"/>
    <n v="3"/>
    <n v="27.53"/>
    <s v="Completed"/>
    <s v="Credit Card"/>
    <n v="82.59"/>
    <n v="7"/>
    <x v="0"/>
  </r>
  <r>
    <x v="1306"/>
    <x v="449"/>
    <s v="CUST1445"/>
    <s v="Kevin Anderson"/>
    <x v="0"/>
    <x v="0"/>
    <x v="4"/>
    <n v="1"/>
    <n v="27.54"/>
    <s v="Completed"/>
    <s v="PayPal"/>
    <n v="27.54"/>
    <n v="9"/>
    <x v="0"/>
  </r>
  <r>
    <x v="1307"/>
    <x v="382"/>
    <s v="CUST1250"/>
    <s v="Linda Smith"/>
    <x v="0"/>
    <x v="0"/>
    <x v="4"/>
    <n v="1"/>
    <n v="27.54"/>
    <s v="Cancelled"/>
    <s v="Gift Card"/>
    <n v="27.54"/>
    <n v="6"/>
    <x v="0"/>
  </r>
  <r>
    <x v="1308"/>
    <x v="335"/>
    <s v="CUST1761"/>
    <s v="Ahmad Johnson"/>
    <x v="0"/>
    <x v="1"/>
    <x v="17"/>
    <n v="2"/>
    <n v="27.54"/>
    <s v="Completed"/>
    <s v="Credit Card"/>
    <n v="55.08"/>
    <n v="7"/>
    <x v="0"/>
  </r>
  <r>
    <x v="1309"/>
    <x v="256"/>
    <s v="CUST1011"/>
    <s v="Dewi Garcia"/>
    <x v="0"/>
    <x v="4"/>
    <x v="27"/>
    <n v="2"/>
    <n v="27.54"/>
    <s v="Completed"/>
    <s v="Gift Card"/>
    <n v="55.08"/>
    <n v="7"/>
    <x v="0"/>
  </r>
  <r>
    <x v="1310"/>
    <x v="388"/>
    <s v="CUST1652"/>
    <s v="Ahmad Smith"/>
    <x v="1"/>
    <x v="2"/>
    <x v="8"/>
    <n v="1"/>
    <n v="27.56"/>
    <s v="Completed"/>
    <s v="Credit Card"/>
    <n v="27.56"/>
    <n v="3"/>
    <x v="0"/>
  </r>
  <r>
    <x v="1311"/>
    <x v="611"/>
    <s v="CUST1815"/>
    <s v="Budi Garcia"/>
    <x v="1"/>
    <x v="2"/>
    <x v="10"/>
    <n v="1"/>
    <n v="27.57"/>
    <s v="Completed"/>
    <s v="Gift Card"/>
    <n v="27.57"/>
    <n v="6"/>
    <x v="0"/>
  </r>
  <r>
    <x v="1312"/>
    <x v="208"/>
    <s v="CUST1487"/>
    <s v="Andi Lee"/>
    <x v="0"/>
    <x v="2"/>
    <x v="11"/>
    <n v="2"/>
    <n v="27.57"/>
    <s v="Completed"/>
    <s v="PayPal"/>
    <n v="55.14"/>
    <n v="7"/>
    <x v="0"/>
  </r>
  <r>
    <x v="1313"/>
    <x v="612"/>
    <s v="CUST1815"/>
    <s v="Budi Garcia"/>
    <x v="1"/>
    <x v="2"/>
    <x v="10"/>
    <n v="1"/>
    <n v="27.58"/>
    <s v="Completed"/>
    <s v="Credit Card"/>
    <n v="27.58"/>
    <n v="6"/>
    <x v="0"/>
  </r>
  <r>
    <x v="1314"/>
    <x v="124"/>
    <s v="CUST1698"/>
    <s v="James Johnson"/>
    <x v="3"/>
    <x v="0"/>
    <x v="4"/>
    <n v="1"/>
    <n v="27.58"/>
    <s v="Completed"/>
    <s v="PayPal"/>
    <n v="27.58"/>
    <n v="1"/>
    <x v="1"/>
  </r>
  <r>
    <x v="1315"/>
    <x v="23"/>
    <s v="CUST1543"/>
    <s v="Ayu Wilson"/>
    <x v="0"/>
    <x v="4"/>
    <x v="22"/>
    <n v="1"/>
    <n v="27.59"/>
    <s v="Completed"/>
    <s v="Debit Card"/>
    <n v="27.59"/>
    <n v="12"/>
    <x v="0"/>
  </r>
  <r>
    <x v="1316"/>
    <x v="613"/>
    <s v="CUST1400"/>
    <s v="James Yusuf"/>
    <x v="0"/>
    <x v="6"/>
    <x v="37"/>
    <n v="1"/>
    <n v="27.59"/>
    <s v="Completed"/>
    <s v="PayPal"/>
    <n v="27.59"/>
    <n v="7"/>
    <x v="0"/>
  </r>
  <r>
    <x v="1317"/>
    <x v="259"/>
    <s v="CUST1867"/>
    <s v="Nina Garcia"/>
    <x v="1"/>
    <x v="1"/>
    <x v="9"/>
    <n v="1"/>
    <n v="27.62"/>
    <s v="Completed"/>
    <s v="Debit Card"/>
    <n v="27.62"/>
    <n v="4"/>
    <x v="0"/>
  </r>
  <r>
    <x v="1318"/>
    <x v="504"/>
    <s v="CUST1812"/>
    <s v="Unknown Customer"/>
    <x v="1"/>
    <x v="0"/>
    <x v="4"/>
    <n v="1"/>
    <n v="27.67"/>
    <s v="Completed"/>
    <s v="Gift Card"/>
    <n v="27.67"/>
    <n v="4"/>
    <x v="0"/>
  </r>
  <r>
    <x v="1319"/>
    <x v="95"/>
    <s v="CUST1321"/>
    <s v="Putri Garcia"/>
    <x v="1"/>
    <x v="2"/>
    <x v="10"/>
    <n v="1"/>
    <n v="27.68"/>
    <s v="Completed"/>
    <s v="Gift Card"/>
    <n v="27.68"/>
    <n v="8"/>
    <x v="0"/>
  </r>
  <r>
    <x v="1320"/>
    <x v="614"/>
    <s v="CUST1160"/>
    <s v="James Nugroho"/>
    <x v="0"/>
    <x v="3"/>
    <x v="12"/>
    <n v="1"/>
    <n v="27.69"/>
    <s v="Completed"/>
    <s v="Debit Card"/>
    <n v="27.69"/>
    <n v="6"/>
    <x v="0"/>
  </r>
  <r>
    <x v="1321"/>
    <x v="355"/>
    <s v="CUST1678"/>
    <s v="Lisa Brown"/>
    <x v="1"/>
    <x v="0"/>
    <x v="4"/>
    <n v="2"/>
    <n v="27.71"/>
    <s v="Completed"/>
    <s v="PayPal"/>
    <n v="55.42"/>
    <n v="8"/>
    <x v="0"/>
  </r>
  <r>
    <x v="1322"/>
    <x v="615"/>
    <s v="CUST1388"/>
    <s v="Rina Tan"/>
    <x v="0"/>
    <x v="0"/>
    <x v="2"/>
    <n v="1"/>
    <n v="27.72"/>
    <s v="Completed"/>
    <s v="Debit Card"/>
    <n v="27.72"/>
    <n v="7"/>
    <x v="0"/>
  </r>
  <r>
    <x v="1323"/>
    <x v="206"/>
    <s v="CUST1070"/>
    <s v="Kevin Johnson"/>
    <x v="1"/>
    <x v="1"/>
    <x v="20"/>
    <n v="2"/>
    <n v="27.72"/>
    <s v="Completed"/>
    <s v="PayPal"/>
    <n v="55.44"/>
    <n v="3"/>
    <x v="0"/>
  </r>
  <r>
    <x v="1324"/>
    <x v="323"/>
    <s v="CUST1410"/>
    <s v="Fajar Hidayat"/>
    <x v="1"/>
    <x v="2"/>
    <x v="8"/>
    <n v="1"/>
    <n v="27.73"/>
    <s v="Completed"/>
    <s v="Credit Card"/>
    <n v="27.73"/>
    <n v="6"/>
    <x v="0"/>
  </r>
  <r>
    <x v="1325"/>
    <x v="379"/>
    <s v="CUST1379"/>
    <s v="Putri Halim"/>
    <x v="0"/>
    <x v="3"/>
    <x v="13"/>
    <n v="3"/>
    <n v="27.75"/>
    <s v="Completed"/>
    <s v="Credit Card"/>
    <n v="83.25"/>
    <n v="4"/>
    <x v="0"/>
  </r>
  <r>
    <x v="1326"/>
    <x v="71"/>
    <s v="CUST1724"/>
    <s v="James Pratama"/>
    <x v="0"/>
    <x v="2"/>
    <x v="15"/>
    <n v="1"/>
    <n v="27.76"/>
    <s v="Returned"/>
    <s v="Credit Card"/>
    <n v="27.76"/>
    <n v="4"/>
    <x v="0"/>
  </r>
  <r>
    <x v="1327"/>
    <x v="57"/>
    <s v="CUST1743"/>
    <s v="Linda Chen"/>
    <x v="0"/>
    <x v="1"/>
    <x v="18"/>
    <n v="1"/>
    <n v="27.77"/>
    <s v="Pending"/>
    <s v="PayPal"/>
    <n v="27.77"/>
    <n v="5"/>
    <x v="0"/>
  </r>
  <r>
    <x v="1328"/>
    <x v="476"/>
    <s v="CUST1016"/>
    <s v="John Pratama"/>
    <x v="1"/>
    <x v="6"/>
    <x v="38"/>
    <n v="1"/>
    <n v="27.81"/>
    <s v="Completed"/>
    <s v="Gift Card"/>
    <n v="27.81"/>
    <n v="4"/>
    <x v="0"/>
  </r>
  <r>
    <x v="1329"/>
    <x v="223"/>
    <s v="CUST1816"/>
    <s v="John Kurniawan"/>
    <x v="0"/>
    <x v="3"/>
    <x v="14"/>
    <n v="1"/>
    <n v="27.83"/>
    <s v="Completed"/>
    <s v="PayPal"/>
    <n v="27.83"/>
    <n v="6"/>
    <x v="0"/>
  </r>
  <r>
    <x v="1330"/>
    <x v="501"/>
    <s v="CUST1611"/>
    <s v="Maria Sari"/>
    <x v="0"/>
    <x v="2"/>
    <x v="15"/>
    <n v="4"/>
    <n v="27.83"/>
    <s v="Completed"/>
    <s v="Credit Card"/>
    <n v="111.32"/>
    <n v="10"/>
    <x v="0"/>
  </r>
  <r>
    <x v="1331"/>
    <x v="575"/>
    <s v="CUST1116"/>
    <s v="Michael Lee"/>
    <x v="0"/>
    <x v="0"/>
    <x v="1"/>
    <n v="1"/>
    <n v="27.84"/>
    <s v="Completed"/>
    <s v="Gift Card"/>
    <n v="27.84"/>
    <n v="4"/>
    <x v="0"/>
  </r>
  <r>
    <x v="1332"/>
    <x v="131"/>
    <s v="CUST1194"/>
    <s v="Maria Hidayat"/>
    <x v="0"/>
    <x v="0"/>
    <x v="4"/>
    <n v="3"/>
    <n v="27.86"/>
    <s v="Cancelled"/>
    <s v="Gift Card"/>
    <n v="83.58"/>
    <n v="8"/>
    <x v="0"/>
  </r>
  <r>
    <x v="1333"/>
    <x v="613"/>
    <s v="CUST1439"/>
    <s v="Maria Johnson"/>
    <x v="0"/>
    <x v="2"/>
    <x v="11"/>
    <n v="4"/>
    <n v="27.88"/>
    <s v="Completed"/>
    <s v="Debit Card"/>
    <n v="111.52"/>
    <n v="6"/>
    <x v="0"/>
  </r>
  <r>
    <x v="1334"/>
    <x v="616"/>
    <s v="CUST1476"/>
    <s v="Andi Wijaya"/>
    <x v="0"/>
    <x v="0"/>
    <x v="0"/>
    <n v="1"/>
    <n v="27.92"/>
    <s v="Cancelled"/>
    <s v="PayPal"/>
    <n v="27.92"/>
    <n v="3"/>
    <x v="0"/>
  </r>
  <r>
    <x v="1335"/>
    <x v="53"/>
    <s v="CUST1182"/>
    <s v="Dewi Tan"/>
    <x v="0"/>
    <x v="2"/>
    <x v="11"/>
    <n v="1"/>
    <n v="27.92"/>
    <s v="Completed"/>
    <s v="Debit Card"/>
    <n v="27.92"/>
    <n v="4"/>
    <x v="0"/>
  </r>
  <r>
    <x v="1336"/>
    <x v="617"/>
    <s v="CUST1062"/>
    <s v="Andi Salim"/>
    <x v="3"/>
    <x v="0"/>
    <x v="3"/>
    <n v="1"/>
    <n v="27.94"/>
    <s v="Completed"/>
    <s v="Unknown"/>
    <n v="27.94"/>
    <n v="3"/>
    <x v="0"/>
  </r>
  <r>
    <x v="1337"/>
    <x v="507"/>
    <s v="CUST1523"/>
    <s v="Michael Chen"/>
    <x v="0"/>
    <x v="0"/>
    <x v="1"/>
    <n v="1"/>
    <n v="27.99"/>
    <s v="Completed"/>
    <s v="Credit Card"/>
    <n v="27.99"/>
    <n v="7"/>
    <x v="0"/>
  </r>
  <r>
    <x v="1338"/>
    <x v="416"/>
    <s v="CUST1443"/>
    <s v="Andi Hidayat"/>
    <x v="0"/>
    <x v="1"/>
    <x v="6"/>
    <n v="1"/>
    <n v="28.01"/>
    <s v="Completed"/>
    <s v="Debit Card"/>
    <n v="28.01"/>
    <n v="5"/>
    <x v="0"/>
  </r>
  <r>
    <x v="1339"/>
    <x v="130"/>
    <s v="CUST1483"/>
    <s v="Nina Anderson"/>
    <x v="0"/>
    <x v="2"/>
    <x v="7"/>
    <n v="1"/>
    <n v="28.01"/>
    <s v="Completed"/>
    <s v="Credit Card"/>
    <n v="28.01"/>
    <n v="3"/>
    <x v="0"/>
  </r>
  <r>
    <x v="1340"/>
    <x v="618"/>
    <s v="CUST1598"/>
    <s v="Nina Halim"/>
    <x v="1"/>
    <x v="0"/>
    <x v="1"/>
    <n v="1"/>
    <n v="28.02"/>
    <s v="Completed"/>
    <s v="Credit Card"/>
    <n v="28.02"/>
    <n v="1"/>
    <x v="1"/>
  </r>
  <r>
    <x v="1341"/>
    <x v="128"/>
    <s v="CUST1352"/>
    <s v="Lisa Taylor"/>
    <x v="0"/>
    <x v="3"/>
    <x v="16"/>
    <n v="1"/>
    <n v="28.03"/>
    <s v="Completed"/>
    <s v="Credit Card"/>
    <n v="28.03"/>
    <n v="7"/>
    <x v="0"/>
  </r>
  <r>
    <x v="1342"/>
    <x v="88"/>
    <s v="CUST1276"/>
    <s v="Rina Nugroho"/>
    <x v="0"/>
    <x v="1"/>
    <x v="20"/>
    <n v="1"/>
    <n v="28.04"/>
    <s v="Completed"/>
    <s v="Credit Card"/>
    <n v="28.04"/>
    <n v="4"/>
    <x v="0"/>
  </r>
  <r>
    <x v="1343"/>
    <x v="169"/>
    <s v="CUST1117"/>
    <s v="Sarah Pratama"/>
    <x v="0"/>
    <x v="6"/>
    <x v="39"/>
    <n v="1"/>
    <n v="28.04"/>
    <s v="Completed"/>
    <s v="Gift Card"/>
    <n v="28.04"/>
    <n v="5"/>
    <x v="0"/>
  </r>
  <r>
    <x v="1344"/>
    <x v="159"/>
    <s v="CUST1657"/>
    <s v="Lisa Brown"/>
    <x v="1"/>
    <x v="5"/>
    <x v="33"/>
    <n v="4"/>
    <n v="28.09"/>
    <s v="Completed"/>
    <s v="Debit Card"/>
    <n v="112.36"/>
    <n v="5"/>
    <x v="0"/>
  </r>
  <r>
    <x v="1345"/>
    <x v="128"/>
    <s v="CUST1217"/>
    <s v="Michael Santos"/>
    <x v="0"/>
    <x v="1"/>
    <x v="20"/>
    <n v="1"/>
    <n v="28.1"/>
    <s v="Completed"/>
    <s v="Gift Card"/>
    <n v="28.1"/>
    <n v="7"/>
    <x v="0"/>
  </r>
  <r>
    <x v="1346"/>
    <x v="609"/>
    <s v="CUST1772"/>
    <s v="Ahmad Hidayat"/>
    <x v="0"/>
    <x v="3"/>
    <x v="14"/>
    <n v="1"/>
    <n v="28.11"/>
    <s v="Completed"/>
    <s v="Debit Card"/>
    <n v="28.11"/>
    <n v="6"/>
    <x v="0"/>
  </r>
  <r>
    <x v="1347"/>
    <x v="396"/>
    <s v="CUST1451"/>
    <s v="Ahmad Garcia"/>
    <x v="0"/>
    <x v="2"/>
    <x v="8"/>
    <n v="2"/>
    <n v="28.13"/>
    <s v="Completed"/>
    <s v="Debit Card"/>
    <n v="56.26"/>
    <n v="12"/>
    <x v="0"/>
  </r>
  <r>
    <x v="1348"/>
    <x v="231"/>
    <s v="CUST1884"/>
    <s v="Kevin Salim"/>
    <x v="0"/>
    <x v="3"/>
    <x v="19"/>
    <n v="1"/>
    <n v="28.14"/>
    <s v="Pending"/>
    <s v="PayPal"/>
    <n v="28.14"/>
    <n v="7"/>
    <x v="0"/>
  </r>
  <r>
    <x v="1349"/>
    <x v="619"/>
    <s v="CUST1457"/>
    <s v="David Johnson"/>
    <x v="0"/>
    <x v="2"/>
    <x v="15"/>
    <n v="1"/>
    <n v="28.14"/>
    <s v="Completed"/>
    <s v="Credit Card"/>
    <n v="28.14"/>
    <n v="4"/>
    <x v="0"/>
  </r>
  <r>
    <x v="1350"/>
    <x v="360"/>
    <s v="CUST1373"/>
    <s v="James Smith"/>
    <x v="0"/>
    <x v="2"/>
    <x v="10"/>
    <n v="1"/>
    <n v="28.15"/>
    <s v="Completed"/>
    <s v="Debit Card"/>
    <n v="28.15"/>
    <n v="8"/>
    <x v="0"/>
  </r>
  <r>
    <x v="1351"/>
    <x v="353"/>
    <s v="CUST1369"/>
    <s v="Sarah Halim"/>
    <x v="0"/>
    <x v="4"/>
    <x v="25"/>
    <n v="1"/>
    <n v="28.18"/>
    <s v="Completed"/>
    <s v="Credit Card"/>
    <n v="28.18"/>
    <n v="3"/>
    <x v="0"/>
  </r>
  <r>
    <x v="1352"/>
    <x v="310"/>
    <s v="CUST1696"/>
    <s v="David Hidayat"/>
    <x v="0"/>
    <x v="6"/>
    <x v="40"/>
    <n v="1"/>
    <n v="28.19"/>
    <s v="Returned"/>
    <s v="Credit Card"/>
    <n v="28.19"/>
    <n v="8"/>
    <x v="0"/>
  </r>
  <r>
    <x v="1353"/>
    <x v="270"/>
    <s v="CUST1121"/>
    <s v="David Nugroho"/>
    <x v="0"/>
    <x v="2"/>
    <x v="8"/>
    <n v="1"/>
    <n v="28.22"/>
    <s v="Returned"/>
    <s v="PayPal"/>
    <n v="28.22"/>
    <n v="7"/>
    <x v="0"/>
  </r>
  <r>
    <x v="1354"/>
    <x v="147"/>
    <s v="CUST1468"/>
    <s v="Michael Tan"/>
    <x v="0"/>
    <x v="4"/>
    <x v="23"/>
    <n v="1"/>
    <n v="28.22"/>
    <s v="Completed"/>
    <s v="PayPal"/>
    <n v="28.22"/>
    <n v="8"/>
    <x v="0"/>
  </r>
  <r>
    <x v="1355"/>
    <x v="620"/>
    <s v="CUST1125"/>
    <s v="Lisa Santos"/>
    <x v="0"/>
    <x v="6"/>
    <x v="35"/>
    <n v="1"/>
    <n v="28.26"/>
    <s v="Returned"/>
    <s v="Credit Card"/>
    <n v="28.26"/>
    <n v="2"/>
    <x v="0"/>
  </r>
  <r>
    <x v="1356"/>
    <x v="540"/>
    <s v="CUST1833"/>
    <s v="Putri Yusuf"/>
    <x v="0"/>
    <x v="4"/>
    <x v="24"/>
    <n v="2"/>
    <n v="28.28"/>
    <s v="Completed"/>
    <s v="Credit Card"/>
    <n v="56.56"/>
    <n v="8"/>
    <x v="0"/>
  </r>
  <r>
    <x v="1357"/>
    <x v="267"/>
    <s v="CUST1238"/>
    <s v="John Pratama"/>
    <x v="0"/>
    <x v="5"/>
    <x v="32"/>
    <n v="2"/>
    <n v="28.3"/>
    <s v="Completed"/>
    <s v="Credit Card"/>
    <n v="56.6"/>
    <n v="8"/>
    <x v="0"/>
  </r>
  <r>
    <x v="1358"/>
    <x v="621"/>
    <s v="CUST1130"/>
    <s v="Maria Johnson"/>
    <x v="0"/>
    <x v="5"/>
    <x v="33"/>
    <n v="1"/>
    <n v="28.32"/>
    <s v="Completed"/>
    <s v="Debit Card"/>
    <n v="28.32"/>
    <n v="5"/>
    <x v="0"/>
  </r>
  <r>
    <x v="1359"/>
    <x v="368"/>
    <s v="CUST1032"/>
    <s v="Andi Sari"/>
    <x v="0"/>
    <x v="2"/>
    <x v="15"/>
    <n v="1"/>
    <n v="28.36"/>
    <s v="Returned"/>
    <s v="Gift Card"/>
    <n v="28.36"/>
    <n v="6"/>
    <x v="0"/>
  </r>
  <r>
    <x v="1360"/>
    <x v="596"/>
    <s v="CUST1145"/>
    <s v="Linda Smith"/>
    <x v="0"/>
    <x v="0"/>
    <x v="3"/>
    <n v="1"/>
    <n v="28.37"/>
    <s v="Completed"/>
    <s v="Credit Card"/>
    <n v="28.37"/>
    <n v="12"/>
    <x v="0"/>
  </r>
  <r>
    <x v="1361"/>
    <x v="135"/>
    <s v="CUST1475"/>
    <s v="Ayu Taylor"/>
    <x v="3"/>
    <x v="2"/>
    <x v="7"/>
    <n v="2"/>
    <n v="28.37"/>
    <s v="Completed"/>
    <s v="Credit Card"/>
    <n v="56.74"/>
    <n v="3"/>
    <x v="0"/>
  </r>
  <r>
    <x v="1362"/>
    <x v="254"/>
    <s v="CUST1153"/>
    <s v="Fajar Salim"/>
    <x v="0"/>
    <x v="2"/>
    <x v="7"/>
    <n v="1"/>
    <n v="28.39"/>
    <s v="Completed"/>
    <s v="Credit Card"/>
    <n v="28.39"/>
    <n v="6"/>
    <x v="0"/>
  </r>
  <r>
    <x v="1363"/>
    <x v="6"/>
    <s v="CUST1779"/>
    <s v="Andi Yusuf"/>
    <x v="0"/>
    <x v="2"/>
    <x v="10"/>
    <n v="3"/>
    <n v="28.42"/>
    <s v="Completed"/>
    <s v="PayPal"/>
    <n v="85.26"/>
    <n v="8"/>
    <x v="0"/>
  </r>
  <r>
    <x v="1364"/>
    <x v="255"/>
    <s v="CUST1104"/>
    <s v="Sarah Tan"/>
    <x v="0"/>
    <x v="3"/>
    <x v="16"/>
    <n v="4"/>
    <n v="28.43"/>
    <s v="Completed"/>
    <s v="Debit Card"/>
    <n v="113.72"/>
    <n v="6"/>
    <x v="0"/>
  </r>
  <r>
    <x v="1365"/>
    <x v="255"/>
    <s v="CUST1079"/>
    <s v="Siti Sari"/>
    <x v="0"/>
    <x v="4"/>
    <x v="22"/>
    <n v="1"/>
    <n v="28.46"/>
    <s v="Cancelled"/>
    <s v="Gift Card"/>
    <n v="28.46"/>
    <n v="6"/>
    <x v="0"/>
  </r>
  <r>
    <x v="1366"/>
    <x v="622"/>
    <s v="CUST1647"/>
    <s v="Nina Nugroho"/>
    <x v="1"/>
    <x v="1"/>
    <x v="9"/>
    <n v="1"/>
    <n v="28.46"/>
    <s v="Pending"/>
    <s v="Credit Card"/>
    <n v="28.46"/>
    <n v="2"/>
    <x v="0"/>
  </r>
  <r>
    <x v="1367"/>
    <x v="609"/>
    <s v="CUST1713"/>
    <s v="Dewi Taylor"/>
    <x v="0"/>
    <x v="2"/>
    <x v="11"/>
    <n v="2"/>
    <n v="28.53"/>
    <s v="Completed"/>
    <s v="Debit Card"/>
    <n v="57.06"/>
    <n v="6"/>
    <x v="0"/>
  </r>
  <r>
    <x v="1368"/>
    <x v="623"/>
    <s v="CUST1382"/>
    <s v="David Hidayat"/>
    <x v="0"/>
    <x v="1"/>
    <x v="18"/>
    <n v="1"/>
    <n v="28.54"/>
    <s v="Completed"/>
    <s v="Gift Card"/>
    <n v="28.54"/>
    <n v="12"/>
    <x v="0"/>
  </r>
  <r>
    <x v="1369"/>
    <x v="624"/>
    <s v="CUST1696"/>
    <s v="David Hidayat"/>
    <x v="0"/>
    <x v="2"/>
    <x v="7"/>
    <n v="1"/>
    <n v="28.56"/>
    <s v="Completed"/>
    <s v="Debit Card"/>
    <n v="28.56"/>
    <n v="8"/>
    <x v="0"/>
  </r>
  <r>
    <x v="1370"/>
    <x v="176"/>
    <s v="CUST1682"/>
    <s v="Ayu Hidayat"/>
    <x v="3"/>
    <x v="3"/>
    <x v="14"/>
    <n v="2"/>
    <n v="28.56"/>
    <s v="Completed"/>
    <s v="Credit Card"/>
    <n v="57.12"/>
    <n v="3"/>
    <x v="0"/>
  </r>
  <r>
    <x v="1371"/>
    <x v="29"/>
    <s v="CUST1235"/>
    <s v="Nina Halim"/>
    <x v="0"/>
    <x v="1"/>
    <x v="17"/>
    <n v="1"/>
    <n v="28.57"/>
    <s v="Completed"/>
    <s v="Credit Card"/>
    <n v="28.57"/>
    <n v="7"/>
    <x v="0"/>
  </r>
  <r>
    <x v="1372"/>
    <x v="175"/>
    <s v="CUST1169"/>
    <s v="Lisa Hidayat"/>
    <x v="1"/>
    <x v="2"/>
    <x v="11"/>
    <n v="1"/>
    <n v="28.58"/>
    <s v="Cancelled"/>
    <s v="Debit Card"/>
    <n v="28.58"/>
    <n v="5"/>
    <x v="0"/>
  </r>
  <r>
    <x v="1373"/>
    <x v="82"/>
    <s v="CUST1780"/>
    <s v="Lisa Wijaya"/>
    <x v="0"/>
    <x v="6"/>
    <x v="39"/>
    <n v="2"/>
    <n v="28.59"/>
    <s v="Completed"/>
    <s v="Gift Card"/>
    <n v="57.18"/>
    <n v="6"/>
    <x v="0"/>
  </r>
  <r>
    <x v="1374"/>
    <x v="234"/>
    <s v="CUST1851"/>
    <s v="Robert Salim"/>
    <x v="0"/>
    <x v="3"/>
    <x v="19"/>
    <n v="1"/>
    <n v="28.6"/>
    <s v="Completed"/>
    <s v="Credit Card"/>
    <n v="28.6"/>
    <n v="4"/>
    <x v="0"/>
  </r>
  <r>
    <x v="1375"/>
    <x v="499"/>
    <s v="CUST1784"/>
    <s v="Kevin Kurniawan"/>
    <x v="2"/>
    <x v="0"/>
    <x v="0"/>
    <n v="1"/>
    <n v="28.61"/>
    <s v="Completed"/>
    <s v="PayPal"/>
    <n v="28.61"/>
    <n v="2"/>
    <x v="0"/>
  </r>
  <r>
    <x v="1376"/>
    <x v="467"/>
    <s v="CUST1880"/>
    <s v="Dewi Johnson"/>
    <x v="0"/>
    <x v="4"/>
    <x v="21"/>
    <n v="5"/>
    <n v="28.62"/>
    <s v="Completed"/>
    <s v="Gift Card"/>
    <n v="143.1"/>
    <n v="3"/>
    <x v="0"/>
  </r>
  <r>
    <x v="1377"/>
    <x v="532"/>
    <s v="CUST1210"/>
    <s v="Nina Garcia"/>
    <x v="0"/>
    <x v="0"/>
    <x v="4"/>
    <n v="1"/>
    <n v="28.64"/>
    <s v="Completed"/>
    <s v="Debit Card"/>
    <n v="28.64"/>
    <n v="9"/>
    <x v="0"/>
  </r>
  <r>
    <x v="1378"/>
    <x v="522"/>
    <s v="CUST1160"/>
    <s v="James Nugroho"/>
    <x v="0"/>
    <x v="2"/>
    <x v="8"/>
    <n v="1"/>
    <n v="28.65"/>
    <s v="Completed"/>
    <s v="PayPal"/>
    <n v="28.65"/>
    <n v="6"/>
    <x v="0"/>
  </r>
  <r>
    <x v="1379"/>
    <x v="311"/>
    <s v="CUST1451"/>
    <s v="Ahmad Garcia"/>
    <x v="0"/>
    <x v="2"/>
    <x v="10"/>
    <n v="1"/>
    <n v="28.69"/>
    <s v="Pending"/>
    <s v="Debit Card"/>
    <n v="28.69"/>
    <n v="12"/>
    <x v="0"/>
  </r>
  <r>
    <x v="1380"/>
    <x v="491"/>
    <s v="CUST1284"/>
    <s v="Lisa Smith"/>
    <x v="0"/>
    <x v="0"/>
    <x v="3"/>
    <n v="2"/>
    <n v="28.69"/>
    <s v="Completed"/>
    <s v="Debit Card"/>
    <n v="57.38"/>
    <n v="7"/>
    <x v="0"/>
  </r>
  <r>
    <x v="1381"/>
    <x v="185"/>
    <s v="CUST1592"/>
    <s v="Putri Lee"/>
    <x v="2"/>
    <x v="0"/>
    <x v="4"/>
    <n v="1"/>
    <n v="28.72"/>
    <s v="Completed"/>
    <s v="Unknown"/>
    <n v="28.72"/>
    <n v="2"/>
    <x v="0"/>
  </r>
  <r>
    <x v="1382"/>
    <x v="279"/>
    <s v="CUST1585"/>
    <s v="Robert Anderson"/>
    <x v="0"/>
    <x v="5"/>
    <x v="34"/>
    <n v="1"/>
    <n v="28.73"/>
    <s v="Completed"/>
    <s v="Debit Card"/>
    <n v="28.73"/>
    <n v="6"/>
    <x v="0"/>
  </r>
  <r>
    <x v="1383"/>
    <x v="205"/>
    <s v="CUST1400"/>
    <s v="James Yusuf"/>
    <x v="0"/>
    <x v="0"/>
    <x v="2"/>
    <n v="2"/>
    <n v="28.73"/>
    <s v="Completed"/>
    <s v="PayPal"/>
    <n v="57.46"/>
    <n v="7"/>
    <x v="0"/>
  </r>
  <r>
    <x v="1384"/>
    <x v="158"/>
    <s v="CUST1681"/>
    <s v="Maria Hidayat"/>
    <x v="0"/>
    <x v="0"/>
    <x v="2"/>
    <n v="1"/>
    <n v="28.74"/>
    <s v="Returned"/>
    <s v="Credit Card"/>
    <n v="28.74"/>
    <n v="9"/>
    <x v="0"/>
  </r>
  <r>
    <x v="1385"/>
    <x v="101"/>
    <s v="CUST1706"/>
    <s v="Putri Hidayat"/>
    <x v="3"/>
    <x v="2"/>
    <x v="11"/>
    <n v="1"/>
    <n v="28.76"/>
    <s v="Completed"/>
    <s v="Credit Card"/>
    <n v="28.76"/>
    <n v="1"/>
    <x v="1"/>
  </r>
  <r>
    <x v="1386"/>
    <x v="625"/>
    <s v="CUST1163"/>
    <s v="Lisa Pratama"/>
    <x v="0"/>
    <x v="3"/>
    <x v="14"/>
    <n v="1"/>
    <n v="28.79"/>
    <s v="Completed"/>
    <s v="PayPal"/>
    <n v="28.79"/>
    <n v="6"/>
    <x v="0"/>
  </r>
  <r>
    <x v="1387"/>
    <x v="626"/>
    <s v="CUST1295"/>
    <s v="Robert Taylor"/>
    <x v="0"/>
    <x v="4"/>
    <x v="23"/>
    <n v="1"/>
    <n v="28.8"/>
    <s v="Cancelled"/>
    <s v="Debit Card"/>
    <n v="28.8"/>
    <n v="7"/>
    <x v="0"/>
  </r>
  <r>
    <x v="1388"/>
    <x v="627"/>
    <s v="CUST1245"/>
    <s v="Dewi Yusuf"/>
    <x v="1"/>
    <x v="2"/>
    <x v="10"/>
    <n v="2"/>
    <n v="28.8"/>
    <s v="Completed"/>
    <s v="Gift Card"/>
    <n v="57.6"/>
    <n v="4"/>
    <x v="0"/>
  </r>
  <r>
    <x v="1389"/>
    <x v="62"/>
    <s v="CUST1064"/>
    <s v="James Lee"/>
    <x v="0"/>
    <x v="0"/>
    <x v="1"/>
    <n v="1"/>
    <n v="28.83"/>
    <s v="Completed"/>
    <s v="Credit Card"/>
    <n v="28.83"/>
    <n v="6"/>
    <x v="0"/>
  </r>
  <r>
    <x v="1390"/>
    <x v="192"/>
    <s v="CUST1002"/>
    <s v="Sarah Kurniawan"/>
    <x v="0"/>
    <x v="4"/>
    <x v="22"/>
    <n v="1"/>
    <n v="28.85"/>
    <s v="Pending"/>
    <s v="Credit Card"/>
    <n v="28.85"/>
    <n v="5"/>
    <x v="0"/>
  </r>
  <r>
    <x v="1391"/>
    <x v="47"/>
    <s v="CUST1641"/>
    <s v="Rina Nugroho"/>
    <x v="1"/>
    <x v="2"/>
    <x v="11"/>
    <n v="1"/>
    <n v="28.86"/>
    <s v="Pending"/>
    <s v="Debit Card"/>
    <n v="28.86"/>
    <n v="8"/>
    <x v="0"/>
  </r>
  <r>
    <x v="1392"/>
    <x v="358"/>
    <s v="CUST1325"/>
    <s v="Ayu Kurniawan"/>
    <x v="0"/>
    <x v="4"/>
    <x v="23"/>
    <n v="1"/>
    <n v="28.87"/>
    <s v="Completed"/>
    <s v="Gift Card"/>
    <n v="28.87"/>
    <n v="1"/>
    <x v="1"/>
  </r>
  <r>
    <x v="1393"/>
    <x v="377"/>
    <s v="CUST1649"/>
    <s v="Rina Wilson"/>
    <x v="0"/>
    <x v="2"/>
    <x v="8"/>
    <n v="1"/>
    <n v="28.89"/>
    <s v="Completed"/>
    <s v="Credit Card"/>
    <n v="28.89"/>
    <n v="7"/>
    <x v="0"/>
  </r>
  <r>
    <x v="1394"/>
    <x v="389"/>
    <s v="CUST1339"/>
    <s v="Siti Hidayat"/>
    <x v="0"/>
    <x v="2"/>
    <x v="7"/>
    <n v="1"/>
    <n v="28.9"/>
    <s v="Cancelled"/>
    <s v="Debit Card"/>
    <n v="28.9"/>
    <n v="4"/>
    <x v="0"/>
  </r>
  <r>
    <x v="1395"/>
    <x v="228"/>
    <s v="CUST1234"/>
    <s v="Nina Salim"/>
    <x v="0"/>
    <x v="1"/>
    <x v="18"/>
    <n v="1"/>
    <n v="28.9"/>
    <s v="Completed"/>
    <s v="Credit Card"/>
    <n v="28.9"/>
    <n v="6"/>
    <x v="0"/>
  </r>
  <r>
    <x v="1396"/>
    <x v="627"/>
    <s v="CUST1537"/>
    <s v="Putri Sari"/>
    <x v="1"/>
    <x v="3"/>
    <x v="16"/>
    <n v="3"/>
    <n v="28.92"/>
    <s v="Cancelled"/>
    <s v="Credit Card"/>
    <n v="86.76"/>
    <n v="5"/>
    <x v="0"/>
  </r>
  <r>
    <x v="1397"/>
    <x v="628"/>
    <s v="CUST1504"/>
    <s v="Rina Sari"/>
    <x v="0"/>
    <x v="3"/>
    <x v="19"/>
    <n v="1"/>
    <n v="28.93"/>
    <s v="Returned"/>
    <s v="PayPal"/>
    <n v="28.93"/>
    <n v="3"/>
    <x v="0"/>
  </r>
  <r>
    <x v="1398"/>
    <x v="517"/>
    <s v="CUST1078"/>
    <s v="Rina Santos"/>
    <x v="0"/>
    <x v="5"/>
    <x v="32"/>
    <n v="1"/>
    <n v="28.93"/>
    <s v="Completed"/>
    <s v="PayPal"/>
    <n v="28.93"/>
    <n v="7"/>
    <x v="0"/>
  </r>
  <r>
    <x v="1399"/>
    <x v="629"/>
    <s v="CUST1693"/>
    <s v="Lisa Santos"/>
    <x v="0"/>
    <x v="4"/>
    <x v="24"/>
    <n v="1"/>
    <n v="28.95"/>
    <s v="Completed"/>
    <s v="Credit Card"/>
    <n v="28.95"/>
    <n v="8"/>
    <x v="0"/>
  </r>
  <r>
    <x v="1400"/>
    <x v="313"/>
    <s v="CUST1245"/>
    <s v="Dewi Yusuf"/>
    <x v="1"/>
    <x v="1"/>
    <x v="9"/>
    <n v="2"/>
    <n v="28.96"/>
    <s v="Completed"/>
    <s v="Debit Card"/>
    <n v="57.92"/>
    <n v="4"/>
    <x v="0"/>
  </r>
  <r>
    <x v="1401"/>
    <x v="453"/>
    <s v="CUST1097"/>
    <s v="Fajar Anderson"/>
    <x v="0"/>
    <x v="0"/>
    <x v="4"/>
    <n v="1"/>
    <n v="28.97"/>
    <s v="Completed"/>
    <s v="Gift Card"/>
    <n v="28.97"/>
    <n v="6"/>
    <x v="0"/>
  </r>
  <r>
    <x v="1402"/>
    <x v="366"/>
    <s v="CUST1353"/>
    <s v="Andi Halim"/>
    <x v="0"/>
    <x v="1"/>
    <x v="6"/>
    <n v="2"/>
    <n v="28.97"/>
    <s v="Completed"/>
    <s v="Credit Card"/>
    <n v="57.94"/>
    <n v="10"/>
    <x v="0"/>
  </r>
  <r>
    <x v="1403"/>
    <x v="601"/>
    <s v="CUST1839"/>
    <s v="John Tan"/>
    <x v="0"/>
    <x v="2"/>
    <x v="15"/>
    <n v="1"/>
    <n v="28.98"/>
    <s v="Completed"/>
    <s v="Gift Card"/>
    <n v="28.98"/>
    <n v="10"/>
    <x v="0"/>
  </r>
  <r>
    <x v="1404"/>
    <x v="99"/>
    <s v="CUST1177"/>
    <s v="Ayu Pratama"/>
    <x v="0"/>
    <x v="6"/>
    <x v="35"/>
    <n v="1"/>
    <n v="28.99"/>
    <s v="Completed"/>
    <s v="Debit Card"/>
    <n v="28.99"/>
    <n v="5"/>
    <x v="0"/>
  </r>
  <r>
    <x v="1405"/>
    <x v="356"/>
    <s v="CUST1621"/>
    <s v="James Wijaya"/>
    <x v="0"/>
    <x v="2"/>
    <x v="8"/>
    <n v="1"/>
    <n v="29.02"/>
    <s v="Completed"/>
    <s v="Gift Card"/>
    <n v="29.02"/>
    <n v="4"/>
    <x v="0"/>
  </r>
  <r>
    <x v="1406"/>
    <x v="404"/>
    <s v="CUST1391"/>
    <s v="Siti Pratama"/>
    <x v="0"/>
    <x v="0"/>
    <x v="0"/>
    <n v="1"/>
    <n v="29.02"/>
    <s v="Returned"/>
    <s v="Debit Card"/>
    <n v="29.02"/>
    <n v="7"/>
    <x v="0"/>
  </r>
  <r>
    <x v="1407"/>
    <x v="138"/>
    <s v="CUST1850"/>
    <s v="Dewi Wijaya"/>
    <x v="0"/>
    <x v="6"/>
    <x v="42"/>
    <n v="2"/>
    <n v="29.05"/>
    <s v="Completed"/>
    <s v="PayPal"/>
    <n v="58.1"/>
    <n v="6"/>
    <x v="0"/>
  </r>
  <r>
    <x v="1408"/>
    <x v="23"/>
    <s v="CUST1001"/>
    <s v="David Garcia"/>
    <x v="1"/>
    <x v="0"/>
    <x v="2"/>
    <n v="2"/>
    <n v="29.05"/>
    <s v="Completed"/>
    <s v="Credit Card"/>
    <n v="58.1"/>
    <n v="2"/>
    <x v="0"/>
  </r>
  <r>
    <x v="1409"/>
    <x v="573"/>
    <s v="CUST1275"/>
    <s v="Andi Johnson"/>
    <x v="0"/>
    <x v="3"/>
    <x v="19"/>
    <n v="1"/>
    <n v="29.1"/>
    <s v="Completed"/>
    <s v="PayPal"/>
    <n v="29.1"/>
    <n v="4"/>
    <x v="0"/>
  </r>
  <r>
    <x v="1410"/>
    <x v="238"/>
    <s v="CUST1349"/>
    <s v="John Halim"/>
    <x v="0"/>
    <x v="2"/>
    <x v="10"/>
    <n v="1"/>
    <n v="29.11"/>
    <s v="Cancelled"/>
    <s v="Gift Card"/>
    <n v="29.11"/>
    <n v="7"/>
    <x v="0"/>
  </r>
  <r>
    <x v="1411"/>
    <x v="32"/>
    <s v="CUST1870"/>
    <s v="Dewi Chen"/>
    <x v="0"/>
    <x v="4"/>
    <x v="21"/>
    <n v="2"/>
    <n v="29.11"/>
    <s v="Completed"/>
    <s v="Credit Card"/>
    <n v="58.22"/>
    <n v="8"/>
    <x v="0"/>
  </r>
  <r>
    <x v="1412"/>
    <x v="397"/>
    <s v="CUST1582"/>
    <s v="Michael Lee"/>
    <x v="0"/>
    <x v="2"/>
    <x v="11"/>
    <n v="1"/>
    <n v="29.14"/>
    <s v="Completed"/>
    <s v="Gift Card"/>
    <n v="29.14"/>
    <n v="4"/>
    <x v="0"/>
  </r>
  <r>
    <x v="1413"/>
    <x v="329"/>
    <s v="CUST1733"/>
    <s v="Lisa Sari"/>
    <x v="0"/>
    <x v="0"/>
    <x v="4"/>
    <n v="1"/>
    <n v="29.15"/>
    <s v="Cancelled"/>
    <s v="Debit Card"/>
    <n v="29.15"/>
    <n v="5"/>
    <x v="0"/>
  </r>
  <r>
    <x v="1414"/>
    <x v="206"/>
    <s v="CUST1140"/>
    <s v="Maria Wijaya"/>
    <x v="0"/>
    <x v="3"/>
    <x v="16"/>
    <n v="5"/>
    <n v="29.15"/>
    <s v="Completed"/>
    <s v="Gift Card"/>
    <n v="145.75"/>
    <n v="5"/>
    <x v="0"/>
  </r>
  <r>
    <x v="1415"/>
    <x v="601"/>
    <s v="CUST1638"/>
    <s v="Maria Kurniawan"/>
    <x v="0"/>
    <x v="3"/>
    <x v="12"/>
    <n v="1"/>
    <n v="29.17"/>
    <s v="Completed"/>
    <s v="Credit Card"/>
    <n v="29.17"/>
    <n v="8"/>
    <x v="0"/>
  </r>
  <r>
    <x v="1416"/>
    <x v="520"/>
    <s v="CUST1143"/>
    <s v="Linda Wijaya"/>
    <x v="0"/>
    <x v="6"/>
    <x v="40"/>
    <n v="1"/>
    <n v="29.22"/>
    <s v="Completed"/>
    <s v="Unknown"/>
    <n v="29.22"/>
    <n v="4"/>
    <x v="0"/>
  </r>
  <r>
    <x v="1417"/>
    <x v="275"/>
    <s v="CUST1108"/>
    <s v="Rina Garcia"/>
    <x v="0"/>
    <x v="6"/>
    <x v="42"/>
    <n v="1"/>
    <n v="29.22"/>
    <s v="Completed"/>
    <s v="Debit Card"/>
    <n v="29.22"/>
    <n v="3"/>
    <x v="0"/>
  </r>
  <r>
    <x v="1418"/>
    <x v="630"/>
    <s v="CUST1716"/>
    <s v="Budi Salim"/>
    <x v="0"/>
    <x v="5"/>
    <x v="32"/>
    <n v="1"/>
    <n v="29.22"/>
    <s v="Completed"/>
    <s v="Credit Card"/>
    <n v="29.22"/>
    <n v="2"/>
    <x v="0"/>
  </r>
  <r>
    <x v="1419"/>
    <x v="368"/>
    <s v="CUST1410"/>
    <s v="Fajar Hidayat"/>
    <x v="1"/>
    <x v="2"/>
    <x v="7"/>
    <n v="1"/>
    <n v="29.24"/>
    <s v="Cancelled"/>
    <s v="PayPal"/>
    <n v="29.24"/>
    <n v="6"/>
    <x v="0"/>
  </r>
  <r>
    <x v="1420"/>
    <x v="631"/>
    <s v="CUST1248"/>
    <s v="Andi Pratama"/>
    <x v="0"/>
    <x v="3"/>
    <x v="13"/>
    <n v="1"/>
    <n v="29.27"/>
    <s v="Completed"/>
    <s v="Gift Card"/>
    <n v="29.27"/>
    <n v="8"/>
    <x v="0"/>
  </r>
  <r>
    <x v="1421"/>
    <x v="632"/>
    <s v="CUST1899"/>
    <s v="Maria Hidayat"/>
    <x v="3"/>
    <x v="0"/>
    <x v="1"/>
    <n v="1"/>
    <n v="29.28"/>
    <s v="Cancelled"/>
    <s v="Debit Card"/>
    <n v="29.28"/>
    <n v="2"/>
    <x v="0"/>
  </r>
  <r>
    <x v="1422"/>
    <x v="66"/>
    <s v="CUST1196"/>
    <s v="Putri Pratama"/>
    <x v="0"/>
    <x v="3"/>
    <x v="19"/>
    <n v="3"/>
    <n v="29.28"/>
    <s v="Completed"/>
    <s v="Unknown"/>
    <n v="87.84"/>
    <n v="6"/>
    <x v="0"/>
  </r>
  <r>
    <x v="1423"/>
    <x v="629"/>
    <s v="CUST1243"/>
    <s v="James Hidayat"/>
    <x v="1"/>
    <x v="2"/>
    <x v="7"/>
    <n v="1"/>
    <n v="29.31"/>
    <s v="Completed"/>
    <s v="PayPal"/>
    <n v="29.31"/>
    <n v="5"/>
    <x v="0"/>
  </r>
  <r>
    <x v="1424"/>
    <x v="341"/>
    <s v="CUST1032"/>
    <s v="Andi Sari"/>
    <x v="0"/>
    <x v="6"/>
    <x v="35"/>
    <n v="1"/>
    <n v="29.33"/>
    <s v="Completed"/>
    <s v="Credit Card"/>
    <n v="29.33"/>
    <n v="6"/>
    <x v="0"/>
  </r>
  <r>
    <x v="1425"/>
    <x v="520"/>
    <s v="CUST1701"/>
    <s v="John Santos"/>
    <x v="1"/>
    <x v="2"/>
    <x v="7"/>
    <n v="1"/>
    <n v="29.36"/>
    <s v="Completed"/>
    <s v="Debit Card"/>
    <n v="29.36"/>
    <n v="7"/>
    <x v="0"/>
  </r>
  <r>
    <x v="1426"/>
    <x v="431"/>
    <s v="CUST1071"/>
    <s v="Kevin Lee"/>
    <x v="1"/>
    <x v="2"/>
    <x v="8"/>
    <n v="1"/>
    <n v="29.38"/>
    <s v="Completed"/>
    <s v="Credit Card"/>
    <n v="29.38"/>
    <n v="6"/>
    <x v="0"/>
  </r>
  <r>
    <x v="1427"/>
    <x v="132"/>
    <s v="CUST1703"/>
    <s v="Budi Wilson"/>
    <x v="0"/>
    <x v="3"/>
    <x v="12"/>
    <n v="1"/>
    <n v="29.39"/>
    <s v="Completed"/>
    <s v="Gift Card"/>
    <n v="29.39"/>
    <n v="4"/>
    <x v="0"/>
  </r>
  <r>
    <x v="1428"/>
    <x v="369"/>
    <s v="CUST1687"/>
    <s v="Siti Sari"/>
    <x v="0"/>
    <x v="1"/>
    <x v="18"/>
    <n v="1"/>
    <n v="29.43"/>
    <s v="Completed"/>
    <s v="Gift Card"/>
    <n v="29.43"/>
    <n v="5"/>
    <x v="0"/>
  </r>
  <r>
    <x v="1429"/>
    <x v="377"/>
    <s v="CUST1188"/>
    <s v="James Lee"/>
    <x v="0"/>
    <x v="5"/>
    <x v="33"/>
    <n v="2"/>
    <n v="29.43"/>
    <s v="Completed"/>
    <s v="PayPal"/>
    <n v="58.86"/>
    <n v="6"/>
    <x v="0"/>
  </r>
  <r>
    <x v="1430"/>
    <x v="199"/>
    <s v="CUST1167"/>
    <s v="Putri Hidayat"/>
    <x v="0"/>
    <x v="3"/>
    <x v="14"/>
    <n v="2"/>
    <n v="29.44"/>
    <s v="Completed"/>
    <s v="Debit Card"/>
    <n v="58.88"/>
    <n v="6"/>
    <x v="0"/>
  </r>
  <r>
    <x v="1431"/>
    <x v="14"/>
    <s v="CUST1362"/>
    <s v="Linda Taylor"/>
    <x v="1"/>
    <x v="0"/>
    <x v="3"/>
    <n v="2"/>
    <n v="29.44"/>
    <s v="Completed"/>
    <s v="Gift Card"/>
    <n v="58.88"/>
    <n v="4"/>
    <x v="0"/>
  </r>
  <r>
    <x v="1432"/>
    <x v="70"/>
    <s v="CUST1377"/>
    <s v="Putri Taylor"/>
    <x v="1"/>
    <x v="3"/>
    <x v="19"/>
    <n v="4"/>
    <n v="29.44"/>
    <s v="Completed"/>
    <s v="Unknown"/>
    <n v="117.76"/>
    <n v="3"/>
    <x v="0"/>
  </r>
  <r>
    <x v="1433"/>
    <x v="271"/>
    <s v="CUST1276"/>
    <s v="Rina Nugroho"/>
    <x v="0"/>
    <x v="3"/>
    <x v="12"/>
    <n v="2"/>
    <n v="29.45"/>
    <s v="Completed"/>
    <s v="Gift Card"/>
    <n v="58.9"/>
    <n v="4"/>
    <x v="0"/>
  </r>
  <r>
    <x v="1434"/>
    <x v="157"/>
    <s v="CUST1042"/>
    <s v="Sarah Wijaya"/>
    <x v="0"/>
    <x v="3"/>
    <x v="19"/>
    <n v="4"/>
    <n v="29.45"/>
    <s v="Completed"/>
    <s v="Gift Card"/>
    <n v="117.8"/>
    <n v="3"/>
    <x v="0"/>
  </r>
  <r>
    <x v="1435"/>
    <x v="273"/>
    <s v="CUST1839"/>
    <s v="John Tan"/>
    <x v="0"/>
    <x v="3"/>
    <x v="14"/>
    <n v="2"/>
    <n v="29.47"/>
    <s v="Completed"/>
    <s v="Debit Card"/>
    <n v="58.94"/>
    <n v="10"/>
    <x v="0"/>
  </r>
  <r>
    <x v="1436"/>
    <x v="277"/>
    <s v="CUST1552"/>
    <s v="Andi Sari"/>
    <x v="1"/>
    <x v="2"/>
    <x v="8"/>
    <n v="1"/>
    <n v="29.48"/>
    <s v="Completed"/>
    <s v="Credit Card"/>
    <n v="29.48"/>
    <n v="4"/>
    <x v="0"/>
  </r>
  <r>
    <x v="1437"/>
    <x v="287"/>
    <s v="CUST1860"/>
    <s v="Rina Nugroho"/>
    <x v="0"/>
    <x v="0"/>
    <x v="4"/>
    <n v="1"/>
    <n v="29.49"/>
    <s v="Completed"/>
    <s v="Gift Card"/>
    <n v="29.49"/>
    <n v="7"/>
    <x v="0"/>
  </r>
  <r>
    <x v="1438"/>
    <x v="184"/>
    <s v="CUST1387"/>
    <s v="Budi Pratama"/>
    <x v="0"/>
    <x v="3"/>
    <x v="16"/>
    <n v="1"/>
    <n v="29.51"/>
    <s v="Completed"/>
    <s v="Unknown"/>
    <n v="29.51"/>
    <n v="4"/>
    <x v="0"/>
  </r>
  <r>
    <x v="1439"/>
    <x v="482"/>
    <s v="CUST1143"/>
    <s v="Linda Wijaya"/>
    <x v="0"/>
    <x v="2"/>
    <x v="11"/>
    <n v="1"/>
    <n v="29.53"/>
    <s v="Completed"/>
    <s v="PayPal"/>
    <n v="29.53"/>
    <n v="4"/>
    <x v="0"/>
  </r>
  <r>
    <x v="1440"/>
    <x v="564"/>
    <s v="CUST1359"/>
    <s v="Ayu Wilson"/>
    <x v="3"/>
    <x v="5"/>
    <x v="34"/>
    <n v="1"/>
    <n v="29.55"/>
    <s v="Completed"/>
    <s v="Debit Card"/>
    <n v="29.55"/>
    <n v="3"/>
    <x v="0"/>
  </r>
  <r>
    <x v="1441"/>
    <x v="147"/>
    <s v="CUST1486"/>
    <s v="Sarah Lee"/>
    <x v="1"/>
    <x v="2"/>
    <x v="8"/>
    <n v="3"/>
    <n v="29.57"/>
    <s v="Completed"/>
    <s v="Unknown"/>
    <n v="88.710000000000008"/>
    <n v="3"/>
    <x v="0"/>
  </r>
  <r>
    <x v="1442"/>
    <x v="393"/>
    <s v="CUST1499"/>
    <s v="David Santos"/>
    <x v="0"/>
    <x v="2"/>
    <x v="10"/>
    <n v="1"/>
    <n v="29.59"/>
    <s v="Completed"/>
    <s v="Credit Card"/>
    <n v="29.59"/>
    <n v="9"/>
    <x v="0"/>
  </r>
  <r>
    <x v="1443"/>
    <x v="446"/>
    <s v="CUST1038"/>
    <s v="Linda Nugroho"/>
    <x v="0"/>
    <x v="0"/>
    <x v="1"/>
    <n v="1"/>
    <n v="29.61"/>
    <s v="Completed"/>
    <s v="Gift Card"/>
    <n v="29.61"/>
    <n v="6"/>
    <x v="0"/>
  </r>
  <r>
    <x v="1444"/>
    <x v="525"/>
    <s v="CUST1290"/>
    <s v="Lisa Nugroho"/>
    <x v="0"/>
    <x v="4"/>
    <x v="25"/>
    <n v="1"/>
    <n v="29.62"/>
    <s v="Completed"/>
    <s v="Credit Card"/>
    <n v="29.62"/>
    <n v="3"/>
    <x v="0"/>
  </r>
  <r>
    <x v="1445"/>
    <x v="463"/>
    <s v="CUST1839"/>
    <s v="John Tan"/>
    <x v="0"/>
    <x v="3"/>
    <x v="16"/>
    <n v="2"/>
    <n v="29.63"/>
    <s v="Completed"/>
    <s v="PayPal"/>
    <n v="59.26"/>
    <n v="10"/>
    <x v="0"/>
  </r>
  <r>
    <x v="1446"/>
    <x v="360"/>
    <s v="CUST1752"/>
    <s v="Linda Smith"/>
    <x v="1"/>
    <x v="4"/>
    <x v="26"/>
    <n v="1"/>
    <n v="29.64"/>
    <s v="Completed"/>
    <s v="Unknown"/>
    <n v="29.64"/>
    <n v="4"/>
    <x v="0"/>
  </r>
  <r>
    <x v="1447"/>
    <x v="335"/>
    <s v="CUST1653"/>
    <s v="Michael Chen"/>
    <x v="1"/>
    <x v="6"/>
    <x v="40"/>
    <n v="2"/>
    <n v="29.67"/>
    <s v="Completed"/>
    <s v="Gift Card"/>
    <n v="59.34"/>
    <n v="4"/>
    <x v="0"/>
  </r>
  <r>
    <x v="1448"/>
    <x v="448"/>
    <s v="CUST1798"/>
    <s v="Siti Anderson"/>
    <x v="0"/>
    <x v="0"/>
    <x v="3"/>
    <n v="3"/>
    <n v="29.68"/>
    <s v="Completed"/>
    <s v="Debit Card"/>
    <n v="89.039999999999992"/>
    <n v="10"/>
    <x v="0"/>
  </r>
  <r>
    <x v="1449"/>
    <x v="156"/>
    <s v="CUST1755"/>
    <s v="Budi Sari"/>
    <x v="0"/>
    <x v="6"/>
    <x v="42"/>
    <n v="1"/>
    <n v="29.75"/>
    <s v="Returned"/>
    <s v="PayPal"/>
    <n v="29.75"/>
    <n v="11"/>
    <x v="0"/>
  </r>
  <r>
    <x v="1450"/>
    <x v="404"/>
    <s v="CUST1667"/>
    <s v="Robert Halim"/>
    <x v="1"/>
    <x v="1"/>
    <x v="9"/>
    <n v="1"/>
    <n v="29.75"/>
    <s v="Pending"/>
    <s v="PayPal"/>
    <n v="29.75"/>
    <n v="7"/>
    <x v="0"/>
  </r>
  <r>
    <x v="1451"/>
    <x v="496"/>
    <s v="CUST1244"/>
    <s v="Nina Pratama"/>
    <x v="0"/>
    <x v="4"/>
    <x v="23"/>
    <n v="1"/>
    <n v="29.76"/>
    <s v="Returned"/>
    <s v="Debit Card"/>
    <n v="29.76"/>
    <n v="6"/>
    <x v="0"/>
  </r>
  <r>
    <x v="1452"/>
    <x v="633"/>
    <s v="CUST1405"/>
    <s v="Rina Lee"/>
    <x v="0"/>
    <x v="2"/>
    <x v="8"/>
    <n v="1"/>
    <n v="29.76"/>
    <s v="Completed"/>
    <s v="PayPal"/>
    <n v="29.76"/>
    <n v="4"/>
    <x v="0"/>
  </r>
  <r>
    <x v="1453"/>
    <x v="234"/>
    <s v="CUST1801"/>
    <s v="John Brown"/>
    <x v="0"/>
    <x v="0"/>
    <x v="4"/>
    <n v="1"/>
    <n v="29.81"/>
    <s v="Completed"/>
    <s v="PayPal"/>
    <n v="29.81"/>
    <n v="3"/>
    <x v="0"/>
  </r>
  <r>
    <x v="1454"/>
    <x v="173"/>
    <s v="CUST1076"/>
    <s v="Kevin Santos"/>
    <x v="0"/>
    <x v="0"/>
    <x v="1"/>
    <n v="1"/>
    <n v="29.83"/>
    <s v="Returned"/>
    <s v="Gift Card"/>
    <n v="29.83"/>
    <n v="9"/>
    <x v="0"/>
  </r>
  <r>
    <x v="1455"/>
    <x v="113"/>
    <s v="CUST1443"/>
    <s v="Andi Hidayat"/>
    <x v="0"/>
    <x v="2"/>
    <x v="8"/>
    <n v="1"/>
    <n v="29.83"/>
    <s v="Returned"/>
    <s v="Debit Card"/>
    <n v="29.83"/>
    <n v="5"/>
    <x v="0"/>
  </r>
  <r>
    <x v="1456"/>
    <x v="211"/>
    <s v="CUST1676"/>
    <s v="Lisa Wijaya"/>
    <x v="1"/>
    <x v="2"/>
    <x v="15"/>
    <n v="1"/>
    <n v="29.84"/>
    <s v="Completed"/>
    <s v="Debit Card"/>
    <n v="29.84"/>
    <n v="7"/>
    <x v="0"/>
  </r>
  <r>
    <x v="1457"/>
    <x v="535"/>
    <s v="CUST1041"/>
    <s v="Michael Wijaya"/>
    <x v="0"/>
    <x v="2"/>
    <x v="11"/>
    <n v="2"/>
    <n v="29.84"/>
    <s v="Completed"/>
    <s v="Unknown"/>
    <n v="59.68"/>
    <n v="8"/>
    <x v="0"/>
  </r>
  <r>
    <x v="1458"/>
    <x v="634"/>
    <s v="CUST1133"/>
    <s v="Andi Hidayat"/>
    <x v="0"/>
    <x v="0"/>
    <x v="2"/>
    <n v="2"/>
    <n v="29.84"/>
    <s v="Completed"/>
    <s v="Gift Card"/>
    <n v="59.68"/>
    <n v="7"/>
    <x v="0"/>
  </r>
  <r>
    <x v="1459"/>
    <x v="140"/>
    <s v="CUST1680"/>
    <s v="Putri Halim"/>
    <x v="0"/>
    <x v="2"/>
    <x v="15"/>
    <n v="1"/>
    <n v="29.87"/>
    <s v="Completed"/>
    <s v="Debit Card"/>
    <n v="29.87"/>
    <n v="4"/>
    <x v="0"/>
  </r>
  <r>
    <x v="1460"/>
    <x v="629"/>
    <s v="CUST1455"/>
    <s v="Linda Taylor"/>
    <x v="0"/>
    <x v="3"/>
    <x v="13"/>
    <n v="1"/>
    <n v="29.87"/>
    <s v="Completed"/>
    <s v="PayPal"/>
    <n v="29.87"/>
    <n v="3"/>
    <x v="0"/>
  </r>
  <r>
    <x v="1461"/>
    <x v="413"/>
    <s v="CUST1649"/>
    <s v="Rina Wilson"/>
    <x v="0"/>
    <x v="0"/>
    <x v="1"/>
    <n v="1"/>
    <n v="29.87"/>
    <s v="Completed"/>
    <s v="Debit Card"/>
    <n v="29.87"/>
    <n v="7"/>
    <x v="0"/>
  </r>
  <r>
    <x v="1462"/>
    <x v="201"/>
    <s v="CUST1133"/>
    <s v="Andi Hidayat"/>
    <x v="0"/>
    <x v="6"/>
    <x v="42"/>
    <n v="1"/>
    <n v="29.89"/>
    <s v="Completed"/>
    <s v="Unknown"/>
    <n v="29.89"/>
    <n v="7"/>
    <x v="0"/>
  </r>
  <r>
    <x v="1463"/>
    <x v="36"/>
    <s v="CUST1734"/>
    <s v="Ahmad Wilson"/>
    <x v="0"/>
    <x v="2"/>
    <x v="11"/>
    <n v="1"/>
    <n v="29.89"/>
    <s v="Completed"/>
    <s v="Debit Card"/>
    <n v="29.89"/>
    <n v="8"/>
    <x v="0"/>
  </r>
  <r>
    <x v="1464"/>
    <x v="613"/>
    <s v="CUST1223"/>
    <s v="Michael Halim"/>
    <x v="0"/>
    <x v="2"/>
    <x v="7"/>
    <n v="3"/>
    <n v="29.94"/>
    <s v="Completed"/>
    <s v="Credit Card"/>
    <n v="89.820000000000007"/>
    <n v="7"/>
    <x v="0"/>
  </r>
  <r>
    <x v="1465"/>
    <x v="145"/>
    <s v="CUST1783"/>
    <s v="Ayu Taylor"/>
    <x v="0"/>
    <x v="2"/>
    <x v="10"/>
    <n v="1"/>
    <n v="29.95"/>
    <s v="Completed"/>
    <s v="Debit Card"/>
    <n v="29.95"/>
    <n v="11"/>
    <x v="0"/>
  </r>
  <r>
    <x v="1466"/>
    <x v="5"/>
    <s v="CUST1402"/>
    <s v="Rina Nugroho"/>
    <x v="0"/>
    <x v="1"/>
    <x v="20"/>
    <n v="1"/>
    <n v="29.97"/>
    <s v="Completed"/>
    <s v="Gift Card"/>
    <n v="29.97"/>
    <n v="5"/>
    <x v="0"/>
  </r>
  <r>
    <x v="1467"/>
    <x v="173"/>
    <s v="CUST1519"/>
    <s v="Andi Santos"/>
    <x v="0"/>
    <x v="5"/>
    <x v="28"/>
    <n v="5"/>
    <n v="29.98"/>
    <s v="Completed"/>
    <s v="Unknown"/>
    <n v="149.9"/>
    <n v="7"/>
    <x v="0"/>
  </r>
  <r>
    <x v="1468"/>
    <x v="175"/>
    <s v="CUST1601"/>
    <s v="Nina Taylor"/>
    <x v="0"/>
    <x v="4"/>
    <x v="23"/>
    <n v="4"/>
    <n v="30"/>
    <s v="Completed"/>
    <s v="PayPal"/>
    <n v="120"/>
    <n v="4"/>
    <x v="0"/>
  </r>
  <r>
    <x v="1469"/>
    <x v="197"/>
    <s v="CUST1820"/>
    <s v="Maria Brown"/>
    <x v="0"/>
    <x v="2"/>
    <x v="8"/>
    <n v="2"/>
    <n v="30.01"/>
    <s v="Completed"/>
    <s v="Gift Card"/>
    <n v="60.02"/>
    <n v="3"/>
    <x v="0"/>
  </r>
  <r>
    <x v="1470"/>
    <x v="225"/>
    <s v="CUST1818"/>
    <s v="Siti Salim"/>
    <x v="0"/>
    <x v="2"/>
    <x v="11"/>
    <n v="1"/>
    <n v="30.04"/>
    <s v="Completed"/>
    <s v="Gift Card"/>
    <n v="30.04"/>
    <n v="8"/>
    <x v="0"/>
  </r>
  <r>
    <x v="1471"/>
    <x v="599"/>
    <s v="CUST1160"/>
    <s v="James Nugroho"/>
    <x v="0"/>
    <x v="4"/>
    <x v="21"/>
    <n v="1"/>
    <n v="30.04"/>
    <s v="Completed"/>
    <s v="Gift Card"/>
    <n v="30.04"/>
    <n v="6"/>
    <x v="0"/>
  </r>
  <r>
    <x v="1472"/>
    <x v="374"/>
    <s v="CUST1863"/>
    <s v="David Pratama"/>
    <x v="0"/>
    <x v="3"/>
    <x v="19"/>
    <n v="5"/>
    <n v="30.04"/>
    <s v="Completed"/>
    <s v="Gift Card"/>
    <n v="150.19999999999999"/>
    <n v="6"/>
    <x v="0"/>
  </r>
  <r>
    <x v="1473"/>
    <x v="635"/>
    <s v="CUST1547"/>
    <s v="Andi Tan"/>
    <x v="1"/>
    <x v="2"/>
    <x v="7"/>
    <n v="1"/>
    <n v="30.05"/>
    <s v="Completed"/>
    <s v="Gift Card"/>
    <n v="30.05"/>
    <n v="4"/>
    <x v="0"/>
  </r>
  <r>
    <x v="1474"/>
    <x v="51"/>
    <s v="CUST1070"/>
    <s v="Kevin Johnson"/>
    <x v="1"/>
    <x v="2"/>
    <x v="11"/>
    <n v="1"/>
    <n v="30.06"/>
    <s v="Completed"/>
    <s v="Credit Card"/>
    <n v="30.06"/>
    <n v="3"/>
    <x v="0"/>
  </r>
  <r>
    <x v="1475"/>
    <x v="530"/>
    <s v="CUST1667"/>
    <s v="Robert Halim"/>
    <x v="1"/>
    <x v="3"/>
    <x v="14"/>
    <n v="1"/>
    <n v="30.06"/>
    <s v="Completed"/>
    <s v="Credit Card"/>
    <n v="30.06"/>
    <n v="7"/>
    <x v="0"/>
  </r>
  <r>
    <x v="1476"/>
    <x v="11"/>
    <s v="CUST1693"/>
    <s v="Lisa Santos"/>
    <x v="0"/>
    <x v="3"/>
    <x v="16"/>
    <n v="1"/>
    <n v="30.06"/>
    <s v="Returned"/>
    <s v="Debit Card"/>
    <n v="30.06"/>
    <n v="8"/>
    <x v="0"/>
  </r>
  <r>
    <x v="1477"/>
    <x v="474"/>
    <s v="CUST1123"/>
    <s v="Andi Anderson"/>
    <x v="0"/>
    <x v="6"/>
    <x v="40"/>
    <n v="2"/>
    <n v="30.07"/>
    <s v="Completed"/>
    <s v="Gift Card"/>
    <n v="60.14"/>
    <n v="4"/>
    <x v="0"/>
  </r>
  <r>
    <x v="1478"/>
    <x v="135"/>
    <s v="CUST1175"/>
    <s v="Lisa Kurniawan"/>
    <x v="0"/>
    <x v="3"/>
    <x v="14"/>
    <n v="1"/>
    <n v="30.08"/>
    <s v="Completed"/>
    <s v="PayPal"/>
    <n v="30.08"/>
    <n v="6"/>
    <x v="0"/>
  </r>
  <r>
    <x v="1479"/>
    <x v="317"/>
    <s v="CUST1153"/>
    <s v="Fajar Salim"/>
    <x v="0"/>
    <x v="2"/>
    <x v="8"/>
    <n v="2"/>
    <n v="30.09"/>
    <s v="Completed"/>
    <s v="PayPal"/>
    <n v="60.18"/>
    <n v="6"/>
    <x v="0"/>
  </r>
  <r>
    <x v="1480"/>
    <x v="636"/>
    <s v="CUST1050"/>
    <s v="Sarah Anderson"/>
    <x v="0"/>
    <x v="6"/>
    <x v="41"/>
    <n v="2"/>
    <n v="30.09"/>
    <s v="Completed"/>
    <s v="Gift Card"/>
    <n v="60.18"/>
    <n v="4"/>
    <x v="0"/>
  </r>
  <r>
    <x v="1481"/>
    <x v="619"/>
    <s v="CUST1572"/>
    <s v="Maria Yusuf"/>
    <x v="0"/>
    <x v="4"/>
    <x v="26"/>
    <n v="1"/>
    <n v="30.11"/>
    <s v="Completed"/>
    <s v="Debit Card"/>
    <n v="30.11"/>
    <n v="9"/>
    <x v="0"/>
  </r>
  <r>
    <x v="1482"/>
    <x v="457"/>
    <s v="CUST1337"/>
    <s v="Budi Smith"/>
    <x v="0"/>
    <x v="4"/>
    <x v="22"/>
    <n v="1"/>
    <n v="30.11"/>
    <s v="Completed"/>
    <s v="Credit Card"/>
    <n v="30.11"/>
    <n v="5"/>
    <x v="0"/>
  </r>
  <r>
    <x v="1483"/>
    <x v="637"/>
    <s v="CUST1058"/>
    <s v="John Johnson"/>
    <x v="0"/>
    <x v="6"/>
    <x v="40"/>
    <n v="1"/>
    <n v="30.13"/>
    <s v="Cancelled"/>
    <s v="Gift Card"/>
    <n v="30.13"/>
    <n v="6"/>
    <x v="0"/>
  </r>
  <r>
    <x v="1484"/>
    <x v="638"/>
    <s v="CUST1288"/>
    <s v="Ahmad Halim"/>
    <x v="0"/>
    <x v="2"/>
    <x v="7"/>
    <n v="2"/>
    <n v="30.21"/>
    <s v="Completed"/>
    <s v="Debit Card"/>
    <n v="60.42"/>
    <n v="4"/>
    <x v="0"/>
  </r>
  <r>
    <x v="1485"/>
    <x v="332"/>
    <s v="CUST1609"/>
    <s v="Rina Chen"/>
    <x v="0"/>
    <x v="3"/>
    <x v="13"/>
    <n v="2"/>
    <n v="30.22"/>
    <s v="Completed"/>
    <s v="Debit Card"/>
    <n v="60.44"/>
    <n v="5"/>
    <x v="0"/>
  </r>
  <r>
    <x v="1486"/>
    <x v="639"/>
    <s v="CUST1209"/>
    <s v="Andi Sari"/>
    <x v="0"/>
    <x v="6"/>
    <x v="39"/>
    <n v="1"/>
    <n v="30.24"/>
    <s v="Completed"/>
    <s v="PayPal"/>
    <n v="30.24"/>
    <n v="6"/>
    <x v="0"/>
  </r>
  <r>
    <x v="1487"/>
    <x v="238"/>
    <s v="CUST1561"/>
    <s v="Nina Santos"/>
    <x v="0"/>
    <x v="2"/>
    <x v="10"/>
    <n v="1"/>
    <n v="30.25"/>
    <s v="Completed"/>
    <s v="Credit Card"/>
    <n v="30.25"/>
    <n v="4"/>
    <x v="0"/>
  </r>
  <r>
    <x v="1488"/>
    <x v="151"/>
    <s v="CUST1469"/>
    <s v="Michael Lee"/>
    <x v="1"/>
    <x v="2"/>
    <x v="15"/>
    <n v="1"/>
    <n v="30.28"/>
    <s v="Cancelled"/>
    <s v="PayPal"/>
    <n v="30.28"/>
    <n v="4"/>
    <x v="0"/>
  </r>
  <r>
    <x v="1489"/>
    <x v="640"/>
    <s v="CUST1740"/>
    <s v="Dewi Hidayat"/>
    <x v="0"/>
    <x v="6"/>
    <x v="40"/>
    <n v="1"/>
    <n v="30.29"/>
    <s v="Completed"/>
    <s v="Gift Card"/>
    <n v="30.29"/>
    <n v="8"/>
    <x v="0"/>
  </r>
  <r>
    <x v="1490"/>
    <x v="168"/>
    <s v="CUST1432"/>
    <s v="Andi Smith"/>
    <x v="0"/>
    <x v="3"/>
    <x v="16"/>
    <n v="1"/>
    <n v="30.29"/>
    <s v="Completed"/>
    <s v="Gift Card"/>
    <n v="30.29"/>
    <n v="7"/>
    <x v="0"/>
  </r>
  <r>
    <x v="1491"/>
    <x v="443"/>
    <s v="CUST1588"/>
    <s v="David Anderson"/>
    <x v="0"/>
    <x v="1"/>
    <x v="18"/>
    <n v="1"/>
    <n v="30.3"/>
    <s v="Completed"/>
    <s v="Debit Card"/>
    <n v="30.3"/>
    <n v="5"/>
    <x v="0"/>
  </r>
  <r>
    <x v="1492"/>
    <x v="641"/>
    <s v="CUST1364"/>
    <s v="David Brown"/>
    <x v="0"/>
    <x v="2"/>
    <x v="15"/>
    <n v="2"/>
    <n v="30.31"/>
    <s v="Completed"/>
    <s v="Debit Card"/>
    <n v="60.62"/>
    <n v="8"/>
    <x v="0"/>
  </r>
  <r>
    <x v="1493"/>
    <x v="642"/>
    <s v="CUST1512"/>
    <s v="Rina Wilson"/>
    <x v="1"/>
    <x v="0"/>
    <x v="4"/>
    <n v="2"/>
    <n v="30.34"/>
    <s v="Completed"/>
    <s v="Debit Card"/>
    <n v="60.68"/>
    <n v="6"/>
    <x v="0"/>
  </r>
  <r>
    <x v="1494"/>
    <x v="104"/>
    <s v="CUST1386"/>
    <s v="Lisa Johnson"/>
    <x v="0"/>
    <x v="0"/>
    <x v="0"/>
    <n v="3"/>
    <n v="30.34"/>
    <s v="Completed"/>
    <s v="Gift Card"/>
    <n v="91.02"/>
    <n v="7"/>
    <x v="0"/>
  </r>
  <r>
    <x v="1495"/>
    <x v="643"/>
    <s v="CUST1798"/>
    <s v="Unknown Customer"/>
    <x v="0"/>
    <x v="2"/>
    <x v="11"/>
    <n v="4"/>
    <n v="30.37"/>
    <s v="Pending"/>
    <s v="Credit Card"/>
    <n v="121.48"/>
    <n v="10"/>
    <x v="0"/>
  </r>
  <r>
    <x v="1496"/>
    <x v="438"/>
    <s v="CUST1802"/>
    <s v="Ahmad Yusuf"/>
    <x v="0"/>
    <x v="2"/>
    <x v="7"/>
    <n v="3"/>
    <n v="30.39"/>
    <s v="Cancelled"/>
    <s v="Credit Card"/>
    <n v="91.17"/>
    <n v="2"/>
    <x v="0"/>
  </r>
  <r>
    <x v="1497"/>
    <x v="644"/>
    <s v="CUST1777"/>
    <s v="Ayu Chen"/>
    <x v="0"/>
    <x v="1"/>
    <x v="5"/>
    <n v="2"/>
    <n v="30.4"/>
    <s v="Completed"/>
    <s v="Debit Card"/>
    <n v="60.8"/>
    <n v="8"/>
    <x v="0"/>
  </r>
  <r>
    <x v="1498"/>
    <x v="59"/>
    <s v="CUST1611"/>
    <s v="Maria Sari"/>
    <x v="0"/>
    <x v="4"/>
    <x v="27"/>
    <n v="1"/>
    <n v="30.43"/>
    <s v="Pending"/>
    <s v="Debit Card"/>
    <n v="30.43"/>
    <n v="10"/>
    <x v="0"/>
  </r>
  <r>
    <x v="1499"/>
    <x v="471"/>
    <s v="CUST1556"/>
    <s v="Budi Wilson"/>
    <x v="0"/>
    <x v="2"/>
    <x v="7"/>
    <n v="1"/>
    <n v="30.45"/>
    <s v="Completed"/>
    <s v="Debit Card"/>
    <n v="30.45"/>
    <n v="1"/>
    <x v="1"/>
  </r>
  <r>
    <x v="1500"/>
    <x v="438"/>
    <s v="CUST1755"/>
    <s v="Budi Sari"/>
    <x v="0"/>
    <x v="2"/>
    <x v="11"/>
    <n v="1"/>
    <n v="30.47"/>
    <s v="Completed"/>
    <s v="Debit Card"/>
    <n v="30.47"/>
    <n v="11"/>
    <x v="0"/>
  </r>
  <r>
    <x v="1501"/>
    <x v="166"/>
    <s v="CUST1141"/>
    <s v="Fajar Taylor"/>
    <x v="0"/>
    <x v="0"/>
    <x v="0"/>
    <n v="1"/>
    <n v="30.48"/>
    <s v="Completed"/>
    <s v="Gift Card"/>
    <n v="30.48"/>
    <n v="7"/>
    <x v="0"/>
  </r>
  <r>
    <x v="1502"/>
    <x v="572"/>
    <s v="CUST1031"/>
    <s v="Robert Tan"/>
    <x v="0"/>
    <x v="2"/>
    <x v="7"/>
    <n v="1"/>
    <n v="30.49"/>
    <s v="Completed"/>
    <s v="Gift Card"/>
    <n v="30.49"/>
    <n v="5"/>
    <x v="0"/>
  </r>
  <r>
    <x v="1503"/>
    <x v="116"/>
    <s v="CUST1017"/>
    <s v="Michael Lee"/>
    <x v="3"/>
    <x v="0"/>
    <x v="0"/>
    <n v="1"/>
    <n v="30.5"/>
    <s v="Completed"/>
    <s v="Gift Card"/>
    <n v="30.5"/>
    <n v="3"/>
    <x v="0"/>
  </r>
  <r>
    <x v="1504"/>
    <x v="542"/>
    <s v="CUST1009"/>
    <s v="James Anderson"/>
    <x v="1"/>
    <x v="2"/>
    <x v="7"/>
    <n v="1"/>
    <n v="30.52"/>
    <s v="Completed"/>
    <s v="Gift Card"/>
    <n v="30.52"/>
    <n v="4"/>
    <x v="0"/>
  </r>
  <r>
    <x v="1505"/>
    <x v="353"/>
    <s v="CUST1839"/>
    <s v="John Tan"/>
    <x v="0"/>
    <x v="0"/>
    <x v="0"/>
    <n v="2"/>
    <n v="30.53"/>
    <s v="Completed"/>
    <s v="Debit Card"/>
    <n v="61.06"/>
    <n v="10"/>
    <x v="0"/>
  </r>
  <r>
    <x v="1506"/>
    <x v="291"/>
    <s v="CUST1601"/>
    <s v="Nina Taylor"/>
    <x v="0"/>
    <x v="5"/>
    <x v="32"/>
    <n v="4"/>
    <n v="30.54"/>
    <s v="Completed"/>
    <s v="Debit Card"/>
    <n v="122.16"/>
    <n v="4"/>
    <x v="0"/>
  </r>
  <r>
    <x v="1507"/>
    <x v="68"/>
    <s v="CUST1744"/>
    <s v="Andi Sari"/>
    <x v="0"/>
    <x v="0"/>
    <x v="2"/>
    <n v="1"/>
    <n v="30.58"/>
    <s v="Completed"/>
    <s v="PayPal"/>
    <n v="30.58"/>
    <n v="6"/>
    <x v="0"/>
  </r>
  <r>
    <x v="1508"/>
    <x v="139"/>
    <s v="CUST1152"/>
    <s v="Dewi Yusuf"/>
    <x v="1"/>
    <x v="2"/>
    <x v="8"/>
    <n v="2"/>
    <n v="30.58"/>
    <s v="Completed"/>
    <s v="PayPal"/>
    <n v="61.16"/>
    <n v="5"/>
    <x v="0"/>
  </r>
  <r>
    <x v="1509"/>
    <x v="207"/>
    <s v="CUST1215"/>
    <s v="Putri Salim"/>
    <x v="1"/>
    <x v="4"/>
    <x v="22"/>
    <n v="1"/>
    <n v="30.61"/>
    <s v="Completed"/>
    <s v="Debit Card"/>
    <n v="30.61"/>
    <n v="3"/>
    <x v="0"/>
  </r>
  <r>
    <x v="1510"/>
    <x v="83"/>
    <s v="CUST1862"/>
    <s v="Ahmad Santos"/>
    <x v="0"/>
    <x v="0"/>
    <x v="4"/>
    <n v="1"/>
    <n v="30.64"/>
    <s v="Completed"/>
    <s v="Gift Card"/>
    <n v="30.64"/>
    <n v="7"/>
    <x v="0"/>
  </r>
  <r>
    <x v="1511"/>
    <x v="434"/>
    <s v="CUST1657"/>
    <s v="Lisa Brown"/>
    <x v="1"/>
    <x v="0"/>
    <x v="0"/>
    <n v="3"/>
    <n v="30.64"/>
    <s v="Completed"/>
    <s v="Gift Card"/>
    <n v="91.92"/>
    <n v="5"/>
    <x v="0"/>
  </r>
  <r>
    <x v="1512"/>
    <x v="388"/>
    <s v="CUST1866"/>
    <s v="Dewi Lee"/>
    <x v="1"/>
    <x v="3"/>
    <x v="13"/>
    <n v="1"/>
    <n v="30.66"/>
    <s v="Completed"/>
    <s v="Gift Card"/>
    <n v="30.66"/>
    <n v="4"/>
    <x v="0"/>
  </r>
  <r>
    <x v="1513"/>
    <x v="627"/>
    <s v="CUST1893"/>
    <s v="John Wijaya"/>
    <x v="0"/>
    <x v="2"/>
    <x v="11"/>
    <n v="2"/>
    <n v="30.66"/>
    <s v="Completed"/>
    <s v="PayPal"/>
    <n v="61.32"/>
    <n v="6"/>
    <x v="0"/>
  </r>
  <r>
    <x v="1514"/>
    <x v="38"/>
    <s v="CUST1697"/>
    <s v="Michael Sari"/>
    <x v="0"/>
    <x v="0"/>
    <x v="2"/>
    <n v="3"/>
    <n v="30.66"/>
    <s v="Returned"/>
    <s v="Credit Card"/>
    <n v="91.98"/>
    <n v="6"/>
    <x v="0"/>
  </r>
  <r>
    <x v="1515"/>
    <x v="215"/>
    <s v="CUST1242"/>
    <s v="Robert Anderson"/>
    <x v="1"/>
    <x v="0"/>
    <x v="2"/>
    <n v="2"/>
    <n v="30.68"/>
    <s v="Completed"/>
    <s v="Unknown"/>
    <n v="61.36"/>
    <n v="3"/>
    <x v="0"/>
  </r>
  <r>
    <x v="1516"/>
    <x v="645"/>
    <s v="CUST1607"/>
    <s v="Fajar Kurniawan"/>
    <x v="0"/>
    <x v="1"/>
    <x v="20"/>
    <n v="2"/>
    <n v="30.69"/>
    <s v="Completed"/>
    <s v="PayPal"/>
    <n v="61.38"/>
    <n v="5"/>
    <x v="0"/>
  </r>
  <r>
    <x v="1517"/>
    <x v="438"/>
    <s v="CUST1563"/>
    <s v="James Yusuf"/>
    <x v="1"/>
    <x v="6"/>
    <x v="39"/>
    <n v="2"/>
    <n v="30.7"/>
    <s v="Completed"/>
    <s v="Gift Card"/>
    <n v="61.4"/>
    <n v="7"/>
    <x v="0"/>
  </r>
  <r>
    <x v="1518"/>
    <x v="147"/>
    <s v="CUST1808"/>
    <s v="Michael Kurniawan"/>
    <x v="1"/>
    <x v="5"/>
    <x v="28"/>
    <n v="3"/>
    <n v="30.71"/>
    <s v="Completed"/>
    <s v="Credit Card"/>
    <n v="92.13"/>
    <n v="9"/>
    <x v="0"/>
  </r>
  <r>
    <x v="1519"/>
    <x v="136"/>
    <s v="CUST1676"/>
    <s v="Lisa Wijaya"/>
    <x v="1"/>
    <x v="0"/>
    <x v="3"/>
    <n v="1"/>
    <n v="30.73"/>
    <s v="Completed"/>
    <s v="Credit Card"/>
    <n v="30.73"/>
    <n v="7"/>
    <x v="0"/>
  </r>
  <r>
    <x v="1520"/>
    <x v="10"/>
    <s v="CUST1514"/>
    <s v="Rina Wijaya"/>
    <x v="1"/>
    <x v="2"/>
    <x v="7"/>
    <n v="1"/>
    <n v="30.73"/>
    <s v="Completed"/>
    <s v="Credit Card"/>
    <n v="30.73"/>
    <n v="9"/>
    <x v="0"/>
  </r>
  <r>
    <x v="1521"/>
    <x v="3"/>
    <s v="CUST1229"/>
    <s v="Kevin Anderson"/>
    <x v="0"/>
    <x v="6"/>
    <x v="37"/>
    <n v="1"/>
    <n v="30.74"/>
    <s v="Completed"/>
    <s v="PayPal"/>
    <n v="30.74"/>
    <n v="4"/>
    <x v="0"/>
  </r>
  <r>
    <x v="1522"/>
    <x v="343"/>
    <s v="CUST1689"/>
    <s v="Siti Tan"/>
    <x v="0"/>
    <x v="0"/>
    <x v="2"/>
    <n v="1"/>
    <n v="30.74"/>
    <s v="Completed"/>
    <s v="PayPal"/>
    <n v="30.74"/>
    <n v="7"/>
    <x v="0"/>
  </r>
  <r>
    <x v="1523"/>
    <x v="198"/>
    <s v="CUST1678"/>
    <s v="Lisa Brown"/>
    <x v="1"/>
    <x v="2"/>
    <x v="11"/>
    <n v="2"/>
    <n v="30.76"/>
    <s v="Completed"/>
    <s v="Gift Card"/>
    <n v="61.52"/>
    <n v="8"/>
    <x v="0"/>
  </r>
  <r>
    <x v="1524"/>
    <x v="27"/>
    <s v="CUST1094"/>
    <s v="Siti Garcia"/>
    <x v="0"/>
    <x v="3"/>
    <x v="13"/>
    <n v="1"/>
    <n v="30.79"/>
    <s v="Completed"/>
    <s v="PayPal"/>
    <n v="30.79"/>
    <n v="4"/>
    <x v="0"/>
  </r>
  <r>
    <x v="1525"/>
    <x v="507"/>
    <s v="CUST1637"/>
    <s v="Linda Tan"/>
    <x v="0"/>
    <x v="0"/>
    <x v="4"/>
    <n v="1"/>
    <n v="30.8"/>
    <s v="Completed"/>
    <s v="PayPal"/>
    <n v="30.8"/>
    <n v="6"/>
    <x v="0"/>
  </r>
  <r>
    <x v="1526"/>
    <x v="633"/>
    <s v="CUST1726"/>
    <s v="John Tan"/>
    <x v="0"/>
    <x v="2"/>
    <x v="15"/>
    <n v="2"/>
    <n v="30.8"/>
    <s v="Completed"/>
    <s v="Credit Card"/>
    <n v="61.6"/>
    <n v="8"/>
    <x v="0"/>
  </r>
  <r>
    <x v="1527"/>
    <x v="507"/>
    <s v="CUST1807"/>
    <s v="Lisa Wilson"/>
    <x v="1"/>
    <x v="0"/>
    <x v="4"/>
    <n v="1"/>
    <n v="30.81"/>
    <s v="Completed"/>
    <s v="Unknown"/>
    <n v="30.81"/>
    <n v="4"/>
    <x v="0"/>
  </r>
  <r>
    <x v="1528"/>
    <x v="98"/>
    <s v="CUST1569"/>
    <s v="David Kurniawan"/>
    <x v="0"/>
    <x v="2"/>
    <x v="7"/>
    <n v="5"/>
    <n v="30.81"/>
    <s v="Completed"/>
    <s v="PayPal"/>
    <n v="154.04999999999998"/>
    <n v="9"/>
    <x v="0"/>
  </r>
  <r>
    <x v="1529"/>
    <x v="109"/>
    <s v="CUST1147"/>
    <s v="Sarah Wilson"/>
    <x v="0"/>
    <x v="6"/>
    <x v="40"/>
    <n v="2"/>
    <n v="30.83"/>
    <s v="Completed"/>
    <s v="Credit Card"/>
    <n v="61.66"/>
    <n v="7"/>
    <x v="0"/>
  </r>
  <r>
    <x v="1530"/>
    <x v="646"/>
    <s v="CUST1638"/>
    <s v="Maria Kurniawan"/>
    <x v="0"/>
    <x v="0"/>
    <x v="0"/>
    <n v="3"/>
    <n v="30.85"/>
    <s v="Completed"/>
    <s v="Debit Card"/>
    <n v="92.550000000000011"/>
    <n v="8"/>
    <x v="0"/>
  </r>
  <r>
    <x v="1531"/>
    <x v="68"/>
    <s v="CUST1585"/>
    <s v="Robert Anderson"/>
    <x v="0"/>
    <x v="4"/>
    <x v="23"/>
    <n v="1"/>
    <n v="30.86"/>
    <s v="Completed"/>
    <s v="Gift Card"/>
    <n v="30.86"/>
    <n v="6"/>
    <x v="0"/>
  </r>
  <r>
    <x v="1532"/>
    <x v="647"/>
    <s v="CUST1020"/>
    <s v="Putri Chen"/>
    <x v="0"/>
    <x v="0"/>
    <x v="0"/>
    <n v="1"/>
    <n v="30.87"/>
    <s v="Completed"/>
    <s v="Debit Card"/>
    <n v="30.87"/>
    <n v="4"/>
    <x v="0"/>
  </r>
  <r>
    <x v="1533"/>
    <x v="648"/>
    <s v="CUST1002"/>
    <s v="Sarah Kurniawan"/>
    <x v="0"/>
    <x v="0"/>
    <x v="1"/>
    <n v="1"/>
    <n v="30.88"/>
    <s v="Completed"/>
    <s v="Credit Card"/>
    <n v="30.88"/>
    <n v="5"/>
    <x v="0"/>
  </r>
  <r>
    <x v="1534"/>
    <x v="625"/>
    <s v="CUST1460"/>
    <s v="Rina Sari"/>
    <x v="0"/>
    <x v="2"/>
    <x v="10"/>
    <n v="1"/>
    <n v="30.88"/>
    <s v="Pending"/>
    <s v="PayPal"/>
    <n v="30.88"/>
    <n v="9"/>
    <x v="0"/>
  </r>
  <r>
    <x v="1535"/>
    <x v="649"/>
    <s v="CUST1153"/>
    <s v="Fajar Salim"/>
    <x v="0"/>
    <x v="3"/>
    <x v="19"/>
    <n v="1"/>
    <n v="30.89"/>
    <s v="Completed"/>
    <s v="PayPal"/>
    <n v="30.89"/>
    <n v="6"/>
    <x v="0"/>
  </r>
  <r>
    <x v="1536"/>
    <x v="488"/>
    <s v="CUST1581"/>
    <s v="Rina Hidayat"/>
    <x v="0"/>
    <x v="1"/>
    <x v="20"/>
    <n v="1"/>
    <n v="30.9"/>
    <s v="Completed"/>
    <s v="Debit Card"/>
    <n v="30.9"/>
    <n v="6"/>
    <x v="0"/>
  </r>
  <r>
    <x v="1537"/>
    <x v="544"/>
    <s v="CUST1017"/>
    <s v="Michael Lee"/>
    <x v="3"/>
    <x v="2"/>
    <x v="7"/>
    <n v="1"/>
    <n v="30.92"/>
    <s v="Completed"/>
    <s v="Gift Card"/>
    <n v="30.92"/>
    <n v="3"/>
    <x v="0"/>
  </r>
  <r>
    <x v="1538"/>
    <x v="650"/>
    <s v="CUST1273"/>
    <s v="Ayu Salim"/>
    <x v="0"/>
    <x v="3"/>
    <x v="12"/>
    <n v="1"/>
    <n v="30.96"/>
    <s v="Completed"/>
    <s v="Debit Card"/>
    <n v="30.96"/>
    <n v="6"/>
    <x v="0"/>
  </r>
  <r>
    <x v="1539"/>
    <x v="491"/>
    <s v="CUST1697"/>
    <s v="Michael Sari"/>
    <x v="0"/>
    <x v="2"/>
    <x v="7"/>
    <n v="1"/>
    <n v="30.99"/>
    <s v="Completed"/>
    <s v="PayPal"/>
    <n v="30.99"/>
    <n v="6"/>
    <x v="0"/>
  </r>
  <r>
    <x v="1540"/>
    <x v="87"/>
    <s v="CUST1159"/>
    <s v="Michael Smith"/>
    <x v="0"/>
    <x v="1"/>
    <x v="6"/>
    <n v="1"/>
    <n v="31"/>
    <s v="Returned"/>
    <s v="Credit Card"/>
    <n v="31"/>
    <n v="4"/>
    <x v="0"/>
  </r>
  <r>
    <x v="1541"/>
    <x v="10"/>
    <s v="CUST1871"/>
    <s v="Andi Smith"/>
    <x v="0"/>
    <x v="5"/>
    <x v="33"/>
    <n v="2"/>
    <n v="31"/>
    <s v="Completed"/>
    <s v="Gift Card"/>
    <n v="62"/>
    <n v="3"/>
    <x v="0"/>
  </r>
  <r>
    <x v="1542"/>
    <x v="651"/>
    <s v="CUST1282"/>
    <s v="Sarah Tan"/>
    <x v="0"/>
    <x v="3"/>
    <x v="16"/>
    <n v="3"/>
    <n v="31"/>
    <s v="Completed"/>
    <s v="PayPal"/>
    <n v="93"/>
    <n v="4"/>
    <x v="0"/>
  </r>
  <r>
    <x v="1543"/>
    <x v="652"/>
    <s v="CUST1258"/>
    <s v="Ayu Smith"/>
    <x v="0"/>
    <x v="4"/>
    <x v="22"/>
    <n v="1"/>
    <n v="31.02"/>
    <s v="Completed"/>
    <s v="Debit Card"/>
    <n v="31.02"/>
    <n v="7"/>
    <x v="0"/>
  </r>
  <r>
    <x v="1544"/>
    <x v="470"/>
    <s v="CUST1294"/>
    <s v="James Yusuf"/>
    <x v="1"/>
    <x v="0"/>
    <x v="0"/>
    <n v="2"/>
    <n v="31.02"/>
    <s v="Completed"/>
    <s v="PayPal"/>
    <n v="62.04"/>
    <n v="3"/>
    <x v="0"/>
  </r>
  <r>
    <x v="1545"/>
    <x v="653"/>
    <s v="CUST1286"/>
    <s v="Sarah Wilson"/>
    <x v="3"/>
    <x v="2"/>
    <x v="15"/>
    <n v="3"/>
    <n v="31.02"/>
    <s v="Completed"/>
    <s v="Debit Card"/>
    <n v="93.06"/>
    <n v="3"/>
    <x v="0"/>
  </r>
  <r>
    <x v="1546"/>
    <x v="64"/>
    <s v="CUST1465"/>
    <s v="Nina Wilson"/>
    <x v="1"/>
    <x v="5"/>
    <x v="29"/>
    <n v="3"/>
    <n v="31.03"/>
    <s v="Cancelled"/>
    <s v="Credit Card"/>
    <n v="93.09"/>
    <n v="7"/>
    <x v="0"/>
  </r>
  <r>
    <x v="1547"/>
    <x v="13"/>
    <s v="CUST1396"/>
    <s v="David Wijaya"/>
    <x v="0"/>
    <x v="3"/>
    <x v="12"/>
    <n v="1"/>
    <n v="31.08"/>
    <s v="Completed"/>
    <s v="Debit Card"/>
    <n v="31.08"/>
    <n v="5"/>
    <x v="0"/>
  </r>
  <r>
    <x v="1548"/>
    <x v="157"/>
    <s v="CUST1032"/>
    <s v="Andi Sari"/>
    <x v="0"/>
    <x v="1"/>
    <x v="17"/>
    <n v="2"/>
    <n v="31.08"/>
    <s v="Cancelled"/>
    <s v="Gift Card"/>
    <n v="62.16"/>
    <n v="6"/>
    <x v="0"/>
  </r>
  <r>
    <x v="1549"/>
    <x v="654"/>
    <s v="CUST1305"/>
    <s v="Linda Nugroho"/>
    <x v="0"/>
    <x v="5"/>
    <x v="31"/>
    <n v="1"/>
    <n v="31.12"/>
    <s v="Completed"/>
    <s v="Debit Card"/>
    <n v="31.12"/>
    <n v="5"/>
    <x v="0"/>
  </r>
  <r>
    <x v="1550"/>
    <x v="383"/>
    <s v="CUST1107"/>
    <s v="Fajar Yusuf"/>
    <x v="0"/>
    <x v="5"/>
    <x v="30"/>
    <n v="1"/>
    <n v="31.13"/>
    <s v="Completed"/>
    <s v="Credit Card"/>
    <n v="31.13"/>
    <n v="5"/>
    <x v="0"/>
  </r>
  <r>
    <x v="1551"/>
    <x v="618"/>
    <s v="CUST1483"/>
    <s v="Nina Anderson"/>
    <x v="0"/>
    <x v="0"/>
    <x v="1"/>
    <n v="1"/>
    <n v="31.14"/>
    <s v="Completed"/>
    <s v="Gift Card"/>
    <n v="31.14"/>
    <n v="3"/>
    <x v="0"/>
  </r>
  <r>
    <x v="1552"/>
    <x v="649"/>
    <s v="CUST1067"/>
    <s v="Nina Halim"/>
    <x v="0"/>
    <x v="3"/>
    <x v="14"/>
    <n v="5"/>
    <n v="31.14"/>
    <s v="Completed"/>
    <s v="Debit Card"/>
    <n v="155.69999999999999"/>
    <n v="6"/>
    <x v="0"/>
  </r>
  <r>
    <x v="1553"/>
    <x v="174"/>
    <s v="CUST1637"/>
    <s v="Linda Tan"/>
    <x v="0"/>
    <x v="2"/>
    <x v="10"/>
    <n v="1"/>
    <n v="31.15"/>
    <s v="Completed"/>
    <s v="Debit Card"/>
    <n v="31.15"/>
    <n v="6"/>
    <x v="0"/>
  </r>
  <r>
    <x v="1554"/>
    <x v="276"/>
    <s v="CUST1416"/>
    <s v="Unknown Customer"/>
    <x v="1"/>
    <x v="0"/>
    <x v="0"/>
    <n v="1"/>
    <n v="31.17"/>
    <s v="Completed"/>
    <s v="Credit Card"/>
    <n v="31.17"/>
    <n v="5"/>
    <x v="0"/>
  </r>
  <r>
    <x v="1555"/>
    <x v="147"/>
    <s v="CUST1436"/>
    <s v="Lisa Garcia"/>
    <x v="0"/>
    <x v="2"/>
    <x v="8"/>
    <n v="1"/>
    <n v="31.17"/>
    <s v="Completed"/>
    <s v="Debit Card"/>
    <n v="31.17"/>
    <n v="8"/>
    <x v="0"/>
  </r>
  <r>
    <x v="1556"/>
    <x v="655"/>
    <s v="CUST1322"/>
    <s v="Ahmad Wijaya"/>
    <x v="1"/>
    <x v="4"/>
    <x v="23"/>
    <n v="1"/>
    <n v="31.17"/>
    <s v="Completed"/>
    <s v="Gift Card"/>
    <n v="31.17"/>
    <n v="7"/>
    <x v="0"/>
  </r>
  <r>
    <x v="1557"/>
    <x v="279"/>
    <s v="CUST1225"/>
    <s v="Siti Wilson"/>
    <x v="1"/>
    <x v="1"/>
    <x v="18"/>
    <n v="1"/>
    <n v="31.18"/>
    <s v="Completed"/>
    <s v="Debit Card"/>
    <n v="31.18"/>
    <n v="6"/>
    <x v="0"/>
  </r>
  <r>
    <x v="1558"/>
    <x v="342"/>
    <s v="CUST1606"/>
    <s v="Lisa Halim"/>
    <x v="0"/>
    <x v="0"/>
    <x v="0"/>
    <n v="1"/>
    <n v="31.19"/>
    <s v="Completed"/>
    <s v="Credit Card"/>
    <n v="31.19"/>
    <n v="3"/>
    <x v="0"/>
  </r>
  <r>
    <x v="1559"/>
    <x v="482"/>
    <s v="CUST1580"/>
    <s v="Linda Tan"/>
    <x v="1"/>
    <x v="0"/>
    <x v="4"/>
    <n v="2"/>
    <n v="31.22"/>
    <s v="Completed"/>
    <s v="Debit Card"/>
    <n v="62.44"/>
    <n v="4"/>
    <x v="0"/>
  </r>
  <r>
    <x v="1560"/>
    <x v="577"/>
    <s v="CUST1464"/>
    <s v="Dewi Taylor"/>
    <x v="0"/>
    <x v="2"/>
    <x v="10"/>
    <n v="1"/>
    <n v="31.25"/>
    <s v="Cancelled"/>
    <s v="Gift Card"/>
    <n v="31.25"/>
    <n v="6"/>
    <x v="0"/>
  </r>
  <r>
    <x v="1561"/>
    <x v="602"/>
    <s v="CUST1659"/>
    <s v="Kevin Hidayat"/>
    <x v="1"/>
    <x v="6"/>
    <x v="37"/>
    <n v="2"/>
    <n v="31.25"/>
    <s v="Completed"/>
    <s v="Credit Card"/>
    <n v="62.5"/>
    <n v="4"/>
    <x v="0"/>
  </r>
  <r>
    <x v="1562"/>
    <x v="274"/>
    <s v="CUST1650"/>
    <s v="Dewi Lee"/>
    <x v="0"/>
    <x v="6"/>
    <x v="38"/>
    <n v="2"/>
    <n v="31.27"/>
    <s v="Completed"/>
    <s v="Credit Card"/>
    <n v="62.54"/>
    <n v="6"/>
    <x v="0"/>
  </r>
  <r>
    <x v="1563"/>
    <x v="218"/>
    <s v="CUST1089"/>
    <s v="Dewi Pratama"/>
    <x v="1"/>
    <x v="5"/>
    <x v="29"/>
    <n v="1"/>
    <n v="31.29"/>
    <s v="Completed"/>
    <s v="PayPal"/>
    <n v="31.29"/>
    <n v="5"/>
    <x v="0"/>
  </r>
  <r>
    <x v="1564"/>
    <x v="10"/>
    <s v="CUST1578"/>
    <s v="Putri Salim"/>
    <x v="1"/>
    <x v="2"/>
    <x v="7"/>
    <n v="1"/>
    <n v="31.3"/>
    <s v="Completed"/>
    <s v="Debit Card"/>
    <n v="31.3"/>
    <n v="4"/>
    <x v="0"/>
  </r>
  <r>
    <x v="1565"/>
    <x v="169"/>
    <s v="CUST1595"/>
    <s v="Lisa Brown"/>
    <x v="3"/>
    <x v="1"/>
    <x v="6"/>
    <n v="1"/>
    <n v="31.31"/>
    <s v="Completed"/>
    <s v="Gift Card"/>
    <n v="31.31"/>
    <n v="3"/>
    <x v="0"/>
  </r>
  <r>
    <x v="1566"/>
    <x v="341"/>
    <s v="CUST1452"/>
    <s v="Fajar Yusuf"/>
    <x v="0"/>
    <x v="2"/>
    <x v="15"/>
    <n v="1"/>
    <n v="31.32"/>
    <s v="Completed"/>
    <s v="PayPal"/>
    <n v="31.32"/>
    <n v="3"/>
    <x v="0"/>
  </r>
  <r>
    <x v="1567"/>
    <x v="308"/>
    <s v="CUST1076"/>
    <s v="Kevin Santos"/>
    <x v="0"/>
    <x v="1"/>
    <x v="17"/>
    <n v="2"/>
    <n v="31.32"/>
    <s v="Completed"/>
    <s v="Gift Card"/>
    <n v="62.64"/>
    <n v="9"/>
    <x v="0"/>
  </r>
  <r>
    <x v="1568"/>
    <x v="497"/>
    <s v="CUST1524"/>
    <s v="Robert Smith"/>
    <x v="2"/>
    <x v="3"/>
    <x v="19"/>
    <n v="1"/>
    <n v="31.33"/>
    <s v="Cancelled"/>
    <s v="Credit Card"/>
    <n v="31.33"/>
    <n v="4"/>
    <x v="0"/>
  </r>
  <r>
    <x v="1569"/>
    <x v="93"/>
    <s v="CUST1740"/>
    <s v="Unknown Customer"/>
    <x v="0"/>
    <x v="2"/>
    <x v="10"/>
    <n v="1"/>
    <n v="31.34"/>
    <s v="Completed"/>
    <s v="Credit Card"/>
    <n v="31.34"/>
    <n v="8"/>
    <x v="0"/>
  </r>
  <r>
    <x v="1570"/>
    <x v="10"/>
    <s v="CUST1572"/>
    <s v="Maria Yusuf"/>
    <x v="0"/>
    <x v="2"/>
    <x v="10"/>
    <n v="2"/>
    <n v="31.35"/>
    <s v="Completed"/>
    <s v="PayPal"/>
    <n v="62.7"/>
    <n v="9"/>
    <x v="0"/>
  </r>
  <r>
    <x v="1571"/>
    <x v="270"/>
    <s v="CUST1205"/>
    <s v="David Johnson"/>
    <x v="0"/>
    <x v="4"/>
    <x v="22"/>
    <n v="1"/>
    <n v="31.36"/>
    <s v="Completed"/>
    <s v="Debit Card"/>
    <n v="31.36"/>
    <n v="5"/>
    <x v="0"/>
  </r>
  <r>
    <x v="1572"/>
    <x v="58"/>
    <s v="CUST1737"/>
    <s v="Ahmad Brown"/>
    <x v="0"/>
    <x v="1"/>
    <x v="20"/>
    <n v="1"/>
    <n v="31.38"/>
    <s v="Completed"/>
    <s v="PayPal"/>
    <n v="31.38"/>
    <n v="3"/>
    <x v="0"/>
  </r>
  <r>
    <x v="1573"/>
    <x v="127"/>
    <s v="CUST1637"/>
    <s v="Linda Tan"/>
    <x v="0"/>
    <x v="0"/>
    <x v="4"/>
    <n v="1"/>
    <n v="31.38"/>
    <s v="Completed"/>
    <s v="Debit Card"/>
    <n v="31.38"/>
    <n v="6"/>
    <x v="0"/>
  </r>
  <r>
    <x v="1574"/>
    <x v="426"/>
    <s v="CUST1494"/>
    <s v="Robert Pratama"/>
    <x v="0"/>
    <x v="0"/>
    <x v="4"/>
    <n v="3"/>
    <n v="31.42"/>
    <s v="Cancelled"/>
    <s v="Debit Card"/>
    <n v="94.26"/>
    <n v="3"/>
    <x v="0"/>
  </r>
  <r>
    <x v="1575"/>
    <x v="249"/>
    <s v="CUST1451"/>
    <s v="Ahmad Garcia"/>
    <x v="0"/>
    <x v="1"/>
    <x v="17"/>
    <n v="1"/>
    <n v="31.43"/>
    <s v="Returned"/>
    <s v="Debit Card"/>
    <n v="31.43"/>
    <n v="12"/>
    <x v="0"/>
  </r>
  <r>
    <x v="1576"/>
    <x v="599"/>
    <s v="CUST1822"/>
    <s v="Ayu Wilson"/>
    <x v="0"/>
    <x v="6"/>
    <x v="37"/>
    <n v="1"/>
    <n v="31.43"/>
    <s v="Completed"/>
    <s v="Credit Card"/>
    <n v="31.43"/>
    <n v="6"/>
    <x v="0"/>
  </r>
  <r>
    <x v="1577"/>
    <x v="442"/>
    <s v="CUST1050"/>
    <s v="Sarah Anderson"/>
    <x v="0"/>
    <x v="0"/>
    <x v="4"/>
    <n v="1"/>
    <n v="31.46"/>
    <s v="Returned"/>
    <s v="Gift Card"/>
    <n v="31.46"/>
    <n v="4"/>
    <x v="0"/>
  </r>
  <r>
    <x v="1578"/>
    <x v="0"/>
    <s v="CUST1416"/>
    <s v="Robert Nugroho"/>
    <x v="1"/>
    <x v="2"/>
    <x v="8"/>
    <n v="1"/>
    <n v="31.49"/>
    <s v="Completed"/>
    <s v="PayPal"/>
    <n v="31.49"/>
    <n v="5"/>
    <x v="0"/>
  </r>
  <r>
    <x v="1579"/>
    <x v="584"/>
    <s v="CUST1715"/>
    <s v="Dewi Tan"/>
    <x v="0"/>
    <x v="0"/>
    <x v="2"/>
    <n v="1"/>
    <n v="31.49"/>
    <s v="Completed"/>
    <s v="Credit Card"/>
    <n v="31.49"/>
    <n v="4"/>
    <x v="0"/>
  </r>
  <r>
    <x v="1580"/>
    <x v="120"/>
    <s v="CUST1586"/>
    <s v="Putri Smith"/>
    <x v="1"/>
    <x v="5"/>
    <x v="33"/>
    <n v="1"/>
    <n v="31.49"/>
    <s v="Completed"/>
    <s v="Debit Card"/>
    <n v="31.49"/>
    <n v="5"/>
    <x v="0"/>
  </r>
  <r>
    <x v="1581"/>
    <x v="575"/>
    <s v="CUST1674"/>
    <s v="Dewi Lee"/>
    <x v="0"/>
    <x v="0"/>
    <x v="2"/>
    <n v="1"/>
    <n v="31.5"/>
    <s v="Completed"/>
    <s v="Unknown"/>
    <n v="31.5"/>
    <n v="11"/>
    <x v="0"/>
  </r>
  <r>
    <x v="1582"/>
    <x v="353"/>
    <s v="CUST1435"/>
    <s v="Dewi Lee"/>
    <x v="0"/>
    <x v="0"/>
    <x v="4"/>
    <n v="2"/>
    <n v="31.5"/>
    <s v="Completed"/>
    <s v="PayPal"/>
    <n v="63"/>
    <n v="5"/>
    <x v="0"/>
  </r>
  <r>
    <x v="1583"/>
    <x v="585"/>
    <s v="CUST1701"/>
    <s v="John Santos"/>
    <x v="1"/>
    <x v="2"/>
    <x v="11"/>
    <n v="2"/>
    <n v="31.51"/>
    <s v="Completed"/>
    <s v="Debit Card"/>
    <n v="63.02"/>
    <n v="7"/>
    <x v="0"/>
  </r>
  <r>
    <x v="1584"/>
    <x v="120"/>
    <s v="CUST1366"/>
    <s v="David Anderson"/>
    <x v="0"/>
    <x v="5"/>
    <x v="29"/>
    <n v="2"/>
    <n v="31.52"/>
    <s v="Completed"/>
    <s v="Gift Card"/>
    <n v="63.04"/>
    <n v="4"/>
    <x v="0"/>
  </r>
  <r>
    <x v="1585"/>
    <x v="369"/>
    <s v="CUST1059"/>
    <s v="Dewi Chen"/>
    <x v="1"/>
    <x v="0"/>
    <x v="0"/>
    <n v="1"/>
    <n v="31.53"/>
    <s v="Completed"/>
    <s v="PayPal"/>
    <n v="31.53"/>
    <n v="2"/>
    <x v="0"/>
  </r>
  <r>
    <x v="1586"/>
    <x v="391"/>
    <s v="CUST1226"/>
    <s v="Fajar Pratama"/>
    <x v="0"/>
    <x v="3"/>
    <x v="19"/>
    <n v="2"/>
    <n v="31.54"/>
    <s v="Completed"/>
    <s v="PayPal"/>
    <n v="63.08"/>
    <n v="4"/>
    <x v="0"/>
  </r>
  <r>
    <x v="1587"/>
    <x v="450"/>
    <s v="CUST1798"/>
    <s v="Siti Anderson"/>
    <x v="0"/>
    <x v="4"/>
    <x v="22"/>
    <n v="2"/>
    <n v="31.55"/>
    <s v="Completed"/>
    <s v="Gift Card"/>
    <n v="63.1"/>
    <n v="10"/>
    <x v="0"/>
  </r>
  <r>
    <x v="1588"/>
    <x v="649"/>
    <s v="CUST1687"/>
    <s v="Siti Sari"/>
    <x v="0"/>
    <x v="5"/>
    <x v="31"/>
    <n v="1"/>
    <n v="31.58"/>
    <s v="Completed"/>
    <s v="Debit Card"/>
    <n v="31.58"/>
    <n v="5"/>
    <x v="0"/>
  </r>
  <r>
    <x v="1589"/>
    <x v="406"/>
    <s v="CUST1743"/>
    <s v="Linda Chen"/>
    <x v="0"/>
    <x v="5"/>
    <x v="34"/>
    <n v="1"/>
    <n v="31.58"/>
    <s v="Completed"/>
    <s v="Debit Card"/>
    <n v="31.58"/>
    <n v="5"/>
    <x v="0"/>
  </r>
  <r>
    <x v="1590"/>
    <x v="416"/>
    <s v="CUST1236"/>
    <s v="Michael Wilson"/>
    <x v="0"/>
    <x v="0"/>
    <x v="1"/>
    <n v="1"/>
    <n v="31.61"/>
    <s v="Cancelled"/>
    <s v="Gift Card"/>
    <n v="31.61"/>
    <n v="6"/>
    <x v="0"/>
  </r>
  <r>
    <x v="1591"/>
    <x v="300"/>
    <s v="CUST1458"/>
    <s v="Fajar Halim"/>
    <x v="0"/>
    <x v="3"/>
    <x v="14"/>
    <n v="1"/>
    <n v="31.61"/>
    <s v="Completed"/>
    <s v="Debit Card"/>
    <n v="31.61"/>
    <n v="2"/>
    <x v="0"/>
  </r>
  <r>
    <x v="1592"/>
    <x v="404"/>
    <s v="CUST1517"/>
    <s v="Siti Nugroho"/>
    <x v="0"/>
    <x v="2"/>
    <x v="10"/>
    <n v="4"/>
    <n v="31.61"/>
    <s v="Returned"/>
    <s v="PayPal"/>
    <n v="126.44"/>
    <n v="5"/>
    <x v="0"/>
  </r>
  <r>
    <x v="1593"/>
    <x v="656"/>
    <s v="CUST1079"/>
    <s v="Siti Sari"/>
    <x v="0"/>
    <x v="4"/>
    <x v="23"/>
    <n v="1"/>
    <n v="31.62"/>
    <s v="Cancelled"/>
    <s v="Credit Card"/>
    <n v="31.62"/>
    <n v="6"/>
    <x v="0"/>
  </r>
  <r>
    <x v="1594"/>
    <x v="362"/>
    <s v="CUST1185"/>
    <s v="David Johnson"/>
    <x v="1"/>
    <x v="1"/>
    <x v="5"/>
    <n v="1"/>
    <n v="31.64"/>
    <s v="Completed"/>
    <s v="Credit Card"/>
    <n v="31.64"/>
    <n v="4"/>
    <x v="0"/>
  </r>
  <r>
    <x v="1595"/>
    <x v="480"/>
    <s v="CUST1732"/>
    <s v="Sarah Salim"/>
    <x v="3"/>
    <x v="3"/>
    <x v="12"/>
    <n v="1"/>
    <n v="31.65"/>
    <s v="Completed"/>
    <s v="Debit Card"/>
    <n v="31.65"/>
    <n v="2"/>
    <x v="0"/>
  </r>
  <r>
    <x v="1596"/>
    <x v="657"/>
    <s v="CUST1504"/>
    <s v="Unknown Customer"/>
    <x v="0"/>
    <x v="2"/>
    <x v="10"/>
    <n v="2"/>
    <n v="31.65"/>
    <s v="Completed"/>
    <s v="Credit Card"/>
    <n v="63.3"/>
    <n v="3"/>
    <x v="0"/>
  </r>
  <r>
    <x v="1597"/>
    <x v="56"/>
    <s v="CUST1362"/>
    <s v="Linda Taylor"/>
    <x v="1"/>
    <x v="0"/>
    <x v="3"/>
    <n v="3"/>
    <n v="31.66"/>
    <s v="Completed"/>
    <s v="Unknown"/>
    <n v="94.98"/>
    <n v="4"/>
    <x v="0"/>
  </r>
  <r>
    <x v="1598"/>
    <x v="121"/>
    <s v="CUST1883"/>
    <s v="Kevin Anderson"/>
    <x v="3"/>
    <x v="2"/>
    <x v="7"/>
    <n v="4"/>
    <n v="31.66"/>
    <s v="Returned"/>
    <s v="Debit Card"/>
    <n v="126.64"/>
    <n v="4"/>
    <x v="0"/>
  </r>
  <r>
    <x v="1599"/>
    <x v="241"/>
    <s v="CUST1473"/>
    <s v="Maria Pratama"/>
    <x v="0"/>
    <x v="3"/>
    <x v="13"/>
    <n v="2"/>
    <n v="31.69"/>
    <s v="Cancelled"/>
    <s v="Gift Card"/>
    <n v="63.38"/>
    <n v="5"/>
    <x v="0"/>
  </r>
  <r>
    <x v="1600"/>
    <x v="545"/>
    <s v="CUST1691"/>
    <s v="Dewi Anderson"/>
    <x v="0"/>
    <x v="0"/>
    <x v="0"/>
    <n v="1"/>
    <n v="31.72"/>
    <s v="Cancelled"/>
    <s v="Gift Card"/>
    <n v="31.72"/>
    <n v="5"/>
    <x v="0"/>
  </r>
  <r>
    <x v="1601"/>
    <x v="655"/>
    <s v="CUST1024"/>
    <s v="Ahmad Anderson"/>
    <x v="2"/>
    <x v="4"/>
    <x v="26"/>
    <n v="1"/>
    <n v="31.72"/>
    <s v="Returned"/>
    <s v="Gift Card"/>
    <n v="31.72"/>
    <n v="3"/>
    <x v="0"/>
  </r>
  <r>
    <x v="1602"/>
    <x v="92"/>
    <s v="CUST1421"/>
    <s v="Ayu Lee"/>
    <x v="0"/>
    <x v="0"/>
    <x v="1"/>
    <n v="1"/>
    <n v="31.73"/>
    <s v="Completed"/>
    <s v="PayPal"/>
    <n v="31.73"/>
    <n v="6"/>
    <x v="0"/>
  </r>
  <r>
    <x v="1603"/>
    <x v="217"/>
    <s v="CUST1675"/>
    <s v="Putri Kurniawan"/>
    <x v="0"/>
    <x v="3"/>
    <x v="12"/>
    <n v="1"/>
    <n v="31.73"/>
    <s v="Completed"/>
    <s v="Credit Card"/>
    <n v="31.73"/>
    <n v="6"/>
    <x v="0"/>
  </r>
  <r>
    <x v="1604"/>
    <x v="556"/>
    <s v="CUST1248"/>
    <s v="Andi Pratama"/>
    <x v="0"/>
    <x v="3"/>
    <x v="12"/>
    <n v="1"/>
    <n v="31.74"/>
    <s v="Completed"/>
    <s v="Debit Card"/>
    <n v="31.74"/>
    <n v="8"/>
    <x v="0"/>
  </r>
  <r>
    <x v="1605"/>
    <x v="481"/>
    <s v="CUST1111"/>
    <s v="Siti Halim"/>
    <x v="0"/>
    <x v="2"/>
    <x v="8"/>
    <n v="1"/>
    <n v="31.77"/>
    <s v="Completed"/>
    <s v="Debit Card"/>
    <n v="31.77"/>
    <n v="6"/>
    <x v="0"/>
  </r>
  <r>
    <x v="1606"/>
    <x v="173"/>
    <s v="CUST1608"/>
    <s v="Dewi Lee"/>
    <x v="0"/>
    <x v="2"/>
    <x v="15"/>
    <n v="2"/>
    <n v="31.78"/>
    <s v="Completed"/>
    <s v="Debit Card"/>
    <n v="63.56"/>
    <n v="5"/>
    <x v="0"/>
  </r>
  <r>
    <x v="1607"/>
    <x v="335"/>
    <s v="CUST1396"/>
    <s v="David Wijaya"/>
    <x v="0"/>
    <x v="3"/>
    <x v="12"/>
    <n v="1"/>
    <n v="31.78"/>
    <s v="Completed"/>
    <s v="Debit Card"/>
    <n v="31.78"/>
    <n v="5"/>
    <x v="0"/>
  </r>
  <r>
    <x v="1608"/>
    <x v="400"/>
    <s v="CUST1197"/>
    <s v="Sarah Lee"/>
    <x v="1"/>
    <x v="1"/>
    <x v="17"/>
    <n v="1"/>
    <n v="31.84"/>
    <s v="Completed"/>
    <s v="Debit Card"/>
    <n v="31.84"/>
    <n v="6"/>
    <x v="0"/>
  </r>
  <r>
    <x v="1609"/>
    <x v="491"/>
    <s v="CUST1861"/>
    <s v="Ayu Santos"/>
    <x v="0"/>
    <x v="0"/>
    <x v="4"/>
    <n v="1"/>
    <n v="31.86"/>
    <s v="Completed"/>
    <s v="Debit Card"/>
    <n v="31.86"/>
    <n v="4"/>
    <x v="0"/>
  </r>
  <r>
    <x v="1610"/>
    <x v="658"/>
    <s v="CUST1871"/>
    <s v="Andi Smith"/>
    <x v="0"/>
    <x v="0"/>
    <x v="0"/>
    <n v="1"/>
    <n v="31.86"/>
    <s v="Returned"/>
    <s v="PayPal"/>
    <n v="31.86"/>
    <n v="3"/>
    <x v="0"/>
  </r>
  <r>
    <x v="1611"/>
    <x v="344"/>
    <s v="CUST1012"/>
    <s v="Andi Yusuf"/>
    <x v="0"/>
    <x v="2"/>
    <x v="8"/>
    <n v="1"/>
    <n v="31.87"/>
    <s v="Completed"/>
    <s v="Unknown"/>
    <n v="31.87"/>
    <n v="6"/>
    <x v="0"/>
  </r>
  <r>
    <x v="1612"/>
    <x v="608"/>
    <s v="CUST1895"/>
    <s v="Michael Johnson"/>
    <x v="0"/>
    <x v="2"/>
    <x v="15"/>
    <n v="2"/>
    <n v="31.91"/>
    <s v="Completed"/>
    <s v="Debit Card"/>
    <n v="63.82"/>
    <n v="8"/>
    <x v="0"/>
  </r>
  <r>
    <x v="1613"/>
    <x v="17"/>
    <s v="CUST1610"/>
    <s v="Dewi Tan"/>
    <x v="0"/>
    <x v="3"/>
    <x v="19"/>
    <n v="2"/>
    <n v="31.94"/>
    <s v="Completed"/>
    <s v="PayPal"/>
    <n v="63.88"/>
    <n v="2"/>
    <x v="0"/>
  </r>
  <r>
    <x v="1614"/>
    <x v="612"/>
    <s v="CUST1021"/>
    <s v="David Wijaya"/>
    <x v="0"/>
    <x v="2"/>
    <x v="11"/>
    <n v="1"/>
    <n v="31.95"/>
    <s v="Completed"/>
    <s v="Gift Card"/>
    <n v="31.95"/>
    <n v="6"/>
    <x v="0"/>
  </r>
  <r>
    <x v="1615"/>
    <x v="23"/>
    <s v="CUST1681"/>
    <s v="Maria Hidayat"/>
    <x v="0"/>
    <x v="6"/>
    <x v="38"/>
    <n v="1"/>
    <n v="31.96"/>
    <s v="Pending"/>
    <s v="PayPal"/>
    <n v="31.96"/>
    <n v="9"/>
    <x v="0"/>
  </r>
  <r>
    <x v="1616"/>
    <x v="448"/>
    <s v="CUST1541"/>
    <s v="Linda Johnson"/>
    <x v="1"/>
    <x v="3"/>
    <x v="16"/>
    <n v="1"/>
    <n v="31.96"/>
    <s v="Completed"/>
    <s v="PayPal"/>
    <n v="31.96"/>
    <n v="7"/>
    <x v="0"/>
  </r>
  <r>
    <x v="1617"/>
    <x v="480"/>
    <s v="CUST1444"/>
    <s v="Robert Tan"/>
    <x v="0"/>
    <x v="5"/>
    <x v="34"/>
    <n v="1"/>
    <n v="32"/>
    <s v="Completed"/>
    <s v="PayPal"/>
    <n v="32"/>
    <n v="3"/>
    <x v="0"/>
  </r>
  <r>
    <x v="1618"/>
    <x v="506"/>
    <s v="CUST1857"/>
    <s v="John Kurniawan"/>
    <x v="0"/>
    <x v="2"/>
    <x v="7"/>
    <n v="1"/>
    <n v="32"/>
    <s v="Completed"/>
    <s v="Gift Card"/>
    <n v="32"/>
    <n v="5"/>
    <x v="0"/>
  </r>
  <r>
    <x v="1619"/>
    <x v="123"/>
    <s v="CUST1353"/>
    <s v="Andi Halim"/>
    <x v="0"/>
    <x v="2"/>
    <x v="8"/>
    <n v="1"/>
    <n v="32.020000000000003"/>
    <s v="Returned"/>
    <s v="Credit Card"/>
    <n v="32.020000000000003"/>
    <n v="10"/>
    <x v="0"/>
  </r>
  <r>
    <x v="1620"/>
    <x v="249"/>
    <s v="CUST1274"/>
    <s v="Dewi Anderson"/>
    <x v="0"/>
    <x v="2"/>
    <x v="7"/>
    <n v="2"/>
    <n v="32.020000000000003"/>
    <s v="Completed"/>
    <s v="Credit Card"/>
    <n v="64.040000000000006"/>
    <n v="2"/>
    <x v="0"/>
  </r>
  <r>
    <x v="1621"/>
    <x v="639"/>
    <s v="CUST1221"/>
    <s v="Siti Chen"/>
    <x v="0"/>
    <x v="2"/>
    <x v="11"/>
    <n v="1"/>
    <n v="32.03"/>
    <s v="Completed"/>
    <s v="PayPal"/>
    <n v="32.03"/>
    <n v="5"/>
    <x v="0"/>
  </r>
  <r>
    <x v="1622"/>
    <x v="593"/>
    <s v="CUST1331"/>
    <s v="Ayu Chen"/>
    <x v="1"/>
    <x v="5"/>
    <x v="29"/>
    <n v="2"/>
    <n v="32.03"/>
    <s v="Returned"/>
    <s v="PayPal"/>
    <n v="64.06"/>
    <n v="3"/>
    <x v="0"/>
  </r>
  <r>
    <x v="1623"/>
    <x v="89"/>
    <s v="CUST1446"/>
    <s v="Rina Nugroho"/>
    <x v="0"/>
    <x v="0"/>
    <x v="4"/>
    <n v="2"/>
    <n v="32.06"/>
    <s v="Completed"/>
    <s v="Gift Card"/>
    <n v="64.12"/>
    <n v="2"/>
    <x v="0"/>
  </r>
  <r>
    <x v="1624"/>
    <x v="448"/>
    <s v="CUST1525"/>
    <s v="Michael Anderson"/>
    <x v="0"/>
    <x v="0"/>
    <x v="2"/>
    <n v="1"/>
    <n v="32.090000000000003"/>
    <s v="Returned"/>
    <s v="PayPal"/>
    <n v="32.090000000000003"/>
    <n v="4"/>
    <x v="0"/>
  </r>
  <r>
    <x v="1625"/>
    <x v="452"/>
    <s v="CUST1589"/>
    <s v="Siti Nugroho"/>
    <x v="0"/>
    <x v="5"/>
    <x v="28"/>
    <n v="2"/>
    <n v="32.090000000000003"/>
    <s v="Completed"/>
    <s v="Credit Card"/>
    <n v="64.180000000000007"/>
    <n v="5"/>
    <x v="0"/>
  </r>
  <r>
    <x v="1626"/>
    <x v="532"/>
    <s v="CUST1800"/>
    <s v="David Chen"/>
    <x v="1"/>
    <x v="2"/>
    <x v="7"/>
    <n v="1"/>
    <n v="32.130000000000003"/>
    <s v="Completed"/>
    <s v="Gift Card"/>
    <n v="32.130000000000003"/>
    <n v="3"/>
    <x v="0"/>
  </r>
  <r>
    <x v="1627"/>
    <x v="590"/>
    <s v="CUST1844"/>
    <s v="Ahmad Johnson"/>
    <x v="0"/>
    <x v="2"/>
    <x v="7"/>
    <n v="1"/>
    <n v="32.14"/>
    <s v="Completed"/>
    <s v="Credit Card"/>
    <n v="32.14"/>
    <n v="4"/>
    <x v="0"/>
  </r>
  <r>
    <x v="1628"/>
    <x v="19"/>
    <s v="CUST1433"/>
    <s v="Sarah Tan"/>
    <x v="0"/>
    <x v="4"/>
    <x v="26"/>
    <n v="1"/>
    <n v="32.14"/>
    <s v="Cancelled"/>
    <s v="Unknown"/>
    <n v="32.14"/>
    <n v="5"/>
    <x v="0"/>
  </r>
  <r>
    <x v="1629"/>
    <x v="276"/>
    <s v="CUST1021"/>
    <s v="David Wijaya"/>
    <x v="0"/>
    <x v="1"/>
    <x v="6"/>
    <n v="1"/>
    <n v="32.15"/>
    <s v="Completed"/>
    <s v="Gift Card"/>
    <n v="32.15"/>
    <n v="6"/>
    <x v="0"/>
  </r>
  <r>
    <x v="1630"/>
    <x v="268"/>
    <s v="CUST1529"/>
    <s v="Ahmad Garcia"/>
    <x v="1"/>
    <x v="1"/>
    <x v="20"/>
    <n v="3"/>
    <n v="32.15"/>
    <s v="Completed"/>
    <s v="Credit Card"/>
    <n v="96.449999999999989"/>
    <n v="4"/>
    <x v="0"/>
  </r>
  <r>
    <x v="1631"/>
    <x v="279"/>
    <s v="CUST1728"/>
    <s v="Siti Santos"/>
    <x v="0"/>
    <x v="6"/>
    <x v="36"/>
    <n v="2"/>
    <n v="32.159999999999997"/>
    <s v="Completed"/>
    <s v="Credit Card"/>
    <n v="64.319999999999993"/>
    <n v="5"/>
    <x v="0"/>
  </r>
  <r>
    <x v="1632"/>
    <x v="643"/>
    <s v="CUST1027"/>
    <s v="Budi Smith"/>
    <x v="0"/>
    <x v="2"/>
    <x v="10"/>
    <n v="4"/>
    <n v="32.17"/>
    <s v="Completed"/>
    <s v="PayPal"/>
    <n v="128.68"/>
    <n v="2"/>
    <x v="0"/>
  </r>
  <r>
    <x v="1633"/>
    <x v="301"/>
    <s v="CUST1505"/>
    <s v="Michael Anderson"/>
    <x v="3"/>
    <x v="4"/>
    <x v="26"/>
    <n v="1"/>
    <n v="32.19"/>
    <s v="Completed"/>
    <s v="Credit Card"/>
    <n v="32.19"/>
    <n v="3"/>
    <x v="0"/>
  </r>
  <r>
    <x v="1634"/>
    <x v="579"/>
    <s v="CUST1306"/>
    <s v="John Chen"/>
    <x v="0"/>
    <x v="2"/>
    <x v="10"/>
    <n v="1"/>
    <n v="32.21"/>
    <s v="Completed"/>
    <s v="Debit Card"/>
    <n v="32.21"/>
    <n v="5"/>
    <x v="0"/>
  </r>
  <r>
    <x v="1635"/>
    <x v="75"/>
    <s v="CUST1243"/>
    <s v="James Hidayat"/>
    <x v="1"/>
    <x v="2"/>
    <x v="7"/>
    <n v="1"/>
    <n v="32.21"/>
    <s v="Completed"/>
    <s v="Gift Card"/>
    <n v="32.21"/>
    <n v="5"/>
    <x v="0"/>
  </r>
  <r>
    <x v="1636"/>
    <x v="422"/>
    <s v="CUST1707"/>
    <s v="Michael Yusuf"/>
    <x v="0"/>
    <x v="2"/>
    <x v="11"/>
    <n v="1"/>
    <n v="32.229999999999997"/>
    <s v="Completed"/>
    <s v="Credit Card"/>
    <n v="32.229999999999997"/>
    <n v="4"/>
    <x v="0"/>
  </r>
  <r>
    <x v="1637"/>
    <x v="104"/>
    <s v="CUST1696"/>
    <s v="David Hidayat"/>
    <x v="0"/>
    <x v="4"/>
    <x v="27"/>
    <n v="1"/>
    <n v="32.229999999999997"/>
    <s v="Completed"/>
    <s v="Gift Card"/>
    <n v="32.229999999999997"/>
    <n v="8"/>
    <x v="0"/>
  </r>
  <r>
    <x v="1638"/>
    <x v="488"/>
    <s v="CUST1273"/>
    <s v="Ayu Salim"/>
    <x v="0"/>
    <x v="2"/>
    <x v="15"/>
    <n v="4"/>
    <n v="32.24"/>
    <s v="Completed"/>
    <s v="Gift Card"/>
    <n v="128.96"/>
    <n v="6"/>
    <x v="0"/>
  </r>
  <r>
    <x v="1639"/>
    <x v="316"/>
    <s v="CUST1011"/>
    <s v="Dewi Garcia"/>
    <x v="0"/>
    <x v="2"/>
    <x v="10"/>
    <n v="4"/>
    <n v="32.25"/>
    <s v="Completed"/>
    <s v="Unknown"/>
    <n v="129"/>
    <n v="7"/>
    <x v="0"/>
  </r>
  <r>
    <x v="1640"/>
    <x v="48"/>
    <s v="CUST1298"/>
    <s v="Dewi Anderson"/>
    <x v="0"/>
    <x v="2"/>
    <x v="11"/>
    <n v="1"/>
    <n v="32.26"/>
    <s v="Completed"/>
    <s v="Debit Card"/>
    <n v="32.26"/>
    <n v="7"/>
    <x v="0"/>
  </r>
  <r>
    <x v="1641"/>
    <x v="572"/>
    <s v="CUST1460"/>
    <s v="Rina Sari"/>
    <x v="0"/>
    <x v="2"/>
    <x v="10"/>
    <n v="1"/>
    <n v="32.26"/>
    <s v="Completed"/>
    <s v="Debit Card"/>
    <n v="32.26"/>
    <n v="9"/>
    <x v="0"/>
  </r>
  <r>
    <x v="1642"/>
    <x v="525"/>
    <s v="CUST1445"/>
    <s v="Unknown Customer"/>
    <x v="0"/>
    <x v="2"/>
    <x v="7"/>
    <n v="1"/>
    <n v="32.28"/>
    <s v="Completed"/>
    <s v="PayPal"/>
    <n v="32.28"/>
    <n v="9"/>
    <x v="0"/>
  </r>
  <r>
    <x v="1643"/>
    <x v="201"/>
    <s v="CUST1571"/>
    <s v="Nina Nugroho"/>
    <x v="0"/>
    <x v="0"/>
    <x v="1"/>
    <n v="1"/>
    <n v="32.299999999999997"/>
    <s v="Returned"/>
    <s v="Gift Card"/>
    <n v="32.299999999999997"/>
    <n v="3"/>
    <x v="0"/>
  </r>
  <r>
    <x v="1644"/>
    <x v="524"/>
    <s v="CUST1412"/>
    <s v="Siti Anderson"/>
    <x v="0"/>
    <x v="4"/>
    <x v="24"/>
    <n v="1"/>
    <n v="32.340000000000003"/>
    <s v="Completed"/>
    <s v="Debit Card"/>
    <n v="32.340000000000003"/>
    <n v="10"/>
    <x v="0"/>
  </r>
  <r>
    <x v="1645"/>
    <x v="455"/>
    <s v="CUST1665"/>
    <s v="Sarah Halim"/>
    <x v="0"/>
    <x v="2"/>
    <x v="8"/>
    <n v="2"/>
    <n v="32.340000000000003"/>
    <s v="Cancelled"/>
    <s v="PayPal"/>
    <n v="64.680000000000007"/>
    <n v="3"/>
    <x v="0"/>
  </r>
  <r>
    <x v="1646"/>
    <x v="380"/>
    <s v="CUST1790"/>
    <s v="Andi Salim"/>
    <x v="0"/>
    <x v="3"/>
    <x v="16"/>
    <n v="2"/>
    <n v="32.35"/>
    <s v="Completed"/>
    <s v="Gift Card"/>
    <n v="64.7"/>
    <n v="6"/>
    <x v="0"/>
  </r>
  <r>
    <x v="1647"/>
    <x v="347"/>
    <s v="CUST1847"/>
    <s v="Dewi Smith"/>
    <x v="0"/>
    <x v="2"/>
    <x v="11"/>
    <n v="1"/>
    <n v="32.369999999999997"/>
    <s v="Completed"/>
    <s v="Debit Card"/>
    <n v="32.369999999999997"/>
    <n v="2"/>
    <x v="0"/>
  </r>
  <r>
    <x v="1648"/>
    <x v="659"/>
    <s v="CUST1625"/>
    <s v="Lisa Pratama"/>
    <x v="0"/>
    <x v="3"/>
    <x v="13"/>
    <n v="2"/>
    <n v="32.369999999999997"/>
    <s v="Completed"/>
    <s v="Credit Card"/>
    <n v="64.739999999999995"/>
    <n v="5"/>
    <x v="0"/>
  </r>
  <r>
    <x v="1649"/>
    <x v="192"/>
    <s v="CUST1644"/>
    <s v="Andi Salim"/>
    <x v="0"/>
    <x v="0"/>
    <x v="2"/>
    <n v="2"/>
    <n v="32.380000000000003"/>
    <s v="Completed"/>
    <s v="PayPal"/>
    <n v="64.760000000000005"/>
    <n v="6"/>
    <x v="0"/>
  </r>
  <r>
    <x v="1650"/>
    <x v="585"/>
    <s v="CUST1386"/>
    <s v="Lisa Johnson"/>
    <x v="0"/>
    <x v="2"/>
    <x v="8"/>
    <n v="1"/>
    <n v="32.4"/>
    <s v="Cancelled"/>
    <s v="Debit Card"/>
    <n v="32.4"/>
    <n v="7"/>
    <x v="0"/>
  </r>
  <r>
    <x v="1651"/>
    <x v="404"/>
    <s v="CUST1314"/>
    <s v="Michael Pratama"/>
    <x v="0"/>
    <x v="2"/>
    <x v="15"/>
    <n v="1"/>
    <n v="32.4"/>
    <s v="Completed"/>
    <s v="Gift Card"/>
    <n v="32.4"/>
    <n v="5"/>
    <x v="0"/>
  </r>
  <r>
    <x v="1652"/>
    <x v="471"/>
    <s v="CUST1618"/>
    <s v="Budi Lee"/>
    <x v="0"/>
    <x v="4"/>
    <x v="25"/>
    <n v="2"/>
    <n v="32.4"/>
    <s v="Completed"/>
    <s v="Credit Card"/>
    <n v="64.8"/>
    <n v="5"/>
    <x v="0"/>
  </r>
  <r>
    <x v="1653"/>
    <x v="48"/>
    <s v="CUST1855"/>
    <s v="James Brown"/>
    <x v="0"/>
    <x v="1"/>
    <x v="9"/>
    <n v="2"/>
    <n v="32.43"/>
    <s v="Completed"/>
    <s v="Debit Card"/>
    <n v="64.86"/>
    <n v="5"/>
    <x v="0"/>
  </r>
  <r>
    <x v="1654"/>
    <x v="178"/>
    <s v="CUST1432"/>
    <s v="Andi Smith"/>
    <x v="0"/>
    <x v="2"/>
    <x v="11"/>
    <n v="2"/>
    <n v="32.43"/>
    <s v="Pending"/>
    <s v="PayPal"/>
    <n v="64.86"/>
    <n v="7"/>
    <x v="0"/>
  </r>
  <r>
    <x v="1655"/>
    <x v="173"/>
    <s v="CUST1432"/>
    <s v="Andi Smith"/>
    <x v="0"/>
    <x v="0"/>
    <x v="0"/>
    <n v="3"/>
    <n v="32.43"/>
    <s v="Completed"/>
    <s v="PayPal"/>
    <n v="97.289999999999992"/>
    <n v="7"/>
    <x v="0"/>
  </r>
  <r>
    <x v="1656"/>
    <x v="409"/>
    <s v="CUST1021"/>
    <s v="David Wijaya"/>
    <x v="0"/>
    <x v="0"/>
    <x v="4"/>
    <n v="1"/>
    <n v="32.44"/>
    <s v="Completed"/>
    <s v="Debit Card"/>
    <n v="32.44"/>
    <n v="6"/>
    <x v="0"/>
  </r>
  <r>
    <x v="1657"/>
    <x v="210"/>
    <s v="CUST1226"/>
    <s v="Fajar Pratama"/>
    <x v="0"/>
    <x v="5"/>
    <x v="31"/>
    <n v="1"/>
    <n v="32.450000000000003"/>
    <s v="Completed"/>
    <s v="Unknown"/>
    <n v="32.450000000000003"/>
    <n v="4"/>
    <x v="0"/>
  </r>
  <r>
    <x v="1658"/>
    <x v="202"/>
    <s v="CUST1092"/>
    <s v="Putri Nugroho"/>
    <x v="0"/>
    <x v="0"/>
    <x v="1"/>
    <n v="1"/>
    <n v="32.46"/>
    <s v="Completed"/>
    <s v="Credit Card"/>
    <n v="32.46"/>
    <n v="8"/>
    <x v="0"/>
  </r>
  <r>
    <x v="1659"/>
    <x v="530"/>
    <s v="CUST1148"/>
    <s v="Siti Yusuf"/>
    <x v="0"/>
    <x v="0"/>
    <x v="3"/>
    <n v="1"/>
    <n v="32.479999999999997"/>
    <s v="Completed"/>
    <s v="Gift Card"/>
    <n v="32.479999999999997"/>
    <n v="4"/>
    <x v="0"/>
  </r>
  <r>
    <x v="1660"/>
    <x v="552"/>
    <s v="CUST1857"/>
    <s v="John Kurniawan"/>
    <x v="0"/>
    <x v="1"/>
    <x v="18"/>
    <n v="2"/>
    <n v="32.49"/>
    <s v="Completed"/>
    <s v="Gift Card"/>
    <n v="64.98"/>
    <n v="5"/>
    <x v="0"/>
  </r>
  <r>
    <x v="1661"/>
    <x v="199"/>
    <s v="CUST1424"/>
    <s v="Linda Garcia"/>
    <x v="0"/>
    <x v="0"/>
    <x v="4"/>
    <n v="1"/>
    <n v="32.51"/>
    <s v="Completed"/>
    <s v="Unknown"/>
    <n v="32.51"/>
    <n v="6"/>
    <x v="0"/>
  </r>
  <r>
    <x v="1662"/>
    <x v="11"/>
    <s v="CUST1581"/>
    <s v="Unknown Customer"/>
    <x v="0"/>
    <x v="1"/>
    <x v="9"/>
    <n v="1"/>
    <n v="32.54"/>
    <s v="Completed"/>
    <s v="PayPal"/>
    <n v="32.54"/>
    <n v="6"/>
    <x v="0"/>
  </r>
  <r>
    <x v="1663"/>
    <x v="660"/>
    <s v="CUST1463"/>
    <s v="Linda Brown"/>
    <x v="0"/>
    <x v="3"/>
    <x v="13"/>
    <n v="1"/>
    <n v="32.549999999999997"/>
    <s v="Completed"/>
    <s v="Gift Card"/>
    <n v="32.549999999999997"/>
    <n v="7"/>
    <x v="0"/>
  </r>
  <r>
    <x v="1664"/>
    <x v="48"/>
    <s v="CUST1730"/>
    <s v="Linda Kurniawan"/>
    <x v="0"/>
    <x v="2"/>
    <x v="11"/>
    <n v="1"/>
    <n v="32.590000000000003"/>
    <s v="Completed"/>
    <s v="Gift Card"/>
    <n v="32.590000000000003"/>
    <n v="4"/>
    <x v="0"/>
  </r>
  <r>
    <x v="1665"/>
    <x v="510"/>
    <s v="CUST1421"/>
    <s v="Ayu Lee"/>
    <x v="0"/>
    <x v="0"/>
    <x v="4"/>
    <n v="2"/>
    <n v="32.6"/>
    <s v="Completed"/>
    <s v="Debit Card"/>
    <n v="65.2"/>
    <n v="6"/>
    <x v="0"/>
  </r>
  <r>
    <x v="1666"/>
    <x v="225"/>
    <s v="CUST1790"/>
    <s v="Andi Salim"/>
    <x v="0"/>
    <x v="2"/>
    <x v="7"/>
    <n v="3"/>
    <n v="32.6"/>
    <s v="Completed"/>
    <s v="Debit Card"/>
    <n v="97.800000000000011"/>
    <n v="6"/>
    <x v="0"/>
  </r>
  <r>
    <x v="1667"/>
    <x v="659"/>
    <s v="CUST1635"/>
    <s v="Sarah Yusuf"/>
    <x v="3"/>
    <x v="0"/>
    <x v="4"/>
    <n v="3"/>
    <n v="32.6"/>
    <s v="Completed"/>
    <s v="Debit Card"/>
    <n v="97.800000000000011"/>
    <n v="3"/>
    <x v="0"/>
  </r>
  <r>
    <x v="1668"/>
    <x v="617"/>
    <s v="CUST1172"/>
    <s v="Nina Lee"/>
    <x v="0"/>
    <x v="2"/>
    <x v="10"/>
    <n v="1"/>
    <n v="32.61"/>
    <s v="Pending"/>
    <s v="Debit Card"/>
    <n v="32.61"/>
    <n v="8"/>
    <x v="0"/>
  </r>
  <r>
    <x v="1669"/>
    <x v="445"/>
    <s v="CUST1099"/>
    <s v="Sarah Santos"/>
    <x v="0"/>
    <x v="0"/>
    <x v="0"/>
    <n v="1"/>
    <n v="32.630000000000003"/>
    <s v="Completed"/>
    <s v="Debit Card"/>
    <n v="32.630000000000003"/>
    <n v="5"/>
    <x v="0"/>
  </r>
  <r>
    <x v="1670"/>
    <x v="364"/>
    <s v="CUST1708"/>
    <s v="Ayu Smith"/>
    <x v="0"/>
    <x v="0"/>
    <x v="4"/>
    <n v="2"/>
    <n v="32.630000000000003"/>
    <s v="Completed"/>
    <s v="Gift Card"/>
    <n v="65.260000000000005"/>
    <n v="3"/>
    <x v="0"/>
  </r>
  <r>
    <x v="1671"/>
    <x v="43"/>
    <s v="CUST1391"/>
    <s v="Siti Pratama"/>
    <x v="0"/>
    <x v="0"/>
    <x v="0"/>
    <n v="1"/>
    <n v="32.64"/>
    <s v="Completed"/>
    <s v="PayPal"/>
    <n v="32.64"/>
    <n v="7"/>
    <x v="0"/>
  </r>
  <r>
    <x v="1672"/>
    <x v="661"/>
    <s v="CUST1717"/>
    <s v="Siti Sari"/>
    <x v="0"/>
    <x v="3"/>
    <x v="12"/>
    <n v="1"/>
    <n v="32.659999999999997"/>
    <s v="Completed"/>
    <s v="Gift Card"/>
    <n v="32.659999999999997"/>
    <n v="5"/>
    <x v="0"/>
  </r>
  <r>
    <x v="1673"/>
    <x v="20"/>
    <s v="CUST1835"/>
    <s v="Nina Wilson"/>
    <x v="1"/>
    <x v="2"/>
    <x v="7"/>
    <n v="1"/>
    <n v="32.68"/>
    <s v="Returned"/>
    <s v="Unknown"/>
    <n v="32.68"/>
    <n v="6"/>
    <x v="0"/>
  </r>
  <r>
    <x v="1674"/>
    <x v="662"/>
    <s v="CUST1005"/>
    <s v="Dewi Wijaya"/>
    <x v="0"/>
    <x v="3"/>
    <x v="16"/>
    <n v="1"/>
    <n v="32.700000000000003"/>
    <s v="Completed"/>
    <s v="Gift Card"/>
    <n v="32.700000000000003"/>
    <n v="10"/>
    <x v="0"/>
  </r>
  <r>
    <x v="1675"/>
    <x v="315"/>
    <s v="CUST1337"/>
    <s v="Budi Smith"/>
    <x v="0"/>
    <x v="5"/>
    <x v="34"/>
    <n v="1"/>
    <n v="32.729999999999997"/>
    <s v="Completed"/>
    <s v="PayPal"/>
    <n v="32.729999999999997"/>
    <n v="5"/>
    <x v="0"/>
  </r>
  <r>
    <x v="1676"/>
    <x v="594"/>
    <s v="CUST1570"/>
    <s v="Siti Wijaya"/>
    <x v="0"/>
    <x v="0"/>
    <x v="2"/>
    <n v="2"/>
    <n v="32.729999999999997"/>
    <s v="Completed"/>
    <s v="Debit Card"/>
    <n v="65.459999999999994"/>
    <n v="1"/>
    <x v="1"/>
  </r>
  <r>
    <x v="1677"/>
    <x v="663"/>
    <s v="CUST1413"/>
    <s v="Dewi Chen"/>
    <x v="1"/>
    <x v="2"/>
    <x v="11"/>
    <n v="1"/>
    <n v="32.74"/>
    <s v="Returned"/>
    <s v="Credit Card"/>
    <n v="32.74"/>
    <n v="3"/>
    <x v="0"/>
  </r>
  <r>
    <x v="1678"/>
    <x v="557"/>
    <s v="CUST1742"/>
    <s v="James Brown"/>
    <x v="2"/>
    <x v="1"/>
    <x v="5"/>
    <n v="1"/>
    <n v="32.75"/>
    <s v="Completed"/>
    <s v="PayPal"/>
    <n v="32.75"/>
    <n v="3"/>
    <x v="0"/>
  </r>
  <r>
    <x v="1679"/>
    <x v="223"/>
    <s v="CUST1404"/>
    <s v="Maria Tan"/>
    <x v="0"/>
    <x v="0"/>
    <x v="1"/>
    <n v="2"/>
    <n v="32.75"/>
    <s v="Completed"/>
    <s v="PayPal"/>
    <n v="65.5"/>
    <n v="3"/>
    <x v="0"/>
  </r>
  <r>
    <x v="1680"/>
    <x v="570"/>
    <s v="CUST1412"/>
    <s v="Siti Anderson"/>
    <x v="0"/>
    <x v="0"/>
    <x v="0"/>
    <n v="3"/>
    <n v="32.78"/>
    <s v="Completed"/>
    <s v="Credit Card"/>
    <n v="98.34"/>
    <n v="10"/>
    <x v="0"/>
  </r>
  <r>
    <x v="1681"/>
    <x v="6"/>
    <s v="CUST1728"/>
    <s v="Siti Santos"/>
    <x v="0"/>
    <x v="2"/>
    <x v="15"/>
    <n v="1"/>
    <n v="32.79"/>
    <s v="Completed"/>
    <s v="PayPal"/>
    <n v="32.79"/>
    <n v="5"/>
    <x v="0"/>
  </r>
  <r>
    <x v="1682"/>
    <x v="655"/>
    <s v="CUST1440"/>
    <s v="Nina Chen"/>
    <x v="1"/>
    <x v="6"/>
    <x v="35"/>
    <n v="1"/>
    <n v="32.799999999999997"/>
    <s v="Completed"/>
    <s v="Debit Card"/>
    <n v="32.799999999999997"/>
    <n v="3"/>
    <x v="0"/>
  </r>
  <r>
    <x v="1683"/>
    <x v="75"/>
    <s v="CUST1685"/>
    <s v="Budi Kurniawan"/>
    <x v="3"/>
    <x v="2"/>
    <x v="8"/>
    <n v="1"/>
    <n v="32.799999999999997"/>
    <s v="Completed"/>
    <s v="PayPal"/>
    <n v="32.799999999999997"/>
    <n v="5"/>
    <x v="0"/>
  </r>
  <r>
    <x v="1684"/>
    <x v="292"/>
    <s v="CUST1436"/>
    <s v="Lisa Garcia"/>
    <x v="0"/>
    <x v="1"/>
    <x v="17"/>
    <n v="5"/>
    <n v="32.799999999999997"/>
    <s v="Completed"/>
    <s v="PayPal"/>
    <n v="164"/>
    <n v="8"/>
    <x v="0"/>
  </r>
  <r>
    <x v="1685"/>
    <x v="410"/>
    <s v="CUST1501"/>
    <s v="Fajar Yusuf"/>
    <x v="0"/>
    <x v="3"/>
    <x v="14"/>
    <n v="1"/>
    <n v="32.83"/>
    <s v="Completed"/>
    <s v="Gift Card"/>
    <n v="32.83"/>
    <n v="4"/>
    <x v="0"/>
  </r>
  <r>
    <x v="1686"/>
    <x v="664"/>
    <s v="CUST1349"/>
    <s v="John Halim"/>
    <x v="0"/>
    <x v="0"/>
    <x v="3"/>
    <n v="1"/>
    <n v="32.85"/>
    <s v="Returned"/>
    <s v="Gift Card"/>
    <n v="32.85"/>
    <n v="7"/>
    <x v="0"/>
  </r>
  <r>
    <x v="1687"/>
    <x v="126"/>
    <s v="CUST1870"/>
    <s v="Dewi Chen"/>
    <x v="0"/>
    <x v="3"/>
    <x v="19"/>
    <n v="1"/>
    <n v="32.880000000000003"/>
    <s v="Completed"/>
    <s v="PayPal"/>
    <n v="32.880000000000003"/>
    <n v="8"/>
    <x v="0"/>
  </r>
  <r>
    <x v="1688"/>
    <x v="80"/>
    <s v="CUST1281"/>
    <s v="Ahmad Hidayat"/>
    <x v="0"/>
    <x v="2"/>
    <x v="8"/>
    <n v="2"/>
    <n v="32.93"/>
    <s v="Completed"/>
    <s v="Gift Card"/>
    <n v="65.86"/>
    <n v="3"/>
    <x v="0"/>
  </r>
  <r>
    <x v="1689"/>
    <x v="31"/>
    <s v="CUST1875"/>
    <s v="Fajar Garcia"/>
    <x v="0"/>
    <x v="2"/>
    <x v="7"/>
    <n v="2"/>
    <n v="32.96"/>
    <s v="Returned"/>
    <s v="PayPal"/>
    <n v="65.92"/>
    <n v="4"/>
    <x v="0"/>
  </r>
  <r>
    <x v="1690"/>
    <x v="21"/>
    <s v="CUST1711"/>
    <s v="Maria Smith"/>
    <x v="0"/>
    <x v="0"/>
    <x v="0"/>
    <n v="1"/>
    <n v="32.99"/>
    <s v="Completed"/>
    <s v="Gift Card"/>
    <n v="32.99"/>
    <n v="3"/>
    <x v="0"/>
  </r>
  <r>
    <x v="1691"/>
    <x v="551"/>
    <s v="CUST1395"/>
    <s v="Lisa Kurniawan"/>
    <x v="3"/>
    <x v="5"/>
    <x v="33"/>
    <n v="1"/>
    <n v="33"/>
    <s v="Completed"/>
    <s v="Debit Card"/>
    <n v="33"/>
    <n v="5"/>
    <x v="0"/>
  </r>
  <r>
    <x v="1692"/>
    <x v="271"/>
    <s v="CUST1221"/>
    <s v="Siti Chen"/>
    <x v="0"/>
    <x v="5"/>
    <x v="31"/>
    <n v="1"/>
    <n v="33.04"/>
    <s v="Completed"/>
    <s v="Gift Card"/>
    <n v="33.04"/>
    <n v="5"/>
    <x v="0"/>
  </r>
  <r>
    <x v="1693"/>
    <x v="197"/>
    <s v="CUST1512"/>
    <s v="Rina Wilson"/>
    <x v="1"/>
    <x v="2"/>
    <x v="7"/>
    <n v="2"/>
    <n v="33.049999999999997"/>
    <s v="Completed"/>
    <s v="Gift Card"/>
    <n v="66.099999999999994"/>
    <n v="6"/>
    <x v="0"/>
  </r>
  <r>
    <x v="1694"/>
    <x v="351"/>
    <s v="CUST1212"/>
    <s v="Budi Wilson"/>
    <x v="0"/>
    <x v="0"/>
    <x v="0"/>
    <n v="1"/>
    <n v="33.1"/>
    <s v="Completed"/>
    <s v="Credit Card"/>
    <n v="33.1"/>
    <n v="6"/>
    <x v="0"/>
  </r>
  <r>
    <x v="1695"/>
    <x v="357"/>
    <s v="CUST1569"/>
    <s v="David Kurniawan"/>
    <x v="0"/>
    <x v="0"/>
    <x v="1"/>
    <n v="4"/>
    <n v="33.1"/>
    <s v="Returned"/>
    <s v="Credit Card"/>
    <n v="132.4"/>
    <n v="9"/>
    <x v="0"/>
  </r>
  <r>
    <x v="1696"/>
    <x v="211"/>
    <s v="CUST1197"/>
    <s v="Sarah Lee"/>
    <x v="1"/>
    <x v="0"/>
    <x v="2"/>
    <n v="2"/>
    <n v="33.119999999999997"/>
    <s v="Completed"/>
    <s v="PayPal"/>
    <n v="66.239999999999995"/>
    <n v="6"/>
    <x v="0"/>
  </r>
  <r>
    <x v="1697"/>
    <x v="597"/>
    <s v="CUST1496"/>
    <s v="John Smith"/>
    <x v="0"/>
    <x v="6"/>
    <x v="42"/>
    <n v="2"/>
    <n v="33.15"/>
    <s v="Completed"/>
    <s v="Debit Card"/>
    <n v="66.3"/>
    <n v="5"/>
    <x v="0"/>
  </r>
  <r>
    <x v="1698"/>
    <x v="464"/>
    <s v="CUST1305"/>
    <s v="Linda Nugroho"/>
    <x v="0"/>
    <x v="6"/>
    <x v="41"/>
    <n v="2"/>
    <n v="33.15"/>
    <s v="Completed"/>
    <s v="Credit Card"/>
    <n v="66.3"/>
    <n v="5"/>
    <x v="0"/>
  </r>
  <r>
    <x v="1699"/>
    <x v="246"/>
    <s v="CUST1803"/>
    <s v="Unknown Customer"/>
    <x v="1"/>
    <x v="2"/>
    <x v="10"/>
    <n v="2"/>
    <n v="33.15"/>
    <s v="Completed"/>
    <s v="Gift Card"/>
    <n v="66.3"/>
    <n v="2"/>
    <x v="0"/>
  </r>
  <r>
    <x v="1700"/>
    <x v="603"/>
    <s v="CUST1833"/>
    <s v="Putri Yusuf"/>
    <x v="0"/>
    <x v="4"/>
    <x v="22"/>
    <n v="4"/>
    <n v="33.200000000000003"/>
    <s v="Completed"/>
    <s v="Credit Card"/>
    <n v="132.80000000000001"/>
    <n v="8"/>
    <x v="0"/>
  </r>
  <r>
    <x v="1701"/>
    <x v="575"/>
    <s v="CUST1768"/>
    <s v="Rina Nugroho"/>
    <x v="0"/>
    <x v="0"/>
    <x v="2"/>
    <n v="1"/>
    <n v="33.21"/>
    <s v="Completed"/>
    <s v="Debit Card"/>
    <n v="33.21"/>
    <n v="5"/>
    <x v="0"/>
  </r>
  <r>
    <x v="1702"/>
    <x v="548"/>
    <s v="CUST1249"/>
    <s v="Kevin Taylor"/>
    <x v="0"/>
    <x v="3"/>
    <x v="16"/>
    <n v="2"/>
    <n v="33.229999999999997"/>
    <s v="Completed"/>
    <s v="PayPal"/>
    <n v="66.459999999999994"/>
    <n v="5"/>
    <x v="0"/>
  </r>
  <r>
    <x v="1703"/>
    <x v="410"/>
    <s v="CUST1798"/>
    <s v="Siti Anderson"/>
    <x v="0"/>
    <x v="2"/>
    <x v="11"/>
    <n v="1"/>
    <n v="33.24"/>
    <s v="Completed"/>
    <s v="Gift Card"/>
    <n v="33.24"/>
    <n v="10"/>
    <x v="0"/>
  </r>
  <r>
    <x v="1704"/>
    <x v="665"/>
    <s v="CUST1623"/>
    <s v="John Yusuf"/>
    <x v="0"/>
    <x v="6"/>
    <x v="36"/>
    <n v="1"/>
    <n v="33.25"/>
    <s v="Pending"/>
    <s v="Credit Card"/>
    <n v="33.25"/>
    <n v="7"/>
    <x v="0"/>
  </r>
  <r>
    <x v="1705"/>
    <x v="275"/>
    <s v="CUST1390"/>
    <s v="Ayu Hidayat"/>
    <x v="0"/>
    <x v="2"/>
    <x v="7"/>
    <n v="2"/>
    <n v="33.26"/>
    <s v="Completed"/>
    <s v="Debit Card"/>
    <n v="66.52"/>
    <n v="5"/>
    <x v="0"/>
  </r>
  <r>
    <x v="1706"/>
    <x v="528"/>
    <s v="CUST1167"/>
    <s v="Putri Hidayat"/>
    <x v="0"/>
    <x v="2"/>
    <x v="7"/>
    <n v="1"/>
    <n v="33.29"/>
    <s v="Completed"/>
    <s v="PayPal"/>
    <n v="33.29"/>
    <n v="6"/>
    <x v="0"/>
  </r>
  <r>
    <x v="1707"/>
    <x v="239"/>
    <s v="CUST1444"/>
    <s v="Robert Tan"/>
    <x v="0"/>
    <x v="2"/>
    <x v="15"/>
    <n v="4"/>
    <n v="33.29"/>
    <s v="Completed"/>
    <s v="Gift Card"/>
    <n v="133.16"/>
    <n v="3"/>
    <x v="0"/>
  </r>
  <r>
    <x v="1708"/>
    <x v="370"/>
    <s v="CUST1810"/>
    <s v="Dewi Salim"/>
    <x v="1"/>
    <x v="6"/>
    <x v="35"/>
    <n v="5"/>
    <n v="33.29"/>
    <s v="Completed"/>
    <s v="Gift Card"/>
    <n v="166.45"/>
    <n v="4"/>
    <x v="0"/>
  </r>
  <r>
    <x v="1709"/>
    <x v="322"/>
    <s v="CUST1572"/>
    <s v="Maria Yusuf"/>
    <x v="0"/>
    <x v="0"/>
    <x v="0"/>
    <n v="1"/>
    <n v="33.31"/>
    <s v="Completed"/>
    <s v="PayPal"/>
    <n v="33.31"/>
    <n v="9"/>
    <x v="0"/>
  </r>
  <r>
    <x v="1710"/>
    <x v="458"/>
    <s v="CUST1499"/>
    <s v="David Santos"/>
    <x v="0"/>
    <x v="5"/>
    <x v="30"/>
    <n v="2"/>
    <n v="33.33"/>
    <s v="Completed"/>
    <s v="PayPal"/>
    <n v="66.66"/>
    <n v="9"/>
    <x v="0"/>
  </r>
  <r>
    <x v="1711"/>
    <x v="437"/>
    <s v="CUST1573"/>
    <s v="Putri Kurniawan"/>
    <x v="1"/>
    <x v="2"/>
    <x v="7"/>
    <n v="1"/>
    <n v="33.33"/>
    <s v="Completed"/>
    <s v="Credit Card"/>
    <n v="33.33"/>
    <n v="3"/>
    <x v="0"/>
  </r>
  <r>
    <x v="1712"/>
    <x v="124"/>
    <s v="CUST1451"/>
    <s v="Ahmad Garcia"/>
    <x v="0"/>
    <x v="0"/>
    <x v="3"/>
    <n v="1"/>
    <n v="33.369999999999997"/>
    <s v="Completed"/>
    <s v="Gift Card"/>
    <n v="33.369999999999997"/>
    <n v="12"/>
    <x v="0"/>
  </r>
  <r>
    <x v="1713"/>
    <x v="543"/>
    <s v="CUST1214"/>
    <s v="Ahmad Tan"/>
    <x v="0"/>
    <x v="0"/>
    <x v="3"/>
    <n v="1"/>
    <n v="33.380000000000003"/>
    <s v="Completed"/>
    <s v="Gift Card"/>
    <n v="33.380000000000003"/>
    <n v="6"/>
    <x v="0"/>
  </r>
  <r>
    <x v="1714"/>
    <x v="449"/>
    <s v="CUST1063"/>
    <s v="David Anderson"/>
    <x v="0"/>
    <x v="0"/>
    <x v="2"/>
    <n v="3"/>
    <n v="33.380000000000003"/>
    <s v="Completed"/>
    <s v="Debit Card"/>
    <n v="100.14000000000001"/>
    <n v="7"/>
    <x v="0"/>
  </r>
  <r>
    <x v="1715"/>
    <x v="600"/>
    <s v="CUST1402"/>
    <s v="Rina Nugroho"/>
    <x v="0"/>
    <x v="4"/>
    <x v="25"/>
    <n v="1"/>
    <n v="33.39"/>
    <s v="Completed"/>
    <s v="PayPal"/>
    <n v="33.39"/>
    <n v="5"/>
    <x v="0"/>
  </r>
  <r>
    <x v="1716"/>
    <x v="413"/>
    <s v="CUST1473"/>
    <s v="Maria Pratama"/>
    <x v="0"/>
    <x v="2"/>
    <x v="8"/>
    <n v="1"/>
    <n v="33.409999999999997"/>
    <s v="Completed"/>
    <s v="Credit Card"/>
    <n v="33.409999999999997"/>
    <n v="5"/>
    <x v="0"/>
  </r>
  <r>
    <x v="1717"/>
    <x v="96"/>
    <s v="CUST1405"/>
    <s v="Rina Lee"/>
    <x v="0"/>
    <x v="0"/>
    <x v="1"/>
    <n v="1"/>
    <n v="33.44"/>
    <s v="Completed"/>
    <s v="PayPal"/>
    <n v="33.44"/>
    <n v="4"/>
    <x v="0"/>
  </r>
  <r>
    <x v="1718"/>
    <x v="650"/>
    <s v="CUST1754"/>
    <s v="Kevin Salim"/>
    <x v="1"/>
    <x v="2"/>
    <x v="8"/>
    <n v="2"/>
    <n v="33.46"/>
    <s v="Completed"/>
    <s v="Debit Card"/>
    <n v="66.92"/>
    <n v="5"/>
    <x v="0"/>
  </r>
  <r>
    <x v="1719"/>
    <x v="630"/>
    <s v="CUST1424"/>
    <s v="Linda Garcia"/>
    <x v="0"/>
    <x v="2"/>
    <x v="7"/>
    <n v="1"/>
    <n v="33.47"/>
    <s v="Pending"/>
    <s v="Credit Card"/>
    <n v="33.47"/>
    <n v="6"/>
    <x v="0"/>
  </r>
  <r>
    <x v="1720"/>
    <x v="620"/>
    <s v="CUST1851"/>
    <s v="Robert Salim"/>
    <x v="0"/>
    <x v="4"/>
    <x v="23"/>
    <n v="1"/>
    <n v="33.49"/>
    <s v="Returned"/>
    <s v="Credit Card"/>
    <n v="33.49"/>
    <n v="4"/>
    <x v="0"/>
  </r>
  <r>
    <x v="1721"/>
    <x v="110"/>
    <s v="CUST1073"/>
    <s v="Ayu Pratama"/>
    <x v="0"/>
    <x v="0"/>
    <x v="1"/>
    <n v="2"/>
    <n v="33.49"/>
    <s v="Completed"/>
    <s v="Gift Card"/>
    <n v="66.98"/>
    <n v="6"/>
    <x v="0"/>
  </r>
  <r>
    <x v="1722"/>
    <x v="160"/>
    <s v="CUST1094"/>
    <s v="Siti Garcia"/>
    <x v="0"/>
    <x v="2"/>
    <x v="11"/>
    <n v="1"/>
    <n v="33.53"/>
    <s v="Completed"/>
    <s v="PayPal"/>
    <n v="33.53"/>
    <n v="4"/>
    <x v="0"/>
  </r>
  <r>
    <x v="1723"/>
    <x v="181"/>
    <s v="CUST1451"/>
    <s v="Ahmad Garcia"/>
    <x v="0"/>
    <x v="0"/>
    <x v="2"/>
    <n v="1"/>
    <n v="33.54"/>
    <s v="Pending"/>
    <s v="Debit Card"/>
    <n v="33.54"/>
    <n v="12"/>
    <x v="0"/>
  </r>
  <r>
    <x v="1724"/>
    <x v="624"/>
    <s v="CUST1157"/>
    <s v="Robert Kurniawan"/>
    <x v="0"/>
    <x v="0"/>
    <x v="4"/>
    <n v="1"/>
    <n v="33.54"/>
    <s v="Cancelled"/>
    <s v="PayPal"/>
    <n v="33.54"/>
    <n v="4"/>
    <x v="0"/>
  </r>
  <r>
    <x v="1725"/>
    <x v="421"/>
    <s v="CUST1708"/>
    <s v="Ayu Smith"/>
    <x v="0"/>
    <x v="2"/>
    <x v="11"/>
    <n v="1"/>
    <n v="33.549999999999997"/>
    <s v="Completed"/>
    <s v="PayPal"/>
    <n v="33.549999999999997"/>
    <n v="3"/>
    <x v="0"/>
  </r>
  <r>
    <x v="1726"/>
    <x v="541"/>
    <s v="CUST1577"/>
    <s v="John Anderson"/>
    <x v="0"/>
    <x v="6"/>
    <x v="41"/>
    <n v="4"/>
    <n v="33.56"/>
    <s v="Completed"/>
    <s v="PayPal"/>
    <n v="134.24"/>
    <n v="3"/>
    <x v="0"/>
  </r>
  <r>
    <x v="1727"/>
    <x v="643"/>
    <s v="CUST1171"/>
    <s v="James Anderson"/>
    <x v="0"/>
    <x v="1"/>
    <x v="18"/>
    <n v="1"/>
    <n v="33.590000000000003"/>
    <s v="Completed"/>
    <s v="Credit Card"/>
    <n v="33.590000000000003"/>
    <n v="5"/>
    <x v="0"/>
  </r>
  <r>
    <x v="1728"/>
    <x v="27"/>
    <s v="CUST1150"/>
    <s v="Ayu Wijaya"/>
    <x v="0"/>
    <x v="0"/>
    <x v="1"/>
    <n v="2"/>
    <n v="33.6"/>
    <s v="Completed"/>
    <s v="PayPal"/>
    <n v="67.2"/>
    <n v="7"/>
    <x v="0"/>
  </r>
  <r>
    <x v="1729"/>
    <x v="16"/>
    <s v="CUST1412"/>
    <s v="Siti Anderson"/>
    <x v="0"/>
    <x v="6"/>
    <x v="35"/>
    <n v="2"/>
    <n v="33.6"/>
    <s v="Pending"/>
    <s v="PayPal"/>
    <n v="67.2"/>
    <n v="10"/>
    <x v="0"/>
  </r>
  <r>
    <x v="1730"/>
    <x v="409"/>
    <s v="CUST1421"/>
    <s v="Ayu Lee"/>
    <x v="0"/>
    <x v="2"/>
    <x v="11"/>
    <n v="2"/>
    <n v="33.61"/>
    <s v="Completed"/>
    <s v="Gift Card"/>
    <n v="67.22"/>
    <n v="6"/>
    <x v="0"/>
  </r>
  <r>
    <x v="1731"/>
    <x v="666"/>
    <s v="CUST1648"/>
    <s v="James Wijaya"/>
    <x v="0"/>
    <x v="5"/>
    <x v="30"/>
    <n v="2"/>
    <n v="33.659999999999997"/>
    <s v="Completed"/>
    <s v="Credit Card"/>
    <n v="67.319999999999993"/>
    <n v="7"/>
    <x v="0"/>
  </r>
  <r>
    <x v="1732"/>
    <x v="568"/>
    <s v="CUST1526"/>
    <s v="Robert Brown"/>
    <x v="0"/>
    <x v="0"/>
    <x v="0"/>
    <n v="3"/>
    <n v="33.659999999999997"/>
    <s v="Completed"/>
    <s v="Credit Card"/>
    <n v="100.97999999999999"/>
    <n v="4"/>
    <x v="0"/>
  </r>
  <r>
    <x v="1733"/>
    <x v="187"/>
    <s v="CUST1846"/>
    <s v="Kevin Kurniawan"/>
    <x v="0"/>
    <x v="2"/>
    <x v="11"/>
    <n v="5"/>
    <n v="33.69"/>
    <s v="Completed"/>
    <s v="Credit Card"/>
    <n v="168.45"/>
    <n v="4"/>
    <x v="0"/>
  </r>
  <r>
    <x v="1734"/>
    <x v="610"/>
    <s v="CUST1492"/>
    <s v="Sarah Nugroho"/>
    <x v="1"/>
    <x v="4"/>
    <x v="24"/>
    <n v="2"/>
    <n v="33.71"/>
    <s v="Cancelled"/>
    <s v="PayPal"/>
    <n v="67.42"/>
    <n v="4"/>
    <x v="0"/>
  </r>
  <r>
    <x v="1735"/>
    <x v="667"/>
    <s v="CUST1705"/>
    <s v="Michael Johnson"/>
    <x v="1"/>
    <x v="2"/>
    <x v="15"/>
    <n v="1"/>
    <n v="33.78"/>
    <s v="Cancelled"/>
    <s v="PayPal"/>
    <n v="33.78"/>
    <n v="4"/>
    <x v="0"/>
  </r>
  <r>
    <x v="1736"/>
    <x v="371"/>
    <s v="CUST1851"/>
    <s v="Robert Salim"/>
    <x v="0"/>
    <x v="3"/>
    <x v="13"/>
    <n v="4"/>
    <n v="33.78"/>
    <s v="Completed"/>
    <s v="Gift Card"/>
    <n v="135.12"/>
    <n v="4"/>
    <x v="0"/>
  </r>
  <r>
    <x v="1737"/>
    <x v="365"/>
    <s v="CUST1603"/>
    <s v="Sarah Anderson"/>
    <x v="1"/>
    <x v="2"/>
    <x v="11"/>
    <n v="1"/>
    <n v="33.799999999999997"/>
    <s v="Pending"/>
    <s v="PayPal"/>
    <n v="33.799999999999997"/>
    <n v="3"/>
    <x v="0"/>
  </r>
  <r>
    <x v="1738"/>
    <x v="109"/>
    <s v="CUST1229"/>
    <s v="Kevin Anderson"/>
    <x v="0"/>
    <x v="1"/>
    <x v="9"/>
    <n v="4"/>
    <n v="33.83"/>
    <s v="Completed"/>
    <s v="Debit Card"/>
    <n v="135.32"/>
    <n v="4"/>
    <x v="0"/>
  </r>
  <r>
    <x v="1739"/>
    <x v="153"/>
    <s v="CUST1690"/>
    <s v="Fajar Garcia"/>
    <x v="0"/>
    <x v="3"/>
    <x v="13"/>
    <n v="1"/>
    <n v="33.840000000000003"/>
    <s v="Completed"/>
    <s v="PayPal"/>
    <n v="33.840000000000003"/>
    <n v="4"/>
    <x v="0"/>
  </r>
  <r>
    <x v="1740"/>
    <x v="495"/>
    <s v="CUST1209"/>
    <s v="Andi Sari"/>
    <x v="0"/>
    <x v="5"/>
    <x v="30"/>
    <n v="2"/>
    <n v="33.840000000000003"/>
    <s v="Completed"/>
    <s v="Gift Card"/>
    <n v="67.680000000000007"/>
    <n v="6"/>
    <x v="0"/>
  </r>
  <r>
    <x v="1741"/>
    <x v="216"/>
    <s v="CUST1529"/>
    <s v="Ahmad Garcia"/>
    <x v="1"/>
    <x v="3"/>
    <x v="16"/>
    <n v="1"/>
    <n v="33.86"/>
    <s v="Completed"/>
    <s v="Gift Card"/>
    <n v="33.86"/>
    <n v="4"/>
    <x v="0"/>
  </r>
  <r>
    <x v="1742"/>
    <x v="563"/>
    <s v="CUST1052"/>
    <s v="Fajar Halim"/>
    <x v="0"/>
    <x v="0"/>
    <x v="3"/>
    <n v="1"/>
    <n v="33.880000000000003"/>
    <s v="Completed"/>
    <s v="Gift Card"/>
    <n v="33.880000000000003"/>
    <n v="8"/>
    <x v="0"/>
  </r>
  <r>
    <x v="1743"/>
    <x v="246"/>
    <s v="CUST1602"/>
    <s v="Siti Lee"/>
    <x v="1"/>
    <x v="3"/>
    <x v="16"/>
    <n v="2"/>
    <n v="33.880000000000003"/>
    <s v="Completed"/>
    <s v="Credit Card"/>
    <n v="67.760000000000005"/>
    <n v="5"/>
    <x v="0"/>
  </r>
  <r>
    <x v="1744"/>
    <x v="503"/>
    <s v="CUST1655"/>
    <s v="John Tan"/>
    <x v="0"/>
    <x v="6"/>
    <x v="35"/>
    <n v="2"/>
    <n v="33.9"/>
    <s v="Cancelled"/>
    <s v="PayPal"/>
    <n v="67.8"/>
    <n v="9"/>
    <x v="0"/>
  </r>
  <r>
    <x v="1745"/>
    <x v="214"/>
    <s v="CUST1740"/>
    <s v="Dewi Hidayat"/>
    <x v="0"/>
    <x v="1"/>
    <x v="17"/>
    <n v="1"/>
    <n v="33.909999999999997"/>
    <s v="Completed"/>
    <s v="Credit Card"/>
    <n v="33.909999999999997"/>
    <n v="8"/>
    <x v="0"/>
  </r>
  <r>
    <x v="1746"/>
    <x v="39"/>
    <s v="CUST1478"/>
    <s v="Lisa Kurniawan"/>
    <x v="0"/>
    <x v="2"/>
    <x v="7"/>
    <n v="2"/>
    <n v="33.92"/>
    <s v="Completed"/>
    <s v="Credit Card"/>
    <n v="67.84"/>
    <n v="3"/>
    <x v="0"/>
  </r>
  <r>
    <x v="1747"/>
    <x v="361"/>
    <s v="CUST1760"/>
    <s v="Ayu Kurniawan"/>
    <x v="0"/>
    <x v="0"/>
    <x v="0"/>
    <n v="3"/>
    <n v="33.92"/>
    <s v="Completed"/>
    <s v="Credit Card"/>
    <n v="101.76"/>
    <n v="2"/>
    <x v="0"/>
  </r>
  <r>
    <x v="1748"/>
    <x v="52"/>
    <s v="CUST1242"/>
    <s v="Robert Anderson"/>
    <x v="1"/>
    <x v="6"/>
    <x v="35"/>
    <n v="1"/>
    <n v="33.94"/>
    <s v="Completed"/>
    <s v="Credit Card"/>
    <n v="33.94"/>
    <n v="3"/>
    <x v="0"/>
  </r>
  <r>
    <x v="1749"/>
    <x v="464"/>
    <s v="CUST1142"/>
    <s v="Kevin Salim"/>
    <x v="0"/>
    <x v="3"/>
    <x v="12"/>
    <n v="1"/>
    <n v="33.97"/>
    <s v="Completed"/>
    <s v="Gift Card"/>
    <n v="33.97"/>
    <n v="4"/>
    <x v="0"/>
  </r>
  <r>
    <x v="1750"/>
    <x v="302"/>
    <s v="CUST1478"/>
    <s v="Lisa Kurniawan"/>
    <x v="0"/>
    <x v="1"/>
    <x v="6"/>
    <n v="1"/>
    <n v="34"/>
    <s v="Cancelled"/>
    <s v="Credit Card"/>
    <n v="34"/>
    <n v="3"/>
    <x v="0"/>
  </r>
  <r>
    <x v="1751"/>
    <x v="373"/>
    <s v="CUST1168"/>
    <s v="Linda Nugroho"/>
    <x v="0"/>
    <x v="3"/>
    <x v="16"/>
    <n v="1"/>
    <n v="34.013539823008841"/>
    <s v="Completed"/>
    <s v="PayPal"/>
    <n v="34.013539823008841"/>
    <n v="4"/>
    <x v="0"/>
  </r>
  <r>
    <x v="1752"/>
    <x v="619"/>
    <s v="CUST1349"/>
    <s v="John Halim"/>
    <x v="0"/>
    <x v="3"/>
    <x v="16"/>
    <n v="1"/>
    <n v="34.013539823008841"/>
    <s v="Completed"/>
    <s v="Gift Card"/>
    <n v="34.013539823008841"/>
    <n v="7"/>
    <x v="0"/>
  </r>
  <r>
    <x v="1753"/>
    <x v="668"/>
    <s v="CUST1872"/>
    <s v="Siti Taylor"/>
    <x v="0"/>
    <x v="0"/>
    <x v="4"/>
    <n v="3"/>
    <n v="34.049999999999997"/>
    <s v="Cancelled"/>
    <s v="Gift Card"/>
    <n v="102.14999999999999"/>
    <n v="5"/>
    <x v="0"/>
  </r>
  <r>
    <x v="1754"/>
    <x v="588"/>
    <s v="CUST1105"/>
    <s v="Rina Pratama"/>
    <x v="1"/>
    <x v="2"/>
    <x v="10"/>
    <n v="1"/>
    <n v="34.090000000000003"/>
    <s v="Returned"/>
    <s v="Gift Card"/>
    <n v="34.090000000000003"/>
    <n v="4"/>
    <x v="0"/>
  </r>
  <r>
    <x v="1755"/>
    <x v="630"/>
    <s v="CUST1020"/>
    <s v="Putri Chen"/>
    <x v="0"/>
    <x v="3"/>
    <x v="19"/>
    <n v="1"/>
    <n v="34.130000000000003"/>
    <s v="Completed"/>
    <s v="Gift Card"/>
    <n v="34.130000000000003"/>
    <n v="4"/>
    <x v="0"/>
  </r>
  <r>
    <x v="1756"/>
    <x v="0"/>
    <s v="CUST1271"/>
    <s v="Lisa Chen"/>
    <x v="0"/>
    <x v="6"/>
    <x v="42"/>
    <n v="2"/>
    <n v="34.14"/>
    <s v="Completed"/>
    <s v="Gift Card"/>
    <n v="68.28"/>
    <n v="6"/>
    <x v="0"/>
  </r>
  <r>
    <x v="1757"/>
    <x v="209"/>
    <s v="CUST1758"/>
    <s v="John Tan"/>
    <x v="1"/>
    <x v="3"/>
    <x v="13"/>
    <n v="1"/>
    <n v="34.17"/>
    <s v="Completed"/>
    <s v="Debit Card"/>
    <n v="34.17"/>
    <n v="4"/>
    <x v="0"/>
  </r>
  <r>
    <x v="1758"/>
    <x v="516"/>
    <s v="CUST1308"/>
    <s v="Robert Yusuf"/>
    <x v="0"/>
    <x v="2"/>
    <x v="11"/>
    <n v="1"/>
    <n v="34.18"/>
    <s v="Completed"/>
    <s v="Credit Card"/>
    <n v="34.18"/>
    <n v="4"/>
    <x v="0"/>
  </r>
  <r>
    <x v="1759"/>
    <x v="160"/>
    <s v="CUST1865"/>
    <s v="Ayu Salim"/>
    <x v="0"/>
    <x v="0"/>
    <x v="2"/>
    <n v="1"/>
    <n v="34.18"/>
    <s v="Completed"/>
    <s v="PayPal"/>
    <n v="34.18"/>
    <n v="9"/>
    <x v="0"/>
  </r>
  <r>
    <x v="1760"/>
    <x v="41"/>
    <s v="CUST1813"/>
    <s v="Linda Pratama"/>
    <x v="0"/>
    <x v="3"/>
    <x v="12"/>
    <n v="1"/>
    <n v="34.21"/>
    <s v="Returned"/>
    <s v="Credit Card"/>
    <n v="34.21"/>
    <n v="4"/>
    <x v="0"/>
  </r>
  <r>
    <x v="1761"/>
    <x v="352"/>
    <s v="CUST1076"/>
    <s v="Kevin Santos"/>
    <x v="0"/>
    <x v="3"/>
    <x v="12"/>
    <n v="1"/>
    <n v="34.22"/>
    <s v="Cancelled"/>
    <s v="PayPal"/>
    <n v="34.22"/>
    <n v="9"/>
    <x v="0"/>
  </r>
  <r>
    <x v="1762"/>
    <x v="202"/>
    <s v="CUST1193"/>
    <s v="Dewi Kurniawan"/>
    <x v="0"/>
    <x v="0"/>
    <x v="0"/>
    <n v="1"/>
    <n v="34.229999999999997"/>
    <s v="Completed"/>
    <s v="PayPal"/>
    <n v="34.229999999999997"/>
    <n v="4"/>
    <x v="0"/>
  </r>
  <r>
    <x v="1763"/>
    <x v="328"/>
    <s v="CUST1817"/>
    <s v="Ahmad Hidayat"/>
    <x v="0"/>
    <x v="0"/>
    <x v="4"/>
    <n v="1"/>
    <n v="34.229999999999997"/>
    <s v="Completed"/>
    <s v="Gift Card"/>
    <n v="34.229999999999997"/>
    <n v="7"/>
    <x v="0"/>
  </r>
  <r>
    <x v="1764"/>
    <x v="351"/>
    <s v="CUST1140"/>
    <s v="Maria Wijaya"/>
    <x v="0"/>
    <x v="3"/>
    <x v="14"/>
    <n v="1"/>
    <n v="34.25425925925925"/>
    <s v="Completed"/>
    <s v="PayPal"/>
    <n v="34.25425925925925"/>
    <n v="5"/>
    <x v="0"/>
  </r>
  <r>
    <x v="1765"/>
    <x v="538"/>
    <s v="CUST1779"/>
    <s v="Andi Yusuf"/>
    <x v="0"/>
    <x v="3"/>
    <x v="13"/>
    <n v="1"/>
    <n v="34.35"/>
    <s v="Completed"/>
    <s v="PayPal"/>
    <n v="34.35"/>
    <n v="8"/>
    <x v="0"/>
  </r>
  <r>
    <x v="1766"/>
    <x v="485"/>
    <s v="CUST1654"/>
    <s v="John Smith"/>
    <x v="1"/>
    <x v="1"/>
    <x v="20"/>
    <n v="1"/>
    <n v="34.35"/>
    <s v="Completed"/>
    <s v="Credit Card"/>
    <n v="34.35"/>
    <n v="5"/>
    <x v="0"/>
  </r>
  <r>
    <x v="1767"/>
    <x v="495"/>
    <s v="CUST1896"/>
    <s v="Andi Taylor"/>
    <x v="0"/>
    <x v="3"/>
    <x v="16"/>
    <n v="1"/>
    <n v="34.409999999999997"/>
    <s v="Completed"/>
    <s v="Debit Card"/>
    <n v="34.409999999999997"/>
    <n v="5"/>
    <x v="0"/>
  </r>
  <r>
    <x v="1768"/>
    <x v="121"/>
    <s v="CUST1664"/>
    <s v="Dewi Nugroho"/>
    <x v="1"/>
    <x v="4"/>
    <x v="27"/>
    <n v="1"/>
    <n v="34.42"/>
    <s v="Completed"/>
    <s v="Gift Card"/>
    <n v="34.42"/>
    <n v="6"/>
    <x v="0"/>
  </r>
  <r>
    <x v="1769"/>
    <x v="601"/>
    <s v="CUST1063"/>
    <s v="David Anderson"/>
    <x v="0"/>
    <x v="0"/>
    <x v="0"/>
    <n v="2"/>
    <n v="34.43"/>
    <s v="Completed"/>
    <s v="Gift Card"/>
    <n v="68.86"/>
    <n v="7"/>
    <x v="0"/>
  </r>
  <r>
    <x v="1770"/>
    <x v="294"/>
    <s v="CUST1019"/>
    <s v="Siti Sari"/>
    <x v="1"/>
    <x v="4"/>
    <x v="21"/>
    <n v="1"/>
    <n v="34.47"/>
    <s v="Cancelled"/>
    <s v="PayPal"/>
    <n v="34.47"/>
    <n v="3"/>
    <x v="0"/>
  </r>
  <r>
    <x v="1771"/>
    <x v="669"/>
    <s v="CUST1382"/>
    <s v="David Hidayat"/>
    <x v="0"/>
    <x v="2"/>
    <x v="8"/>
    <n v="1"/>
    <n v="34.47"/>
    <s v="Completed"/>
    <s v="Credit Card"/>
    <n v="34.47"/>
    <n v="12"/>
    <x v="0"/>
  </r>
  <r>
    <x v="1772"/>
    <x v="621"/>
    <s v="CUST1739"/>
    <s v="Fajar Wilson"/>
    <x v="0"/>
    <x v="6"/>
    <x v="36"/>
    <n v="1"/>
    <n v="34.479999999999997"/>
    <s v="Completed"/>
    <s v="Credit Card"/>
    <n v="34.479999999999997"/>
    <n v="5"/>
    <x v="0"/>
  </r>
  <r>
    <x v="1773"/>
    <x v="670"/>
    <s v="CUST1279"/>
    <s v="Rina Garcia"/>
    <x v="0"/>
    <x v="4"/>
    <x v="26"/>
    <n v="1"/>
    <n v="34.479999999999997"/>
    <s v="Completed"/>
    <s v="Gift Card"/>
    <n v="34.479999999999997"/>
    <n v="4"/>
    <x v="0"/>
  </r>
  <r>
    <x v="1774"/>
    <x v="39"/>
    <s v="CUST1833"/>
    <s v="Putri Yusuf"/>
    <x v="0"/>
    <x v="0"/>
    <x v="2"/>
    <n v="1"/>
    <n v="34.5"/>
    <s v="Completed"/>
    <s v="Debit Card"/>
    <n v="34.5"/>
    <n v="8"/>
    <x v="0"/>
  </r>
  <r>
    <x v="1775"/>
    <x v="140"/>
    <s v="CUST1481"/>
    <s v="James Chen"/>
    <x v="0"/>
    <x v="2"/>
    <x v="11"/>
    <n v="1"/>
    <n v="34.520000000000003"/>
    <s v="Cancelled"/>
    <s v="Gift Card"/>
    <n v="34.520000000000003"/>
    <n v="6"/>
    <x v="0"/>
  </r>
  <r>
    <x v="1776"/>
    <x v="479"/>
    <s v="CUST1471"/>
    <s v="James Anderson"/>
    <x v="0"/>
    <x v="3"/>
    <x v="16"/>
    <n v="1"/>
    <n v="34.54"/>
    <s v="Completed"/>
    <s v="Credit Card"/>
    <n v="34.54"/>
    <n v="4"/>
    <x v="0"/>
  </r>
  <r>
    <x v="1777"/>
    <x v="232"/>
    <s v="CUST1324"/>
    <s v="Budi Santos"/>
    <x v="1"/>
    <x v="3"/>
    <x v="13"/>
    <n v="1"/>
    <n v="34.545436893203885"/>
    <s v="Completed"/>
    <s v="Debit Card"/>
    <n v="34.545436893203885"/>
    <n v="2"/>
    <x v="0"/>
  </r>
  <r>
    <x v="1778"/>
    <x v="149"/>
    <s v="CUST1687"/>
    <s v="Siti Sari"/>
    <x v="0"/>
    <x v="3"/>
    <x v="13"/>
    <n v="1"/>
    <n v="34.545436893203885"/>
    <s v="Completed"/>
    <s v="Credit Card"/>
    <n v="34.545436893203885"/>
    <n v="5"/>
    <x v="0"/>
  </r>
  <r>
    <x v="1779"/>
    <x v="408"/>
    <s v="CUST1622"/>
    <s v="Michael Garcia"/>
    <x v="0"/>
    <x v="3"/>
    <x v="13"/>
    <n v="2"/>
    <n v="34.545436893203885"/>
    <s v="Completed"/>
    <s v="PayPal"/>
    <n v="69.090873786407769"/>
    <n v="6"/>
    <x v="0"/>
  </r>
  <r>
    <x v="1780"/>
    <x v="558"/>
    <s v="CUST1818"/>
    <s v="Siti Salim"/>
    <x v="0"/>
    <x v="3"/>
    <x v="13"/>
    <n v="2"/>
    <n v="34.545436893203885"/>
    <s v="Completed"/>
    <s v="Gift Card"/>
    <n v="69.090873786407769"/>
    <n v="8"/>
    <x v="0"/>
  </r>
  <r>
    <x v="1781"/>
    <x v="53"/>
    <s v="CUST1740"/>
    <s v="Dewi Hidayat"/>
    <x v="0"/>
    <x v="1"/>
    <x v="9"/>
    <n v="1"/>
    <n v="34.549999999999997"/>
    <s v="Completed"/>
    <s v="Credit Card"/>
    <n v="34.549999999999997"/>
    <n v="8"/>
    <x v="0"/>
  </r>
  <r>
    <x v="1782"/>
    <x v="550"/>
    <s v="CUST1015"/>
    <s v="Michael Tan"/>
    <x v="0"/>
    <x v="2"/>
    <x v="11"/>
    <n v="1"/>
    <n v="34.56"/>
    <s v="Cancelled"/>
    <s v="Debit Card"/>
    <n v="34.56"/>
    <n v="3"/>
    <x v="0"/>
  </r>
  <r>
    <x v="1783"/>
    <x v="197"/>
    <s v="CUST1133"/>
    <s v="Andi Hidayat"/>
    <x v="0"/>
    <x v="3"/>
    <x v="14"/>
    <n v="2"/>
    <n v="34.56"/>
    <s v="Completed"/>
    <s v="Credit Card"/>
    <n v="69.12"/>
    <n v="7"/>
    <x v="0"/>
  </r>
  <r>
    <x v="1784"/>
    <x v="184"/>
    <s v="CUST1067"/>
    <s v="Nina Halim"/>
    <x v="0"/>
    <x v="1"/>
    <x v="18"/>
    <n v="1"/>
    <n v="34.58"/>
    <s v="Completed"/>
    <s v="Credit Card"/>
    <n v="34.58"/>
    <n v="6"/>
    <x v="0"/>
  </r>
  <r>
    <x v="1785"/>
    <x v="663"/>
    <s v="CUST1095"/>
    <s v="Sarah Smith"/>
    <x v="0"/>
    <x v="2"/>
    <x v="7"/>
    <n v="3"/>
    <n v="34.61"/>
    <s v="Completed"/>
    <s v="Unknown"/>
    <n v="103.83"/>
    <n v="9"/>
    <x v="0"/>
  </r>
  <r>
    <x v="1786"/>
    <x v="518"/>
    <s v="CUST1761"/>
    <s v="Ahmad Johnson"/>
    <x v="0"/>
    <x v="5"/>
    <x v="32"/>
    <n v="2"/>
    <n v="34.619999999999997"/>
    <s v="Completed"/>
    <s v="Debit Card"/>
    <n v="69.239999999999995"/>
    <n v="7"/>
    <x v="0"/>
  </r>
  <r>
    <x v="1787"/>
    <x v="433"/>
    <s v="CUST1261"/>
    <s v="Robert Taylor"/>
    <x v="0"/>
    <x v="2"/>
    <x v="7"/>
    <n v="1"/>
    <n v="34.630000000000003"/>
    <s v="Completed"/>
    <s v="PayPal"/>
    <n v="34.630000000000003"/>
    <n v="3"/>
    <x v="0"/>
  </r>
  <r>
    <x v="1788"/>
    <x v="478"/>
    <s v="CUST1256"/>
    <s v="James Wijaya"/>
    <x v="0"/>
    <x v="2"/>
    <x v="11"/>
    <n v="3"/>
    <n v="34.659999999999997"/>
    <s v="Completed"/>
    <s v="Debit Card"/>
    <n v="103.97999999999999"/>
    <n v="6"/>
    <x v="0"/>
  </r>
  <r>
    <x v="1789"/>
    <x v="517"/>
    <s v="CUST1586"/>
    <s v="Putri Smith"/>
    <x v="1"/>
    <x v="4"/>
    <x v="21"/>
    <n v="2"/>
    <n v="34.67"/>
    <s v="Completed"/>
    <s v="PayPal"/>
    <n v="69.34"/>
    <n v="5"/>
    <x v="0"/>
  </r>
  <r>
    <x v="1790"/>
    <x v="191"/>
    <s v="CUST1461"/>
    <s v="Dewi Brown"/>
    <x v="0"/>
    <x v="0"/>
    <x v="2"/>
    <n v="1"/>
    <n v="34.69"/>
    <s v="Completed"/>
    <s v="Gift Card"/>
    <n v="34.69"/>
    <n v="3"/>
    <x v="0"/>
  </r>
  <r>
    <x v="1791"/>
    <x v="264"/>
    <s v="CUST1744"/>
    <s v="Andi Sari"/>
    <x v="0"/>
    <x v="6"/>
    <x v="35"/>
    <n v="2"/>
    <n v="34.72"/>
    <s v="Completed"/>
    <s v="Credit Card"/>
    <n v="69.44"/>
    <n v="6"/>
    <x v="0"/>
  </r>
  <r>
    <x v="1792"/>
    <x v="322"/>
    <s v="CUST1009"/>
    <s v="James Anderson"/>
    <x v="1"/>
    <x v="4"/>
    <x v="21"/>
    <n v="4"/>
    <n v="34.729999999999997"/>
    <s v="Completed"/>
    <s v="Debit Card"/>
    <n v="138.91999999999999"/>
    <n v="4"/>
    <x v="0"/>
  </r>
  <r>
    <x v="1793"/>
    <x v="96"/>
    <s v="CUST1591"/>
    <s v="Fajar Wilson"/>
    <x v="0"/>
    <x v="0"/>
    <x v="4"/>
    <n v="1"/>
    <n v="34.76"/>
    <s v="Completed"/>
    <s v="Debit Card"/>
    <n v="34.76"/>
    <n v="9"/>
    <x v="0"/>
  </r>
  <r>
    <x v="1794"/>
    <x v="671"/>
    <s v="CUST1757"/>
    <s v="Sarah Lee"/>
    <x v="0"/>
    <x v="2"/>
    <x v="8"/>
    <n v="2"/>
    <n v="34.770000000000003"/>
    <s v="Completed"/>
    <s v="Credit Card"/>
    <n v="69.540000000000006"/>
    <n v="4"/>
    <x v="0"/>
  </r>
  <r>
    <x v="1795"/>
    <x v="511"/>
    <s v="CUST1720"/>
    <s v="Rina Salim"/>
    <x v="0"/>
    <x v="6"/>
    <x v="42"/>
    <n v="1"/>
    <n v="34.79"/>
    <s v="Completed"/>
    <s v="PayPal"/>
    <n v="34.79"/>
    <n v="5"/>
    <x v="0"/>
  </r>
  <r>
    <x v="1796"/>
    <x v="366"/>
    <s v="CUST1095"/>
    <s v="Sarah Smith"/>
    <x v="0"/>
    <x v="5"/>
    <x v="33"/>
    <n v="1"/>
    <n v="34.81"/>
    <s v="Completed"/>
    <s v="Credit Card"/>
    <n v="34.81"/>
    <n v="9"/>
    <x v="0"/>
  </r>
  <r>
    <x v="1797"/>
    <x v="493"/>
    <s v="CUST1241"/>
    <s v="Fajar Hidayat"/>
    <x v="0"/>
    <x v="4"/>
    <x v="27"/>
    <n v="2"/>
    <n v="34.82"/>
    <s v="Completed"/>
    <s v="Credit Card"/>
    <n v="69.64"/>
    <n v="4"/>
    <x v="0"/>
  </r>
  <r>
    <x v="1798"/>
    <x v="325"/>
    <s v="CUST1609"/>
    <s v="Rina Chen"/>
    <x v="0"/>
    <x v="1"/>
    <x v="20"/>
    <n v="2"/>
    <n v="34.85"/>
    <s v="Completed"/>
    <s v="Debit Card"/>
    <n v="69.7"/>
    <n v="5"/>
    <x v="0"/>
  </r>
  <r>
    <x v="1799"/>
    <x v="365"/>
    <s v="CUST1249"/>
    <s v="Kevin Taylor"/>
    <x v="0"/>
    <x v="5"/>
    <x v="34"/>
    <n v="1"/>
    <n v="34.869999999999997"/>
    <s v="Completed"/>
    <s v="Credit Card"/>
    <n v="34.869999999999997"/>
    <n v="5"/>
    <x v="0"/>
  </r>
  <r>
    <x v="1800"/>
    <x v="640"/>
    <s v="CUST1767"/>
    <s v="Andi Smith"/>
    <x v="2"/>
    <x v="3"/>
    <x v="12"/>
    <n v="1"/>
    <n v="34.869999999999997"/>
    <s v="Completed"/>
    <s v="Debit Card"/>
    <n v="34.869999999999997"/>
    <n v="1"/>
    <x v="1"/>
  </r>
  <r>
    <x v="1801"/>
    <x v="633"/>
    <s v="CUST1051"/>
    <s v="Lisa Tan"/>
    <x v="0"/>
    <x v="2"/>
    <x v="8"/>
    <n v="2"/>
    <n v="34.9"/>
    <s v="Completed"/>
    <s v="Gift Card"/>
    <n v="69.8"/>
    <n v="5"/>
    <x v="0"/>
  </r>
  <r>
    <x v="1802"/>
    <x v="653"/>
    <s v="CUST1477"/>
    <s v="Budi Tan"/>
    <x v="3"/>
    <x v="0"/>
    <x v="1"/>
    <n v="2"/>
    <n v="34.909999999999997"/>
    <s v="Completed"/>
    <s v="Credit Card"/>
    <n v="69.819999999999993"/>
    <n v="5"/>
    <x v="0"/>
  </r>
  <r>
    <x v="1803"/>
    <x v="545"/>
    <s v="CUST1631"/>
    <s v="Lisa Tan"/>
    <x v="0"/>
    <x v="0"/>
    <x v="3"/>
    <n v="2"/>
    <n v="34.909999999999997"/>
    <s v="Completed"/>
    <s v="PayPal"/>
    <n v="69.819999999999993"/>
    <n v="3"/>
    <x v="0"/>
  </r>
  <r>
    <x v="1804"/>
    <x v="342"/>
    <s v="CUST1669"/>
    <s v="Dewi Brown"/>
    <x v="0"/>
    <x v="2"/>
    <x v="11"/>
    <n v="2"/>
    <n v="34.92"/>
    <s v="Cancelled"/>
    <s v="PayPal"/>
    <n v="69.84"/>
    <n v="5"/>
    <x v="0"/>
  </r>
  <r>
    <x v="1805"/>
    <x v="672"/>
    <s v="CUST1284"/>
    <s v="Lisa Smith"/>
    <x v="0"/>
    <x v="4"/>
    <x v="23"/>
    <n v="1"/>
    <n v="34.93"/>
    <s v="Completed"/>
    <s v="PayPal"/>
    <n v="34.93"/>
    <n v="7"/>
    <x v="0"/>
  </r>
  <r>
    <x v="1806"/>
    <x v="13"/>
    <s v="CUST1591"/>
    <s v="Fajar Wilson"/>
    <x v="0"/>
    <x v="4"/>
    <x v="26"/>
    <n v="1"/>
    <n v="34.97"/>
    <s v="Completed"/>
    <s v="Debit Card"/>
    <n v="34.97"/>
    <n v="9"/>
    <x v="0"/>
  </r>
  <r>
    <x v="1807"/>
    <x v="440"/>
    <s v="CUST1874"/>
    <s v="James Salim"/>
    <x v="2"/>
    <x v="2"/>
    <x v="11"/>
    <n v="2"/>
    <n v="34.97"/>
    <s v="Completed"/>
    <s v="PayPal"/>
    <n v="69.94"/>
    <n v="2"/>
    <x v="0"/>
  </r>
  <r>
    <x v="1808"/>
    <x v="516"/>
    <s v="CUST1112"/>
    <s v="Putri Halim"/>
    <x v="1"/>
    <x v="0"/>
    <x v="4"/>
    <n v="1"/>
    <n v="35"/>
    <s v="Completed"/>
    <s v="Gift Card"/>
    <n v="35"/>
    <n v="5"/>
    <x v="0"/>
  </r>
  <r>
    <x v="1809"/>
    <x v="673"/>
    <s v="CUST1221"/>
    <s v="Siti Chen"/>
    <x v="0"/>
    <x v="1"/>
    <x v="5"/>
    <n v="2"/>
    <n v="35.049999999999997"/>
    <s v="Completed"/>
    <s v="Gift Card"/>
    <n v="70.099999999999994"/>
    <n v="5"/>
    <x v="0"/>
  </r>
  <r>
    <x v="1810"/>
    <x v="674"/>
    <s v="CUST1855"/>
    <s v="James Brown"/>
    <x v="0"/>
    <x v="4"/>
    <x v="22"/>
    <n v="5"/>
    <n v="35.049999999999997"/>
    <s v="Cancelled"/>
    <s v="PayPal"/>
    <n v="175.25"/>
    <n v="5"/>
    <x v="0"/>
  </r>
  <r>
    <x v="1811"/>
    <x v="412"/>
    <s v="CUST1699"/>
    <s v="John Yusuf"/>
    <x v="0"/>
    <x v="5"/>
    <x v="28"/>
    <n v="1"/>
    <n v="35.06"/>
    <s v="Completed"/>
    <s v="Debit Card"/>
    <n v="35.06"/>
    <n v="6"/>
    <x v="0"/>
  </r>
  <r>
    <x v="1812"/>
    <x v="441"/>
    <s v="CUST1301"/>
    <s v="Sarah Tan"/>
    <x v="0"/>
    <x v="3"/>
    <x v="14"/>
    <n v="1"/>
    <n v="35.08"/>
    <s v="Completed"/>
    <s v="Gift Card"/>
    <n v="35.08"/>
    <n v="6"/>
    <x v="0"/>
  </r>
  <r>
    <x v="1813"/>
    <x v="112"/>
    <s v="CUST1531"/>
    <s v="Ahmad Halim"/>
    <x v="1"/>
    <x v="0"/>
    <x v="2"/>
    <n v="1"/>
    <n v="35.090000000000003"/>
    <s v="Completed"/>
    <s v="Gift Card"/>
    <n v="35.090000000000003"/>
    <n v="3"/>
    <x v="0"/>
  </r>
  <r>
    <x v="1814"/>
    <x v="224"/>
    <s v="CUST1888"/>
    <s v="Putri Tan"/>
    <x v="0"/>
    <x v="0"/>
    <x v="3"/>
    <n v="1"/>
    <n v="35.1"/>
    <s v="Returned"/>
    <s v="Debit Card"/>
    <n v="35.1"/>
    <n v="6"/>
    <x v="0"/>
  </r>
  <r>
    <x v="1815"/>
    <x v="368"/>
    <s v="CUST1279"/>
    <s v="Rina Garcia"/>
    <x v="0"/>
    <x v="4"/>
    <x v="21"/>
    <n v="2"/>
    <n v="35.1"/>
    <s v="Cancelled"/>
    <s v="Gift Card"/>
    <n v="70.2"/>
    <n v="4"/>
    <x v="0"/>
  </r>
  <r>
    <x v="1816"/>
    <x v="74"/>
    <s v="CUST1718"/>
    <s v="Dewi Lee"/>
    <x v="0"/>
    <x v="3"/>
    <x v="13"/>
    <n v="4"/>
    <n v="35.130000000000003"/>
    <s v="Completed"/>
    <s v="Debit Card"/>
    <n v="140.52000000000001"/>
    <n v="4"/>
    <x v="0"/>
  </r>
  <r>
    <x v="1817"/>
    <x v="308"/>
    <s v="CUST1808"/>
    <s v="Michael Kurniawan"/>
    <x v="1"/>
    <x v="0"/>
    <x v="1"/>
    <n v="4"/>
    <n v="35.14"/>
    <s v="Completed"/>
    <s v="PayPal"/>
    <n v="140.56"/>
    <n v="9"/>
    <x v="0"/>
  </r>
  <r>
    <x v="1818"/>
    <x v="558"/>
    <s v="CUST1218"/>
    <s v="Siti Tan"/>
    <x v="1"/>
    <x v="0"/>
    <x v="1"/>
    <n v="1"/>
    <n v="35.159999999999997"/>
    <s v="Completed"/>
    <s v="Credit Card"/>
    <n v="35.159999999999997"/>
    <n v="5"/>
    <x v="0"/>
  </r>
  <r>
    <x v="1819"/>
    <x v="675"/>
    <s v="CUST1680"/>
    <s v="Putri Halim"/>
    <x v="0"/>
    <x v="4"/>
    <x v="25"/>
    <n v="1"/>
    <n v="35.17"/>
    <s v="Completed"/>
    <s v="Gift Card"/>
    <n v="35.17"/>
    <n v="4"/>
    <x v="0"/>
  </r>
  <r>
    <x v="1820"/>
    <x v="3"/>
    <s v="CUST1492"/>
    <s v="Sarah Nugroho"/>
    <x v="1"/>
    <x v="3"/>
    <x v="16"/>
    <n v="2"/>
    <n v="35.17"/>
    <s v="Completed"/>
    <s v="Credit Card"/>
    <n v="70.34"/>
    <n v="4"/>
    <x v="0"/>
  </r>
  <r>
    <x v="1821"/>
    <x v="427"/>
    <s v="CUST1271"/>
    <s v="Lisa Chen"/>
    <x v="0"/>
    <x v="3"/>
    <x v="19"/>
    <n v="1"/>
    <n v="35.21"/>
    <s v="Completed"/>
    <s v="Credit Card"/>
    <n v="35.21"/>
    <n v="6"/>
    <x v="0"/>
  </r>
  <r>
    <x v="1822"/>
    <x v="283"/>
    <s v="CUST1817"/>
    <s v="Ahmad Hidayat"/>
    <x v="0"/>
    <x v="6"/>
    <x v="42"/>
    <n v="3"/>
    <n v="35.229999999999997"/>
    <s v="Completed"/>
    <s v="Debit Card"/>
    <n v="105.69"/>
    <n v="7"/>
    <x v="0"/>
  </r>
  <r>
    <x v="1823"/>
    <x v="674"/>
    <s v="CUST1508"/>
    <s v="Budi Garcia"/>
    <x v="1"/>
    <x v="5"/>
    <x v="33"/>
    <n v="1"/>
    <n v="35.26"/>
    <s v="Completed"/>
    <s v="PayPal"/>
    <n v="35.26"/>
    <n v="5"/>
    <x v="0"/>
  </r>
  <r>
    <x v="1824"/>
    <x v="540"/>
    <s v="CUST1117"/>
    <s v="Sarah Pratama"/>
    <x v="0"/>
    <x v="5"/>
    <x v="30"/>
    <n v="1"/>
    <n v="35.340000000000003"/>
    <s v="Pending"/>
    <s v="PayPal"/>
    <n v="35.340000000000003"/>
    <n v="5"/>
    <x v="0"/>
  </r>
  <r>
    <x v="1825"/>
    <x v="676"/>
    <s v="CUST1145"/>
    <s v="Linda Smith"/>
    <x v="0"/>
    <x v="1"/>
    <x v="5"/>
    <n v="1"/>
    <n v="35.35"/>
    <s v="Completed"/>
    <s v="PayPal"/>
    <n v="35.35"/>
    <n v="12"/>
    <x v="0"/>
  </r>
  <r>
    <x v="1826"/>
    <x v="593"/>
    <s v="CUST1885"/>
    <s v="Unknown Customer"/>
    <x v="0"/>
    <x v="3"/>
    <x v="14"/>
    <n v="1"/>
    <n v="35.369999999999997"/>
    <s v="Completed"/>
    <s v="PayPal"/>
    <n v="35.369999999999997"/>
    <n v="6"/>
    <x v="0"/>
  </r>
  <r>
    <x v="1827"/>
    <x v="54"/>
    <s v="CUST1646"/>
    <s v="Maria Salim"/>
    <x v="0"/>
    <x v="0"/>
    <x v="2"/>
    <n v="1"/>
    <n v="35.39"/>
    <s v="Completed"/>
    <s v="PayPal"/>
    <n v="35.39"/>
    <n v="3"/>
    <x v="0"/>
  </r>
  <r>
    <x v="1828"/>
    <x v="53"/>
    <s v="CUST1139"/>
    <s v="Maria Brown"/>
    <x v="2"/>
    <x v="0"/>
    <x v="3"/>
    <n v="1"/>
    <n v="35.39"/>
    <s v="Completed"/>
    <s v="Gift Card"/>
    <n v="35.39"/>
    <n v="3"/>
    <x v="0"/>
  </r>
  <r>
    <x v="1829"/>
    <x v="84"/>
    <s v="CUST1684"/>
    <s v="Fajar Salim"/>
    <x v="0"/>
    <x v="3"/>
    <x v="19"/>
    <n v="1"/>
    <n v="35.421481481481472"/>
    <s v="Completed"/>
    <s v="PayPal"/>
    <n v="35.421481481481472"/>
    <n v="6"/>
    <x v="0"/>
  </r>
  <r>
    <x v="1830"/>
    <x v="361"/>
    <s v="CUST1345"/>
    <s v="Michael Santos"/>
    <x v="0"/>
    <x v="3"/>
    <x v="14"/>
    <n v="4"/>
    <n v="35.43"/>
    <s v="Cancelled"/>
    <s v="Gift Card"/>
    <n v="141.72"/>
    <n v="7"/>
    <x v="0"/>
  </r>
  <r>
    <x v="1831"/>
    <x v="320"/>
    <s v="CUST1068"/>
    <s v="Linda Nugroho"/>
    <x v="0"/>
    <x v="0"/>
    <x v="2"/>
    <n v="1"/>
    <n v="35.44"/>
    <s v="Completed"/>
    <s v="Credit Card"/>
    <n v="35.44"/>
    <n v="5"/>
    <x v="0"/>
  </r>
  <r>
    <x v="1832"/>
    <x v="35"/>
    <s v="CUST1141"/>
    <s v="Fajar Taylor"/>
    <x v="0"/>
    <x v="0"/>
    <x v="4"/>
    <n v="1"/>
    <n v="35.44"/>
    <s v="Returned"/>
    <s v="Debit Card"/>
    <n v="35.44"/>
    <n v="7"/>
    <x v="0"/>
  </r>
  <r>
    <x v="1833"/>
    <x v="373"/>
    <s v="CUST1648"/>
    <s v="James Wijaya"/>
    <x v="0"/>
    <x v="0"/>
    <x v="0"/>
    <n v="1"/>
    <n v="35.450000000000003"/>
    <s v="Returned"/>
    <s v="Credit Card"/>
    <n v="35.450000000000003"/>
    <n v="7"/>
    <x v="0"/>
  </r>
  <r>
    <x v="1834"/>
    <x v="245"/>
    <s v="CUST1468"/>
    <s v="Michael Tan"/>
    <x v="0"/>
    <x v="4"/>
    <x v="26"/>
    <n v="1"/>
    <n v="35.450000000000003"/>
    <s v="Completed"/>
    <s v="Gift Card"/>
    <n v="35.450000000000003"/>
    <n v="8"/>
    <x v="0"/>
  </r>
  <r>
    <x v="1835"/>
    <x v="539"/>
    <s v="CUST1630"/>
    <s v="John Kurniawan"/>
    <x v="0"/>
    <x v="3"/>
    <x v="14"/>
    <n v="1"/>
    <n v="35.46"/>
    <s v="Completed"/>
    <s v="Debit Card"/>
    <n v="35.46"/>
    <n v="6"/>
    <x v="0"/>
  </r>
  <r>
    <x v="1836"/>
    <x v="303"/>
    <s v="CUST1287"/>
    <s v="John Pratama"/>
    <x v="1"/>
    <x v="4"/>
    <x v="26"/>
    <n v="1"/>
    <n v="35.479999999999997"/>
    <s v="Completed"/>
    <s v="PayPal"/>
    <n v="35.479999999999997"/>
    <n v="4"/>
    <x v="0"/>
  </r>
  <r>
    <x v="1837"/>
    <x v="50"/>
    <s v="CUST1668"/>
    <s v="Siti Brown"/>
    <x v="0"/>
    <x v="3"/>
    <x v="13"/>
    <n v="1"/>
    <n v="35.49"/>
    <s v="Completed"/>
    <s v="Credit Card"/>
    <n v="35.49"/>
    <n v="4"/>
    <x v="0"/>
  </r>
  <r>
    <x v="1838"/>
    <x v="318"/>
    <s v="CUST1674"/>
    <s v="Dewi Lee"/>
    <x v="0"/>
    <x v="0"/>
    <x v="0"/>
    <n v="1"/>
    <n v="35.51"/>
    <s v="Completed"/>
    <s v="Credit Card"/>
    <n v="35.51"/>
    <n v="11"/>
    <x v="0"/>
  </r>
  <r>
    <x v="1839"/>
    <x v="677"/>
    <s v="CUST1639"/>
    <s v="Dewi Salim"/>
    <x v="1"/>
    <x v="3"/>
    <x v="19"/>
    <n v="2"/>
    <n v="35.549999999999997"/>
    <s v="Completed"/>
    <s v="Gift Card"/>
    <n v="71.099999999999994"/>
    <n v="7"/>
    <x v="0"/>
  </r>
  <r>
    <x v="1840"/>
    <x v="626"/>
    <s v="CUST1026"/>
    <s v="Putri Yusuf"/>
    <x v="0"/>
    <x v="4"/>
    <x v="23"/>
    <n v="5"/>
    <n v="35.58"/>
    <s v="Completed"/>
    <s v="Debit Card"/>
    <n v="177.89999999999998"/>
    <n v="6"/>
    <x v="0"/>
  </r>
  <r>
    <x v="1841"/>
    <x v="166"/>
    <s v="CUST1498"/>
    <s v="Michael Salim"/>
    <x v="0"/>
    <x v="3"/>
    <x v="12"/>
    <n v="1"/>
    <n v="35.61"/>
    <s v="Completed"/>
    <s v="Credit Card"/>
    <n v="35.61"/>
    <n v="4"/>
    <x v="0"/>
  </r>
  <r>
    <x v="1842"/>
    <x v="93"/>
    <s v="CUST1250"/>
    <s v="Linda Smith"/>
    <x v="0"/>
    <x v="0"/>
    <x v="3"/>
    <n v="1"/>
    <n v="35.630000000000003"/>
    <s v="Completed"/>
    <s v="PayPal"/>
    <n v="35.630000000000003"/>
    <n v="6"/>
    <x v="0"/>
  </r>
  <r>
    <x v="1843"/>
    <x v="401"/>
    <s v="CUST1278"/>
    <s v="David Salim"/>
    <x v="0"/>
    <x v="0"/>
    <x v="3"/>
    <n v="2"/>
    <n v="35.68"/>
    <s v="Completed"/>
    <s v="Credit Card"/>
    <n v="71.36"/>
    <n v="3"/>
    <x v="0"/>
  </r>
  <r>
    <x v="1844"/>
    <x v="667"/>
    <s v="CUST1211"/>
    <s v="Unknown Customer"/>
    <x v="0"/>
    <x v="4"/>
    <x v="22"/>
    <n v="2"/>
    <n v="35.68"/>
    <s v="Completed"/>
    <s v="Gift Card"/>
    <n v="71.36"/>
    <n v="8"/>
    <x v="0"/>
  </r>
  <r>
    <x v="1845"/>
    <x v="212"/>
    <s v="CUST1228"/>
    <s v="Dewi Santos"/>
    <x v="1"/>
    <x v="1"/>
    <x v="9"/>
    <n v="1"/>
    <n v="35.69"/>
    <s v="Completed"/>
    <s v="PayPal"/>
    <n v="35.69"/>
    <n v="1"/>
    <x v="1"/>
  </r>
  <r>
    <x v="1846"/>
    <x v="630"/>
    <s v="CUST1580"/>
    <s v="Linda Tan"/>
    <x v="1"/>
    <x v="4"/>
    <x v="23"/>
    <n v="1"/>
    <n v="35.700000000000003"/>
    <s v="Completed"/>
    <s v="PayPal"/>
    <n v="35.700000000000003"/>
    <n v="4"/>
    <x v="0"/>
  </r>
  <r>
    <x v="1847"/>
    <x v="580"/>
    <s v="CUST1678"/>
    <s v="Lisa Brown"/>
    <x v="1"/>
    <x v="3"/>
    <x v="16"/>
    <n v="2"/>
    <n v="35.729999999999997"/>
    <s v="Completed"/>
    <s v="Unknown"/>
    <n v="71.459999999999994"/>
    <n v="8"/>
    <x v="0"/>
  </r>
  <r>
    <x v="1848"/>
    <x v="643"/>
    <s v="CUST1152"/>
    <s v="Dewi Yusuf"/>
    <x v="1"/>
    <x v="5"/>
    <x v="34"/>
    <n v="1"/>
    <n v="35.74"/>
    <s v="Completed"/>
    <s v="Gift Card"/>
    <n v="35.74"/>
    <n v="5"/>
    <x v="0"/>
  </r>
  <r>
    <x v="1849"/>
    <x v="196"/>
    <s v="CUST1119"/>
    <s v="Andi Kurniawan"/>
    <x v="1"/>
    <x v="0"/>
    <x v="1"/>
    <n v="1"/>
    <n v="35.770000000000003"/>
    <s v="Completed"/>
    <s v="Gift Card"/>
    <n v="35.770000000000003"/>
    <n v="4"/>
    <x v="0"/>
  </r>
  <r>
    <x v="1850"/>
    <x v="325"/>
    <s v="CUST1107"/>
    <s v="Fajar Yusuf"/>
    <x v="0"/>
    <x v="0"/>
    <x v="1"/>
    <n v="2"/>
    <n v="35.770000000000003"/>
    <s v="Completed"/>
    <s v="Debit Card"/>
    <n v="71.540000000000006"/>
    <n v="5"/>
    <x v="0"/>
  </r>
  <r>
    <x v="1851"/>
    <x v="274"/>
    <s v="CUST1470"/>
    <s v="Robert Salim"/>
    <x v="3"/>
    <x v="6"/>
    <x v="42"/>
    <n v="2"/>
    <n v="35.79"/>
    <s v="Completed"/>
    <s v="PayPal"/>
    <n v="71.58"/>
    <n v="3"/>
    <x v="0"/>
  </r>
  <r>
    <x v="1852"/>
    <x v="487"/>
    <s v="CUST1530"/>
    <s v="Nina Garcia"/>
    <x v="0"/>
    <x v="0"/>
    <x v="2"/>
    <n v="1"/>
    <n v="35.83"/>
    <s v="Completed"/>
    <s v="Gift Card"/>
    <n v="35.83"/>
    <n v="1"/>
    <x v="1"/>
  </r>
  <r>
    <x v="1853"/>
    <x v="371"/>
    <s v="CUST1882"/>
    <s v="Putri Smith"/>
    <x v="1"/>
    <x v="0"/>
    <x v="1"/>
    <n v="3"/>
    <n v="35.85"/>
    <s v="Completed"/>
    <s v="Gift Card"/>
    <n v="107.55000000000001"/>
    <n v="2"/>
    <x v="0"/>
  </r>
  <r>
    <x v="1854"/>
    <x v="81"/>
    <s v="CUST1024"/>
    <s v="Ahmad Anderson"/>
    <x v="2"/>
    <x v="0"/>
    <x v="2"/>
    <n v="1"/>
    <n v="35.880000000000003"/>
    <s v="Cancelled"/>
    <s v="Debit Card"/>
    <n v="35.880000000000003"/>
    <n v="3"/>
    <x v="0"/>
  </r>
  <r>
    <x v="1855"/>
    <x v="494"/>
    <s v="CUST1197"/>
    <s v="Sarah Lee"/>
    <x v="1"/>
    <x v="4"/>
    <x v="25"/>
    <n v="4"/>
    <n v="35.96"/>
    <s v="Completed"/>
    <s v="Credit Card"/>
    <n v="143.84"/>
    <n v="6"/>
    <x v="0"/>
  </r>
  <r>
    <x v="1856"/>
    <x v="90"/>
    <s v="CUST1850"/>
    <s v="Dewi Wijaya"/>
    <x v="0"/>
    <x v="0"/>
    <x v="1"/>
    <n v="1"/>
    <n v="35.97"/>
    <s v="Completed"/>
    <s v="Debit Card"/>
    <n v="35.97"/>
    <n v="6"/>
    <x v="0"/>
  </r>
  <r>
    <x v="1857"/>
    <x v="556"/>
    <s v="CUST1889"/>
    <s v="James Sari"/>
    <x v="1"/>
    <x v="0"/>
    <x v="0"/>
    <n v="3"/>
    <n v="36.06"/>
    <s v="Completed"/>
    <s v="Gift Card"/>
    <n v="108.18"/>
    <n v="5"/>
    <x v="0"/>
  </r>
  <r>
    <x v="1858"/>
    <x v="443"/>
    <s v="CUST1726"/>
    <s v="John Tan"/>
    <x v="0"/>
    <x v="0"/>
    <x v="1"/>
    <n v="1"/>
    <n v="36.119999999999997"/>
    <s v="Pending"/>
    <s v="PayPal"/>
    <n v="36.119999999999997"/>
    <n v="8"/>
    <x v="0"/>
  </r>
  <r>
    <x v="1859"/>
    <x v="402"/>
    <s v="CUST1744"/>
    <s v="Andi Sari"/>
    <x v="0"/>
    <x v="4"/>
    <x v="25"/>
    <n v="1"/>
    <n v="36.130000000000003"/>
    <s v="Completed"/>
    <s v="Gift Card"/>
    <n v="36.130000000000003"/>
    <n v="6"/>
    <x v="0"/>
  </r>
  <r>
    <x v="1860"/>
    <x v="247"/>
    <s v="CUST1854"/>
    <s v="Putri Garcia"/>
    <x v="1"/>
    <x v="4"/>
    <x v="26"/>
    <n v="1"/>
    <n v="36.14"/>
    <s v="Completed"/>
    <s v="Credit Card"/>
    <n v="36.14"/>
    <n v="7"/>
    <x v="0"/>
  </r>
  <r>
    <x v="1861"/>
    <x v="72"/>
    <s v="CUST1894"/>
    <s v="Putri Anderson"/>
    <x v="0"/>
    <x v="0"/>
    <x v="3"/>
    <n v="3"/>
    <n v="36.21"/>
    <s v="Cancelled"/>
    <s v="Gift Card"/>
    <n v="108.63"/>
    <n v="4"/>
    <x v="0"/>
  </r>
  <r>
    <x v="1862"/>
    <x v="678"/>
    <s v="CUST1388"/>
    <s v="Rina Tan"/>
    <x v="0"/>
    <x v="1"/>
    <x v="6"/>
    <n v="2"/>
    <n v="36.22"/>
    <s v="Completed"/>
    <s v="Debit Card"/>
    <n v="72.44"/>
    <n v="7"/>
    <x v="0"/>
  </r>
  <r>
    <x v="1863"/>
    <x v="295"/>
    <s v="CUST1738"/>
    <s v="Fajar Halim"/>
    <x v="0"/>
    <x v="0"/>
    <x v="2"/>
    <n v="1"/>
    <n v="36.229999999999997"/>
    <s v="Returned"/>
    <s v="Credit Card"/>
    <n v="36.229999999999997"/>
    <n v="8"/>
    <x v="0"/>
  </r>
  <r>
    <x v="1864"/>
    <x v="19"/>
    <s v="CUST1476"/>
    <s v="Andi Wijaya"/>
    <x v="0"/>
    <x v="3"/>
    <x v="13"/>
    <n v="2"/>
    <n v="36.24"/>
    <s v="Returned"/>
    <s v="Debit Card"/>
    <n v="72.48"/>
    <n v="3"/>
    <x v="0"/>
  </r>
  <r>
    <x v="1865"/>
    <x v="206"/>
    <s v="CUST1266"/>
    <s v="Kevin Nugroho"/>
    <x v="0"/>
    <x v="4"/>
    <x v="22"/>
    <n v="2"/>
    <n v="36.28"/>
    <s v="Completed"/>
    <s v="Debit Card"/>
    <n v="72.56"/>
    <n v="5"/>
    <x v="0"/>
  </r>
  <r>
    <x v="1866"/>
    <x v="646"/>
    <s v="CUST1489"/>
    <s v="Nina Salim"/>
    <x v="1"/>
    <x v="4"/>
    <x v="21"/>
    <n v="3"/>
    <n v="36.29"/>
    <s v="Completed"/>
    <s v="Gift Card"/>
    <n v="108.87"/>
    <n v="1"/>
    <x v="1"/>
  </r>
  <r>
    <x v="1867"/>
    <x v="93"/>
    <s v="CUST1669"/>
    <s v="Dewi Brown"/>
    <x v="0"/>
    <x v="5"/>
    <x v="29"/>
    <n v="1"/>
    <n v="36.299999999999997"/>
    <s v="Completed"/>
    <s v="Debit Card"/>
    <n v="36.299999999999997"/>
    <n v="5"/>
    <x v="0"/>
  </r>
  <r>
    <x v="1868"/>
    <x v="679"/>
    <s v="CUST1202"/>
    <s v="Dewi Santos"/>
    <x v="0"/>
    <x v="1"/>
    <x v="6"/>
    <n v="1"/>
    <n v="36.31"/>
    <s v="Completed"/>
    <s v="PayPal"/>
    <n v="36.31"/>
    <n v="3"/>
    <x v="0"/>
  </r>
  <r>
    <x v="1869"/>
    <x v="253"/>
    <s v="CUST1494"/>
    <s v="Robert Pratama"/>
    <x v="0"/>
    <x v="4"/>
    <x v="24"/>
    <n v="1"/>
    <n v="36.32"/>
    <s v="Completed"/>
    <s v="PayPal"/>
    <n v="36.32"/>
    <n v="3"/>
    <x v="0"/>
  </r>
  <r>
    <x v="1870"/>
    <x v="321"/>
    <s v="CUST1234"/>
    <s v="Nina Salim"/>
    <x v="0"/>
    <x v="0"/>
    <x v="0"/>
    <n v="2"/>
    <n v="36.340000000000003"/>
    <s v="Completed"/>
    <s v="Credit Card"/>
    <n v="72.680000000000007"/>
    <n v="6"/>
    <x v="0"/>
  </r>
  <r>
    <x v="1871"/>
    <x v="253"/>
    <s v="CUST1211"/>
    <s v="Sarah Santos"/>
    <x v="0"/>
    <x v="0"/>
    <x v="4"/>
    <n v="1"/>
    <n v="36.39"/>
    <s v="Cancelled"/>
    <s v="PayPal"/>
    <n v="36.39"/>
    <n v="8"/>
    <x v="0"/>
  </r>
  <r>
    <x v="1872"/>
    <x v="294"/>
    <s v="CUST1176"/>
    <s v="David Hidayat"/>
    <x v="1"/>
    <x v="0"/>
    <x v="2"/>
    <n v="3"/>
    <n v="36.46"/>
    <s v="Completed"/>
    <s v="Gift Card"/>
    <n v="109.38"/>
    <n v="4"/>
    <x v="0"/>
  </r>
  <r>
    <x v="1873"/>
    <x v="93"/>
    <s v="CUST1173"/>
    <s v="John Tan"/>
    <x v="0"/>
    <x v="6"/>
    <x v="41"/>
    <n v="2"/>
    <n v="36.47"/>
    <s v="Completed"/>
    <s v="Credit Card"/>
    <n v="72.94"/>
    <n v="5"/>
    <x v="0"/>
  </r>
  <r>
    <x v="1874"/>
    <x v="413"/>
    <s v="CUST1467"/>
    <s v="Andi Smith"/>
    <x v="1"/>
    <x v="0"/>
    <x v="3"/>
    <n v="1"/>
    <n v="36.479999999999997"/>
    <s v="Completed"/>
    <s v="Debit Card"/>
    <n v="36.479999999999997"/>
    <n v="4"/>
    <x v="0"/>
  </r>
  <r>
    <x v="1875"/>
    <x v="150"/>
    <s v="CUST1439"/>
    <s v="Maria Johnson"/>
    <x v="0"/>
    <x v="5"/>
    <x v="33"/>
    <n v="1"/>
    <n v="36.5"/>
    <s v="Completed"/>
    <s v="Debit Card"/>
    <n v="36.5"/>
    <n v="6"/>
    <x v="0"/>
  </r>
  <r>
    <x v="1876"/>
    <x v="534"/>
    <s v="CUST1022"/>
    <s v="Andi Anderson"/>
    <x v="0"/>
    <x v="4"/>
    <x v="25"/>
    <n v="1"/>
    <n v="36.51"/>
    <s v="Pending"/>
    <s v="PayPal"/>
    <n v="36.51"/>
    <n v="2"/>
    <x v="0"/>
  </r>
  <r>
    <x v="1877"/>
    <x v="5"/>
    <s v="CUST1269"/>
    <s v="Andi Kurniawan"/>
    <x v="0"/>
    <x v="0"/>
    <x v="1"/>
    <n v="1"/>
    <n v="36.57"/>
    <s v="Completed"/>
    <s v="Gift Card"/>
    <n v="36.57"/>
    <n v="4"/>
    <x v="0"/>
  </r>
  <r>
    <x v="1878"/>
    <x v="213"/>
    <s v="CUST1353"/>
    <s v="Andi Halim"/>
    <x v="0"/>
    <x v="0"/>
    <x v="4"/>
    <n v="1"/>
    <n v="36.58"/>
    <s v="Completed"/>
    <s v="Credit Card"/>
    <n v="36.58"/>
    <n v="10"/>
    <x v="0"/>
  </r>
  <r>
    <x v="1879"/>
    <x v="595"/>
    <s v="CUST1567"/>
    <s v="Putri Garcia"/>
    <x v="0"/>
    <x v="6"/>
    <x v="39"/>
    <n v="2"/>
    <n v="36.590000000000003"/>
    <s v="Completed"/>
    <s v="PayPal"/>
    <n v="73.180000000000007"/>
    <n v="2"/>
    <x v="0"/>
  </r>
  <r>
    <x v="1880"/>
    <x v="666"/>
    <s v="CUST1460"/>
    <s v="Rina Sari"/>
    <x v="0"/>
    <x v="1"/>
    <x v="5"/>
    <n v="3"/>
    <n v="36.61"/>
    <s v="Completed"/>
    <s v="PayPal"/>
    <n v="109.83"/>
    <n v="9"/>
    <x v="0"/>
  </r>
  <r>
    <x v="1881"/>
    <x v="113"/>
    <s v="CUST1391"/>
    <s v="Siti Pratama"/>
    <x v="0"/>
    <x v="3"/>
    <x v="14"/>
    <n v="3"/>
    <n v="36.619999999999997"/>
    <s v="Returned"/>
    <s v="Debit Card"/>
    <n v="109.85999999999999"/>
    <n v="7"/>
    <x v="0"/>
  </r>
  <r>
    <x v="1882"/>
    <x v="612"/>
    <s v="CUST1661"/>
    <s v="Ayu Halim"/>
    <x v="3"/>
    <x v="0"/>
    <x v="4"/>
    <n v="1"/>
    <n v="36.630000000000003"/>
    <s v="Completed"/>
    <s v="PayPal"/>
    <n v="36.630000000000003"/>
    <n v="4"/>
    <x v="0"/>
  </r>
  <r>
    <x v="1883"/>
    <x v="594"/>
    <s v="CUST1315"/>
    <s v="Andi Brown"/>
    <x v="0"/>
    <x v="4"/>
    <x v="25"/>
    <n v="2"/>
    <n v="36.659999999999997"/>
    <s v="Cancelled"/>
    <s v="Unknown"/>
    <n v="73.319999999999993"/>
    <n v="2"/>
    <x v="0"/>
  </r>
  <r>
    <x v="1884"/>
    <x v="61"/>
    <s v="CUST1330"/>
    <s v="Putri Johnson"/>
    <x v="1"/>
    <x v="3"/>
    <x v="13"/>
    <n v="1"/>
    <n v="36.68"/>
    <s v="Completed"/>
    <s v="PayPal"/>
    <n v="36.68"/>
    <n v="3"/>
    <x v="0"/>
  </r>
  <r>
    <x v="1885"/>
    <x v="593"/>
    <s v="CUST1232"/>
    <s v="Michael Chen"/>
    <x v="0"/>
    <x v="5"/>
    <x v="32"/>
    <n v="1"/>
    <n v="36.700000000000003"/>
    <s v="Completed"/>
    <s v="Debit Card"/>
    <n v="36.700000000000003"/>
    <n v="6"/>
    <x v="0"/>
  </r>
  <r>
    <x v="1886"/>
    <x v="230"/>
    <s v="CUST1543"/>
    <s v="Ayu Wilson"/>
    <x v="0"/>
    <x v="1"/>
    <x v="6"/>
    <n v="3"/>
    <n v="36.729999999999997"/>
    <s v="Completed"/>
    <s v="Gift Card"/>
    <n v="110.19"/>
    <n v="12"/>
    <x v="0"/>
  </r>
  <r>
    <x v="1887"/>
    <x v="304"/>
    <s v="CUST1273"/>
    <s v="Ayu Salim"/>
    <x v="0"/>
    <x v="0"/>
    <x v="1"/>
    <n v="1"/>
    <n v="36.74"/>
    <s v="Completed"/>
    <s v="PayPal"/>
    <n v="36.74"/>
    <n v="6"/>
    <x v="0"/>
  </r>
  <r>
    <x v="1888"/>
    <x v="500"/>
    <s v="CUST1260"/>
    <s v="Fajar Pratama"/>
    <x v="0"/>
    <x v="3"/>
    <x v="16"/>
    <n v="2"/>
    <n v="36.74"/>
    <s v="Completed"/>
    <s v="PayPal"/>
    <n v="73.48"/>
    <n v="5"/>
    <x v="0"/>
  </r>
  <r>
    <x v="1889"/>
    <x v="164"/>
    <s v="CUST1352"/>
    <s v="Lisa Taylor"/>
    <x v="0"/>
    <x v="0"/>
    <x v="3"/>
    <n v="1"/>
    <n v="36.75"/>
    <s v="Completed"/>
    <s v="Gift Card"/>
    <n v="36.75"/>
    <n v="7"/>
    <x v="0"/>
  </r>
  <r>
    <x v="1890"/>
    <x v="311"/>
    <s v="CUST1312"/>
    <s v="Linda Wijaya"/>
    <x v="1"/>
    <x v="4"/>
    <x v="24"/>
    <n v="2"/>
    <n v="36.76"/>
    <s v="Completed"/>
    <s v="Credit Card"/>
    <n v="73.52"/>
    <n v="4"/>
    <x v="0"/>
  </r>
  <r>
    <x v="1891"/>
    <x v="226"/>
    <s v="CUST1289"/>
    <s v="Dewi Brown"/>
    <x v="0"/>
    <x v="4"/>
    <x v="21"/>
    <n v="1"/>
    <n v="36.78"/>
    <s v="Completed"/>
    <s v="PayPal"/>
    <n v="36.78"/>
    <n v="6"/>
    <x v="0"/>
  </r>
  <r>
    <x v="1892"/>
    <x v="159"/>
    <s v="CUST1526"/>
    <s v="Robert Brown"/>
    <x v="0"/>
    <x v="0"/>
    <x v="1"/>
    <n v="1"/>
    <n v="36.799999999999997"/>
    <s v="Completed"/>
    <s v="Gift Card"/>
    <n v="36.799999999999997"/>
    <n v="4"/>
    <x v="0"/>
  </r>
  <r>
    <x v="1893"/>
    <x v="315"/>
    <s v="CUST1005"/>
    <s v="Dewi Wijaya"/>
    <x v="0"/>
    <x v="3"/>
    <x v="12"/>
    <n v="1"/>
    <n v="36.807019230769228"/>
    <s v="Completed"/>
    <s v="Gift Card"/>
    <n v="36.807019230769228"/>
    <n v="10"/>
    <x v="0"/>
  </r>
  <r>
    <x v="1894"/>
    <x v="586"/>
    <s v="CUST1345"/>
    <s v="Michael Santos"/>
    <x v="0"/>
    <x v="3"/>
    <x v="12"/>
    <n v="1"/>
    <n v="36.807019230769228"/>
    <s v="Completed"/>
    <s v="Gift Card"/>
    <n v="36.807019230769228"/>
    <n v="7"/>
    <x v="0"/>
  </r>
  <r>
    <x v="1895"/>
    <x v="9"/>
    <s v="CUST1674"/>
    <s v="Dewi Lee"/>
    <x v="0"/>
    <x v="3"/>
    <x v="12"/>
    <n v="1"/>
    <n v="36.807019230769228"/>
    <s v="Completed"/>
    <s v="PayPal"/>
    <n v="36.807019230769228"/>
    <n v="11"/>
    <x v="0"/>
  </r>
  <r>
    <x v="1896"/>
    <x v="11"/>
    <s v="CUST1799"/>
    <s v="Robert Hidayat"/>
    <x v="1"/>
    <x v="3"/>
    <x v="12"/>
    <n v="1"/>
    <n v="36.807019230769228"/>
    <s v="Completed"/>
    <s v="Credit Card"/>
    <n v="36.807019230769228"/>
    <n v="7"/>
    <x v="0"/>
  </r>
  <r>
    <x v="1897"/>
    <x v="55"/>
    <s v="CUST1810"/>
    <s v="Dewi Salim"/>
    <x v="1"/>
    <x v="4"/>
    <x v="26"/>
    <n v="1"/>
    <n v="36.869999999999997"/>
    <s v="Completed"/>
    <s v="Debit Card"/>
    <n v="36.869999999999997"/>
    <n v="4"/>
    <x v="0"/>
  </r>
  <r>
    <x v="1898"/>
    <x v="60"/>
    <s v="CUST1493"/>
    <s v="Lisa Kurniawan"/>
    <x v="0"/>
    <x v="1"/>
    <x v="17"/>
    <n v="1"/>
    <n v="36.880000000000003"/>
    <s v="Completed"/>
    <s v="Gift Card"/>
    <n v="36.880000000000003"/>
    <n v="8"/>
    <x v="0"/>
  </r>
  <r>
    <x v="1899"/>
    <x v="105"/>
    <s v="CUST1327"/>
    <s v="Rina Lee"/>
    <x v="0"/>
    <x v="0"/>
    <x v="2"/>
    <n v="1"/>
    <n v="36.909999999999997"/>
    <s v="Completed"/>
    <s v="Credit Card"/>
    <n v="36.909999999999997"/>
    <n v="6"/>
    <x v="0"/>
  </r>
  <r>
    <x v="1900"/>
    <x v="307"/>
    <s v="CUST1735"/>
    <s v="Unknown Customer"/>
    <x v="0"/>
    <x v="0"/>
    <x v="1"/>
    <n v="2"/>
    <n v="36.909999999999997"/>
    <s v="Completed"/>
    <s v="Credit Card"/>
    <n v="73.819999999999993"/>
    <n v="5"/>
    <x v="0"/>
  </r>
  <r>
    <x v="1901"/>
    <x v="663"/>
    <s v="CUST1354"/>
    <s v="Fajar Tan"/>
    <x v="0"/>
    <x v="0"/>
    <x v="4"/>
    <n v="1"/>
    <n v="36.94"/>
    <s v="Completed"/>
    <s v="Debit Card"/>
    <n v="36.94"/>
    <n v="4"/>
    <x v="0"/>
  </r>
  <r>
    <x v="1902"/>
    <x v="627"/>
    <s v="CUST1488"/>
    <s v="John Taylor"/>
    <x v="0"/>
    <x v="0"/>
    <x v="3"/>
    <n v="1"/>
    <n v="36.96"/>
    <s v="Completed"/>
    <s v="Credit Card"/>
    <n v="36.96"/>
    <n v="5"/>
    <x v="0"/>
  </r>
  <r>
    <x v="1903"/>
    <x v="569"/>
    <s v="CUST1535"/>
    <s v="Maria Brown"/>
    <x v="0"/>
    <x v="4"/>
    <x v="24"/>
    <n v="1"/>
    <n v="37.020000000000003"/>
    <s v="Cancelled"/>
    <s v="PayPal"/>
    <n v="37.020000000000003"/>
    <n v="5"/>
    <x v="0"/>
  </r>
  <r>
    <x v="1904"/>
    <x v="274"/>
    <s v="CUST1326"/>
    <s v="Sarah Kurniawan"/>
    <x v="3"/>
    <x v="0"/>
    <x v="0"/>
    <n v="1"/>
    <n v="37.090000000000003"/>
    <s v="Completed"/>
    <s v="Gift Card"/>
    <n v="37.090000000000003"/>
    <n v="1"/>
    <x v="1"/>
  </r>
  <r>
    <x v="1905"/>
    <x v="550"/>
    <s v="CUST1255"/>
    <s v="Budi Kurniawan"/>
    <x v="0"/>
    <x v="5"/>
    <x v="31"/>
    <n v="2"/>
    <n v="37.15"/>
    <s v="Completed"/>
    <s v="Debit Card"/>
    <n v="74.3"/>
    <n v="4"/>
    <x v="0"/>
  </r>
  <r>
    <x v="1906"/>
    <x v="658"/>
    <s v="CUST1193"/>
    <s v="Dewi Kurniawan"/>
    <x v="0"/>
    <x v="4"/>
    <x v="26"/>
    <n v="5"/>
    <n v="37.159999999999997"/>
    <s v="Completed"/>
    <s v="Debit Card"/>
    <n v="185.79999999999998"/>
    <n v="4"/>
    <x v="0"/>
  </r>
  <r>
    <x v="1907"/>
    <x v="349"/>
    <s v="CUST1153"/>
    <s v="Fajar Salim"/>
    <x v="0"/>
    <x v="5"/>
    <x v="29"/>
    <n v="3"/>
    <n v="37.229999999999997"/>
    <s v="Completed"/>
    <s v="Gift Card"/>
    <n v="111.69"/>
    <n v="6"/>
    <x v="0"/>
  </r>
  <r>
    <x v="1908"/>
    <x v="570"/>
    <s v="CUST1675"/>
    <s v="Putri Kurniawan"/>
    <x v="0"/>
    <x v="0"/>
    <x v="1"/>
    <n v="1"/>
    <n v="37.270000000000003"/>
    <s v="Completed"/>
    <s v="Credit Card"/>
    <n v="37.270000000000003"/>
    <n v="6"/>
    <x v="0"/>
  </r>
  <r>
    <x v="1909"/>
    <x v="410"/>
    <s v="CUST1755"/>
    <s v="Budi Sari"/>
    <x v="0"/>
    <x v="5"/>
    <x v="30"/>
    <n v="1"/>
    <n v="37.29"/>
    <s v="Completed"/>
    <s v="Gift Card"/>
    <n v="37.29"/>
    <n v="11"/>
    <x v="0"/>
  </r>
  <r>
    <x v="1910"/>
    <x v="672"/>
    <s v="CUST1834"/>
    <s v="Andi Nugroho"/>
    <x v="0"/>
    <x v="3"/>
    <x v="12"/>
    <n v="1"/>
    <n v="37.35"/>
    <s v="Returned"/>
    <s v="Debit Card"/>
    <n v="37.35"/>
    <n v="12"/>
    <x v="0"/>
  </r>
  <r>
    <x v="1911"/>
    <x v="2"/>
    <s v="CUST1150"/>
    <s v="Ayu Wijaya"/>
    <x v="0"/>
    <x v="0"/>
    <x v="0"/>
    <n v="3"/>
    <n v="37.35"/>
    <s v="Completed"/>
    <s v="Gift Card"/>
    <n v="112.05000000000001"/>
    <n v="7"/>
    <x v="0"/>
  </r>
  <r>
    <x v="1912"/>
    <x v="680"/>
    <s v="CUST1541"/>
    <s v="Linda Johnson"/>
    <x v="1"/>
    <x v="0"/>
    <x v="2"/>
    <n v="1"/>
    <n v="37.369999999999997"/>
    <s v="Completed"/>
    <s v="Gift Card"/>
    <n v="37.369999999999997"/>
    <n v="7"/>
    <x v="0"/>
  </r>
  <r>
    <x v="1913"/>
    <x v="337"/>
    <s v="CUST1597"/>
    <s v="Ahmad Nugroho"/>
    <x v="3"/>
    <x v="6"/>
    <x v="38"/>
    <n v="1"/>
    <n v="37.380000000000003"/>
    <s v="Completed"/>
    <s v="Debit Card"/>
    <n v="37.380000000000003"/>
    <n v="3"/>
    <x v="0"/>
  </r>
  <r>
    <x v="1914"/>
    <x v="591"/>
    <s v="CUST1526"/>
    <s v="Robert Brown"/>
    <x v="0"/>
    <x v="4"/>
    <x v="27"/>
    <n v="1"/>
    <n v="37.39"/>
    <s v="Completed"/>
    <s v="Gift Card"/>
    <n v="37.39"/>
    <n v="4"/>
    <x v="0"/>
  </r>
  <r>
    <x v="1915"/>
    <x v="568"/>
    <s v="CUST1755"/>
    <s v="Budi Sari"/>
    <x v="0"/>
    <x v="5"/>
    <x v="31"/>
    <n v="5"/>
    <n v="37.43"/>
    <s v="Completed"/>
    <s v="Debit Card"/>
    <n v="187.15"/>
    <n v="11"/>
    <x v="0"/>
  </r>
  <r>
    <x v="1916"/>
    <x v="178"/>
    <s v="CUST1443"/>
    <s v="Andi Hidayat"/>
    <x v="0"/>
    <x v="5"/>
    <x v="28"/>
    <n v="1"/>
    <n v="37.44"/>
    <s v="Completed"/>
    <s v="Debit Card"/>
    <n v="37.44"/>
    <n v="5"/>
    <x v="0"/>
  </r>
  <r>
    <x v="1917"/>
    <x v="592"/>
    <s v="CUST1633"/>
    <s v="James Kurniawan"/>
    <x v="0"/>
    <x v="5"/>
    <x v="31"/>
    <n v="1"/>
    <n v="37.450000000000003"/>
    <s v="Completed"/>
    <s v="PayPal"/>
    <n v="37.450000000000003"/>
    <n v="6"/>
    <x v="0"/>
  </r>
  <r>
    <x v="1918"/>
    <x v="330"/>
    <s v="CUST1038"/>
    <s v="Linda Nugroho"/>
    <x v="0"/>
    <x v="0"/>
    <x v="3"/>
    <n v="1"/>
    <n v="37.450000000000003"/>
    <s v="Returned"/>
    <s v="Debit Card"/>
    <n v="37.450000000000003"/>
    <n v="6"/>
    <x v="0"/>
  </r>
  <r>
    <x v="1919"/>
    <x v="210"/>
    <s v="CUST1639"/>
    <s v="Dewi Salim"/>
    <x v="1"/>
    <x v="0"/>
    <x v="4"/>
    <n v="3"/>
    <n v="37.450000000000003"/>
    <s v="Completed"/>
    <s v="Credit Card"/>
    <n v="112.35000000000001"/>
    <n v="7"/>
    <x v="0"/>
  </r>
  <r>
    <x v="1920"/>
    <x v="413"/>
    <s v="CUST1677"/>
    <s v="Fajar Anderson"/>
    <x v="1"/>
    <x v="1"/>
    <x v="17"/>
    <n v="2"/>
    <n v="37.46"/>
    <s v="Completed"/>
    <s v="Unknown"/>
    <n v="74.92"/>
    <n v="3"/>
    <x v="0"/>
  </r>
  <r>
    <x v="1921"/>
    <x v="681"/>
    <s v="CUST1766"/>
    <s v="Michael Kurniawan"/>
    <x v="0"/>
    <x v="0"/>
    <x v="3"/>
    <n v="1"/>
    <n v="37.47"/>
    <s v="Pending"/>
    <s v="Unknown"/>
    <n v="37.47"/>
    <n v="6"/>
    <x v="0"/>
  </r>
  <r>
    <x v="1922"/>
    <x v="232"/>
    <s v="CUST1038"/>
    <s v="Linda Nugroho"/>
    <x v="0"/>
    <x v="1"/>
    <x v="5"/>
    <n v="2"/>
    <n v="37.47"/>
    <s v="Pending"/>
    <s v="PayPal"/>
    <n v="74.94"/>
    <n v="6"/>
    <x v="0"/>
  </r>
  <r>
    <x v="1923"/>
    <x v="642"/>
    <s v="CUST1730"/>
    <s v="Linda Kurniawan"/>
    <x v="0"/>
    <x v="3"/>
    <x v="13"/>
    <n v="1"/>
    <n v="37.49"/>
    <s v="Returned"/>
    <s v="Credit Card"/>
    <n v="37.49"/>
    <n v="4"/>
    <x v="0"/>
  </r>
  <r>
    <x v="1924"/>
    <x v="682"/>
    <s v="CUST1503"/>
    <s v="Andi Anderson"/>
    <x v="0"/>
    <x v="0"/>
    <x v="4"/>
    <n v="2"/>
    <n v="37.49"/>
    <s v="Completed"/>
    <s v="PayPal"/>
    <n v="74.98"/>
    <n v="6"/>
    <x v="0"/>
  </r>
  <r>
    <x v="1925"/>
    <x v="276"/>
    <s v="CUST1575"/>
    <s v="Michael Halim"/>
    <x v="0"/>
    <x v="4"/>
    <x v="25"/>
    <n v="3"/>
    <n v="37.49"/>
    <s v="Completed"/>
    <s v="PayPal"/>
    <n v="112.47"/>
    <n v="7"/>
    <x v="0"/>
  </r>
  <r>
    <x v="1926"/>
    <x v="111"/>
    <s v="CUST1559"/>
    <s v="Fajar Sari"/>
    <x v="1"/>
    <x v="1"/>
    <x v="17"/>
    <n v="4"/>
    <n v="37.53"/>
    <s v="Pending"/>
    <s v="PayPal"/>
    <n v="150.12"/>
    <n v="3"/>
    <x v="0"/>
  </r>
  <r>
    <x v="1927"/>
    <x v="407"/>
    <s v="CUST1717"/>
    <s v="Siti Sari"/>
    <x v="0"/>
    <x v="4"/>
    <x v="25"/>
    <n v="2"/>
    <n v="37.549999999999997"/>
    <s v="Completed"/>
    <s v="Credit Card"/>
    <n v="75.099999999999994"/>
    <n v="5"/>
    <x v="0"/>
  </r>
  <r>
    <x v="1928"/>
    <x v="683"/>
    <s v="CUST1691"/>
    <s v="Dewi Anderson"/>
    <x v="0"/>
    <x v="6"/>
    <x v="39"/>
    <n v="1"/>
    <n v="37.58"/>
    <s v="Returned"/>
    <s v="PayPal"/>
    <n v="37.58"/>
    <n v="5"/>
    <x v="0"/>
  </r>
  <r>
    <x v="1929"/>
    <x v="585"/>
    <s v="CUST1364"/>
    <s v="David Brown"/>
    <x v="0"/>
    <x v="3"/>
    <x v="13"/>
    <n v="1"/>
    <n v="37.619999999999997"/>
    <s v="Returned"/>
    <s v="Gift Card"/>
    <n v="37.619999999999997"/>
    <n v="8"/>
    <x v="0"/>
  </r>
  <r>
    <x v="1930"/>
    <x v="282"/>
    <s v="CUST1270"/>
    <s v="Andi Salim"/>
    <x v="0"/>
    <x v="0"/>
    <x v="3"/>
    <n v="1"/>
    <n v="37.64"/>
    <s v="Completed"/>
    <s v="Credit Card"/>
    <n v="37.64"/>
    <n v="9"/>
    <x v="0"/>
  </r>
  <r>
    <x v="1931"/>
    <x v="1"/>
    <s v="CUST1269"/>
    <s v="Andi Kurniawan"/>
    <x v="0"/>
    <x v="4"/>
    <x v="21"/>
    <n v="1"/>
    <n v="37.69"/>
    <s v="Completed"/>
    <s v="Credit Card"/>
    <n v="37.69"/>
    <n v="4"/>
    <x v="0"/>
  </r>
  <r>
    <x v="1932"/>
    <x v="545"/>
    <s v="CUST1715"/>
    <s v="Dewi Tan"/>
    <x v="0"/>
    <x v="4"/>
    <x v="22"/>
    <n v="1"/>
    <n v="37.700000000000003"/>
    <s v="Completed"/>
    <s v="Credit Card"/>
    <n v="37.700000000000003"/>
    <n v="4"/>
    <x v="0"/>
  </r>
  <r>
    <x v="1933"/>
    <x v="37"/>
    <s v="CUST1238"/>
    <s v="John Pratama"/>
    <x v="0"/>
    <x v="5"/>
    <x v="30"/>
    <n v="1"/>
    <n v="37.700000000000003"/>
    <s v="Completed"/>
    <s v="Credit Card"/>
    <n v="37.700000000000003"/>
    <n v="8"/>
    <x v="0"/>
  </r>
  <r>
    <x v="1934"/>
    <x v="424"/>
    <s v="CUST1119"/>
    <s v="Andi Kurniawan"/>
    <x v="1"/>
    <x v="3"/>
    <x v="13"/>
    <n v="1"/>
    <n v="37.71"/>
    <s v="Completed"/>
    <s v="PayPal"/>
    <n v="37.71"/>
    <n v="4"/>
    <x v="0"/>
  </r>
  <r>
    <x v="1935"/>
    <x v="24"/>
    <s v="CUST1841"/>
    <s v="Putri Anderson"/>
    <x v="0"/>
    <x v="5"/>
    <x v="31"/>
    <n v="1"/>
    <n v="37.74"/>
    <s v="Completed"/>
    <s v="Credit Card"/>
    <n v="37.74"/>
    <n v="4"/>
    <x v="0"/>
  </r>
  <r>
    <x v="1936"/>
    <x v="184"/>
    <s v="CUST1145"/>
    <s v="Linda Smith"/>
    <x v="0"/>
    <x v="6"/>
    <x v="40"/>
    <n v="2"/>
    <n v="37.79"/>
    <s v="Completed"/>
    <s v="Gift Card"/>
    <n v="75.58"/>
    <n v="12"/>
    <x v="0"/>
  </r>
  <r>
    <x v="1937"/>
    <x v="543"/>
    <s v="CUST1834"/>
    <s v="Andi Nugroho"/>
    <x v="0"/>
    <x v="3"/>
    <x v="19"/>
    <n v="1"/>
    <n v="37.82"/>
    <s v="Completed"/>
    <s v="Gift Card"/>
    <n v="37.82"/>
    <n v="12"/>
    <x v="0"/>
  </r>
  <r>
    <x v="1938"/>
    <x v="24"/>
    <s v="CUST1575"/>
    <s v="Michael Halim"/>
    <x v="0"/>
    <x v="3"/>
    <x v="16"/>
    <n v="1"/>
    <n v="37.83"/>
    <s v="Returned"/>
    <s v="Credit Card"/>
    <n v="37.83"/>
    <n v="7"/>
    <x v="0"/>
  </r>
  <r>
    <x v="1939"/>
    <x v="380"/>
    <s v="CUST1640"/>
    <s v="Siti Smith"/>
    <x v="0"/>
    <x v="3"/>
    <x v="13"/>
    <n v="1"/>
    <n v="37.840000000000003"/>
    <s v="Completed"/>
    <s v="Debit Card"/>
    <n v="37.840000000000003"/>
    <n v="9"/>
    <x v="0"/>
  </r>
  <r>
    <x v="1940"/>
    <x v="136"/>
    <s v="CUST1821"/>
    <s v="Ayu Kurniawan"/>
    <x v="1"/>
    <x v="4"/>
    <x v="23"/>
    <n v="1"/>
    <n v="37.85"/>
    <s v="Completed"/>
    <s v="Debit Card"/>
    <n v="37.85"/>
    <n v="4"/>
    <x v="0"/>
  </r>
  <r>
    <x v="1941"/>
    <x v="519"/>
    <s v="CUST1839"/>
    <s v="John Tan"/>
    <x v="0"/>
    <x v="3"/>
    <x v="16"/>
    <n v="2"/>
    <n v="37.85"/>
    <s v="Cancelled"/>
    <s v="Debit Card"/>
    <n v="75.7"/>
    <n v="10"/>
    <x v="0"/>
  </r>
  <r>
    <x v="1942"/>
    <x v="684"/>
    <s v="CUST1755"/>
    <s v="Budi Sari"/>
    <x v="0"/>
    <x v="0"/>
    <x v="3"/>
    <n v="1"/>
    <n v="37.86"/>
    <s v="Completed"/>
    <s v="Credit Card"/>
    <n v="37.86"/>
    <n v="11"/>
    <x v="0"/>
  </r>
  <r>
    <x v="1943"/>
    <x v="8"/>
    <s v="CUST1793"/>
    <s v="Putri Hidayat"/>
    <x v="0"/>
    <x v="1"/>
    <x v="5"/>
    <n v="2"/>
    <n v="37.86"/>
    <s v="Completed"/>
    <s v="Debit Card"/>
    <n v="75.72"/>
    <n v="2"/>
    <x v="0"/>
  </r>
  <r>
    <x v="1944"/>
    <x v="36"/>
    <s v="CUST1769"/>
    <s v="Nina Tan"/>
    <x v="1"/>
    <x v="4"/>
    <x v="22"/>
    <n v="1"/>
    <n v="37.869999999999997"/>
    <s v="Completed"/>
    <s v="Debit Card"/>
    <n v="37.869999999999997"/>
    <n v="2"/>
    <x v="0"/>
  </r>
  <r>
    <x v="1945"/>
    <x v="367"/>
    <s v="CUST1583"/>
    <s v="Andi Smith"/>
    <x v="3"/>
    <x v="0"/>
    <x v="0"/>
    <n v="1"/>
    <n v="37.880000000000003"/>
    <s v="Cancelled"/>
    <s v="Debit Card"/>
    <n v="37.880000000000003"/>
    <n v="3"/>
    <x v="0"/>
  </r>
  <r>
    <x v="1946"/>
    <x v="27"/>
    <s v="CUST1336"/>
    <s v="Robert Wilson"/>
    <x v="3"/>
    <x v="3"/>
    <x v="12"/>
    <n v="1"/>
    <n v="37.880000000000003"/>
    <s v="Completed"/>
    <s v="Debit Card"/>
    <n v="37.880000000000003"/>
    <n v="2"/>
    <x v="0"/>
  </r>
  <r>
    <x v="1947"/>
    <x v="288"/>
    <s v="CUST1298"/>
    <s v="Dewi Anderson"/>
    <x v="0"/>
    <x v="3"/>
    <x v="16"/>
    <n v="1"/>
    <n v="37.89"/>
    <s v="Completed"/>
    <s v="Credit Card"/>
    <n v="37.89"/>
    <n v="7"/>
    <x v="0"/>
  </r>
  <r>
    <x v="1948"/>
    <x v="155"/>
    <s v="CUST1766"/>
    <s v="Michael Kurniawan"/>
    <x v="0"/>
    <x v="0"/>
    <x v="3"/>
    <n v="5"/>
    <n v="37.89"/>
    <s v="Completed"/>
    <s v="PayPal"/>
    <n v="189.45"/>
    <n v="6"/>
    <x v="0"/>
  </r>
  <r>
    <x v="1949"/>
    <x v="553"/>
    <s v="CUST1145"/>
    <s v="Linda Smith"/>
    <x v="0"/>
    <x v="0"/>
    <x v="2"/>
    <n v="1"/>
    <n v="37.9"/>
    <s v="Completed"/>
    <s v="Gift Card"/>
    <n v="37.9"/>
    <n v="12"/>
    <x v="0"/>
  </r>
  <r>
    <x v="1950"/>
    <x v="409"/>
    <s v="CUST1683"/>
    <s v="Putri Lee"/>
    <x v="0"/>
    <x v="1"/>
    <x v="17"/>
    <n v="2"/>
    <n v="37.9"/>
    <s v="Completed"/>
    <s v="Debit Card"/>
    <n v="75.8"/>
    <n v="4"/>
    <x v="0"/>
  </r>
  <r>
    <x v="1951"/>
    <x v="476"/>
    <s v="CUST1568"/>
    <s v="Budi Chen"/>
    <x v="0"/>
    <x v="5"/>
    <x v="34"/>
    <n v="2"/>
    <n v="37.909999999999997"/>
    <s v="Completed"/>
    <s v="Credit Card"/>
    <n v="75.819999999999993"/>
    <n v="5"/>
    <x v="0"/>
  </r>
  <r>
    <x v="1952"/>
    <x v="685"/>
    <s v="CUST1623"/>
    <s v="John Yusuf"/>
    <x v="0"/>
    <x v="0"/>
    <x v="3"/>
    <n v="4"/>
    <n v="37.94"/>
    <s v="Completed"/>
    <s v="Gift Card"/>
    <n v="151.76"/>
    <n v="7"/>
    <x v="0"/>
  </r>
  <r>
    <x v="1953"/>
    <x v="424"/>
    <s v="CUST1077"/>
    <s v="Ayu Brown"/>
    <x v="0"/>
    <x v="3"/>
    <x v="14"/>
    <n v="1"/>
    <n v="38.020000000000003"/>
    <s v="Completed"/>
    <s v="Debit Card"/>
    <n v="38.020000000000003"/>
    <n v="3"/>
    <x v="0"/>
  </r>
  <r>
    <x v="1954"/>
    <x v="418"/>
    <s v="CUST1721"/>
    <s v="Nina Wijaya"/>
    <x v="0"/>
    <x v="3"/>
    <x v="19"/>
    <n v="2"/>
    <n v="38.020000000000003"/>
    <s v="Returned"/>
    <s v="Gift Card"/>
    <n v="76.040000000000006"/>
    <n v="4"/>
    <x v="0"/>
  </r>
  <r>
    <x v="1955"/>
    <x v="217"/>
    <s v="CUST1655"/>
    <s v="John Tan"/>
    <x v="0"/>
    <x v="3"/>
    <x v="19"/>
    <n v="2"/>
    <n v="38.03"/>
    <s v="Completed"/>
    <s v="PayPal"/>
    <n v="76.06"/>
    <n v="9"/>
    <x v="0"/>
  </r>
  <r>
    <x v="1956"/>
    <x v="462"/>
    <s v="CUST1318"/>
    <s v="David Smith"/>
    <x v="3"/>
    <x v="6"/>
    <x v="37"/>
    <n v="3"/>
    <n v="38.03"/>
    <s v="Completed"/>
    <s v="Gift Card"/>
    <n v="114.09"/>
    <n v="4"/>
    <x v="0"/>
  </r>
  <r>
    <x v="1957"/>
    <x v="534"/>
    <s v="CUST1752"/>
    <s v="Linda Smith"/>
    <x v="1"/>
    <x v="1"/>
    <x v="20"/>
    <n v="1"/>
    <n v="38.049999999999997"/>
    <s v="Completed"/>
    <s v="Gift Card"/>
    <n v="38.049999999999997"/>
    <n v="4"/>
    <x v="0"/>
  </r>
  <r>
    <x v="1958"/>
    <x v="400"/>
    <s v="CUST1421"/>
    <s v="Ayu Lee"/>
    <x v="0"/>
    <x v="1"/>
    <x v="18"/>
    <n v="1"/>
    <n v="38.06"/>
    <s v="Returned"/>
    <s v="PayPal"/>
    <n v="38.06"/>
    <n v="6"/>
    <x v="0"/>
  </r>
  <r>
    <x v="1959"/>
    <x v="493"/>
    <s v="CUST1420"/>
    <s v="Ayu Wijaya"/>
    <x v="1"/>
    <x v="1"/>
    <x v="9"/>
    <n v="2"/>
    <n v="38.06"/>
    <s v="Completed"/>
    <s v="Gift Card"/>
    <n v="76.12"/>
    <n v="3"/>
    <x v="0"/>
  </r>
  <r>
    <x v="1960"/>
    <x v="523"/>
    <s v="CUST1507"/>
    <s v="Andi Brown"/>
    <x v="0"/>
    <x v="3"/>
    <x v="13"/>
    <n v="1"/>
    <n v="38.119999999999997"/>
    <s v="Completed"/>
    <s v="Credit Card"/>
    <n v="38.119999999999997"/>
    <n v="7"/>
    <x v="0"/>
  </r>
  <r>
    <x v="1961"/>
    <x v="187"/>
    <s v="CUST1739"/>
    <s v="Fajar Wilson"/>
    <x v="0"/>
    <x v="1"/>
    <x v="6"/>
    <n v="1"/>
    <n v="38.130000000000003"/>
    <s v="Completed"/>
    <s v="Unknown"/>
    <n v="38.130000000000003"/>
    <n v="5"/>
    <x v="0"/>
  </r>
  <r>
    <x v="1962"/>
    <x v="43"/>
    <s v="CUST1481"/>
    <s v="James Chen"/>
    <x v="0"/>
    <x v="5"/>
    <x v="28"/>
    <n v="1"/>
    <n v="38.15"/>
    <s v="Completed"/>
    <s v="Gift Card"/>
    <n v="38.15"/>
    <n v="6"/>
    <x v="0"/>
  </r>
  <r>
    <x v="1963"/>
    <x v="686"/>
    <s v="CUST1256"/>
    <s v="James Wijaya"/>
    <x v="0"/>
    <x v="4"/>
    <x v="26"/>
    <n v="2"/>
    <n v="38.15"/>
    <s v="Completed"/>
    <s v="Gift Card"/>
    <n v="76.3"/>
    <n v="6"/>
    <x v="0"/>
  </r>
  <r>
    <x v="1964"/>
    <x v="140"/>
    <s v="CUST1073"/>
    <s v="Ayu Pratama"/>
    <x v="0"/>
    <x v="1"/>
    <x v="17"/>
    <n v="1"/>
    <n v="38.17"/>
    <s v="Completed"/>
    <s v="PayPal"/>
    <n v="38.17"/>
    <n v="6"/>
    <x v="0"/>
  </r>
  <r>
    <x v="1965"/>
    <x v="264"/>
    <s v="CUST1768"/>
    <s v="Rina Nugroho"/>
    <x v="0"/>
    <x v="1"/>
    <x v="6"/>
    <n v="1"/>
    <n v="38.19"/>
    <s v="Completed"/>
    <s v="Credit Card"/>
    <n v="38.19"/>
    <n v="5"/>
    <x v="0"/>
  </r>
  <r>
    <x v="1966"/>
    <x v="216"/>
    <s v="CUST1856"/>
    <s v="Siti Brown"/>
    <x v="0"/>
    <x v="0"/>
    <x v="0"/>
    <n v="2"/>
    <n v="38.21"/>
    <s v="Completed"/>
    <s v="Debit Card"/>
    <n v="76.42"/>
    <n v="6"/>
    <x v="0"/>
  </r>
  <r>
    <x v="1967"/>
    <x v="687"/>
    <s v="CUST1127"/>
    <s v="Linda Halim"/>
    <x v="0"/>
    <x v="3"/>
    <x v="19"/>
    <n v="1"/>
    <n v="38.22"/>
    <s v="Completed"/>
    <s v="Credit Card"/>
    <n v="38.22"/>
    <n v="5"/>
    <x v="0"/>
  </r>
  <r>
    <x v="1968"/>
    <x v="29"/>
    <s v="CUST1450"/>
    <s v="David Santos"/>
    <x v="0"/>
    <x v="0"/>
    <x v="0"/>
    <n v="2"/>
    <n v="38.229999999999997"/>
    <s v="Cancelled"/>
    <s v="Debit Card"/>
    <n v="76.459999999999994"/>
    <n v="5"/>
    <x v="0"/>
  </r>
  <r>
    <x v="1969"/>
    <x v="415"/>
    <s v="CUST1214"/>
    <s v="Ahmad Tan"/>
    <x v="0"/>
    <x v="0"/>
    <x v="1"/>
    <n v="1"/>
    <n v="38.24"/>
    <s v="Completed"/>
    <s v="Gift Card"/>
    <n v="38.24"/>
    <n v="6"/>
    <x v="0"/>
  </r>
  <r>
    <x v="1970"/>
    <x v="146"/>
    <s v="CUST1817"/>
    <s v="Ahmad Hidayat"/>
    <x v="0"/>
    <x v="3"/>
    <x v="19"/>
    <n v="1"/>
    <n v="38.24"/>
    <s v="Cancelled"/>
    <s v="Debit Card"/>
    <n v="38.24"/>
    <n v="7"/>
    <x v="0"/>
  </r>
  <r>
    <x v="1971"/>
    <x v="123"/>
    <s v="CUST1514"/>
    <s v="Rina Wijaya"/>
    <x v="1"/>
    <x v="3"/>
    <x v="12"/>
    <n v="1"/>
    <n v="38.25"/>
    <s v="Completed"/>
    <s v="Debit Card"/>
    <n v="38.25"/>
    <n v="9"/>
    <x v="0"/>
  </r>
  <r>
    <x v="1972"/>
    <x v="189"/>
    <s v="CUST1756"/>
    <s v="Putri Kurniawan"/>
    <x v="1"/>
    <x v="1"/>
    <x v="6"/>
    <n v="2"/>
    <n v="38.270000000000003"/>
    <s v="Completed"/>
    <s v="Debit Card"/>
    <n v="76.540000000000006"/>
    <n v="3"/>
    <x v="0"/>
  </r>
  <r>
    <x v="1973"/>
    <x v="457"/>
    <s v="CUST1186"/>
    <s v="Andi Anderson"/>
    <x v="3"/>
    <x v="1"/>
    <x v="17"/>
    <n v="1"/>
    <n v="38.28"/>
    <s v="Completed"/>
    <s v="PayPal"/>
    <n v="38.28"/>
    <n v="6"/>
    <x v="0"/>
  </r>
  <r>
    <x v="1974"/>
    <x v="546"/>
    <s v="CUST1171"/>
    <s v="James Anderson"/>
    <x v="0"/>
    <x v="4"/>
    <x v="24"/>
    <n v="1"/>
    <n v="38.299999999999997"/>
    <s v="Completed"/>
    <s v="Debit Card"/>
    <n v="38.299999999999997"/>
    <n v="5"/>
    <x v="0"/>
  </r>
  <r>
    <x v="1975"/>
    <x v="520"/>
    <s v="CUST1041"/>
    <s v="Michael Wijaya"/>
    <x v="0"/>
    <x v="4"/>
    <x v="24"/>
    <n v="1"/>
    <n v="38.35"/>
    <s v="Completed"/>
    <s v="Gift Card"/>
    <n v="38.35"/>
    <n v="8"/>
    <x v="0"/>
  </r>
  <r>
    <x v="1976"/>
    <x v="248"/>
    <s v="CUST1353"/>
    <s v="Andi Halim"/>
    <x v="0"/>
    <x v="3"/>
    <x v="13"/>
    <n v="1"/>
    <n v="38.36"/>
    <s v="Completed"/>
    <s v="Credit Card"/>
    <n v="38.36"/>
    <n v="10"/>
    <x v="0"/>
  </r>
  <r>
    <x v="1977"/>
    <x v="236"/>
    <s v="CUST1896"/>
    <s v="Andi Taylor"/>
    <x v="0"/>
    <x v="3"/>
    <x v="16"/>
    <n v="1"/>
    <n v="38.369999999999997"/>
    <s v="Completed"/>
    <s v="Credit Card"/>
    <n v="38.369999999999997"/>
    <n v="5"/>
    <x v="0"/>
  </r>
  <r>
    <x v="1978"/>
    <x v="380"/>
    <s v="CUST1283"/>
    <s v="Michael Brown"/>
    <x v="1"/>
    <x v="0"/>
    <x v="3"/>
    <n v="1"/>
    <n v="38.409999999999997"/>
    <s v="Completed"/>
    <s v="Unknown"/>
    <n v="38.409999999999997"/>
    <n v="6"/>
    <x v="0"/>
  </r>
  <r>
    <x v="1979"/>
    <x v="61"/>
    <s v="CUST1579"/>
    <s v="Kevin Tan"/>
    <x v="0"/>
    <x v="5"/>
    <x v="32"/>
    <n v="5"/>
    <n v="38.409999999999997"/>
    <s v="Completed"/>
    <s v="Credit Card"/>
    <n v="192.04999999999998"/>
    <n v="6"/>
    <x v="0"/>
  </r>
  <r>
    <x v="1980"/>
    <x v="292"/>
    <s v="CUST1052"/>
    <s v="Fajar Halim"/>
    <x v="0"/>
    <x v="3"/>
    <x v="13"/>
    <n v="2"/>
    <n v="38.42"/>
    <s v="Completed"/>
    <s v="PayPal"/>
    <n v="76.84"/>
    <n v="8"/>
    <x v="0"/>
  </r>
  <r>
    <x v="1981"/>
    <x v="287"/>
    <s v="CUST1161"/>
    <s v="Ayu Yusuf"/>
    <x v="0"/>
    <x v="0"/>
    <x v="4"/>
    <n v="2"/>
    <n v="38.44"/>
    <s v="Completed"/>
    <s v="Gift Card"/>
    <n v="76.88"/>
    <n v="4"/>
    <x v="0"/>
  </r>
  <r>
    <x v="1982"/>
    <x v="485"/>
    <s v="CUST1024"/>
    <s v="Ahmad Anderson"/>
    <x v="2"/>
    <x v="0"/>
    <x v="3"/>
    <n v="1"/>
    <n v="38.450000000000003"/>
    <s v="Completed"/>
    <s v="Credit Card"/>
    <n v="38.450000000000003"/>
    <n v="3"/>
    <x v="0"/>
  </r>
  <r>
    <x v="1983"/>
    <x v="413"/>
    <s v="CUST1693"/>
    <s v="Lisa Santos"/>
    <x v="0"/>
    <x v="1"/>
    <x v="17"/>
    <n v="2"/>
    <n v="38.450000000000003"/>
    <s v="Completed"/>
    <s v="Gift Card"/>
    <n v="76.900000000000006"/>
    <n v="8"/>
    <x v="0"/>
  </r>
  <r>
    <x v="1984"/>
    <x v="207"/>
    <s v="CUST1555"/>
    <s v="Andi Hidayat"/>
    <x v="1"/>
    <x v="0"/>
    <x v="1"/>
    <n v="4"/>
    <n v="38.450000000000003"/>
    <s v="Pending"/>
    <s v="Credit Card"/>
    <n v="153.80000000000001"/>
    <n v="3"/>
    <x v="0"/>
  </r>
  <r>
    <x v="1985"/>
    <x v="161"/>
    <s v="CUST1430"/>
    <s v="Maria Garcia"/>
    <x v="1"/>
    <x v="4"/>
    <x v="23"/>
    <n v="1"/>
    <n v="38.47"/>
    <s v="Completed"/>
    <s v="Debit Card"/>
    <n v="38.47"/>
    <n v="6"/>
    <x v="0"/>
  </r>
  <r>
    <x v="1986"/>
    <x v="336"/>
    <s v="CUST1422"/>
    <s v="Budi Pratama"/>
    <x v="0"/>
    <x v="5"/>
    <x v="32"/>
    <n v="1"/>
    <n v="38.479999999999997"/>
    <s v="Completed"/>
    <s v="PayPal"/>
    <n v="38.479999999999997"/>
    <n v="7"/>
    <x v="0"/>
  </r>
  <r>
    <x v="1987"/>
    <x v="644"/>
    <s v="CUST1499"/>
    <s v="David Santos"/>
    <x v="0"/>
    <x v="3"/>
    <x v="14"/>
    <n v="3"/>
    <n v="38.49"/>
    <s v="Completed"/>
    <s v="Credit Card"/>
    <n v="115.47"/>
    <n v="9"/>
    <x v="0"/>
  </r>
  <r>
    <x v="1988"/>
    <x v="347"/>
    <s v="CUST1301"/>
    <s v="Sarah Tan"/>
    <x v="0"/>
    <x v="4"/>
    <x v="27"/>
    <n v="4"/>
    <n v="38.53"/>
    <s v="Returned"/>
    <s v="Unknown"/>
    <n v="154.12"/>
    <n v="6"/>
    <x v="0"/>
  </r>
  <r>
    <x v="1989"/>
    <x v="45"/>
    <s v="CUST1284"/>
    <s v="Lisa Smith"/>
    <x v="0"/>
    <x v="4"/>
    <x v="24"/>
    <n v="2"/>
    <n v="38.54"/>
    <s v="Completed"/>
    <s v="Credit Card"/>
    <n v="77.08"/>
    <n v="7"/>
    <x v="0"/>
  </r>
  <r>
    <x v="1990"/>
    <x v="476"/>
    <s v="CUST1748"/>
    <s v="Robert Salim"/>
    <x v="0"/>
    <x v="0"/>
    <x v="0"/>
    <n v="5"/>
    <n v="38.54"/>
    <s v="Completed"/>
    <s v="Debit Card"/>
    <n v="192.7"/>
    <n v="3"/>
    <x v="0"/>
  </r>
  <r>
    <x v="1991"/>
    <x v="675"/>
    <s v="CUST1385"/>
    <s v="Michael Lee"/>
    <x v="0"/>
    <x v="4"/>
    <x v="22"/>
    <n v="3"/>
    <n v="38.56"/>
    <s v="Cancelled"/>
    <s v="Debit Card"/>
    <n v="115.68"/>
    <n v="7"/>
    <x v="0"/>
  </r>
  <r>
    <x v="1992"/>
    <x v="23"/>
    <s v="CUST1063"/>
    <s v="David Anderson"/>
    <x v="0"/>
    <x v="3"/>
    <x v="19"/>
    <n v="1"/>
    <n v="38.57"/>
    <s v="Completed"/>
    <s v="Debit Card"/>
    <n v="38.57"/>
    <n v="7"/>
    <x v="0"/>
  </r>
  <r>
    <x v="1993"/>
    <x v="372"/>
    <s v="CUST1801"/>
    <s v="John Brown"/>
    <x v="0"/>
    <x v="4"/>
    <x v="23"/>
    <n v="1"/>
    <n v="38.57"/>
    <s v="Returned"/>
    <s v="PayPal"/>
    <n v="38.57"/>
    <n v="3"/>
    <x v="0"/>
  </r>
  <r>
    <x v="1994"/>
    <x v="224"/>
    <s v="CUST1866"/>
    <s v="Dewi Lee"/>
    <x v="1"/>
    <x v="3"/>
    <x v="13"/>
    <n v="1"/>
    <n v="38.58"/>
    <s v="Completed"/>
    <s v="PayPal"/>
    <n v="38.58"/>
    <n v="4"/>
    <x v="0"/>
  </r>
  <r>
    <x v="1995"/>
    <x v="140"/>
    <s v="CUST1859"/>
    <s v="Rina Kurniawan"/>
    <x v="1"/>
    <x v="0"/>
    <x v="3"/>
    <n v="1"/>
    <n v="38.630000000000003"/>
    <s v="Completed"/>
    <s v="Debit Card"/>
    <n v="38.630000000000003"/>
    <n v="4"/>
    <x v="0"/>
  </r>
  <r>
    <x v="1996"/>
    <x v="362"/>
    <s v="CUST1525"/>
    <s v="Michael Anderson"/>
    <x v="0"/>
    <x v="0"/>
    <x v="3"/>
    <n v="2"/>
    <n v="38.630000000000003"/>
    <s v="Completed"/>
    <s v="Gift Card"/>
    <n v="77.260000000000005"/>
    <n v="4"/>
    <x v="0"/>
  </r>
  <r>
    <x v="1997"/>
    <x v="229"/>
    <s v="CUST1430"/>
    <s v="Maria Garcia"/>
    <x v="1"/>
    <x v="3"/>
    <x v="14"/>
    <n v="1"/>
    <n v="38.69"/>
    <s v="Completed"/>
    <s v="Credit Card"/>
    <n v="38.69"/>
    <n v="6"/>
    <x v="0"/>
  </r>
  <r>
    <x v="1998"/>
    <x v="688"/>
    <s v="CUST1653"/>
    <s v="Michael Chen"/>
    <x v="1"/>
    <x v="3"/>
    <x v="13"/>
    <n v="1"/>
    <n v="38.700000000000003"/>
    <s v="Completed"/>
    <s v="Credit Card"/>
    <n v="38.700000000000003"/>
    <n v="4"/>
    <x v="0"/>
  </r>
  <r>
    <x v="1999"/>
    <x v="222"/>
    <s v="CUST1873"/>
    <s v="Ayu Anderson"/>
    <x v="0"/>
    <x v="0"/>
    <x v="4"/>
    <n v="1"/>
    <n v="38.700000000000003"/>
    <s v="Cancelled"/>
    <s v="PayPal"/>
    <n v="38.700000000000003"/>
    <n v="5"/>
    <x v="0"/>
  </r>
  <r>
    <x v="2000"/>
    <x v="642"/>
    <s v="CUST1397"/>
    <s v="Maria Anderson"/>
    <x v="0"/>
    <x v="0"/>
    <x v="0"/>
    <n v="1"/>
    <n v="38.71"/>
    <s v="Completed"/>
    <s v="PayPal"/>
    <n v="38.71"/>
    <n v="4"/>
    <x v="0"/>
  </r>
  <r>
    <x v="2001"/>
    <x v="215"/>
    <s v="CUST1665"/>
    <s v="Sarah Halim"/>
    <x v="0"/>
    <x v="0"/>
    <x v="0"/>
    <n v="1"/>
    <n v="38.72"/>
    <s v="Completed"/>
    <s v="PayPal"/>
    <n v="38.72"/>
    <n v="3"/>
    <x v="0"/>
  </r>
  <r>
    <x v="2002"/>
    <x v="291"/>
    <s v="CUST1454"/>
    <s v="Fajar Wijaya"/>
    <x v="0"/>
    <x v="3"/>
    <x v="19"/>
    <n v="1"/>
    <n v="38.74"/>
    <s v="Completed"/>
    <s v="Gift Card"/>
    <n v="38.74"/>
    <n v="5"/>
    <x v="0"/>
  </r>
  <r>
    <x v="2003"/>
    <x v="334"/>
    <s v="CUST1861"/>
    <s v="Ayu Santos"/>
    <x v="0"/>
    <x v="3"/>
    <x v="14"/>
    <n v="2"/>
    <n v="38.75"/>
    <s v="Completed"/>
    <s v="PayPal"/>
    <n v="77.5"/>
    <n v="4"/>
    <x v="0"/>
  </r>
  <r>
    <x v="2004"/>
    <x v="623"/>
    <s v="CUST1045"/>
    <s v="Budi Yusuf"/>
    <x v="0"/>
    <x v="0"/>
    <x v="2"/>
    <n v="2"/>
    <n v="38.78"/>
    <s v="Completed"/>
    <s v="Debit Card"/>
    <n v="77.56"/>
    <n v="2"/>
    <x v="0"/>
  </r>
  <r>
    <x v="2005"/>
    <x v="98"/>
    <s v="CUST1512"/>
    <s v="Rina Wilson"/>
    <x v="1"/>
    <x v="0"/>
    <x v="0"/>
    <n v="2"/>
    <n v="38.79"/>
    <s v="Completed"/>
    <s v="Credit Card"/>
    <n v="77.58"/>
    <n v="6"/>
    <x v="0"/>
  </r>
  <r>
    <x v="2006"/>
    <x v="462"/>
    <s v="CUST1080"/>
    <s v="Nina Garcia"/>
    <x v="0"/>
    <x v="0"/>
    <x v="2"/>
    <n v="1"/>
    <n v="38.799999999999997"/>
    <s v="Completed"/>
    <s v="Credit Card"/>
    <n v="38.799999999999997"/>
    <n v="2"/>
    <x v="0"/>
  </r>
  <r>
    <x v="2007"/>
    <x v="2"/>
    <s v="CUST1233"/>
    <s v="Michael Lee"/>
    <x v="0"/>
    <x v="0"/>
    <x v="1"/>
    <n v="2"/>
    <n v="38.86"/>
    <s v="Completed"/>
    <s v="Gift Card"/>
    <n v="77.72"/>
    <n v="6"/>
    <x v="0"/>
  </r>
  <r>
    <x v="2008"/>
    <x v="57"/>
    <s v="CUST1247"/>
    <s v="Andi Nugroho"/>
    <x v="0"/>
    <x v="3"/>
    <x v="12"/>
    <n v="1"/>
    <n v="38.89"/>
    <s v="Completed"/>
    <s v="PayPal"/>
    <n v="38.89"/>
    <n v="5"/>
    <x v="0"/>
  </r>
  <r>
    <x v="2009"/>
    <x v="384"/>
    <s v="CUST1885"/>
    <s v="Lisa Santos"/>
    <x v="0"/>
    <x v="0"/>
    <x v="4"/>
    <n v="1"/>
    <n v="38.89"/>
    <s v="Completed"/>
    <s v="Credit Card"/>
    <n v="38.89"/>
    <n v="6"/>
    <x v="0"/>
  </r>
  <r>
    <x v="2010"/>
    <x v="173"/>
    <s v="CUST1219"/>
    <s v="Linda Yusuf"/>
    <x v="0"/>
    <x v="4"/>
    <x v="23"/>
    <n v="2"/>
    <n v="38.909999999999997"/>
    <s v="Completed"/>
    <s v="Credit Card"/>
    <n v="77.819999999999993"/>
    <n v="5"/>
    <x v="0"/>
  </r>
  <r>
    <x v="2011"/>
    <x v="636"/>
    <s v="CUST1584"/>
    <s v="John Garcia"/>
    <x v="0"/>
    <x v="0"/>
    <x v="0"/>
    <n v="1"/>
    <n v="38.92"/>
    <s v="Completed"/>
    <s v="Credit Card"/>
    <n v="38.92"/>
    <n v="5"/>
    <x v="0"/>
  </r>
  <r>
    <x v="2012"/>
    <x v="448"/>
    <s v="CUST1529"/>
    <s v="Ahmad Garcia"/>
    <x v="1"/>
    <x v="3"/>
    <x v="12"/>
    <n v="2"/>
    <n v="38.93"/>
    <s v="Completed"/>
    <s v="Gift Card"/>
    <n v="77.86"/>
    <n v="4"/>
    <x v="0"/>
  </r>
  <r>
    <x v="2013"/>
    <x v="6"/>
    <s v="CUST1062"/>
    <s v="Andi Salim"/>
    <x v="3"/>
    <x v="5"/>
    <x v="31"/>
    <n v="1"/>
    <n v="38.950000000000003"/>
    <s v="Completed"/>
    <s v="Debit Card"/>
    <n v="38.950000000000003"/>
    <n v="3"/>
    <x v="0"/>
  </r>
  <r>
    <x v="2014"/>
    <x v="641"/>
    <s v="CUST1392"/>
    <s v="Nina Garcia"/>
    <x v="0"/>
    <x v="0"/>
    <x v="4"/>
    <n v="1"/>
    <n v="38.96"/>
    <s v="Completed"/>
    <s v="Credit Card"/>
    <n v="38.96"/>
    <n v="5"/>
    <x v="0"/>
  </r>
  <r>
    <x v="2015"/>
    <x v="231"/>
    <s v="CUST1844"/>
    <s v="Ahmad Johnson"/>
    <x v="0"/>
    <x v="4"/>
    <x v="21"/>
    <n v="2"/>
    <n v="38.96"/>
    <s v="Completed"/>
    <s v="Gift Card"/>
    <n v="77.92"/>
    <n v="4"/>
    <x v="0"/>
  </r>
  <r>
    <x v="2016"/>
    <x v="131"/>
    <s v="CUST1468"/>
    <s v="Michael Tan"/>
    <x v="0"/>
    <x v="1"/>
    <x v="20"/>
    <n v="1"/>
    <n v="38.99"/>
    <s v="Completed"/>
    <s v="Debit Card"/>
    <n v="38.99"/>
    <n v="8"/>
    <x v="0"/>
  </r>
  <r>
    <x v="2017"/>
    <x v="478"/>
    <s v="CUST1111"/>
    <s v="Siti Halim"/>
    <x v="0"/>
    <x v="1"/>
    <x v="5"/>
    <n v="1"/>
    <n v="39"/>
    <s v="Completed"/>
    <s v="PayPal"/>
    <n v="39"/>
    <n v="6"/>
    <x v="0"/>
  </r>
  <r>
    <x v="2018"/>
    <x v="395"/>
    <s v="CUST1175"/>
    <s v="Lisa Kurniawan"/>
    <x v="0"/>
    <x v="0"/>
    <x v="0"/>
    <n v="3"/>
    <n v="39.04"/>
    <s v="Completed"/>
    <s v="PayPal"/>
    <n v="117.12"/>
    <n v="6"/>
    <x v="0"/>
  </r>
  <r>
    <x v="2019"/>
    <x v="422"/>
    <s v="CUST1090"/>
    <s v="Lisa Pratama"/>
    <x v="0"/>
    <x v="3"/>
    <x v="16"/>
    <n v="5"/>
    <n v="39.04"/>
    <s v="Pending"/>
    <s v="Gift Card"/>
    <n v="195.2"/>
    <n v="4"/>
    <x v="0"/>
  </r>
  <r>
    <x v="2020"/>
    <x v="164"/>
    <s v="CUST1689"/>
    <s v="Siti Tan"/>
    <x v="0"/>
    <x v="0"/>
    <x v="4"/>
    <n v="1"/>
    <n v="39.049999999999997"/>
    <s v="Completed"/>
    <s v="Debit Card"/>
    <n v="39.049999999999997"/>
    <n v="7"/>
    <x v="0"/>
  </r>
  <r>
    <x v="2021"/>
    <x v="233"/>
    <s v="CUST1071"/>
    <s v="Kevin Lee"/>
    <x v="1"/>
    <x v="1"/>
    <x v="17"/>
    <n v="2"/>
    <n v="39.049999999999997"/>
    <s v="Completed"/>
    <s v="Gift Card"/>
    <n v="78.099999999999994"/>
    <n v="6"/>
    <x v="0"/>
  </r>
  <r>
    <x v="2022"/>
    <x v="478"/>
    <s v="CUST1177"/>
    <s v="Ayu Pratama"/>
    <x v="0"/>
    <x v="0"/>
    <x v="2"/>
    <n v="2"/>
    <n v="39.08"/>
    <s v="Completed"/>
    <s v="Debit Card"/>
    <n v="78.16"/>
    <n v="5"/>
    <x v="0"/>
  </r>
  <r>
    <x v="2023"/>
    <x v="356"/>
    <s v="CUST1382"/>
    <s v="David Hidayat"/>
    <x v="0"/>
    <x v="3"/>
    <x v="12"/>
    <n v="2"/>
    <n v="39.090000000000003"/>
    <s v="Returned"/>
    <s v="Gift Card"/>
    <n v="78.180000000000007"/>
    <n v="12"/>
    <x v="0"/>
  </r>
  <r>
    <x v="2024"/>
    <x v="300"/>
    <s v="CUST1537"/>
    <s v="Putri Sari"/>
    <x v="1"/>
    <x v="1"/>
    <x v="20"/>
    <n v="1"/>
    <n v="39.15"/>
    <s v="Cancelled"/>
    <s v="Debit Card"/>
    <n v="39.15"/>
    <n v="5"/>
    <x v="0"/>
  </r>
  <r>
    <x v="2025"/>
    <x v="213"/>
    <s v="CUST1839"/>
    <s v="John Tan"/>
    <x v="0"/>
    <x v="4"/>
    <x v="23"/>
    <n v="2"/>
    <n v="39.18"/>
    <s v="Completed"/>
    <s v="Debit Card"/>
    <n v="78.36"/>
    <n v="10"/>
    <x v="0"/>
  </r>
  <r>
    <x v="2026"/>
    <x v="537"/>
    <s v="CUST1099"/>
    <s v="Sarah Santos"/>
    <x v="0"/>
    <x v="3"/>
    <x v="19"/>
    <n v="1"/>
    <n v="39.21"/>
    <s v="Cancelled"/>
    <s v="Debit Card"/>
    <n v="39.21"/>
    <n v="5"/>
    <x v="0"/>
  </r>
  <r>
    <x v="2027"/>
    <x v="101"/>
    <s v="CUST1771"/>
    <s v="Putri Salim"/>
    <x v="0"/>
    <x v="4"/>
    <x v="25"/>
    <n v="1"/>
    <n v="39.22"/>
    <s v="Completed"/>
    <s v="Credit Card"/>
    <n v="39.22"/>
    <n v="7"/>
    <x v="0"/>
  </r>
  <r>
    <x v="2028"/>
    <x v="119"/>
    <s v="CUST1246"/>
    <s v="Ayu Brown"/>
    <x v="0"/>
    <x v="0"/>
    <x v="3"/>
    <n v="2"/>
    <n v="39.22"/>
    <s v="Completed"/>
    <s v="Debit Card"/>
    <n v="78.44"/>
    <n v="7"/>
    <x v="0"/>
  </r>
  <r>
    <x v="2029"/>
    <x v="689"/>
    <s v="CUST1068"/>
    <s v="Linda Nugroho"/>
    <x v="0"/>
    <x v="4"/>
    <x v="21"/>
    <n v="1"/>
    <n v="39.26"/>
    <s v="Completed"/>
    <s v="Debit Card"/>
    <n v="39.26"/>
    <n v="5"/>
    <x v="0"/>
  </r>
  <r>
    <x v="2030"/>
    <x v="304"/>
    <s v="CUST1885"/>
    <s v="Lisa Santos"/>
    <x v="0"/>
    <x v="0"/>
    <x v="0"/>
    <n v="1"/>
    <n v="39.299999999999997"/>
    <s v="Completed"/>
    <s v="PayPal"/>
    <n v="39.299999999999997"/>
    <n v="6"/>
    <x v="0"/>
  </r>
  <r>
    <x v="2031"/>
    <x v="670"/>
    <s v="CUST1791"/>
    <s v="Kevin Chen"/>
    <x v="0"/>
    <x v="4"/>
    <x v="24"/>
    <n v="2"/>
    <n v="39.33"/>
    <s v="Completed"/>
    <s v="Credit Card"/>
    <n v="78.66"/>
    <n v="3"/>
    <x v="0"/>
  </r>
  <r>
    <x v="2032"/>
    <x v="81"/>
    <s v="CUST1251"/>
    <s v="Nina Salim"/>
    <x v="0"/>
    <x v="0"/>
    <x v="1"/>
    <n v="1"/>
    <n v="39.340000000000003"/>
    <s v="Completed"/>
    <s v="Unknown"/>
    <n v="39.340000000000003"/>
    <n v="8"/>
    <x v="0"/>
  </r>
  <r>
    <x v="2033"/>
    <x v="237"/>
    <s v="CUST1120"/>
    <s v="Unknown Customer"/>
    <x v="1"/>
    <x v="4"/>
    <x v="24"/>
    <n v="1"/>
    <n v="39.369999999999997"/>
    <s v="Returned"/>
    <s v="PayPal"/>
    <n v="39.369999999999997"/>
    <n v="6"/>
    <x v="0"/>
  </r>
  <r>
    <x v="2034"/>
    <x v="460"/>
    <s v="CUST1442"/>
    <s v="Andi Lee"/>
    <x v="0"/>
    <x v="3"/>
    <x v="14"/>
    <n v="2"/>
    <n v="39.39"/>
    <s v="Completed"/>
    <s v="PayPal"/>
    <n v="78.78"/>
    <n v="4"/>
    <x v="0"/>
  </r>
  <r>
    <x v="2035"/>
    <x v="439"/>
    <s v="CUST1619"/>
    <s v="Andi Smith"/>
    <x v="1"/>
    <x v="4"/>
    <x v="21"/>
    <n v="1"/>
    <n v="39.4"/>
    <s v="Completed"/>
    <s v="PayPal"/>
    <n v="39.4"/>
    <n v="7"/>
    <x v="0"/>
  </r>
  <r>
    <x v="2036"/>
    <x v="380"/>
    <s v="CUST1132"/>
    <s v="Robert Tan"/>
    <x v="0"/>
    <x v="6"/>
    <x v="38"/>
    <n v="2"/>
    <n v="39.4"/>
    <s v="Completed"/>
    <s v="Credit Card"/>
    <n v="78.8"/>
    <n v="3"/>
    <x v="0"/>
  </r>
  <r>
    <x v="2037"/>
    <x v="70"/>
    <s v="CUST1205"/>
    <s v="David Johnson"/>
    <x v="0"/>
    <x v="3"/>
    <x v="14"/>
    <n v="1"/>
    <n v="39.44"/>
    <s v="Completed"/>
    <s v="Gift Card"/>
    <n v="39.44"/>
    <n v="5"/>
    <x v="0"/>
  </r>
  <r>
    <x v="2038"/>
    <x v="351"/>
    <s v="CUST1511"/>
    <s v="Maria Brown"/>
    <x v="1"/>
    <x v="0"/>
    <x v="4"/>
    <n v="1"/>
    <n v="39.44"/>
    <s v="Cancelled"/>
    <s v="PayPal"/>
    <n v="39.44"/>
    <n v="2"/>
    <x v="0"/>
  </r>
  <r>
    <x v="2039"/>
    <x v="230"/>
    <s v="CUST1878"/>
    <s v="Ayu Sari"/>
    <x v="0"/>
    <x v="0"/>
    <x v="1"/>
    <n v="1"/>
    <n v="39.450000000000003"/>
    <s v="Completed"/>
    <s v="Debit Card"/>
    <n v="39.450000000000003"/>
    <n v="5"/>
    <x v="0"/>
  </r>
  <r>
    <x v="2040"/>
    <x v="96"/>
    <s v="CUST1486"/>
    <s v="Sarah Lee"/>
    <x v="1"/>
    <x v="0"/>
    <x v="4"/>
    <n v="1"/>
    <n v="39.49"/>
    <s v="Pending"/>
    <s v="Credit Card"/>
    <n v="39.49"/>
    <n v="3"/>
    <x v="0"/>
  </r>
  <r>
    <x v="2041"/>
    <x v="129"/>
    <s v="CUST1689"/>
    <s v="Siti Tan"/>
    <x v="0"/>
    <x v="3"/>
    <x v="19"/>
    <n v="1"/>
    <n v="39.5"/>
    <s v="Completed"/>
    <s v="Credit Card"/>
    <n v="39.5"/>
    <n v="7"/>
    <x v="0"/>
  </r>
  <r>
    <x v="2042"/>
    <x v="332"/>
    <s v="CUST1201"/>
    <s v="Linda Johnson"/>
    <x v="0"/>
    <x v="3"/>
    <x v="14"/>
    <n v="1"/>
    <n v="39.5"/>
    <s v="Completed"/>
    <s v="Debit Card"/>
    <n v="39.5"/>
    <n v="5"/>
    <x v="0"/>
  </r>
  <r>
    <x v="2043"/>
    <x v="21"/>
    <s v="CUST1595"/>
    <s v="Lisa Brown"/>
    <x v="3"/>
    <x v="3"/>
    <x v="12"/>
    <n v="1"/>
    <n v="39.51"/>
    <s v="Cancelled"/>
    <s v="Debit Card"/>
    <n v="39.51"/>
    <n v="3"/>
    <x v="0"/>
  </r>
  <r>
    <x v="2044"/>
    <x v="522"/>
    <s v="CUST1300"/>
    <s v="Sarah Taylor"/>
    <x v="0"/>
    <x v="4"/>
    <x v="23"/>
    <n v="1"/>
    <n v="39.53"/>
    <s v="Completed"/>
    <s v="Gift Card"/>
    <n v="39.53"/>
    <n v="5"/>
    <x v="0"/>
  </r>
  <r>
    <x v="2045"/>
    <x v="425"/>
    <s v="CUST1523"/>
    <s v="Michael Chen"/>
    <x v="0"/>
    <x v="6"/>
    <x v="42"/>
    <n v="1"/>
    <n v="39.54"/>
    <s v="Completed"/>
    <s v="Credit Card"/>
    <n v="39.54"/>
    <n v="7"/>
    <x v="0"/>
  </r>
  <r>
    <x v="2046"/>
    <x v="109"/>
    <s v="CUST1300"/>
    <s v="Sarah Taylor"/>
    <x v="0"/>
    <x v="3"/>
    <x v="16"/>
    <n v="2"/>
    <n v="39.56"/>
    <s v="Completed"/>
    <s v="Debit Card"/>
    <n v="79.12"/>
    <n v="5"/>
    <x v="0"/>
  </r>
  <r>
    <x v="2047"/>
    <x v="651"/>
    <s v="CUST1738"/>
    <s v="Fajar Halim"/>
    <x v="0"/>
    <x v="0"/>
    <x v="4"/>
    <n v="1"/>
    <n v="39.58"/>
    <s v="Completed"/>
    <s v="Credit Card"/>
    <n v="39.58"/>
    <n v="8"/>
    <x v="0"/>
  </r>
  <r>
    <x v="2048"/>
    <x v="318"/>
    <s v="CUST1775"/>
    <s v="Putri Hidayat"/>
    <x v="0"/>
    <x v="4"/>
    <x v="27"/>
    <n v="5"/>
    <n v="39.58"/>
    <s v="Completed"/>
    <s v="Debit Card"/>
    <n v="197.89999999999998"/>
    <n v="4"/>
    <x v="0"/>
  </r>
  <r>
    <x v="2049"/>
    <x v="313"/>
    <s v="CUST1095"/>
    <s v="Sarah Smith"/>
    <x v="0"/>
    <x v="0"/>
    <x v="1"/>
    <n v="1"/>
    <n v="39.6"/>
    <s v="Completed"/>
    <s v="Gift Card"/>
    <n v="39.6"/>
    <n v="9"/>
    <x v="0"/>
  </r>
  <r>
    <x v="2050"/>
    <x v="41"/>
    <s v="CUST1441"/>
    <s v="Fajar Hidayat"/>
    <x v="0"/>
    <x v="1"/>
    <x v="5"/>
    <n v="1"/>
    <n v="39.630000000000003"/>
    <s v="Cancelled"/>
    <s v="PayPal"/>
    <n v="39.630000000000003"/>
    <n v="6"/>
    <x v="0"/>
  </r>
  <r>
    <x v="2051"/>
    <x v="402"/>
    <s v="CUST1787"/>
    <s v="Ahmad Salim"/>
    <x v="0"/>
    <x v="0"/>
    <x v="1"/>
    <n v="1"/>
    <n v="39.68"/>
    <s v="Completed"/>
    <s v="Credit Card"/>
    <n v="39.68"/>
    <n v="2"/>
    <x v="0"/>
  </r>
  <r>
    <x v="2052"/>
    <x v="253"/>
    <s v="CUST1178"/>
    <s v="Michael Pratama"/>
    <x v="1"/>
    <x v="0"/>
    <x v="4"/>
    <n v="4"/>
    <n v="39.69"/>
    <s v="Completed"/>
    <s v="Debit Card"/>
    <n v="158.76"/>
    <n v="6"/>
    <x v="0"/>
  </r>
  <r>
    <x v="2053"/>
    <x v="313"/>
    <s v="CUST1332"/>
    <s v="Siti Johnson"/>
    <x v="1"/>
    <x v="4"/>
    <x v="27"/>
    <n v="1"/>
    <n v="39.71"/>
    <s v="Completed"/>
    <s v="Credit Card"/>
    <n v="39.71"/>
    <n v="5"/>
    <x v="0"/>
  </r>
  <r>
    <x v="2054"/>
    <x v="690"/>
    <s v="CUST1182"/>
    <s v="Dewi Tan"/>
    <x v="0"/>
    <x v="0"/>
    <x v="4"/>
    <n v="1"/>
    <n v="39.74"/>
    <s v="Completed"/>
    <s v="PayPal"/>
    <n v="39.74"/>
    <n v="4"/>
    <x v="0"/>
  </r>
  <r>
    <x v="2055"/>
    <x v="266"/>
    <s v="CUST1006"/>
    <s v="James Smith"/>
    <x v="0"/>
    <x v="5"/>
    <x v="28"/>
    <n v="1"/>
    <n v="39.74"/>
    <s v="Completed"/>
    <s v="Debit Card"/>
    <n v="39.74"/>
    <n v="8"/>
    <x v="0"/>
  </r>
  <r>
    <x v="2056"/>
    <x v="460"/>
    <s v="CUST1209"/>
    <s v="Andi Sari"/>
    <x v="0"/>
    <x v="3"/>
    <x v="19"/>
    <n v="2"/>
    <n v="39.74"/>
    <s v="Completed"/>
    <s v="Credit Card"/>
    <n v="79.48"/>
    <n v="6"/>
    <x v="0"/>
  </r>
  <r>
    <x v="2057"/>
    <x v="29"/>
    <s v="CUST1407"/>
    <s v="Rina Smith"/>
    <x v="0"/>
    <x v="5"/>
    <x v="28"/>
    <n v="2"/>
    <n v="39.770000000000003"/>
    <s v="Cancelled"/>
    <s v="PayPal"/>
    <n v="79.540000000000006"/>
    <n v="5"/>
    <x v="0"/>
  </r>
  <r>
    <x v="2058"/>
    <x v="192"/>
    <s v="CUST1393"/>
    <s v="Putri Johnson"/>
    <x v="0"/>
    <x v="3"/>
    <x v="14"/>
    <n v="2"/>
    <n v="39.770000000000003"/>
    <s v="Completed"/>
    <s v="Credit Card"/>
    <n v="79.540000000000006"/>
    <n v="4"/>
    <x v="0"/>
  </r>
  <r>
    <x v="2059"/>
    <x v="50"/>
    <s v="CUST1670"/>
    <s v="David Sari"/>
    <x v="1"/>
    <x v="0"/>
    <x v="0"/>
    <n v="2"/>
    <n v="39.81"/>
    <s v="Completed"/>
    <s v="Gift Card"/>
    <n v="79.62"/>
    <n v="4"/>
    <x v="0"/>
  </r>
  <r>
    <x v="2060"/>
    <x v="468"/>
    <s v="CUST1624"/>
    <s v="Budi Smith"/>
    <x v="0"/>
    <x v="3"/>
    <x v="14"/>
    <n v="1"/>
    <n v="39.82"/>
    <s v="Completed"/>
    <s v="Credit Card"/>
    <n v="39.82"/>
    <n v="5"/>
    <x v="0"/>
  </r>
  <r>
    <x v="2061"/>
    <x v="613"/>
    <s v="CUST1251"/>
    <s v="Nina Salim"/>
    <x v="0"/>
    <x v="5"/>
    <x v="29"/>
    <n v="1"/>
    <n v="39.840000000000003"/>
    <s v="Completed"/>
    <s v="Credit Card"/>
    <n v="39.840000000000003"/>
    <n v="8"/>
    <x v="0"/>
  </r>
  <r>
    <x v="2062"/>
    <x v="579"/>
    <s v="CUST1011"/>
    <s v="Unknown Customer"/>
    <x v="0"/>
    <x v="4"/>
    <x v="22"/>
    <n v="1"/>
    <n v="39.9"/>
    <s v="Completed"/>
    <s v="Gift Card"/>
    <n v="39.9"/>
    <n v="7"/>
    <x v="0"/>
  </r>
  <r>
    <x v="2063"/>
    <x v="430"/>
    <s v="CUST1057"/>
    <s v="Maria Lee"/>
    <x v="1"/>
    <x v="6"/>
    <x v="35"/>
    <n v="1"/>
    <n v="39.9"/>
    <s v="Completed"/>
    <s v="Debit Card"/>
    <n v="39.9"/>
    <n v="5"/>
    <x v="0"/>
  </r>
  <r>
    <x v="2064"/>
    <x v="232"/>
    <s v="CUST1234"/>
    <s v="Nina Salim"/>
    <x v="0"/>
    <x v="0"/>
    <x v="0"/>
    <n v="3"/>
    <n v="39.9"/>
    <s v="Completed"/>
    <s v="Debit Card"/>
    <n v="119.69999999999999"/>
    <n v="6"/>
    <x v="0"/>
  </r>
  <r>
    <x v="2065"/>
    <x v="280"/>
    <s v="CUST1140"/>
    <s v="Maria Wijaya"/>
    <x v="0"/>
    <x v="6"/>
    <x v="36"/>
    <n v="2"/>
    <n v="39.909999999999997"/>
    <s v="Completed"/>
    <s v="Gift Card"/>
    <n v="79.819999999999993"/>
    <n v="5"/>
    <x v="0"/>
  </r>
  <r>
    <x v="2066"/>
    <x v="284"/>
    <s v="CUST1738"/>
    <s v="Fajar Halim"/>
    <x v="0"/>
    <x v="0"/>
    <x v="4"/>
    <n v="1"/>
    <n v="39.92"/>
    <s v="Completed"/>
    <s v="Debit Card"/>
    <n v="39.92"/>
    <n v="8"/>
    <x v="0"/>
  </r>
  <r>
    <x v="2067"/>
    <x v="116"/>
    <s v="CUST1560"/>
    <s v="Fajar Hidayat"/>
    <x v="0"/>
    <x v="4"/>
    <x v="27"/>
    <n v="2"/>
    <n v="39.92"/>
    <s v="Completed"/>
    <s v="Credit Card"/>
    <n v="79.84"/>
    <n v="6"/>
    <x v="0"/>
  </r>
  <r>
    <x v="2068"/>
    <x v="587"/>
    <s v="CUST1176"/>
    <s v="David Hidayat"/>
    <x v="1"/>
    <x v="3"/>
    <x v="19"/>
    <n v="1"/>
    <n v="39.97"/>
    <s v="Completed"/>
    <s v="Debit Card"/>
    <n v="39.97"/>
    <n v="4"/>
    <x v="0"/>
  </r>
  <r>
    <x v="2069"/>
    <x v="333"/>
    <s v="CUST1091"/>
    <s v="Nina Wilson"/>
    <x v="0"/>
    <x v="4"/>
    <x v="21"/>
    <n v="1"/>
    <n v="39.979999999999997"/>
    <s v="Completed"/>
    <s v="Gift Card"/>
    <n v="39.979999999999997"/>
    <n v="4"/>
    <x v="0"/>
  </r>
  <r>
    <x v="2070"/>
    <x v="484"/>
    <s v="CUST1527"/>
    <s v="Rina Anderson"/>
    <x v="1"/>
    <x v="0"/>
    <x v="1"/>
    <n v="1"/>
    <n v="39.979999999999997"/>
    <s v="Completed"/>
    <s v="Credit Card"/>
    <n v="39.979999999999997"/>
    <n v="5"/>
    <x v="0"/>
  </r>
  <r>
    <x v="2071"/>
    <x v="120"/>
    <s v="CUST1607"/>
    <s v="Fajar Kurniawan"/>
    <x v="0"/>
    <x v="0"/>
    <x v="0"/>
    <n v="2"/>
    <n v="39.99"/>
    <s v="Pending"/>
    <s v="PayPal"/>
    <n v="79.98"/>
    <n v="5"/>
    <x v="0"/>
  </r>
  <r>
    <x v="2072"/>
    <x v="96"/>
    <s v="CUST1764"/>
    <s v="Andi Yusuf"/>
    <x v="0"/>
    <x v="3"/>
    <x v="19"/>
    <n v="2"/>
    <n v="40.020000000000003"/>
    <s v="Completed"/>
    <s v="Debit Card"/>
    <n v="80.040000000000006"/>
    <n v="7"/>
    <x v="0"/>
  </r>
  <r>
    <x v="2073"/>
    <x v="516"/>
    <s v="CUST1385"/>
    <s v="Michael Lee"/>
    <x v="0"/>
    <x v="4"/>
    <x v="26"/>
    <n v="2"/>
    <n v="40.049999999999997"/>
    <s v="Completed"/>
    <s v="Gift Card"/>
    <n v="80.099999999999994"/>
    <n v="7"/>
    <x v="0"/>
  </r>
  <r>
    <x v="2074"/>
    <x v="529"/>
    <s v="CUST1256"/>
    <s v="James Wijaya"/>
    <x v="0"/>
    <x v="0"/>
    <x v="2"/>
    <n v="1"/>
    <n v="40.06"/>
    <s v="Completed"/>
    <s v="PayPal"/>
    <n v="40.06"/>
    <n v="6"/>
    <x v="0"/>
  </r>
  <r>
    <x v="2075"/>
    <x v="545"/>
    <s v="CUST1852"/>
    <s v="Putri Garcia"/>
    <x v="0"/>
    <x v="5"/>
    <x v="34"/>
    <n v="1"/>
    <n v="40.06"/>
    <s v="Completed"/>
    <s v="Debit Card"/>
    <n v="40.06"/>
    <n v="5"/>
    <x v="0"/>
  </r>
  <r>
    <x v="2076"/>
    <x v="359"/>
    <s v="CUST1626"/>
    <s v="Fajar Pratama"/>
    <x v="1"/>
    <x v="1"/>
    <x v="17"/>
    <n v="1"/>
    <n v="40.06"/>
    <s v="Completed"/>
    <s v="Credit Card"/>
    <n v="40.06"/>
    <n v="2"/>
    <x v="0"/>
  </r>
  <r>
    <x v="2077"/>
    <x v="494"/>
    <s v="CUST1490"/>
    <s v="Unknown Customer"/>
    <x v="0"/>
    <x v="3"/>
    <x v="16"/>
    <n v="5"/>
    <n v="40.07"/>
    <s v="Completed"/>
    <s v="Gift Card"/>
    <n v="200.35"/>
    <n v="6"/>
    <x v="0"/>
  </r>
  <r>
    <x v="2078"/>
    <x v="27"/>
    <s v="CUST1853"/>
    <s v="Robert Smith"/>
    <x v="0"/>
    <x v="3"/>
    <x v="16"/>
    <n v="1"/>
    <n v="40.08"/>
    <s v="Completed"/>
    <s v="Gift Card"/>
    <n v="40.08"/>
    <n v="5"/>
    <x v="0"/>
  </r>
  <r>
    <x v="2079"/>
    <x v="415"/>
    <s v="CUST1589"/>
    <s v="Siti Nugroho"/>
    <x v="0"/>
    <x v="4"/>
    <x v="25"/>
    <n v="2"/>
    <n v="40.11"/>
    <s v="Completed"/>
    <s v="Debit Card"/>
    <n v="80.22"/>
    <n v="5"/>
    <x v="0"/>
  </r>
  <r>
    <x v="2080"/>
    <x v="493"/>
    <s v="CUST1618"/>
    <s v="Budi Lee"/>
    <x v="0"/>
    <x v="3"/>
    <x v="19"/>
    <n v="1"/>
    <n v="40.119999999999997"/>
    <s v="Completed"/>
    <s v="Debit Card"/>
    <n v="40.119999999999997"/>
    <n v="5"/>
    <x v="0"/>
  </r>
  <r>
    <x v="2081"/>
    <x v="464"/>
    <s v="CUST1639"/>
    <s v="Dewi Salim"/>
    <x v="1"/>
    <x v="0"/>
    <x v="2"/>
    <n v="1"/>
    <n v="40.18"/>
    <s v="Completed"/>
    <s v="Gift Card"/>
    <n v="40.18"/>
    <n v="7"/>
    <x v="0"/>
  </r>
  <r>
    <x v="2082"/>
    <x v="479"/>
    <s v="CUST1373"/>
    <s v="James Smith"/>
    <x v="0"/>
    <x v="3"/>
    <x v="14"/>
    <n v="1"/>
    <n v="40.19"/>
    <s v="Returned"/>
    <s v="Credit Card"/>
    <n v="40.19"/>
    <n v="8"/>
    <x v="0"/>
  </r>
  <r>
    <x v="2083"/>
    <x v="543"/>
    <s v="CUST1299"/>
    <s v="Lisa Chen"/>
    <x v="1"/>
    <x v="3"/>
    <x v="14"/>
    <n v="1"/>
    <n v="40.22"/>
    <s v="Returned"/>
    <s v="Credit Card"/>
    <n v="40.22"/>
    <n v="3"/>
    <x v="0"/>
  </r>
  <r>
    <x v="2084"/>
    <x v="680"/>
    <s v="CUST1130"/>
    <s v="Maria Johnson"/>
    <x v="0"/>
    <x v="0"/>
    <x v="2"/>
    <n v="1"/>
    <n v="40.22"/>
    <s v="Completed"/>
    <s v="Gift Card"/>
    <n v="40.22"/>
    <n v="5"/>
    <x v="0"/>
  </r>
  <r>
    <x v="2085"/>
    <x v="625"/>
    <s v="CUST1078"/>
    <s v="Rina Santos"/>
    <x v="0"/>
    <x v="4"/>
    <x v="25"/>
    <n v="1"/>
    <n v="40.28"/>
    <s v="Completed"/>
    <s v="Gift Card"/>
    <n v="40.28"/>
    <n v="7"/>
    <x v="0"/>
  </r>
  <r>
    <x v="2086"/>
    <x v="691"/>
    <s v="CUST1157"/>
    <s v="Robert Kurniawan"/>
    <x v="0"/>
    <x v="3"/>
    <x v="16"/>
    <n v="2"/>
    <n v="40.29"/>
    <s v="Completed"/>
    <s v="PayPal"/>
    <n v="80.58"/>
    <n v="4"/>
    <x v="0"/>
  </r>
  <r>
    <x v="2087"/>
    <x v="57"/>
    <s v="CUST1159"/>
    <s v="Michael Smith"/>
    <x v="0"/>
    <x v="0"/>
    <x v="3"/>
    <n v="1"/>
    <n v="40.33"/>
    <s v="Returned"/>
    <s v="Credit Card"/>
    <n v="40.33"/>
    <n v="4"/>
    <x v="0"/>
  </r>
  <r>
    <x v="2088"/>
    <x v="254"/>
    <s v="CUST1773"/>
    <s v="Andi Nugroho"/>
    <x v="1"/>
    <x v="4"/>
    <x v="21"/>
    <n v="1"/>
    <n v="40.369999999999997"/>
    <s v="Completed"/>
    <s v="Gift Card"/>
    <n v="40.369999999999997"/>
    <n v="2"/>
    <x v="0"/>
  </r>
  <r>
    <x v="2089"/>
    <x v="461"/>
    <s v="CUST1018"/>
    <s v="Ahmad Wilson"/>
    <x v="1"/>
    <x v="3"/>
    <x v="19"/>
    <n v="2"/>
    <n v="40.369999999999997"/>
    <s v="Completed"/>
    <s v="Credit Card"/>
    <n v="80.739999999999995"/>
    <n v="4"/>
    <x v="0"/>
  </r>
  <r>
    <x v="2090"/>
    <x v="364"/>
    <s v="CUST1432"/>
    <s v="Andi Smith"/>
    <x v="0"/>
    <x v="0"/>
    <x v="4"/>
    <n v="1"/>
    <n v="40.39"/>
    <s v="Completed"/>
    <s v="Credit Card"/>
    <n v="40.39"/>
    <n v="7"/>
    <x v="0"/>
  </r>
  <r>
    <x v="2091"/>
    <x v="120"/>
    <s v="CUST1538"/>
    <s v="Dewi Kurniawan"/>
    <x v="0"/>
    <x v="3"/>
    <x v="13"/>
    <n v="1"/>
    <n v="40.42"/>
    <s v="Completed"/>
    <s v="Credit Card"/>
    <n v="40.42"/>
    <n v="1"/>
    <x v="1"/>
  </r>
  <r>
    <x v="2092"/>
    <x v="84"/>
    <s v="CUST1696"/>
    <s v="David Hidayat"/>
    <x v="0"/>
    <x v="1"/>
    <x v="18"/>
    <n v="1"/>
    <n v="40.42"/>
    <s v="Completed"/>
    <s v="PayPal"/>
    <n v="40.42"/>
    <n v="8"/>
    <x v="0"/>
  </r>
  <r>
    <x v="2093"/>
    <x v="145"/>
    <s v="CUST1755"/>
    <s v="Budi Sari"/>
    <x v="0"/>
    <x v="0"/>
    <x v="1"/>
    <n v="1"/>
    <n v="40.44"/>
    <s v="Completed"/>
    <s v="Debit Card"/>
    <n v="40.44"/>
    <n v="11"/>
    <x v="0"/>
  </r>
  <r>
    <x v="2094"/>
    <x v="570"/>
    <s v="CUST1819"/>
    <s v="Lisa Salim"/>
    <x v="0"/>
    <x v="3"/>
    <x v="19"/>
    <n v="1"/>
    <n v="40.450000000000003"/>
    <s v="Completed"/>
    <s v="Debit Card"/>
    <n v="40.450000000000003"/>
    <n v="5"/>
    <x v="0"/>
  </r>
  <r>
    <x v="2095"/>
    <x v="489"/>
    <s v="CUST1300"/>
    <s v="Sarah Taylor"/>
    <x v="0"/>
    <x v="5"/>
    <x v="32"/>
    <n v="1"/>
    <n v="40.479999999999997"/>
    <s v="Completed"/>
    <s v="Credit Card"/>
    <n v="40.479999999999997"/>
    <n v="5"/>
    <x v="0"/>
  </r>
  <r>
    <x v="2096"/>
    <x v="366"/>
    <s v="CUST1543"/>
    <s v="Ayu Wilson"/>
    <x v="0"/>
    <x v="3"/>
    <x v="14"/>
    <n v="2"/>
    <n v="40.57"/>
    <s v="Completed"/>
    <s v="Credit Card"/>
    <n v="81.14"/>
    <n v="12"/>
    <x v="0"/>
  </r>
  <r>
    <x v="2097"/>
    <x v="692"/>
    <s v="CUST1512"/>
    <s v="Rina Wilson"/>
    <x v="1"/>
    <x v="4"/>
    <x v="24"/>
    <n v="1"/>
    <n v="40.619999999999997"/>
    <s v="Completed"/>
    <s v="Gift Card"/>
    <n v="40.619999999999997"/>
    <n v="6"/>
    <x v="0"/>
  </r>
  <r>
    <x v="2098"/>
    <x v="665"/>
    <s v="CUST1370"/>
    <s v="Rina Anderson"/>
    <x v="0"/>
    <x v="1"/>
    <x v="17"/>
    <n v="1"/>
    <n v="40.630000000000003"/>
    <s v="Cancelled"/>
    <s v="PayPal"/>
    <n v="40.630000000000003"/>
    <n v="6"/>
    <x v="0"/>
  </r>
  <r>
    <x v="2099"/>
    <x v="331"/>
    <s v="CUST1268"/>
    <s v="Sarah Lee"/>
    <x v="0"/>
    <x v="5"/>
    <x v="33"/>
    <n v="1"/>
    <n v="40.64"/>
    <s v="Completed"/>
    <s v="Unknown"/>
    <n v="40.64"/>
    <n v="3"/>
    <x v="0"/>
  </r>
  <r>
    <x v="2100"/>
    <x v="557"/>
    <s v="CUST1817"/>
    <s v="Ahmad Hidayat"/>
    <x v="0"/>
    <x v="6"/>
    <x v="39"/>
    <n v="1"/>
    <n v="40.64"/>
    <s v="Completed"/>
    <s v="Credit Card"/>
    <n v="40.64"/>
    <n v="7"/>
    <x v="0"/>
  </r>
  <r>
    <x v="2101"/>
    <x v="521"/>
    <s v="CUST1493"/>
    <s v="Lisa Kurniawan"/>
    <x v="0"/>
    <x v="5"/>
    <x v="31"/>
    <n v="4"/>
    <n v="40.67"/>
    <s v="Cancelled"/>
    <s v="PayPal"/>
    <n v="162.68"/>
    <n v="8"/>
    <x v="0"/>
  </r>
  <r>
    <x v="2102"/>
    <x v="693"/>
    <s v="CUST1212"/>
    <s v="Budi Wilson"/>
    <x v="0"/>
    <x v="1"/>
    <x v="9"/>
    <n v="4"/>
    <n v="40.72"/>
    <s v="Completed"/>
    <s v="Credit Card"/>
    <n v="162.88"/>
    <n v="6"/>
    <x v="0"/>
  </r>
  <r>
    <x v="2103"/>
    <x v="359"/>
    <s v="CUST1641"/>
    <s v="Rina Nugroho"/>
    <x v="1"/>
    <x v="4"/>
    <x v="22"/>
    <n v="1"/>
    <n v="40.76"/>
    <s v="Completed"/>
    <s v="Credit Card"/>
    <n v="40.76"/>
    <n v="8"/>
    <x v="0"/>
  </r>
  <r>
    <x v="2104"/>
    <x v="578"/>
    <s v="CUST1685"/>
    <s v="Budi Kurniawan"/>
    <x v="3"/>
    <x v="0"/>
    <x v="1"/>
    <n v="1"/>
    <n v="40.78"/>
    <s v="Completed"/>
    <s v="Debit Card"/>
    <n v="40.78"/>
    <n v="5"/>
    <x v="0"/>
  </r>
  <r>
    <x v="2105"/>
    <x v="32"/>
    <s v="CUST1427"/>
    <s v="James Halim"/>
    <x v="1"/>
    <x v="4"/>
    <x v="27"/>
    <n v="3"/>
    <n v="40.78"/>
    <s v="Completed"/>
    <s v="Gift Card"/>
    <n v="122.34"/>
    <n v="3"/>
    <x v="0"/>
  </r>
  <r>
    <x v="2106"/>
    <x v="595"/>
    <s v="CUST1481"/>
    <s v="James Chen"/>
    <x v="0"/>
    <x v="1"/>
    <x v="17"/>
    <n v="3"/>
    <n v="40.799999999999997"/>
    <s v="Completed"/>
    <s v="Credit Card"/>
    <n v="122.39999999999999"/>
    <n v="6"/>
    <x v="0"/>
  </r>
  <r>
    <x v="2107"/>
    <x v="499"/>
    <s v="CUST1254"/>
    <s v="Nina Garcia"/>
    <x v="0"/>
    <x v="4"/>
    <x v="21"/>
    <n v="2"/>
    <n v="40.81"/>
    <s v="Completed"/>
    <s v="Debit Card"/>
    <n v="81.62"/>
    <n v="6"/>
    <x v="0"/>
  </r>
  <r>
    <x v="2108"/>
    <x v="326"/>
    <s v="CUST1098"/>
    <s v="Sarah Yusuf"/>
    <x v="3"/>
    <x v="3"/>
    <x v="12"/>
    <n v="2"/>
    <n v="40.81"/>
    <s v="Completed"/>
    <s v="Gift Card"/>
    <n v="81.62"/>
    <n v="4"/>
    <x v="0"/>
  </r>
  <r>
    <x v="2109"/>
    <x v="365"/>
    <s v="CUST1650"/>
    <s v="Dewi Lee"/>
    <x v="0"/>
    <x v="0"/>
    <x v="3"/>
    <n v="3"/>
    <n v="40.83"/>
    <s v="Completed"/>
    <s v="Credit Card"/>
    <n v="122.49"/>
    <n v="6"/>
    <x v="0"/>
  </r>
  <r>
    <x v="2110"/>
    <x v="528"/>
    <s v="CUST1893"/>
    <s v="John Wijaya"/>
    <x v="0"/>
    <x v="0"/>
    <x v="4"/>
    <n v="1"/>
    <n v="40.869999999999997"/>
    <s v="Completed"/>
    <s v="Debit Card"/>
    <n v="40.869999999999997"/>
    <n v="6"/>
    <x v="0"/>
  </r>
  <r>
    <x v="2111"/>
    <x v="452"/>
    <s v="CUST1855"/>
    <s v="Unknown Customer"/>
    <x v="0"/>
    <x v="3"/>
    <x v="16"/>
    <n v="2"/>
    <n v="40.89"/>
    <s v="Completed"/>
    <s v="Debit Card"/>
    <n v="81.78"/>
    <n v="5"/>
    <x v="0"/>
  </r>
  <r>
    <x v="2112"/>
    <x v="201"/>
    <s v="CUST1369"/>
    <s v="Sarah Halim"/>
    <x v="0"/>
    <x v="0"/>
    <x v="4"/>
    <n v="4"/>
    <n v="40.9"/>
    <s v="Completed"/>
    <s v="PayPal"/>
    <n v="163.6"/>
    <n v="3"/>
    <x v="0"/>
  </r>
  <r>
    <x v="2113"/>
    <x v="0"/>
    <s v="CUST1404"/>
    <s v="Maria Tan"/>
    <x v="0"/>
    <x v="3"/>
    <x v="16"/>
    <n v="2"/>
    <n v="40.909999999999997"/>
    <s v="Completed"/>
    <s v="Credit Card"/>
    <n v="81.819999999999993"/>
    <n v="3"/>
    <x v="0"/>
  </r>
  <r>
    <x v="2114"/>
    <x v="418"/>
    <s v="CUST1722"/>
    <s v="Sarah Wilson"/>
    <x v="1"/>
    <x v="3"/>
    <x v="14"/>
    <n v="1"/>
    <n v="40.92"/>
    <s v="Completed"/>
    <s v="Debit Card"/>
    <n v="40.92"/>
    <n v="3"/>
    <x v="0"/>
  </r>
  <r>
    <x v="2115"/>
    <x v="225"/>
    <s v="CUST1840"/>
    <s v="Maria Taylor"/>
    <x v="0"/>
    <x v="0"/>
    <x v="0"/>
    <n v="1"/>
    <n v="40.93"/>
    <s v="Completed"/>
    <s v="PayPal"/>
    <n v="40.93"/>
    <n v="2"/>
    <x v="0"/>
  </r>
  <r>
    <x v="2116"/>
    <x v="476"/>
    <s v="CUST1869"/>
    <s v="Maria Garcia"/>
    <x v="0"/>
    <x v="6"/>
    <x v="39"/>
    <n v="2"/>
    <n v="40.93"/>
    <s v="Returned"/>
    <s v="Gift Card"/>
    <n v="81.86"/>
    <n v="4"/>
    <x v="0"/>
  </r>
  <r>
    <x v="2117"/>
    <x v="338"/>
    <s v="CUST1467"/>
    <s v="Andi Smith"/>
    <x v="1"/>
    <x v="0"/>
    <x v="0"/>
    <n v="1"/>
    <n v="40.96"/>
    <s v="Returned"/>
    <s v="Debit Card"/>
    <n v="40.96"/>
    <n v="4"/>
    <x v="0"/>
  </r>
  <r>
    <x v="2118"/>
    <x v="55"/>
    <s v="CUST1694"/>
    <s v="Ayu Tan"/>
    <x v="1"/>
    <x v="5"/>
    <x v="34"/>
    <n v="1"/>
    <n v="40.98"/>
    <s v="Completed"/>
    <s v="Gift Card"/>
    <n v="40.98"/>
    <n v="3"/>
    <x v="0"/>
  </r>
  <r>
    <x v="2119"/>
    <x v="132"/>
    <s v="CUST1649"/>
    <s v="Rina Wilson"/>
    <x v="0"/>
    <x v="4"/>
    <x v="23"/>
    <n v="2"/>
    <n v="40.98"/>
    <s v="Completed"/>
    <s v="Debit Card"/>
    <n v="81.96"/>
    <n v="7"/>
    <x v="0"/>
  </r>
  <r>
    <x v="2120"/>
    <x v="259"/>
    <s v="CUST1139"/>
    <s v="Maria Brown"/>
    <x v="2"/>
    <x v="0"/>
    <x v="2"/>
    <n v="1"/>
    <n v="40.99"/>
    <s v="Returned"/>
    <s v="PayPal"/>
    <n v="40.99"/>
    <n v="3"/>
    <x v="0"/>
  </r>
  <r>
    <x v="2121"/>
    <x v="653"/>
    <s v="CUST1087"/>
    <s v="Linda Tan"/>
    <x v="0"/>
    <x v="0"/>
    <x v="0"/>
    <n v="1"/>
    <n v="41.12"/>
    <s v="Completed"/>
    <s v="Debit Card"/>
    <n v="41.12"/>
    <n v="7"/>
    <x v="0"/>
  </r>
  <r>
    <x v="2122"/>
    <x v="368"/>
    <s v="CUST1115"/>
    <s v="Maria Wilson"/>
    <x v="0"/>
    <x v="1"/>
    <x v="5"/>
    <n v="1"/>
    <n v="41.12"/>
    <s v="Completed"/>
    <s v="Credit Card"/>
    <n v="41.12"/>
    <n v="3"/>
    <x v="0"/>
  </r>
  <r>
    <x v="2123"/>
    <x v="52"/>
    <s v="CUST1176"/>
    <s v="David Hidayat"/>
    <x v="1"/>
    <x v="4"/>
    <x v="22"/>
    <n v="1"/>
    <n v="41.16"/>
    <s v="Completed"/>
    <s v="Debit Card"/>
    <n v="41.16"/>
    <n v="4"/>
    <x v="0"/>
  </r>
  <r>
    <x v="2124"/>
    <x v="44"/>
    <s v="CUST1256"/>
    <s v="James Wijaya"/>
    <x v="0"/>
    <x v="4"/>
    <x v="22"/>
    <n v="1"/>
    <n v="41.176447368421066"/>
    <s v="Completed"/>
    <s v="Credit Card"/>
    <n v="41.176447368421066"/>
    <n v="6"/>
    <x v="0"/>
  </r>
  <r>
    <x v="2125"/>
    <x v="144"/>
    <s v="CUST1163"/>
    <s v="Lisa Pratama"/>
    <x v="0"/>
    <x v="4"/>
    <x v="22"/>
    <n v="3"/>
    <n v="41.176447368421066"/>
    <s v="Completed"/>
    <s v="Debit Card"/>
    <n v="123.5293421052632"/>
    <n v="6"/>
    <x v="0"/>
  </r>
  <r>
    <x v="2126"/>
    <x v="428"/>
    <s v="CUST1506"/>
    <s v="Lisa Wilson"/>
    <x v="1"/>
    <x v="1"/>
    <x v="5"/>
    <n v="1"/>
    <n v="41.21"/>
    <s v="Completed"/>
    <s v="PayPal"/>
    <n v="41.21"/>
    <n v="5"/>
    <x v="0"/>
  </r>
  <r>
    <x v="2127"/>
    <x v="662"/>
    <s v="CUST1147"/>
    <s v="Sarah Wilson"/>
    <x v="0"/>
    <x v="0"/>
    <x v="3"/>
    <n v="3"/>
    <n v="41.22"/>
    <s v="Completed"/>
    <s v="Credit Card"/>
    <n v="123.66"/>
    <n v="7"/>
    <x v="0"/>
  </r>
  <r>
    <x v="2128"/>
    <x v="624"/>
    <s v="CUST1076"/>
    <s v="Kevin Santos"/>
    <x v="0"/>
    <x v="0"/>
    <x v="1"/>
    <n v="1"/>
    <n v="41.23"/>
    <s v="Completed"/>
    <s v="Debit Card"/>
    <n v="41.23"/>
    <n v="9"/>
    <x v="0"/>
  </r>
  <r>
    <x v="2129"/>
    <x v="513"/>
    <s v="CUST1774"/>
    <s v="Maria Wijaya"/>
    <x v="0"/>
    <x v="4"/>
    <x v="27"/>
    <n v="1"/>
    <n v="41.27"/>
    <s v="Completed"/>
    <s v="Credit Card"/>
    <n v="41.27"/>
    <n v="3"/>
    <x v="0"/>
  </r>
  <r>
    <x v="2130"/>
    <x v="236"/>
    <s v="CUST1759"/>
    <s v="Budi Johnson"/>
    <x v="1"/>
    <x v="6"/>
    <x v="42"/>
    <n v="4"/>
    <n v="41.29"/>
    <s v="Completed"/>
    <s v="Credit Card"/>
    <n v="165.16"/>
    <n v="3"/>
    <x v="0"/>
  </r>
  <r>
    <x v="2131"/>
    <x v="182"/>
    <s v="CUST1345"/>
    <s v="Michael Santos"/>
    <x v="0"/>
    <x v="3"/>
    <x v="12"/>
    <n v="1"/>
    <n v="41.3"/>
    <s v="Completed"/>
    <s v="Gift Card"/>
    <n v="41.3"/>
    <n v="7"/>
    <x v="0"/>
  </r>
  <r>
    <x v="2132"/>
    <x v="53"/>
    <s v="CUST1654"/>
    <s v="John Smith"/>
    <x v="1"/>
    <x v="6"/>
    <x v="41"/>
    <n v="1"/>
    <n v="41.3"/>
    <s v="Returned"/>
    <s v="Credit Card"/>
    <n v="41.3"/>
    <n v="5"/>
    <x v="0"/>
  </r>
  <r>
    <x v="2133"/>
    <x v="647"/>
    <s v="CUST1799"/>
    <s v="Robert Hidayat"/>
    <x v="1"/>
    <x v="5"/>
    <x v="31"/>
    <n v="2"/>
    <n v="41.35"/>
    <s v="Returned"/>
    <s v="Unknown"/>
    <n v="82.7"/>
    <n v="7"/>
    <x v="0"/>
  </r>
  <r>
    <x v="2134"/>
    <x v="104"/>
    <s v="CUST1740"/>
    <s v="Dewi Hidayat"/>
    <x v="0"/>
    <x v="1"/>
    <x v="9"/>
    <n v="1"/>
    <n v="41.36"/>
    <s v="Completed"/>
    <s v="Debit Card"/>
    <n v="41.36"/>
    <n v="8"/>
    <x v="0"/>
  </r>
  <r>
    <x v="2135"/>
    <x v="481"/>
    <s v="CUST1869"/>
    <s v="Maria Garcia"/>
    <x v="0"/>
    <x v="3"/>
    <x v="19"/>
    <n v="1"/>
    <n v="41.38"/>
    <s v="Cancelled"/>
    <s v="Gift Card"/>
    <n v="41.38"/>
    <n v="4"/>
    <x v="0"/>
  </r>
  <r>
    <x v="2136"/>
    <x v="95"/>
    <s v="CUST1712"/>
    <s v="David Nugroho"/>
    <x v="0"/>
    <x v="4"/>
    <x v="27"/>
    <n v="1"/>
    <n v="41.39"/>
    <s v="Completed"/>
    <s v="PayPal"/>
    <n v="41.39"/>
    <n v="7"/>
    <x v="0"/>
  </r>
  <r>
    <x v="2137"/>
    <x v="80"/>
    <s v="CUST1862"/>
    <s v="Ahmad Santos"/>
    <x v="0"/>
    <x v="4"/>
    <x v="23"/>
    <n v="1"/>
    <n v="41.4"/>
    <s v="Completed"/>
    <s v="Unknown"/>
    <n v="41.4"/>
    <n v="7"/>
    <x v="0"/>
  </r>
  <r>
    <x v="2138"/>
    <x v="39"/>
    <s v="CUST1790"/>
    <s v="Andi Salim"/>
    <x v="0"/>
    <x v="5"/>
    <x v="33"/>
    <n v="1"/>
    <n v="41.41"/>
    <s v="Cancelled"/>
    <s v="Gift Card"/>
    <n v="41.41"/>
    <n v="6"/>
    <x v="0"/>
  </r>
  <r>
    <x v="2139"/>
    <x v="144"/>
    <s v="CUST1338"/>
    <s v="Fajar Garcia"/>
    <x v="1"/>
    <x v="0"/>
    <x v="4"/>
    <n v="1"/>
    <n v="41.43"/>
    <s v="Completed"/>
    <s v="PayPal"/>
    <n v="41.43"/>
    <n v="2"/>
    <x v="0"/>
  </r>
  <r>
    <x v="2140"/>
    <x v="530"/>
    <s v="CUST1321"/>
    <s v="Putri Garcia"/>
    <x v="1"/>
    <x v="0"/>
    <x v="1"/>
    <n v="1"/>
    <n v="41.45"/>
    <s v="Returned"/>
    <s v="PayPal"/>
    <n v="41.45"/>
    <n v="8"/>
    <x v="0"/>
  </r>
  <r>
    <x v="2141"/>
    <x v="165"/>
    <s v="CUST1753"/>
    <s v="Kevin Lee"/>
    <x v="0"/>
    <x v="0"/>
    <x v="2"/>
    <n v="1"/>
    <n v="41.46"/>
    <s v="Completed"/>
    <s v="PayPal"/>
    <n v="41.46"/>
    <n v="6"/>
    <x v="0"/>
  </r>
  <r>
    <x v="2142"/>
    <x v="120"/>
    <s v="CUST1403"/>
    <s v="Michael Johnson"/>
    <x v="3"/>
    <x v="3"/>
    <x v="19"/>
    <n v="2"/>
    <n v="41.5"/>
    <s v="Completed"/>
    <s v="Debit Card"/>
    <n v="83"/>
    <n v="3"/>
    <x v="0"/>
  </r>
  <r>
    <x v="2143"/>
    <x v="334"/>
    <s v="CUST1561"/>
    <s v="Nina Santos"/>
    <x v="0"/>
    <x v="3"/>
    <x v="12"/>
    <n v="2"/>
    <n v="41.55"/>
    <s v="Completed"/>
    <s v="Debit Card"/>
    <n v="83.1"/>
    <n v="4"/>
    <x v="0"/>
  </r>
  <r>
    <x v="2144"/>
    <x v="8"/>
    <s v="CUST1527"/>
    <s v="Rina Anderson"/>
    <x v="1"/>
    <x v="0"/>
    <x v="3"/>
    <n v="1"/>
    <n v="41.56"/>
    <s v="Completed"/>
    <s v="Debit Card"/>
    <n v="41.56"/>
    <n v="5"/>
    <x v="0"/>
  </r>
  <r>
    <x v="2145"/>
    <x v="591"/>
    <s v="CUST1232"/>
    <s v="Michael Chen"/>
    <x v="0"/>
    <x v="0"/>
    <x v="1"/>
    <n v="1"/>
    <n v="41.6"/>
    <s v="Completed"/>
    <s v="Credit Card"/>
    <n v="41.6"/>
    <n v="6"/>
    <x v="0"/>
  </r>
  <r>
    <x v="2146"/>
    <x v="236"/>
    <s v="CUST1395"/>
    <s v="Lisa Kurniawan"/>
    <x v="3"/>
    <x v="1"/>
    <x v="18"/>
    <n v="1"/>
    <n v="41.6"/>
    <s v="Returned"/>
    <s v="Gift Card"/>
    <n v="41.6"/>
    <n v="5"/>
    <x v="0"/>
  </r>
  <r>
    <x v="2147"/>
    <x v="694"/>
    <s v="CUST1693"/>
    <s v="Lisa Santos"/>
    <x v="0"/>
    <x v="3"/>
    <x v="19"/>
    <n v="2"/>
    <n v="41.68"/>
    <s v="Completed"/>
    <s v="Gift Card"/>
    <n v="83.36"/>
    <n v="8"/>
    <x v="0"/>
  </r>
  <r>
    <x v="2148"/>
    <x v="500"/>
    <s v="CUST1146"/>
    <s v="Ayu Smith"/>
    <x v="0"/>
    <x v="0"/>
    <x v="3"/>
    <n v="1"/>
    <n v="41.69"/>
    <s v="Completed"/>
    <s v="Debit Card"/>
    <n v="41.69"/>
    <n v="6"/>
    <x v="0"/>
  </r>
  <r>
    <x v="2149"/>
    <x v="125"/>
    <s v="CUST1287"/>
    <s v="John Pratama"/>
    <x v="1"/>
    <x v="0"/>
    <x v="3"/>
    <n v="2"/>
    <n v="41.69"/>
    <s v="Completed"/>
    <s v="Debit Card"/>
    <n v="83.38"/>
    <n v="4"/>
    <x v="0"/>
  </r>
  <r>
    <x v="2150"/>
    <x v="690"/>
    <s v="CUST1258"/>
    <s v="Ayu Smith"/>
    <x v="0"/>
    <x v="0"/>
    <x v="4"/>
    <n v="4"/>
    <n v="41.69"/>
    <s v="Completed"/>
    <s v="Debit Card"/>
    <n v="166.76"/>
    <n v="7"/>
    <x v="0"/>
  </r>
  <r>
    <x v="2151"/>
    <x v="140"/>
    <s v="CUST1495"/>
    <s v="Ayu Salim"/>
    <x v="0"/>
    <x v="4"/>
    <x v="27"/>
    <n v="2"/>
    <n v="41.71"/>
    <s v="Completed"/>
    <s v="Credit Card"/>
    <n v="83.42"/>
    <n v="3"/>
    <x v="0"/>
  </r>
  <r>
    <x v="2152"/>
    <x v="105"/>
    <s v="CUST1899"/>
    <s v="Maria Hidayat"/>
    <x v="3"/>
    <x v="0"/>
    <x v="2"/>
    <n v="1"/>
    <n v="41.74"/>
    <s v="Completed"/>
    <s v="PayPal"/>
    <n v="41.74"/>
    <n v="2"/>
    <x v="0"/>
  </r>
  <r>
    <x v="2153"/>
    <x v="33"/>
    <s v="CUST1295"/>
    <s v="Robert Taylor"/>
    <x v="0"/>
    <x v="0"/>
    <x v="4"/>
    <n v="1"/>
    <n v="41.77"/>
    <s v="Completed"/>
    <s v="PayPal"/>
    <n v="41.77"/>
    <n v="7"/>
    <x v="0"/>
  </r>
  <r>
    <x v="2154"/>
    <x v="181"/>
    <s v="CUST1337"/>
    <s v="Unknown Customer"/>
    <x v="0"/>
    <x v="3"/>
    <x v="12"/>
    <n v="3"/>
    <n v="41.84"/>
    <s v="Completed"/>
    <s v="Credit Card"/>
    <n v="125.52000000000001"/>
    <n v="5"/>
    <x v="0"/>
  </r>
  <r>
    <x v="2155"/>
    <x v="515"/>
    <s v="CUST1613"/>
    <s v="Andi Garcia"/>
    <x v="0"/>
    <x v="4"/>
    <x v="22"/>
    <n v="1"/>
    <n v="41.85"/>
    <s v="Completed"/>
    <s v="PayPal"/>
    <n v="41.85"/>
    <n v="5"/>
    <x v="0"/>
  </r>
  <r>
    <x v="2156"/>
    <x v="695"/>
    <s v="CUST1563"/>
    <s v="James Yusuf"/>
    <x v="1"/>
    <x v="1"/>
    <x v="6"/>
    <n v="1"/>
    <n v="41.89"/>
    <s v="Completed"/>
    <s v="PayPal"/>
    <n v="41.89"/>
    <n v="7"/>
    <x v="0"/>
  </r>
  <r>
    <x v="2157"/>
    <x v="572"/>
    <s v="CUST1168"/>
    <s v="Linda Nugroho"/>
    <x v="0"/>
    <x v="0"/>
    <x v="2"/>
    <n v="2"/>
    <n v="41.89"/>
    <s v="Completed"/>
    <s v="Unknown"/>
    <n v="83.78"/>
    <n v="4"/>
    <x v="0"/>
  </r>
  <r>
    <x v="2158"/>
    <x v="89"/>
    <s v="CUST1752"/>
    <s v="Linda Smith"/>
    <x v="1"/>
    <x v="4"/>
    <x v="27"/>
    <n v="1"/>
    <n v="41.92"/>
    <s v="Completed"/>
    <s v="Credit Card"/>
    <n v="41.92"/>
    <n v="4"/>
    <x v="0"/>
  </r>
  <r>
    <x v="2159"/>
    <x v="298"/>
    <s v="CUST1605"/>
    <s v="Andi Sari"/>
    <x v="0"/>
    <x v="5"/>
    <x v="31"/>
    <n v="2"/>
    <n v="41.93"/>
    <s v="Completed"/>
    <s v="PayPal"/>
    <n v="83.86"/>
    <n v="5"/>
    <x v="0"/>
  </r>
  <r>
    <x v="2160"/>
    <x v="666"/>
    <s v="CUST1654"/>
    <s v="John Smith"/>
    <x v="1"/>
    <x v="1"/>
    <x v="6"/>
    <n v="1"/>
    <n v="41.95"/>
    <s v="Completed"/>
    <s v="Credit Card"/>
    <n v="41.95"/>
    <n v="5"/>
    <x v="0"/>
  </r>
  <r>
    <x v="2161"/>
    <x v="8"/>
    <s v="CUST1575"/>
    <s v="Michael Halim"/>
    <x v="0"/>
    <x v="0"/>
    <x v="3"/>
    <n v="2"/>
    <n v="41.95"/>
    <s v="Completed"/>
    <s v="PayPal"/>
    <n v="83.9"/>
    <n v="7"/>
    <x v="0"/>
  </r>
  <r>
    <x v="2162"/>
    <x v="182"/>
    <s v="CUST1364"/>
    <s v="David Brown"/>
    <x v="0"/>
    <x v="3"/>
    <x v="12"/>
    <n v="2"/>
    <n v="41.96"/>
    <s v="Completed"/>
    <s v="Gift Card"/>
    <n v="83.92"/>
    <n v="8"/>
    <x v="0"/>
  </r>
  <r>
    <x v="2163"/>
    <x v="202"/>
    <s v="CUST1407"/>
    <s v="Rina Smith"/>
    <x v="0"/>
    <x v="0"/>
    <x v="1"/>
    <n v="1"/>
    <n v="41.99"/>
    <s v="Completed"/>
    <s v="PayPal"/>
    <n v="41.99"/>
    <n v="5"/>
    <x v="0"/>
  </r>
  <r>
    <x v="2164"/>
    <x v="696"/>
    <s v="CUST1567"/>
    <s v="Putri Garcia"/>
    <x v="0"/>
    <x v="0"/>
    <x v="3"/>
    <n v="1"/>
    <n v="42.05"/>
    <s v="Completed"/>
    <s v="Credit Card"/>
    <n v="42.05"/>
    <n v="2"/>
    <x v="0"/>
  </r>
  <r>
    <x v="2165"/>
    <x v="697"/>
    <s v="CUST1674"/>
    <s v="Dewi Lee"/>
    <x v="0"/>
    <x v="1"/>
    <x v="20"/>
    <n v="2"/>
    <n v="42.06"/>
    <s v="Returned"/>
    <s v="Gift Card"/>
    <n v="84.12"/>
    <n v="11"/>
    <x v="0"/>
  </r>
  <r>
    <x v="2166"/>
    <x v="56"/>
    <s v="CUST1085"/>
    <s v="John Kurniawan"/>
    <x v="0"/>
    <x v="3"/>
    <x v="13"/>
    <n v="1"/>
    <n v="42.08"/>
    <s v="Completed"/>
    <s v="Credit Card"/>
    <n v="42.08"/>
    <n v="7"/>
    <x v="0"/>
  </r>
  <r>
    <x v="2167"/>
    <x v="698"/>
    <s v="CUST1484"/>
    <s v="James Anderson"/>
    <x v="0"/>
    <x v="4"/>
    <x v="23"/>
    <n v="1"/>
    <n v="42.08"/>
    <s v="Completed"/>
    <s v="Gift Card"/>
    <n v="42.08"/>
    <n v="5"/>
    <x v="0"/>
  </r>
  <r>
    <x v="2168"/>
    <x v="554"/>
    <s v="CUST1722"/>
    <s v="Sarah Wilson"/>
    <x v="1"/>
    <x v="4"/>
    <x v="22"/>
    <n v="1"/>
    <n v="42.12"/>
    <s v="Returned"/>
    <s v="PayPal"/>
    <n v="42.12"/>
    <n v="3"/>
    <x v="0"/>
  </r>
  <r>
    <x v="2169"/>
    <x v="367"/>
    <s v="CUST1543"/>
    <s v="Ayu Wilson"/>
    <x v="0"/>
    <x v="4"/>
    <x v="24"/>
    <n v="4"/>
    <n v="42.17"/>
    <s v="Completed"/>
    <s v="PayPal"/>
    <n v="168.68"/>
    <n v="12"/>
    <x v="0"/>
  </r>
  <r>
    <x v="2170"/>
    <x v="205"/>
    <s v="CUST1163"/>
    <s v="Lisa Pratama"/>
    <x v="0"/>
    <x v="4"/>
    <x v="21"/>
    <n v="1"/>
    <n v="42.25"/>
    <s v="Completed"/>
    <s v="Gift Card"/>
    <n v="42.25"/>
    <n v="6"/>
    <x v="0"/>
  </r>
  <r>
    <x v="2171"/>
    <x v="232"/>
    <s v="CUST1809"/>
    <s v="Kevin Smith"/>
    <x v="0"/>
    <x v="0"/>
    <x v="4"/>
    <n v="2"/>
    <n v="42.27"/>
    <s v="Completed"/>
    <s v="PayPal"/>
    <n v="84.54"/>
    <n v="4"/>
    <x v="0"/>
  </r>
  <r>
    <x v="2172"/>
    <x v="304"/>
    <s v="CUST1764"/>
    <s v="Andi Yusuf"/>
    <x v="0"/>
    <x v="0"/>
    <x v="0"/>
    <n v="3"/>
    <n v="42.3"/>
    <s v="Completed"/>
    <s v="PayPal"/>
    <n v="126.89999999999999"/>
    <n v="7"/>
    <x v="0"/>
  </r>
  <r>
    <x v="2173"/>
    <x v="370"/>
    <s v="CUST1640"/>
    <s v="Siti Smith"/>
    <x v="0"/>
    <x v="5"/>
    <x v="33"/>
    <n v="1"/>
    <n v="42.32"/>
    <s v="Completed"/>
    <s v="Debit Card"/>
    <n v="42.32"/>
    <n v="9"/>
    <x v="0"/>
  </r>
  <r>
    <x v="2174"/>
    <x v="418"/>
    <s v="CUST1891"/>
    <s v="Sarah Lee"/>
    <x v="0"/>
    <x v="0"/>
    <x v="1"/>
    <n v="1"/>
    <n v="42.34"/>
    <s v="Completed"/>
    <s v="Gift Card"/>
    <n v="42.34"/>
    <n v="6"/>
    <x v="0"/>
  </r>
  <r>
    <x v="2175"/>
    <x v="7"/>
    <s v="CUST1799"/>
    <s v="Robert Hidayat"/>
    <x v="1"/>
    <x v="4"/>
    <x v="25"/>
    <n v="4"/>
    <n v="42.38"/>
    <s v="Pending"/>
    <s v="PayPal"/>
    <n v="169.52"/>
    <n v="7"/>
    <x v="0"/>
  </r>
  <r>
    <x v="2176"/>
    <x v="118"/>
    <s v="CUST1600"/>
    <s v="Maria Wijaya"/>
    <x v="0"/>
    <x v="0"/>
    <x v="1"/>
    <n v="2"/>
    <n v="42.42"/>
    <s v="Completed"/>
    <s v="Credit Card"/>
    <n v="84.84"/>
    <n v="3"/>
    <x v="0"/>
  </r>
  <r>
    <x v="2177"/>
    <x v="441"/>
    <s v="CUST1441"/>
    <s v="Fajar Hidayat"/>
    <x v="0"/>
    <x v="6"/>
    <x v="41"/>
    <n v="1"/>
    <n v="42.43"/>
    <s v="Completed"/>
    <s v="PayPal"/>
    <n v="42.43"/>
    <n v="6"/>
    <x v="0"/>
  </r>
  <r>
    <x v="2178"/>
    <x v="252"/>
    <s v="CUST1838"/>
    <s v="Budi Chen"/>
    <x v="1"/>
    <x v="4"/>
    <x v="22"/>
    <n v="1"/>
    <n v="42.43"/>
    <s v="Completed"/>
    <s v="Debit Card"/>
    <n v="42.43"/>
    <n v="6"/>
    <x v="0"/>
  </r>
  <r>
    <x v="2179"/>
    <x v="365"/>
    <s v="CUST1269"/>
    <s v="Andi Kurniawan"/>
    <x v="0"/>
    <x v="0"/>
    <x v="3"/>
    <n v="2"/>
    <n v="42.44"/>
    <s v="Completed"/>
    <s v="Credit Card"/>
    <n v="84.88"/>
    <n v="4"/>
    <x v="0"/>
  </r>
  <r>
    <x v="2180"/>
    <x v="65"/>
    <s v="CUST1458"/>
    <s v="Fajar Halim"/>
    <x v="0"/>
    <x v="3"/>
    <x v="14"/>
    <n v="3"/>
    <n v="42.46"/>
    <s v="Completed"/>
    <s v="Gift Card"/>
    <n v="127.38"/>
    <n v="2"/>
    <x v="0"/>
  </r>
  <r>
    <x v="2181"/>
    <x v="402"/>
    <s v="CUST1416"/>
    <s v="Robert Nugroho"/>
    <x v="1"/>
    <x v="4"/>
    <x v="27"/>
    <n v="2"/>
    <n v="42.47"/>
    <s v="Completed"/>
    <s v="Debit Card"/>
    <n v="84.94"/>
    <n v="5"/>
    <x v="0"/>
  </r>
  <r>
    <x v="2182"/>
    <x v="691"/>
    <s v="CUST1765"/>
    <s v="Ayu Brown"/>
    <x v="0"/>
    <x v="6"/>
    <x v="35"/>
    <n v="1"/>
    <n v="42.48"/>
    <s v="Completed"/>
    <s v="Gift Card"/>
    <n v="42.48"/>
    <n v="5"/>
    <x v="0"/>
  </r>
  <r>
    <x v="2183"/>
    <x v="209"/>
    <s v="CUST1127"/>
    <s v="Linda Halim"/>
    <x v="0"/>
    <x v="1"/>
    <x v="9"/>
    <n v="1"/>
    <n v="42.5"/>
    <s v="Completed"/>
    <s v="Debit Card"/>
    <n v="42.5"/>
    <n v="5"/>
    <x v="0"/>
  </r>
  <r>
    <x v="2184"/>
    <x v="176"/>
    <s v="CUST1680"/>
    <s v="Putri Halim"/>
    <x v="0"/>
    <x v="0"/>
    <x v="1"/>
    <n v="1"/>
    <n v="42.51"/>
    <s v="Completed"/>
    <s v="Debit Card"/>
    <n v="42.51"/>
    <n v="4"/>
    <x v="0"/>
  </r>
  <r>
    <x v="2185"/>
    <x v="78"/>
    <s v="CUST1417"/>
    <s v="Andi Hidayat"/>
    <x v="0"/>
    <x v="1"/>
    <x v="17"/>
    <n v="4"/>
    <n v="42.55"/>
    <s v="Completed"/>
    <s v="PayPal"/>
    <n v="170.2"/>
    <n v="6"/>
    <x v="0"/>
  </r>
  <r>
    <x v="2186"/>
    <x v="5"/>
    <s v="CUST1321"/>
    <s v="Putri Garcia"/>
    <x v="1"/>
    <x v="3"/>
    <x v="16"/>
    <n v="1"/>
    <n v="42.61"/>
    <s v="Completed"/>
    <s v="Debit Card"/>
    <n v="42.61"/>
    <n v="8"/>
    <x v="0"/>
  </r>
  <r>
    <x v="2187"/>
    <x v="403"/>
    <s v="CUST1725"/>
    <s v="Nina Pratama"/>
    <x v="3"/>
    <x v="6"/>
    <x v="42"/>
    <n v="1"/>
    <n v="42.63"/>
    <s v="Cancelled"/>
    <s v="PayPal"/>
    <n v="42.63"/>
    <n v="3"/>
    <x v="0"/>
  </r>
  <r>
    <x v="2188"/>
    <x v="378"/>
    <s v="CUST1077"/>
    <s v="Ayu Brown"/>
    <x v="0"/>
    <x v="0"/>
    <x v="2"/>
    <n v="2"/>
    <n v="42.63"/>
    <s v="Completed"/>
    <s v="Debit Card"/>
    <n v="85.26"/>
    <n v="3"/>
    <x v="0"/>
  </r>
  <r>
    <x v="2189"/>
    <x v="226"/>
    <s v="CUST1376"/>
    <s v="Nina Yusuf"/>
    <x v="1"/>
    <x v="3"/>
    <x v="16"/>
    <n v="4"/>
    <n v="42.63"/>
    <s v="Completed"/>
    <s v="Gift Card"/>
    <n v="170.52"/>
    <n v="5"/>
    <x v="0"/>
  </r>
  <r>
    <x v="2190"/>
    <x v="609"/>
    <s v="CUST1783"/>
    <s v="Ayu Taylor"/>
    <x v="0"/>
    <x v="3"/>
    <x v="14"/>
    <n v="1"/>
    <n v="42.64"/>
    <s v="Completed"/>
    <s v="Gift Card"/>
    <n v="42.64"/>
    <n v="11"/>
    <x v="0"/>
  </r>
  <r>
    <x v="2191"/>
    <x v="172"/>
    <s v="CUST1049"/>
    <s v="David Kurniawan"/>
    <x v="0"/>
    <x v="3"/>
    <x v="14"/>
    <n v="3"/>
    <n v="42.64"/>
    <s v="Completed"/>
    <s v="Gift Card"/>
    <n v="127.92"/>
    <n v="2"/>
    <x v="0"/>
  </r>
  <r>
    <x v="2192"/>
    <x v="186"/>
    <s v="CUST1447"/>
    <s v="Ahmad Chen"/>
    <x v="0"/>
    <x v="4"/>
    <x v="27"/>
    <n v="1"/>
    <n v="42.72"/>
    <s v="Completed"/>
    <s v="PayPal"/>
    <n v="42.72"/>
    <n v="2"/>
    <x v="0"/>
  </r>
  <r>
    <x v="2193"/>
    <x v="466"/>
    <s v="CUST1218"/>
    <s v="Siti Tan"/>
    <x v="1"/>
    <x v="3"/>
    <x v="16"/>
    <n v="1"/>
    <n v="42.73"/>
    <s v="Completed"/>
    <s v="Gift Card"/>
    <n v="42.73"/>
    <n v="5"/>
    <x v="0"/>
  </r>
  <r>
    <x v="2194"/>
    <x v="591"/>
    <s v="CUST1337"/>
    <s v="Budi Smith"/>
    <x v="0"/>
    <x v="5"/>
    <x v="31"/>
    <n v="1"/>
    <n v="42.77"/>
    <s v="Completed"/>
    <s v="PayPal"/>
    <n v="42.77"/>
    <n v="5"/>
    <x v="0"/>
  </r>
  <r>
    <x v="2195"/>
    <x v="40"/>
    <s v="CUST1242"/>
    <s v="Robert Anderson"/>
    <x v="1"/>
    <x v="0"/>
    <x v="0"/>
    <n v="1"/>
    <n v="42.77"/>
    <s v="Completed"/>
    <s v="Gift Card"/>
    <n v="42.77"/>
    <n v="3"/>
    <x v="0"/>
  </r>
  <r>
    <x v="2196"/>
    <x v="614"/>
    <s v="CUST1235"/>
    <s v="Nina Halim"/>
    <x v="0"/>
    <x v="0"/>
    <x v="2"/>
    <n v="3"/>
    <n v="42.78"/>
    <s v="Completed"/>
    <s v="Credit Card"/>
    <n v="128.34"/>
    <n v="7"/>
    <x v="0"/>
  </r>
  <r>
    <x v="2197"/>
    <x v="226"/>
    <s v="CUST1463"/>
    <s v="Linda Brown"/>
    <x v="0"/>
    <x v="0"/>
    <x v="2"/>
    <n v="2"/>
    <n v="42.8"/>
    <s v="Completed"/>
    <s v="PayPal"/>
    <n v="85.6"/>
    <n v="7"/>
    <x v="0"/>
  </r>
  <r>
    <x v="2198"/>
    <x v="54"/>
    <s v="CUST1248"/>
    <s v="Andi Pratama"/>
    <x v="0"/>
    <x v="4"/>
    <x v="26"/>
    <n v="1"/>
    <n v="42.81"/>
    <s v="Completed"/>
    <s v="PayPal"/>
    <n v="42.81"/>
    <n v="8"/>
    <x v="0"/>
  </r>
  <r>
    <x v="2199"/>
    <x v="288"/>
    <s v="CUST1203"/>
    <s v="Linda Brown"/>
    <x v="3"/>
    <x v="4"/>
    <x v="21"/>
    <n v="5"/>
    <n v="42.81"/>
    <s v="Completed"/>
    <s v="PayPal"/>
    <n v="214.05"/>
    <n v="2"/>
    <x v="0"/>
  </r>
  <r>
    <x v="2200"/>
    <x v="310"/>
    <s v="CUST1257"/>
    <s v="Sarah Taylor"/>
    <x v="0"/>
    <x v="5"/>
    <x v="33"/>
    <n v="1"/>
    <n v="42.84"/>
    <s v="Completed"/>
    <s v="PayPal"/>
    <n v="42.84"/>
    <n v="7"/>
    <x v="0"/>
  </r>
  <r>
    <x v="2201"/>
    <x v="524"/>
    <s v="CUST1523"/>
    <s v="Michael Chen"/>
    <x v="0"/>
    <x v="0"/>
    <x v="0"/>
    <n v="1"/>
    <n v="42.86"/>
    <s v="Completed"/>
    <s v="Debit Card"/>
    <n v="42.86"/>
    <n v="7"/>
    <x v="0"/>
  </r>
  <r>
    <x v="2202"/>
    <x v="54"/>
    <s v="CUST1138"/>
    <s v="Fajar Anderson"/>
    <x v="0"/>
    <x v="0"/>
    <x v="2"/>
    <n v="2"/>
    <n v="42.89"/>
    <s v="Completed"/>
    <s v="PayPal"/>
    <n v="85.78"/>
    <n v="7"/>
    <x v="0"/>
  </r>
  <r>
    <x v="2203"/>
    <x v="616"/>
    <s v="CUST1441"/>
    <s v="Fajar Hidayat"/>
    <x v="0"/>
    <x v="6"/>
    <x v="41"/>
    <n v="1"/>
    <n v="42.98"/>
    <s v="Pending"/>
    <s v="PayPal"/>
    <n v="42.98"/>
    <n v="6"/>
    <x v="0"/>
  </r>
  <r>
    <x v="2204"/>
    <x v="268"/>
    <s v="CUST1832"/>
    <s v="Rina Pratama"/>
    <x v="3"/>
    <x v="0"/>
    <x v="2"/>
    <n v="1"/>
    <n v="43.01"/>
    <s v="Completed"/>
    <s v="Credit Card"/>
    <n v="43.01"/>
    <n v="4"/>
    <x v="0"/>
  </r>
  <r>
    <x v="2205"/>
    <x v="371"/>
    <s v="CUST1399"/>
    <s v="Rina Lee"/>
    <x v="0"/>
    <x v="3"/>
    <x v="14"/>
    <n v="4"/>
    <n v="43.03"/>
    <s v="Completed"/>
    <s v="Unknown"/>
    <n v="172.12"/>
    <n v="4"/>
    <x v="0"/>
  </r>
  <r>
    <x v="2206"/>
    <x v="688"/>
    <s v="CUST1071"/>
    <s v="Kevin Lee"/>
    <x v="1"/>
    <x v="0"/>
    <x v="2"/>
    <n v="1"/>
    <n v="43.04"/>
    <s v="Cancelled"/>
    <s v="PayPal"/>
    <n v="43.04"/>
    <n v="6"/>
    <x v="0"/>
  </r>
  <r>
    <x v="2207"/>
    <x v="81"/>
    <s v="CUST1791"/>
    <s v="Kevin Chen"/>
    <x v="0"/>
    <x v="3"/>
    <x v="13"/>
    <n v="1"/>
    <n v="43.04"/>
    <s v="Cancelled"/>
    <s v="PayPal"/>
    <n v="43.04"/>
    <n v="3"/>
    <x v="0"/>
  </r>
  <r>
    <x v="2208"/>
    <x v="53"/>
    <s v="CUST1243"/>
    <s v="James Hidayat"/>
    <x v="1"/>
    <x v="4"/>
    <x v="25"/>
    <n v="2"/>
    <n v="43.04"/>
    <s v="Cancelled"/>
    <s v="PayPal"/>
    <n v="86.08"/>
    <n v="5"/>
    <x v="0"/>
  </r>
  <r>
    <x v="2209"/>
    <x v="167"/>
    <s v="CUST1808"/>
    <s v="Michael Kurniawan"/>
    <x v="1"/>
    <x v="0"/>
    <x v="0"/>
    <n v="2"/>
    <n v="43.08"/>
    <s v="Completed"/>
    <s v="PayPal"/>
    <n v="86.16"/>
    <n v="9"/>
    <x v="0"/>
  </r>
  <r>
    <x v="2210"/>
    <x v="434"/>
    <s v="CUST1028"/>
    <s v="Maria Garcia"/>
    <x v="1"/>
    <x v="6"/>
    <x v="37"/>
    <n v="1"/>
    <n v="43.11"/>
    <s v="Pending"/>
    <s v="Credit Card"/>
    <n v="43.11"/>
    <n v="2"/>
    <x v="0"/>
  </r>
  <r>
    <x v="2211"/>
    <x v="517"/>
    <s v="CUST1514"/>
    <s v="Rina Wijaya"/>
    <x v="1"/>
    <x v="5"/>
    <x v="30"/>
    <n v="1"/>
    <n v="43.12"/>
    <s v="Completed"/>
    <s v="Debit Card"/>
    <n v="43.12"/>
    <n v="9"/>
    <x v="0"/>
  </r>
  <r>
    <x v="2212"/>
    <x v="398"/>
    <s v="CUST1493"/>
    <s v="Lisa Kurniawan"/>
    <x v="0"/>
    <x v="6"/>
    <x v="36"/>
    <n v="2"/>
    <n v="43.13"/>
    <s v="Cancelled"/>
    <s v="Unknown"/>
    <n v="86.26"/>
    <n v="8"/>
    <x v="0"/>
  </r>
  <r>
    <x v="2213"/>
    <x v="137"/>
    <s v="CUST1381"/>
    <s v="Putri Nugroho"/>
    <x v="0"/>
    <x v="5"/>
    <x v="31"/>
    <n v="1"/>
    <n v="43.15"/>
    <s v="Completed"/>
    <s v="Debit Card"/>
    <n v="43.15"/>
    <n v="3"/>
    <x v="0"/>
  </r>
  <r>
    <x v="2214"/>
    <x v="633"/>
    <s v="CUST1481"/>
    <s v="James Chen"/>
    <x v="0"/>
    <x v="3"/>
    <x v="12"/>
    <n v="2"/>
    <n v="43.15"/>
    <s v="Cancelled"/>
    <s v="Gift Card"/>
    <n v="86.3"/>
    <n v="6"/>
    <x v="0"/>
  </r>
  <r>
    <x v="2215"/>
    <x v="642"/>
    <s v="CUST1491"/>
    <s v="Rina Taylor"/>
    <x v="0"/>
    <x v="4"/>
    <x v="23"/>
    <n v="1"/>
    <n v="43.2"/>
    <s v="Cancelled"/>
    <s v="Credit Card"/>
    <n v="43.2"/>
    <n v="7"/>
    <x v="0"/>
  </r>
  <r>
    <x v="2216"/>
    <x v="699"/>
    <s v="CUST1119"/>
    <s v="Andi Kurniawan"/>
    <x v="1"/>
    <x v="0"/>
    <x v="1"/>
    <n v="1"/>
    <n v="43.21"/>
    <s v="Completed"/>
    <s v="Debit Card"/>
    <n v="43.21"/>
    <n v="4"/>
    <x v="0"/>
  </r>
  <r>
    <x v="2217"/>
    <x v="452"/>
    <s v="CUST1650"/>
    <s v="Dewi Lee"/>
    <x v="0"/>
    <x v="1"/>
    <x v="17"/>
    <n v="1"/>
    <n v="43.22"/>
    <s v="Cancelled"/>
    <s v="Gift Card"/>
    <n v="43.22"/>
    <n v="6"/>
    <x v="0"/>
  </r>
  <r>
    <x v="2218"/>
    <x v="387"/>
    <s v="CUST1643"/>
    <s v="Fajar Lee"/>
    <x v="2"/>
    <x v="5"/>
    <x v="32"/>
    <n v="1"/>
    <n v="43.24"/>
    <s v="Completed"/>
    <s v="Gift Card"/>
    <n v="43.24"/>
    <n v="2"/>
    <x v="0"/>
  </r>
  <r>
    <x v="2219"/>
    <x v="63"/>
    <s v="CUST1106"/>
    <s v="Lisa Kurniawan"/>
    <x v="0"/>
    <x v="1"/>
    <x v="9"/>
    <n v="1"/>
    <n v="43.25"/>
    <s v="Completed"/>
    <s v="Credit Card"/>
    <n v="43.25"/>
    <n v="5"/>
    <x v="0"/>
  </r>
  <r>
    <x v="2220"/>
    <x v="523"/>
    <s v="CUST1836"/>
    <s v="Kevin Salim"/>
    <x v="0"/>
    <x v="3"/>
    <x v="16"/>
    <n v="2"/>
    <n v="43.26"/>
    <s v="Completed"/>
    <s v="PayPal"/>
    <n v="86.52"/>
    <n v="6"/>
    <x v="0"/>
  </r>
  <r>
    <x v="2221"/>
    <x v="592"/>
    <s v="CUST1402"/>
    <s v="Rina Nugroho"/>
    <x v="0"/>
    <x v="4"/>
    <x v="23"/>
    <n v="1"/>
    <n v="43.3"/>
    <s v="Completed"/>
    <s v="Credit Card"/>
    <n v="43.3"/>
    <n v="5"/>
    <x v="0"/>
  </r>
  <r>
    <x v="2222"/>
    <x v="192"/>
    <s v="CUST1341"/>
    <s v="Fajar Wijaya"/>
    <x v="0"/>
    <x v="1"/>
    <x v="20"/>
    <n v="2"/>
    <n v="43.31"/>
    <s v="Completed"/>
    <s v="Debit Card"/>
    <n v="86.62"/>
    <n v="6"/>
    <x v="0"/>
  </r>
  <r>
    <x v="2223"/>
    <x v="575"/>
    <s v="CUST1259"/>
    <s v="Andi Halim"/>
    <x v="0"/>
    <x v="4"/>
    <x v="26"/>
    <n v="2"/>
    <n v="43.35"/>
    <s v="Completed"/>
    <s v="Gift Card"/>
    <n v="86.7"/>
    <n v="2"/>
    <x v="0"/>
  </r>
  <r>
    <x v="2224"/>
    <x v="87"/>
    <s v="CUST1800"/>
    <s v="David Chen"/>
    <x v="1"/>
    <x v="1"/>
    <x v="17"/>
    <n v="1"/>
    <n v="43.36"/>
    <s v="Completed"/>
    <s v="Credit Card"/>
    <n v="43.36"/>
    <n v="3"/>
    <x v="0"/>
  </r>
  <r>
    <x v="2225"/>
    <x v="250"/>
    <s v="CUST1150"/>
    <s v="Ayu Wijaya"/>
    <x v="0"/>
    <x v="0"/>
    <x v="2"/>
    <n v="1"/>
    <n v="43.39"/>
    <s v="Returned"/>
    <s v="PayPal"/>
    <n v="43.39"/>
    <n v="7"/>
    <x v="0"/>
  </r>
  <r>
    <x v="2226"/>
    <x v="167"/>
    <s v="CUST1697"/>
    <s v="Michael Sari"/>
    <x v="0"/>
    <x v="0"/>
    <x v="2"/>
    <n v="1"/>
    <n v="43.42"/>
    <s v="Returned"/>
    <s v="PayPal"/>
    <n v="43.42"/>
    <n v="6"/>
    <x v="0"/>
  </r>
  <r>
    <x v="2227"/>
    <x v="680"/>
    <s v="CUST1493"/>
    <s v="Lisa Kurniawan"/>
    <x v="0"/>
    <x v="1"/>
    <x v="17"/>
    <n v="2"/>
    <n v="43.44"/>
    <s v="Completed"/>
    <s v="Credit Card"/>
    <n v="86.88"/>
    <n v="8"/>
    <x v="0"/>
  </r>
  <r>
    <x v="2228"/>
    <x v="206"/>
    <s v="CUST1412"/>
    <s v="Siti Anderson"/>
    <x v="0"/>
    <x v="4"/>
    <x v="25"/>
    <n v="1"/>
    <n v="43.467125000000003"/>
    <s v="Cancelled"/>
    <s v="PayPal"/>
    <n v="43.467125000000003"/>
    <n v="10"/>
    <x v="0"/>
  </r>
  <r>
    <x v="2229"/>
    <x v="17"/>
    <s v="CUST1882"/>
    <s v="Putri Smith"/>
    <x v="1"/>
    <x v="4"/>
    <x v="25"/>
    <n v="2"/>
    <n v="43.467125000000003"/>
    <s v="Returned"/>
    <s v="PayPal"/>
    <n v="86.934250000000006"/>
    <n v="2"/>
    <x v="0"/>
  </r>
  <r>
    <x v="2230"/>
    <x v="700"/>
    <s v="CUST1858"/>
    <s v="Maria Hidayat"/>
    <x v="0"/>
    <x v="6"/>
    <x v="38"/>
    <n v="4"/>
    <n v="43.48"/>
    <s v="Completed"/>
    <s v="Gift Card"/>
    <n v="173.92"/>
    <n v="3"/>
    <x v="0"/>
  </r>
  <r>
    <x v="2231"/>
    <x v="578"/>
    <s v="CUST1835"/>
    <s v="Nina Wilson"/>
    <x v="1"/>
    <x v="3"/>
    <x v="14"/>
    <n v="2"/>
    <n v="43.51"/>
    <s v="Completed"/>
    <s v="Debit Card"/>
    <n v="87.02"/>
    <n v="6"/>
    <x v="0"/>
  </r>
  <r>
    <x v="2232"/>
    <x v="158"/>
    <s v="CUST1732"/>
    <s v="Sarah Salim"/>
    <x v="3"/>
    <x v="4"/>
    <x v="23"/>
    <n v="1"/>
    <n v="43.61"/>
    <s v="Completed"/>
    <s v="Credit Card"/>
    <n v="43.61"/>
    <n v="2"/>
    <x v="0"/>
  </r>
  <r>
    <x v="2233"/>
    <x v="9"/>
    <s v="CUST1266"/>
    <s v="Kevin Nugroho"/>
    <x v="0"/>
    <x v="4"/>
    <x v="25"/>
    <n v="1"/>
    <n v="43.65"/>
    <s v="Completed"/>
    <s v="Debit Card"/>
    <n v="43.65"/>
    <n v="5"/>
    <x v="0"/>
  </r>
  <r>
    <x v="2234"/>
    <x v="648"/>
    <s v="CUST1514"/>
    <s v="Rina Wijaya"/>
    <x v="1"/>
    <x v="4"/>
    <x v="27"/>
    <n v="1"/>
    <n v="43.65"/>
    <s v="Completed"/>
    <s v="PayPal"/>
    <n v="43.65"/>
    <n v="9"/>
    <x v="0"/>
  </r>
  <r>
    <x v="2235"/>
    <x v="640"/>
    <s v="CUST1639"/>
    <s v="Dewi Salim"/>
    <x v="1"/>
    <x v="4"/>
    <x v="24"/>
    <n v="1"/>
    <n v="43.65"/>
    <s v="Completed"/>
    <s v="Credit Card"/>
    <n v="43.65"/>
    <n v="7"/>
    <x v="0"/>
  </r>
  <r>
    <x v="2236"/>
    <x v="198"/>
    <s v="CUST1699"/>
    <s v="John Yusuf"/>
    <x v="0"/>
    <x v="3"/>
    <x v="12"/>
    <n v="2"/>
    <n v="43.67"/>
    <s v="Completed"/>
    <s v="Credit Card"/>
    <n v="87.34"/>
    <n v="6"/>
    <x v="0"/>
  </r>
  <r>
    <x v="2237"/>
    <x v="590"/>
    <s v="CUST1113"/>
    <s v="Dewi Nugroho"/>
    <x v="1"/>
    <x v="4"/>
    <x v="21"/>
    <n v="1"/>
    <n v="43.68"/>
    <s v="Completed"/>
    <s v="Debit Card"/>
    <n v="43.68"/>
    <n v="3"/>
    <x v="0"/>
  </r>
  <r>
    <x v="2238"/>
    <x v="633"/>
    <s v="CUST1195"/>
    <s v="Putri Wijaya"/>
    <x v="1"/>
    <x v="0"/>
    <x v="2"/>
    <n v="1"/>
    <n v="43.68"/>
    <s v="Completed"/>
    <s v="Debit Card"/>
    <n v="43.68"/>
    <n v="5"/>
    <x v="0"/>
  </r>
  <r>
    <x v="2239"/>
    <x v="521"/>
    <s v="CUST1597"/>
    <s v="Ahmad Nugroho"/>
    <x v="3"/>
    <x v="0"/>
    <x v="3"/>
    <n v="2"/>
    <n v="43.69"/>
    <s v="Completed"/>
    <s v="Gift Card"/>
    <n v="87.38"/>
    <n v="3"/>
    <x v="0"/>
  </r>
  <r>
    <x v="2240"/>
    <x v="503"/>
    <s v="CUST1627"/>
    <s v="Sarah Brown"/>
    <x v="0"/>
    <x v="0"/>
    <x v="0"/>
    <n v="1"/>
    <n v="43.7"/>
    <s v="Completed"/>
    <s v="PayPal"/>
    <n v="43.7"/>
    <n v="2"/>
    <x v="0"/>
  </r>
  <r>
    <x v="2241"/>
    <x v="310"/>
    <s v="CUST1514"/>
    <s v="Rina Wijaya"/>
    <x v="1"/>
    <x v="0"/>
    <x v="3"/>
    <n v="1"/>
    <n v="43.7"/>
    <s v="Completed"/>
    <s v="PayPal"/>
    <n v="43.7"/>
    <n v="9"/>
    <x v="0"/>
  </r>
  <r>
    <x v="2242"/>
    <x v="275"/>
    <s v="CUST1065"/>
    <s v="Lisa Tan"/>
    <x v="0"/>
    <x v="1"/>
    <x v="9"/>
    <n v="1"/>
    <n v="43.71"/>
    <s v="Completed"/>
    <s v="Gift Card"/>
    <n v="43.71"/>
    <n v="5"/>
    <x v="0"/>
  </r>
  <r>
    <x v="2243"/>
    <x v="117"/>
    <s v="CUST1460"/>
    <s v="Rina Sari"/>
    <x v="0"/>
    <x v="1"/>
    <x v="5"/>
    <n v="3"/>
    <n v="43.71"/>
    <s v="Completed"/>
    <s v="PayPal"/>
    <n v="131.13"/>
    <n v="9"/>
    <x v="0"/>
  </r>
  <r>
    <x v="2244"/>
    <x v="496"/>
    <s v="CUST1693"/>
    <s v="Lisa Santos"/>
    <x v="0"/>
    <x v="4"/>
    <x v="24"/>
    <n v="2"/>
    <n v="43.73"/>
    <s v="Returned"/>
    <s v="Credit Card"/>
    <n v="87.46"/>
    <n v="8"/>
    <x v="0"/>
  </r>
  <r>
    <x v="2245"/>
    <x v="503"/>
    <s v="CUST1406"/>
    <s v="Ahmad Wilson"/>
    <x v="0"/>
    <x v="1"/>
    <x v="5"/>
    <n v="2"/>
    <n v="43.74"/>
    <s v="Completed"/>
    <s v="Debit Card"/>
    <n v="87.48"/>
    <n v="4"/>
    <x v="0"/>
  </r>
  <r>
    <x v="2246"/>
    <x v="411"/>
    <s v="CUST1188"/>
    <s v="James Lee"/>
    <x v="0"/>
    <x v="4"/>
    <x v="27"/>
    <n v="1"/>
    <n v="43.76"/>
    <s v="Completed"/>
    <s v="Debit Card"/>
    <n v="43.76"/>
    <n v="6"/>
    <x v="0"/>
  </r>
  <r>
    <x v="2247"/>
    <x v="491"/>
    <s v="CUST1075"/>
    <s v="Linda Anderson"/>
    <x v="1"/>
    <x v="1"/>
    <x v="6"/>
    <n v="1"/>
    <n v="43.76"/>
    <s v="Pending"/>
    <s v="Debit Card"/>
    <n v="43.76"/>
    <n v="5"/>
    <x v="0"/>
  </r>
  <r>
    <x v="2248"/>
    <x v="77"/>
    <s v="CUST1809"/>
    <s v="Kevin Smith"/>
    <x v="0"/>
    <x v="0"/>
    <x v="2"/>
    <n v="1"/>
    <n v="43.8"/>
    <s v="Completed"/>
    <s v="Credit Card"/>
    <n v="43.8"/>
    <n v="4"/>
    <x v="0"/>
  </r>
  <r>
    <x v="2249"/>
    <x v="379"/>
    <s v="CUST1761"/>
    <s v="Ahmad Johnson"/>
    <x v="0"/>
    <x v="4"/>
    <x v="26"/>
    <n v="1"/>
    <n v="43.81"/>
    <s v="Completed"/>
    <s v="Debit Card"/>
    <n v="43.81"/>
    <n v="7"/>
    <x v="0"/>
  </r>
  <r>
    <x v="2250"/>
    <x v="79"/>
    <s v="CUST1109"/>
    <s v="Rina Halim"/>
    <x v="1"/>
    <x v="3"/>
    <x v="13"/>
    <n v="1"/>
    <n v="43.83"/>
    <s v="Completed"/>
    <s v="Debit Card"/>
    <n v="43.83"/>
    <n v="5"/>
    <x v="0"/>
  </r>
  <r>
    <x v="2251"/>
    <x v="628"/>
    <s v="CUST1240"/>
    <s v="Linda Chen"/>
    <x v="0"/>
    <x v="1"/>
    <x v="9"/>
    <n v="3"/>
    <n v="43.83"/>
    <s v="Completed"/>
    <s v="Gift Card"/>
    <n v="131.49"/>
    <n v="7"/>
    <x v="0"/>
  </r>
  <r>
    <x v="2252"/>
    <x v="75"/>
    <s v="CUST1284"/>
    <s v="Lisa Smith"/>
    <x v="0"/>
    <x v="3"/>
    <x v="19"/>
    <n v="1"/>
    <n v="43.87"/>
    <s v="Completed"/>
    <s v="Gift Card"/>
    <n v="43.87"/>
    <n v="7"/>
    <x v="0"/>
  </r>
  <r>
    <x v="2253"/>
    <x v="701"/>
    <s v="CUST1412"/>
    <s v="Siti Anderson"/>
    <x v="0"/>
    <x v="3"/>
    <x v="13"/>
    <n v="1"/>
    <n v="43.92"/>
    <s v="Completed"/>
    <s v="Debit Card"/>
    <n v="43.92"/>
    <n v="10"/>
    <x v="0"/>
  </r>
  <r>
    <x v="2254"/>
    <x v="95"/>
    <s v="CUST1723"/>
    <s v="Ayu Wijaya"/>
    <x v="0"/>
    <x v="5"/>
    <x v="32"/>
    <n v="2"/>
    <n v="43.94"/>
    <s v="Completed"/>
    <s v="Debit Card"/>
    <n v="87.88"/>
    <n v="5"/>
    <x v="0"/>
  </r>
  <r>
    <x v="2255"/>
    <x v="575"/>
    <s v="CUST1712"/>
    <s v="David Nugroho"/>
    <x v="0"/>
    <x v="0"/>
    <x v="1"/>
    <n v="1"/>
    <n v="43.96"/>
    <s v="Completed"/>
    <s v="Debit Card"/>
    <n v="43.96"/>
    <n v="7"/>
    <x v="0"/>
  </r>
  <r>
    <x v="2256"/>
    <x v="602"/>
    <s v="CUST1192"/>
    <s v="Lisa Kurniawan"/>
    <x v="0"/>
    <x v="6"/>
    <x v="39"/>
    <n v="1"/>
    <n v="43.98"/>
    <s v="Cancelled"/>
    <s v="Debit Card"/>
    <n v="43.98"/>
    <n v="4"/>
    <x v="0"/>
  </r>
  <r>
    <x v="2257"/>
    <x v="684"/>
    <s v="CUST1523"/>
    <s v="Michael Chen"/>
    <x v="0"/>
    <x v="4"/>
    <x v="21"/>
    <n v="1"/>
    <n v="44"/>
    <s v="Completed"/>
    <s v="Gift Card"/>
    <n v="44"/>
    <n v="7"/>
    <x v="0"/>
  </r>
  <r>
    <x v="2258"/>
    <x v="104"/>
    <s v="CUST1270"/>
    <s v="Andi Salim"/>
    <x v="0"/>
    <x v="3"/>
    <x v="19"/>
    <n v="1"/>
    <n v="44.03"/>
    <s v="Completed"/>
    <s v="Debit Card"/>
    <n v="44.03"/>
    <n v="9"/>
    <x v="0"/>
  </r>
  <r>
    <x v="2259"/>
    <x v="191"/>
    <s v="CUST1435"/>
    <s v="Dewi Lee"/>
    <x v="0"/>
    <x v="5"/>
    <x v="32"/>
    <n v="1"/>
    <n v="44.1"/>
    <s v="Completed"/>
    <s v="Gift Card"/>
    <n v="44.1"/>
    <n v="5"/>
    <x v="0"/>
  </r>
  <r>
    <x v="2260"/>
    <x v="131"/>
    <s v="CUST1468"/>
    <s v="Michael Tan"/>
    <x v="0"/>
    <x v="4"/>
    <x v="25"/>
    <n v="2"/>
    <n v="44.11"/>
    <s v="Pending"/>
    <s v="Credit Card"/>
    <n v="88.22"/>
    <n v="8"/>
    <x v="0"/>
  </r>
  <r>
    <x v="2261"/>
    <x v="184"/>
    <s v="CUST1517"/>
    <s v="Siti Nugroho"/>
    <x v="0"/>
    <x v="5"/>
    <x v="34"/>
    <n v="1"/>
    <n v="44.12"/>
    <s v="Completed"/>
    <s v="Gift Card"/>
    <n v="44.12"/>
    <n v="5"/>
    <x v="0"/>
  </r>
  <r>
    <x v="2262"/>
    <x v="367"/>
    <s v="CUST1517"/>
    <s v="Siti Nugroho"/>
    <x v="0"/>
    <x v="3"/>
    <x v="16"/>
    <n v="3"/>
    <n v="44.15"/>
    <s v="Completed"/>
    <s v="Gift Card"/>
    <n v="132.44999999999999"/>
    <n v="5"/>
    <x v="0"/>
  </r>
  <r>
    <x v="2263"/>
    <x v="205"/>
    <s v="CUST1212"/>
    <s v="Budi Wilson"/>
    <x v="0"/>
    <x v="0"/>
    <x v="1"/>
    <n v="1"/>
    <n v="44.19"/>
    <s v="Completed"/>
    <s v="Credit Card"/>
    <n v="44.19"/>
    <n v="6"/>
    <x v="0"/>
  </r>
  <r>
    <x v="2264"/>
    <x v="302"/>
    <s v="CUST1375"/>
    <s v="Robert Garcia"/>
    <x v="0"/>
    <x v="3"/>
    <x v="14"/>
    <n v="1"/>
    <n v="44.2"/>
    <s v="Completed"/>
    <s v="Debit Card"/>
    <n v="44.2"/>
    <n v="5"/>
    <x v="0"/>
  </r>
  <r>
    <x v="2265"/>
    <x v="170"/>
    <s v="CUST1335"/>
    <s v="Nina Yusuf"/>
    <x v="1"/>
    <x v="0"/>
    <x v="1"/>
    <n v="1"/>
    <n v="44.22"/>
    <s v="Completed"/>
    <s v="Credit Card"/>
    <n v="44.22"/>
    <n v="3"/>
    <x v="0"/>
  </r>
  <r>
    <x v="2266"/>
    <x v="181"/>
    <s v="CUST1540"/>
    <s v="Dewi Yusuf"/>
    <x v="0"/>
    <x v="0"/>
    <x v="2"/>
    <n v="1"/>
    <n v="44.22"/>
    <s v="Completed"/>
    <s v="Debit Card"/>
    <n v="44.22"/>
    <n v="4"/>
    <x v="0"/>
  </r>
  <r>
    <x v="2267"/>
    <x v="537"/>
    <s v="CUST1723"/>
    <s v="Ayu Wijaya"/>
    <x v="0"/>
    <x v="0"/>
    <x v="0"/>
    <n v="1"/>
    <n v="44.27"/>
    <s v="Completed"/>
    <s v="Gift Card"/>
    <n v="44.27"/>
    <n v="5"/>
    <x v="0"/>
  </r>
  <r>
    <x v="2268"/>
    <x v="702"/>
    <s v="CUST1360"/>
    <s v="Michael Santos"/>
    <x v="3"/>
    <x v="5"/>
    <x v="32"/>
    <n v="1"/>
    <n v="44.28"/>
    <s v="Completed"/>
    <s v="Gift Card"/>
    <n v="44.28"/>
    <n v="2"/>
    <x v="0"/>
  </r>
  <r>
    <x v="2269"/>
    <x v="59"/>
    <s v="CUST1462"/>
    <s v="Michael Lee"/>
    <x v="1"/>
    <x v="4"/>
    <x v="22"/>
    <n v="3"/>
    <n v="44.29"/>
    <s v="Returned"/>
    <s v="Credit Card"/>
    <n v="132.87"/>
    <n v="3"/>
    <x v="0"/>
  </r>
  <r>
    <x v="2270"/>
    <x v="350"/>
    <s v="CUST1661"/>
    <s v="Ayu Halim"/>
    <x v="3"/>
    <x v="6"/>
    <x v="38"/>
    <n v="1"/>
    <n v="44.31"/>
    <s v="Completed"/>
    <s v="Credit Card"/>
    <n v="44.31"/>
    <n v="4"/>
    <x v="0"/>
  </r>
  <r>
    <x v="2271"/>
    <x v="366"/>
    <s v="CUST1641"/>
    <s v="Rina Nugroho"/>
    <x v="1"/>
    <x v="0"/>
    <x v="2"/>
    <n v="4"/>
    <n v="44.32"/>
    <s v="Completed"/>
    <s v="PayPal"/>
    <n v="177.28"/>
    <n v="8"/>
    <x v="0"/>
  </r>
  <r>
    <x v="2272"/>
    <x v="382"/>
    <s v="CUST1611"/>
    <s v="Maria Sari"/>
    <x v="0"/>
    <x v="3"/>
    <x v="12"/>
    <n v="1"/>
    <n v="44.36"/>
    <s v="Completed"/>
    <s v="Unknown"/>
    <n v="44.36"/>
    <n v="10"/>
    <x v="0"/>
  </r>
  <r>
    <x v="2273"/>
    <x v="247"/>
    <s v="CUST1660"/>
    <s v="Andi Salim"/>
    <x v="0"/>
    <x v="5"/>
    <x v="28"/>
    <n v="1"/>
    <n v="44.38"/>
    <s v="Completed"/>
    <s v="Gift Card"/>
    <n v="44.38"/>
    <n v="5"/>
    <x v="0"/>
  </r>
  <r>
    <x v="2274"/>
    <x v="519"/>
    <s v="CUST1672"/>
    <s v="Ahmad Smith"/>
    <x v="0"/>
    <x v="5"/>
    <x v="33"/>
    <n v="1"/>
    <n v="44.4"/>
    <s v="Completed"/>
    <s v="Credit Card"/>
    <n v="44.4"/>
    <n v="3"/>
    <x v="0"/>
  </r>
  <r>
    <x v="2275"/>
    <x v="520"/>
    <s v="CUST1712"/>
    <s v="David Nugroho"/>
    <x v="0"/>
    <x v="0"/>
    <x v="4"/>
    <n v="2"/>
    <n v="44.4"/>
    <s v="Completed"/>
    <s v="Gift Card"/>
    <n v="88.8"/>
    <n v="7"/>
    <x v="0"/>
  </r>
  <r>
    <x v="2276"/>
    <x v="116"/>
    <s v="CUST1440"/>
    <s v="Nina Chen"/>
    <x v="1"/>
    <x v="0"/>
    <x v="4"/>
    <n v="1"/>
    <n v="44.42"/>
    <s v="Cancelled"/>
    <s v="Gift Card"/>
    <n v="44.42"/>
    <n v="3"/>
    <x v="0"/>
  </r>
  <r>
    <x v="2277"/>
    <x v="421"/>
    <s v="CUST1738"/>
    <s v="Fajar Halim"/>
    <x v="0"/>
    <x v="0"/>
    <x v="2"/>
    <n v="2"/>
    <n v="44.42"/>
    <s v="Completed"/>
    <s v="Credit Card"/>
    <n v="88.84"/>
    <n v="8"/>
    <x v="0"/>
  </r>
  <r>
    <x v="2278"/>
    <x v="370"/>
    <s v="CUST1524"/>
    <s v="Robert Smith"/>
    <x v="2"/>
    <x v="0"/>
    <x v="4"/>
    <n v="2"/>
    <n v="44.45"/>
    <s v="Completed"/>
    <s v="Unknown"/>
    <n v="88.9"/>
    <n v="4"/>
    <x v="0"/>
  </r>
  <r>
    <x v="2279"/>
    <x v="5"/>
    <s v="CUST1886"/>
    <s v="Robert Taylor"/>
    <x v="0"/>
    <x v="4"/>
    <x v="26"/>
    <n v="2"/>
    <n v="44.48"/>
    <s v="Completed"/>
    <s v="Gift Card"/>
    <n v="88.96"/>
    <n v="5"/>
    <x v="0"/>
  </r>
  <r>
    <x v="2280"/>
    <x v="93"/>
    <s v="CUST1780"/>
    <s v="Lisa Wijaya"/>
    <x v="0"/>
    <x v="0"/>
    <x v="3"/>
    <n v="1"/>
    <n v="44.49"/>
    <s v="Cancelled"/>
    <s v="Gift Card"/>
    <n v="44.49"/>
    <n v="6"/>
    <x v="0"/>
  </r>
  <r>
    <x v="2281"/>
    <x v="172"/>
    <s v="CUST1305"/>
    <s v="Linda Nugroho"/>
    <x v="0"/>
    <x v="3"/>
    <x v="12"/>
    <n v="1"/>
    <n v="44.55"/>
    <s v="Completed"/>
    <s v="Debit Card"/>
    <n v="44.55"/>
    <n v="5"/>
    <x v="0"/>
  </r>
  <r>
    <x v="2282"/>
    <x v="232"/>
    <s v="CUST1198"/>
    <s v="Putri Anderson"/>
    <x v="0"/>
    <x v="3"/>
    <x v="19"/>
    <n v="2"/>
    <n v="44.56"/>
    <s v="Completed"/>
    <s v="Debit Card"/>
    <n v="89.12"/>
    <n v="4"/>
    <x v="0"/>
  </r>
  <r>
    <x v="2283"/>
    <x v="703"/>
    <s v="CUST1528"/>
    <s v="Maria Chen"/>
    <x v="0"/>
    <x v="3"/>
    <x v="19"/>
    <n v="2"/>
    <n v="44.57"/>
    <s v="Completed"/>
    <s v="Gift Card"/>
    <n v="89.14"/>
    <n v="6"/>
    <x v="0"/>
  </r>
  <r>
    <x v="2284"/>
    <x v="457"/>
    <s v="CUST1174"/>
    <s v="Siti Lee"/>
    <x v="0"/>
    <x v="6"/>
    <x v="35"/>
    <n v="1"/>
    <n v="44.62"/>
    <s v="Completed"/>
    <s v="Credit Card"/>
    <n v="44.62"/>
    <n v="7"/>
    <x v="0"/>
  </r>
  <r>
    <x v="2285"/>
    <x v="79"/>
    <s v="CUST1765"/>
    <s v="Ayu Brown"/>
    <x v="0"/>
    <x v="3"/>
    <x v="14"/>
    <n v="1"/>
    <n v="44.66"/>
    <s v="Completed"/>
    <s v="Debit Card"/>
    <n v="44.66"/>
    <n v="5"/>
    <x v="0"/>
  </r>
  <r>
    <x v="2286"/>
    <x v="386"/>
    <s v="CUST1741"/>
    <s v="Siti Wilson"/>
    <x v="0"/>
    <x v="0"/>
    <x v="4"/>
    <n v="2"/>
    <n v="44.71"/>
    <s v="Completed"/>
    <s v="PayPal"/>
    <n v="89.42"/>
    <n v="7"/>
    <x v="0"/>
  </r>
  <r>
    <x v="2287"/>
    <x v="603"/>
    <s v="CUST1058"/>
    <s v="John Johnson"/>
    <x v="0"/>
    <x v="0"/>
    <x v="4"/>
    <n v="4"/>
    <n v="44.74"/>
    <s v="Completed"/>
    <s v="Credit Card"/>
    <n v="178.96"/>
    <n v="6"/>
    <x v="0"/>
  </r>
  <r>
    <x v="2288"/>
    <x v="525"/>
    <s v="CUST1609"/>
    <s v="Rina Chen"/>
    <x v="0"/>
    <x v="0"/>
    <x v="0"/>
    <n v="3"/>
    <n v="44.77"/>
    <s v="Completed"/>
    <s v="PayPal"/>
    <n v="134.31"/>
    <n v="5"/>
    <x v="0"/>
  </r>
  <r>
    <x v="2289"/>
    <x v="126"/>
    <s v="CUST1206"/>
    <s v="Siti Wilson"/>
    <x v="0"/>
    <x v="0"/>
    <x v="1"/>
    <n v="2"/>
    <n v="44.8"/>
    <s v="Completed"/>
    <s v="PayPal"/>
    <n v="89.6"/>
    <n v="6"/>
    <x v="0"/>
  </r>
  <r>
    <x v="2290"/>
    <x v="452"/>
    <s v="CUST1426"/>
    <s v="Ahmad Johnson"/>
    <x v="0"/>
    <x v="5"/>
    <x v="33"/>
    <n v="1"/>
    <n v="44.85"/>
    <s v="Completed"/>
    <s v="Gift Card"/>
    <n v="44.85"/>
    <n v="4"/>
    <x v="0"/>
  </r>
  <r>
    <x v="2291"/>
    <x v="439"/>
    <s v="CUST1544"/>
    <s v="Ayu Garcia"/>
    <x v="3"/>
    <x v="4"/>
    <x v="27"/>
    <n v="1"/>
    <n v="44.85"/>
    <s v="Completed"/>
    <s v="PayPal"/>
    <n v="44.85"/>
    <n v="3"/>
    <x v="0"/>
  </r>
  <r>
    <x v="2292"/>
    <x v="194"/>
    <s v="CUST1543"/>
    <s v="Ayu Wilson"/>
    <x v="0"/>
    <x v="0"/>
    <x v="1"/>
    <n v="5"/>
    <n v="44.87"/>
    <s v="Completed"/>
    <s v="PayPal"/>
    <n v="224.35"/>
    <n v="12"/>
    <x v="0"/>
  </r>
  <r>
    <x v="2293"/>
    <x v="48"/>
    <s v="CUST1015"/>
    <s v="Michael Tan"/>
    <x v="0"/>
    <x v="4"/>
    <x v="23"/>
    <n v="1"/>
    <n v="44.88"/>
    <s v="Completed"/>
    <s v="Credit Card"/>
    <n v="44.88"/>
    <n v="3"/>
    <x v="0"/>
  </r>
  <r>
    <x v="2294"/>
    <x v="99"/>
    <s v="CUST1637"/>
    <s v="Linda Tan"/>
    <x v="0"/>
    <x v="4"/>
    <x v="21"/>
    <n v="1"/>
    <n v="44.89"/>
    <s v="Completed"/>
    <s v="Unknown"/>
    <n v="44.89"/>
    <n v="6"/>
    <x v="0"/>
  </r>
  <r>
    <x v="2295"/>
    <x v="696"/>
    <s v="CUST1365"/>
    <s v="David Chen"/>
    <x v="1"/>
    <x v="1"/>
    <x v="17"/>
    <n v="1"/>
    <n v="44.89"/>
    <s v="Completed"/>
    <s v="Credit Card"/>
    <n v="44.89"/>
    <n v="4"/>
    <x v="0"/>
  </r>
  <r>
    <x v="2296"/>
    <x v="376"/>
    <s v="CUST1552"/>
    <s v="Andi Sari"/>
    <x v="1"/>
    <x v="0"/>
    <x v="4"/>
    <n v="1"/>
    <n v="44.9"/>
    <s v="Completed"/>
    <s v="PayPal"/>
    <n v="44.9"/>
    <n v="4"/>
    <x v="0"/>
  </r>
  <r>
    <x v="2297"/>
    <x v="560"/>
    <s v="CUST1578"/>
    <s v="Putri Salim"/>
    <x v="1"/>
    <x v="5"/>
    <x v="31"/>
    <n v="3"/>
    <n v="44.91"/>
    <s v="Completed"/>
    <s v="Gift Card"/>
    <n v="134.72999999999999"/>
    <n v="4"/>
    <x v="0"/>
  </r>
  <r>
    <x v="2298"/>
    <x v="567"/>
    <s v="CUST1295"/>
    <s v="Robert Taylor"/>
    <x v="0"/>
    <x v="0"/>
    <x v="4"/>
    <n v="1"/>
    <n v="44.94"/>
    <s v="Completed"/>
    <s v="Credit Card"/>
    <n v="44.94"/>
    <n v="7"/>
    <x v="0"/>
  </r>
  <r>
    <x v="2299"/>
    <x v="543"/>
    <s v="CUST1568"/>
    <s v="Budi Chen"/>
    <x v="0"/>
    <x v="3"/>
    <x v="19"/>
    <n v="1"/>
    <n v="44.95"/>
    <s v="Completed"/>
    <s v="Credit Card"/>
    <n v="44.95"/>
    <n v="5"/>
    <x v="0"/>
  </r>
  <r>
    <x v="2300"/>
    <x v="144"/>
    <s v="CUST1563"/>
    <s v="James Yusuf"/>
    <x v="1"/>
    <x v="5"/>
    <x v="29"/>
    <n v="1"/>
    <n v="44.99"/>
    <s v="Completed"/>
    <s v="Gift Card"/>
    <n v="44.99"/>
    <n v="7"/>
    <x v="0"/>
  </r>
  <r>
    <x v="2301"/>
    <x v="107"/>
    <s v="CUST1238"/>
    <s v="John Pratama"/>
    <x v="0"/>
    <x v="3"/>
    <x v="12"/>
    <n v="2"/>
    <n v="44.99"/>
    <s v="Completed"/>
    <s v="PayPal"/>
    <n v="89.98"/>
    <n v="8"/>
    <x v="0"/>
  </r>
  <r>
    <x v="2302"/>
    <x v="512"/>
    <s v="CUST1446"/>
    <s v="Rina Nugroho"/>
    <x v="0"/>
    <x v="5"/>
    <x v="29"/>
    <n v="1"/>
    <n v="45.02"/>
    <s v="Completed"/>
    <s v="Credit Card"/>
    <n v="45.02"/>
    <n v="2"/>
    <x v="0"/>
  </r>
  <r>
    <x v="2303"/>
    <x v="489"/>
    <s v="CUST1687"/>
    <s v="Siti Sari"/>
    <x v="0"/>
    <x v="4"/>
    <x v="24"/>
    <n v="2"/>
    <n v="45.02"/>
    <s v="Completed"/>
    <s v="PayPal"/>
    <n v="90.04"/>
    <n v="5"/>
    <x v="0"/>
  </r>
  <r>
    <x v="2304"/>
    <x v="667"/>
    <s v="CUST1753"/>
    <s v="Unknown Customer"/>
    <x v="0"/>
    <x v="1"/>
    <x v="20"/>
    <n v="3"/>
    <n v="45.06"/>
    <s v="Completed"/>
    <s v="PayPal"/>
    <n v="135.18"/>
    <n v="6"/>
    <x v="0"/>
  </r>
  <r>
    <x v="2305"/>
    <x v="215"/>
    <s v="CUST1848"/>
    <s v="Sarah Nugroho"/>
    <x v="0"/>
    <x v="4"/>
    <x v="23"/>
    <n v="4"/>
    <n v="45.07"/>
    <s v="Completed"/>
    <s v="Credit Card"/>
    <n v="180.28"/>
    <n v="5"/>
    <x v="0"/>
  </r>
  <r>
    <x v="2306"/>
    <x v="145"/>
    <s v="CUST1426"/>
    <s v="Ahmad Johnson"/>
    <x v="0"/>
    <x v="1"/>
    <x v="17"/>
    <n v="2"/>
    <n v="45.1"/>
    <s v="Returned"/>
    <s v="Debit Card"/>
    <n v="90.2"/>
    <n v="4"/>
    <x v="0"/>
  </r>
  <r>
    <x v="2307"/>
    <x v="163"/>
    <s v="CUST1394"/>
    <s v="Nina Santos"/>
    <x v="1"/>
    <x v="4"/>
    <x v="27"/>
    <n v="2"/>
    <n v="45.14"/>
    <s v="Completed"/>
    <s v="PayPal"/>
    <n v="90.28"/>
    <n v="4"/>
    <x v="0"/>
  </r>
  <r>
    <x v="2308"/>
    <x v="450"/>
    <s v="CUST1006"/>
    <s v="James Smith"/>
    <x v="0"/>
    <x v="6"/>
    <x v="41"/>
    <n v="5"/>
    <n v="45.14"/>
    <s v="Cancelled"/>
    <s v="Debit Card"/>
    <n v="225.7"/>
    <n v="8"/>
    <x v="0"/>
  </r>
  <r>
    <x v="2309"/>
    <x v="315"/>
    <s v="CUST1451"/>
    <s v="Ahmad Garcia"/>
    <x v="0"/>
    <x v="1"/>
    <x v="17"/>
    <n v="1"/>
    <n v="45.16"/>
    <s v="Completed"/>
    <s v="PayPal"/>
    <n v="45.16"/>
    <n v="12"/>
    <x v="0"/>
  </r>
  <r>
    <x v="2310"/>
    <x v="100"/>
    <s v="CUST1684"/>
    <s v="Fajar Salim"/>
    <x v="0"/>
    <x v="4"/>
    <x v="21"/>
    <n v="1"/>
    <n v="45.18"/>
    <s v="Completed"/>
    <s v="Gift Card"/>
    <n v="45.18"/>
    <n v="6"/>
    <x v="0"/>
  </r>
  <r>
    <x v="2311"/>
    <x v="587"/>
    <s v="CUST1764"/>
    <s v="Unknown Customer"/>
    <x v="0"/>
    <x v="4"/>
    <x v="21"/>
    <n v="2"/>
    <n v="45.196624999999997"/>
    <s v="Completed"/>
    <s v="Debit Card"/>
    <n v="90.393249999999995"/>
    <n v="7"/>
    <x v="0"/>
  </r>
  <r>
    <x v="2312"/>
    <x v="564"/>
    <s v="CUST1835"/>
    <s v="Nina Wilson"/>
    <x v="1"/>
    <x v="6"/>
    <x v="42"/>
    <n v="1"/>
    <n v="45.21"/>
    <s v="Cancelled"/>
    <s v="Debit Card"/>
    <n v="45.21"/>
    <n v="6"/>
    <x v="0"/>
  </r>
  <r>
    <x v="2313"/>
    <x v="703"/>
    <s v="CUST1849"/>
    <s v="Putri Santos"/>
    <x v="1"/>
    <x v="1"/>
    <x v="9"/>
    <n v="1"/>
    <n v="45.28"/>
    <s v="Completed"/>
    <s v="PayPal"/>
    <n v="45.28"/>
    <n v="3"/>
    <x v="0"/>
  </r>
  <r>
    <x v="2314"/>
    <x v="683"/>
    <s v="CUST1890"/>
    <s v="Ahmad Sari"/>
    <x v="0"/>
    <x v="4"/>
    <x v="25"/>
    <n v="1"/>
    <n v="45.29"/>
    <s v="Completed"/>
    <s v="Debit Card"/>
    <n v="45.29"/>
    <n v="3"/>
    <x v="0"/>
  </r>
  <r>
    <x v="2315"/>
    <x v="704"/>
    <s v="CUST1340"/>
    <s v="Ayu Lee"/>
    <x v="0"/>
    <x v="1"/>
    <x v="5"/>
    <n v="1"/>
    <n v="45.35"/>
    <s v="Completed"/>
    <s v="Gift Card"/>
    <n v="45.35"/>
    <n v="3"/>
    <x v="0"/>
  </r>
  <r>
    <x v="2316"/>
    <x v="169"/>
    <s v="CUST1888"/>
    <s v="Putri Tan"/>
    <x v="0"/>
    <x v="5"/>
    <x v="34"/>
    <n v="1"/>
    <n v="45.43"/>
    <s v="Pending"/>
    <s v="PayPal"/>
    <n v="45.43"/>
    <n v="6"/>
    <x v="0"/>
  </r>
  <r>
    <x v="2317"/>
    <x v="86"/>
    <s v="CUST1422"/>
    <s v="Budi Pratama"/>
    <x v="0"/>
    <x v="5"/>
    <x v="29"/>
    <n v="1"/>
    <n v="45.44"/>
    <s v="Completed"/>
    <s v="Gift Card"/>
    <n v="45.44"/>
    <n v="7"/>
    <x v="0"/>
  </r>
  <r>
    <x v="2318"/>
    <x v="27"/>
    <s v="CUST1860"/>
    <s v="Rina Nugroho"/>
    <x v="0"/>
    <x v="5"/>
    <x v="28"/>
    <n v="1"/>
    <n v="45.45"/>
    <s v="Cancelled"/>
    <s v="Gift Card"/>
    <n v="45.45"/>
    <n v="7"/>
    <x v="0"/>
  </r>
  <r>
    <x v="2319"/>
    <x v="583"/>
    <s v="CUST1171"/>
    <s v="James Anderson"/>
    <x v="0"/>
    <x v="1"/>
    <x v="18"/>
    <n v="1"/>
    <n v="45.45"/>
    <s v="Completed"/>
    <s v="PayPal"/>
    <n v="45.45"/>
    <n v="5"/>
    <x v="0"/>
  </r>
  <r>
    <x v="2320"/>
    <x v="228"/>
    <s v="CUST1563"/>
    <s v="James Yusuf"/>
    <x v="1"/>
    <x v="3"/>
    <x v="19"/>
    <n v="4"/>
    <n v="45.45"/>
    <s v="Completed"/>
    <s v="Gift Card"/>
    <n v="181.8"/>
    <n v="7"/>
    <x v="0"/>
  </r>
  <r>
    <x v="2321"/>
    <x v="612"/>
    <s v="CUST1834"/>
    <s v="Andi Nugroho"/>
    <x v="0"/>
    <x v="3"/>
    <x v="12"/>
    <n v="2"/>
    <n v="45.48"/>
    <s v="Completed"/>
    <s v="PayPal"/>
    <n v="90.96"/>
    <n v="12"/>
    <x v="0"/>
  </r>
  <r>
    <x v="2322"/>
    <x v="600"/>
    <s v="CUST1466"/>
    <s v="Unknown Customer"/>
    <x v="0"/>
    <x v="6"/>
    <x v="38"/>
    <n v="1"/>
    <n v="45.5"/>
    <s v="Completed"/>
    <s v="Gift Card"/>
    <n v="45.5"/>
    <n v="5"/>
    <x v="0"/>
  </r>
  <r>
    <x v="2323"/>
    <x v="539"/>
    <s v="CUST1679"/>
    <s v="Unknown Customer"/>
    <x v="0"/>
    <x v="4"/>
    <x v="21"/>
    <n v="1"/>
    <n v="45.5"/>
    <s v="Completed"/>
    <s v="Credit Card"/>
    <n v="45.5"/>
    <n v="8"/>
    <x v="0"/>
  </r>
  <r>
    <x v="2324"/>
    <x v="501"/>
    <s v="CUST1071"/>
    <s v="Kevin Lee"/>
    <x v="1"/>
    <x v="5"/>
    <x v="32"/>
    <n v="1"/>
    <n v="45.52"/>
    <s v="Completed"/>
    <s v="PayPal"/>
    <n v="45.52"/>
    <n v="6"/>
    <x v="0"/>
  </r>
  <r>
    <x v="2325"/>
    <x v="232"/>
    <s v="CUST1702"/>
    <s v="Ahmad Salim"/>
    <x v="0"/>
    <x v="4"/>
    <x v="22"/>
    <n v="1"/>
    <n v="45.54"/>
    <s v="Completed"/>
    <s v="PayPal"/>
    <n v="45.54"/>
    <n v="3"/>
    <x v="0"/>
  </r>
  <r>
    <x v="2326"/>
    <x v="81"/>
    <s v="CUST1472"/>
    <s v="Andi Halim"/>
    <x v="1"/>
    <x v="6"/>
    <x v="39"/>
    <n v="2"/>
    <n v="45.68"/>
    <s v="Completed"/>
    <s v="Debit Card"/>
    <n v="91.36"/>
    <n v="3"/>
    <x v="0"/>
  </r>
  <r>
    <x v="2327"/>
    <x v="579"/>
    <s v="CUST1678"/>
    <s v="Lisa Brown"/>
    <x v="1"/>
    <x v="5"/>
    <x v="28"/>
    <n v="2"/>
    <n v="45.68"/>
    <s v="Completed"/>
    <s v="Unknown"/>
    <n v="91.36"/>
    <n v="8"/>
    <x v="0"/>
  </r>
  <r>
    <x v="2328"/>
    <x v="573"/>
    <s v="CUST1619"/>
    <s v="Unknown Customer"/>
    <x v="1"/>
    <x v="4"/>
    <x v="27"/>
    <n v="1"/>
    <n v="45.78"/>
    <s v="Completed"/>
    <s v="PayPal"/>
    <n v="45.78"/>
    <n v="7"/>
    <x v="0"/>
  </r>
  <r>
    <x v="2329"/>
    <x v="270"/>
    <s v="CUST1195"/>
    <s v="Putri Wijaya"/>
    <x v="1"/>
    <x v="4"/>
    <x v="26"/>
    <n v="3"/>
    <n v="45.79"/>
    <s v="Completed"/>
    <s v="PayPal"/>
    <n v="137.37"/>
    <n v="5"/>
    <x v="0"/>
  </r>
  <r>
    <x v="2330"/>
    <x v="347"/>
    <s v="CUST1576"/>
    <s v="Unknown Customer"/>
    <x v="0"/>
    <x v="1"/>
    <x v="18"/>
    <n v="1"/>
    <n v="45.8"/>
    <s v="Pending"/>
    <s v="Debit Card"/>
    <n v="45.8"/>
    <n v="4"/>
    <x v="0"/>
  </r>
  <r>
    <x v="2331"/>
    <x v="667"/>
    <s v="CUST1300"/>
    <s v="Sarah Taylor"/>
    <x v="0"/>
    <x v="3"/>
    <x v="12"/>
    <n v="1"/>
    <n v="45.81"/>
    <s v="Completed"/>
    <s v="Debit Card"/>
    <n v="45.81"/>
    <n v="5"/>
    <x v="0"/>
  </r>
  <r>
    <x v="2332"/>
    <x v="72"/>
    <s v="CUST1475"/>
    <s v="Ayu Taylor"/>
    <x v="3"/>
    <x v="1"/>
    <x v="18"/>
    <n v="3"/>
    <n v="45.83"/>
    <s v="Completed"/>
    <s v="Gift Card"/>
    <n v="137.49"/>
    <n v="3"/>
    <x v="0"/>
  </r>
  <r>
    <x v="2333"/>
    <x v="379"/>
    <s v="CUST1736"/>
    <s v="James Nugroho"/>
    <x v="0"/>
    <x v="4"/>
    <x v="21"/>
    <n v="1"/>
    <n v="45.85"/>
    <s v="Completed"/>
    <s v="Credit Card"/>
    <n v="45.85"/>
    <n v="4"/>
    <x v="0"/>
  </r>
  <r>
    <x v="2334"/>
    <x v="275"/>
    <s v="CUST1720"/>
    <s v="Rina Salim"/>
    <x v="0"/>
    <x v="3"/>
    <x v="12"/>
    <n v="1"/>
    <n v="45.87"/>
    <s v="Completed"/>
    <s v="Debit Card"/>
    <n v="45.87"/>
    <n v="5"/>
    <x v="0"/>
  </r>
  <r>
    <x v="2335"/>
    <x v="561"/>
    <s v="CUST1447"/>
    <s v="Ahmad Chen"/>
    <x v="0"/>
    <x v="4"/>
    <x v="22"/>
    <n v="4"/>
    <n v="45.89"/>
    <s v="Cancelled"/>
    <s v="Debit Card"/>
    <n v="183.56"/>
    <n v="2"/>
    <x v="0"/>
  </r>
  <r>
    <x v="2336"/>
    <x v="702"/>
    <s v="CUST1742"/>
    <s v="James Brown"/>
    <x v="2"/>
    <x v="3"/>
    <x v="16"/>
    <n v="2"/>
    <n v="45.9"/>
    <s v="Completed"/>
    <s v="Credit Card"/>
    <n v="91.8"/>
    <n v="3"/>
    <x v="0"/>
  </r>
  <r>
    <x v="2337"/>
    <x v="228"/>
    <s v="CUST1180"/>
    <s v="Rina Tan"/>
    <x v="0"/>
    <x v="1"/>
    <x v="20"/>
    <n v="2"/>
    <n v="45.9"/>
    <s v="Completed"/>
    <s v="Gift Card"/>
    <n v="91.8"/>
    <n v="5"/>
    <x v="0"/>
  </r>
  <r>
    <x v="2338"/>
    <x v="44"/>
    <s v="CUST1745"/>
    <s v="Ahmad Halim"/>
    <x v="0"/>
    <x v="4"/>
    <x v="26"/>
    <n v="1"/>
    <n v="45.973243243243232"/>
    <s v="Completed"/>
    <s v="Debit Card"/>
    <n v="45.973243243243232"/>
    <n v="10"/>
    <x v="0"/>
  </r>
  <r>
    <x v="2339"/>
    <x v="276"/>
    <s v="CUST1811"/>
    <s v="Putri Santos"/>
    <x v="1"/>
    <x v="4"/>
    <x v="26"/>
    <n v="1"/>
    <n v="45.973243243243232"/>
    <s v="Completed"/>
    <s v="PayPal"/>
    <n v="45.973243243243232"/>
    <n v="3"/>
    <x v="0"/>
  </r>
  <r>
    <x v="2340"/>
    <x v="678"/>
    <s v="CUST1329"/>
    <s v="Andi Tan"/>
    <x v="0"/>
    <x v="4"/>
    <x v="26"/>
    <n v="1"/>
    <n v="45.973243243243232"/>
    <s v="Returned"/>
    <s v="PayPal"/>
    <n v="45.973243243243232"/>
    <n v="4"/>
    <x v="0"/>
  </r>
  <r>
    <x v="2341"/>
    <x v="602"/>
    <s v="CUST1575"/>
    <s v="Unknown Customer"/>
    <x v="0"/>
    <x v="4"/>
    <x v="26"/>
    <n v="1"/>
    <n v="45.973243243243232"/>
    <s v="Completed"/>
    <s v="Gift Card"/>
    <n v="45.973243243243232"/>
    <n v="7"/>
    <x v="0"/>
  </r>
  <r>
    <x v="2342"/>
    <x v="495"/>
    <s v="CUST1375"/>
    <s v="Robert Garcia"/>
    <x v="0"/>
    <x v="3"/>
    <x v="13"/>
    <n v="1"/>
    <n v="45.99"/>
    <s v="Cancelled"/>
    <s v="Debit Card"/>
    <n v="45.99"/>
    <n v="5"/>
    <x v="0"/>
  </r>
  <r>
    <x v="2343"/>
    <x v="88"/>
    <s v="CUST1487"/>
    <s v="Andi Lee"/>
    <x v="0"/>
    <x v="4"/>
    <x v="23"/>
    <n v="1"/>
    <n v="46"/>
    <s v="Completed"/>
    <s v="Gift Card"/>
    <n v="46"/>
    <n v="7"/>
    <x v="0"/>
  </r>
  <r>
    <x v="2344"/>
    <x v="530"/>
    <s v="CUST1023"/>
    <s v="Siti Wilson"/>
    <x v="0"/>
    <x v="3"/>
    <x v="19"/>
    <n v="3"/>
    <n v="46"/>
    <s v="Completed"/>
    <s v="Unknown"/>
    <n v="138"/>
    <n v="3"/>
    <x v="0"/>
  </r>
  <r>
    <x v="2345"/>
    <x v="285"/>
    <s v="CUST1020"/>
    <s v="Putri Chen"/>
    <x v="0"/>
    <x v="5"/>
    <x v="28"/>
    <n v="1"/>
    <n v="46.01"/>
    <s v="Cancelled"/>
    <s v="Gift Card"/>
    <n v="46.01"/>
    <n v="4"/>
    <x v="0"/>
  </r>
  <r>
    <x v="2346"/>
    <x v="323"/>
    <s v="CUST1467"/>
    <s v="Andi Smith"/>
    <x v="1"/>
    <x v="1"/>
    <x v="20"/>
    <n v="1"/>
    <n v="46.05"/>
    <s v="Completed"/>
    <s v="PayPal"/>
    <n v="46.05"/>
    <n v="4"/>
    <x v="0"/>
  </r>
  <r>
    <x v="2347"/>
    <x v="521"/>
    <s v="CUST1712"/>
    <s v="David Nugroho"/>
    <x v="0"/>
    <x v="6"/>
    <x v="37"/>
    <n v="2"/>
    <n v="46.16"/>
    <s v="Completed"/>
    <s v="Gift Card"/>
    <n v="92.32"/>
    <n v="7"/>
    <x v="0"/>
  </r>
  <r>
    <x v="2348"/>
    <x v="407"/>
    <s v="CUST1327"/>
    <s v="Rina Lee"/>
    <x v="0"/>
    <x v="4"/>
    <x v="27"/>
    <n v="1"/>
    <n v="46.17"/>
    <s v="Cancelled"/>
    <s v="PayPal"/>
    <n v="46.17"/>
    <n v="6"/>
    <x v="0"/>
  </r>
  <r>
    <x v="2349"/>
    <x v="562"/>
    <s v="CUST1528"/>
    <s v="Maria Chen"/>
    <x v="0"/>
    <x v="5"/>
    <x v="29"/>
    <n v="1"/>
    <n v="46.18"/>
    <s v="Completed"/>
    <s v="Credit Card"/>
    <n v="46.18"/>
    <n v="6"/>
    <x v="0"/>
  </r>
  <r>
    <x v="2350"/>
    <x v="705"/>
    <s v="CUST1265"/>
    <s v="Sarah Johnson"/>
    <x v="1"/>
    <x v="4"/>
    <x v="24"/>
    <n v="1"/>
    <n v="46.19"/>
    <s v="Completed"/>
    <s v="Debit Card"/>
    <n v="46.19"/>
    <n v="4"/>
    <x v="0"/>
  </r>
  <r>
    <x v="2351"/>
    <x v="481"/>
    <s v="CUST1490"/>
    <s v="Unknown Customer"/>
    <x v="0"/>
    <x v="4"/>
    <x v="21"/>
    <n v="1"/>
    <n v="46.2"/>
    <s v="Completed"/>
    <s v="PayPal"/>
    <n v="46.2"/>
    <n v="6"/>
    <x v="0"/>
  </r>
  <r>
    <x v="2352"/>
    <x v="266"/>
    <s v="CUST1667"/>
    <s v="Robert Halim"/>
    <x v="1"/>
    <x v="4"/>
    <x v="24"/>
    <n v="2"/>
    <n v="46.21"/>
    <s v="Completed"/>
    <s v="Credit Card"/>
    <n v="92.42"/>
    <n v="7"/>
    <x v="0"/>
  </r>
  <r>
    <x v="2353"/>
    <x v="706"/>
    <s v="CUST1866"/>
    <s v="Dewi Lee"/>
    <x v="1"/>
    <x v="6"/>
    <x v="36"/>
    <n v="1"/>
    <n v="46.23"/>
    <s v="Completed"/>
    <s v="PayPal"/>
    <n v="46.23"/>
    <n v="4"/>
    <x v="0"/>
  </r>
  <r>
    <x v="2354"/>
    <x v="707"/>
    <s v="CUST1519"/>
    <s v="Andi Santos"/>
    <x v="0"/>
    <x v="4"/>
    <x v="26"/>
    <n v="3"/>
    <n v="46.23"/>
    <s v="Completed"/>
    <s v="PayPal"/>
    <n v="138.69"/>
    <n v="7"/>
    <x v="0"/>
  </r>
  <r>
    <x v="2355"/>
    <x v="587"/>
    <s v="CUST1095"/>
    <s v="Sarah Smith"/>
    <x v="0"/>
    <x v="4"/>
    <x v="25"/>
    <n v="1"/>
    <n v="46.25"/>
    <s v="Completed"/>
    <s v="Credit Card"/>
    <n v="46.25"/>
    <n v="9"/>
    <x v="0"/>
  </r>
  <r>
    <x v="2356"/>
    <x v="35"/>
    <s v="CUST1138"/>
    <s v="Fajar Anderson"/>
    <x v="0"/>
    <x v="1"/>
    <x v="9"/>
    <n v="3"/>
    <n v="46.25"/>
    <s v="Completed"/>
    <s v="Debit Card"/>
    <n v="138.75"/>
    <n v="7"/>
    <x v="0"/>
  </r>
  <r>
    <x v="2357"/>
    <x v="668"/>
    <s v="CUST1403"/>
    <s v="Michael Johnson"/>
    <x v="3"/>
    <x v="4"/>
    <x v="27"/>
    <n v="1"/>
    <n v="46.29"/>
    <s v="Completed"/>
    <s v="Credit Card"/>
    <n v="46.29"/>
    <n v="3"/>
    <x v="0"/>
  </r>
  <r>
    <x v="2358"/>
    <x v="172"/>
    <s v="CUST1478"/>
    <s v="Lisa Kurniawan"/>
    <x v="0"/>
    <x v="3"/>
    <x v="12"/>
    <n v="2"/>
    <n v="46.3"/>
    <s v="Returned"/>
    <s v="Credit Card"/>
    <n v="92.6"/>
    <n v="3"/>
    <x v="0"/>
  </r>
  <r>
    <x v="2359"/>
    <x v="572"/>
    <s v="CUST1454"/>
    <s v="Fajar Wijaya"/>
    <x v="0"/>
    <x v="6"/>
    <x v="42"/>
    <n v="1"/>
    <n v="46.4"/>
    <s v="Completed"/>
    <s v="Debit Card"/>
    <n v="46.4"/>
    <n v="5"/>
    <x v="0"/>
  </r>
  <r>
    <x v="2360"/>
    <x v="27"/>
    <s v="CUST1411"/>
    <s v="Ahmad Garcia"/>
    <x v="1"/>
    <x v="5"/>
    <x v="30"/>
    <n v="2"/>
    <n v="46.49"/>
    <s v="Completed"/>
    <s v="Gift Card"/>
    <n v="92.98"/>
    <n v="3"/>
    <x v="0"/>
  </r>
  <r>
    <x v="2361"/>
    <x v="582"/>
    <s v="CUST1560"/>
    <s v="Fajar Hidayat"/>
    <x v="0"/>
    <x v="4"/>
    <x v="27"/>
    <n v="2"/>
    <n v="46.5"/>
    <s v="Completed"/>
    <s v="Gift Card"/>
    <n v="93"/>
    <n v="6"/>
    <x v="0"/>
  </r>
  <r>
    <x v="2362"/>
    <x v="49"/>
    <s v="CUST1032"/>
    <s v="Andi Sari"/>
    <x v="0"/>
    <x v="3"/>
    <x v="12"/>
    <n v="1"/>
    <n v="46.63"/>
    <s v="Completed"/>
    <s v="PayPal"/>
    <n v="46.63"/>
    <n v="6"/>
    <x v="0"/>
  </r>
  <r>
    <x v="2363"/>
    <x v="172"/>
    <s v="CUST1592"/>
    <s v="Putri Lee"/>
    <x v="2"/>
    <x v="6"/>
    <x v="35"/>
    <n v="1"/>
    <n v="46.64"/>
    <s v="Pending"/>
    <s v="Credit Card"/>
    <n v="46.64"/>
    <n v="2"/>
    <x v="0"/>
  </r>
  <r>
    <x v="2364"/>
    <x v="218"/>
    <s v="CUST1301"/>
    <s v="Sarah Tan"/>
    <x v="0"/>
    <x v="4"/>
    <x v="22"/>
    <n v="1"/>
    <n v="46.64"/>
    <s v="Completed"/>
    <s v="PayPal"/>
    <n v="46.64"/>
    <n v="6"/>
    <x v="0"/>
  </r>
  <r>
    <x v="2365"/>
    <x v="169"/>
    <s v="CUST1499"/>
    <s v="David Santos"/>
    <x v="0"/>
    <x v="1"/>
    <x v="5"/>
    <n v="1"/>
    <n v="46.65"/>
    <s v="Completed"/>
    <s v="Unknown"/>
    <n v="46.65"/>
    <n v="9"/>
    <x v="0"/>
  </r>
  <r>
    <x v="2366"/>
    <x v="73"/>
    <s v="CUST1515"/>
    <s v="John Salim"/>
    <x v="0"/>
    <x v="3"/>
    <x v="19"/>
    <n v="2"/>
    <n v="46.65"/>
    <s v="Completed"/>
    <s v="PayPal"/>
    <n v="93.3"/>
    <n v="3"/>
    <x v="0"/>
  </r>
  <r>
    <x v="2367"/>
    <x v="167"/>
    <s v="CUST1474"/>
    <s v="Kevin Sari"/>
    <x v="0"/>
    <x v="4"/>
    <x v="25"/>
    <n v="2"/>
    <n v="46.66"/>
    <s v="Completed"/>
    <s v="PayPal"/>
    <n v="93.32"/>
    <n v="6"/>
    <x v="0"/>
  </r>
  <r>
    <x v="2368"/>
    <x v="281"/>
    <s v="CUST1041"/>
    <s v="Michael Wijaya"/>
    <x v="0"/>
    <x v="5"/>
    <x v="32"/>
    <n v="1"/>
    <n v="46.74"/>
    <s v="Completed"/>
    <s v="Credit Card"/>
    <n v="46.74"/>
    <n v="8"/>
    <x v="0"/>
  </r>
  <r>
    <x v="2369"/>
    <x v="637"/>
    <s v="CUST1410"/>
    <s v="Unknown Customer"/>
    <x v="1"/>
    <x v="1"/>
    <x v="5"/>
    <n v="2"/>
    <n v="46.81"/>
    <s v="Completed"/>
    <s v="Gift Card"/>
    <n v="93.62"/>
    <n v="6"/>
    <x v="0"/>
  </r>
  <r>
    <x v="2370"/>
    <x v="305"/>
    <s v="CUST1248"/>
    <s v="Andi Pratama"/>
    <x v="0"/>
    <x v="3"/>
    <x v="14"/>
    <n v="2"/>
    <n v="46.82"/>
    <s v="Completed"/>
    <s v="PayPal"/>
    <n v="93.64"/>
    <n v="8"/>
    <x v="0"/>
  </r>
  <r>
    <x v="2371"/>
    <x v="171"/>
    <s v="CUST1399"/>
    <s v="Rina Lee"/>
    <x v="0"/>
    <x v="6"/>
    <x v="38"/>
    <n v="2"/>
    <n v="46.9"/>
    <s v="Completed"/>
    <s v="PayPal"/>
    <n v="93.8"/>
    <n v="4"/>
    <x v="0"/>
  </r>
  <r>
    <x v="2372"/>
    <x v="386"/>
    <s v="CUST1033"/>
    <s v="Linda Sari"/>
    <x v="0"/>
    <x v="3"/>
    <x v="16"/>
    <n v="1"/>
    <n v="46.91"/>
    <s v="Completed"/>
    <s v="PayPal"/>
    <n v="46.91"/>
    <n v="4"/>
    <x v="0"/>
  </r>
  <r>
    <x v="2373"/>
    <x v="266"/>
    <s v="CUST1720"/>
    <s v="Rina Salim"/>
    <x v="0"/>
    <x v="4"/>
    <x v="25"/>
    <n v="2"/>
    <n v="46.91"/>
    <s v="Completed"/>
    <s v="PayPal"/>
    <n v="93.82"/>
    <n v="5"/>
    <x v="0"/>
  </r>
  <r>
    <x v="2374"/>
    <x v="454"/>
    <s v="CUST1503"/>
    <s v="Andi Anderson"/>
    <x v="0"/>
    <x v="1"/>
    <x v="5"/>
    <n v="2"/>
    <n v="46.93"/>
    <s v="Cancelled"/>
    <s v="PayPal"/>
    <n v="93.86"/>
    <n v="6"/>
    <x v="0"/>
  </r>
  <r>
    <x v="2375"/>
    <x v="99"/>
    <s v="CUST1090"/>
    <s v="Lisa Pratama"/>
    <x v="0"/>
    <x v="3"/>
    <x v="12"/>
    <n v="1"/>
    <n v="47"/>
    <s v="Completed"/>
    <s v="Credit Card"/>
    <n v="47"/>
    <n v="4"/>
    <x v="0"/>
  </r>
  <r>
    <x v="2376"/>
    <x v="226"/>
    <s v="CUST1601"/>
    <s v="Nina Taylor"/>
    <x v="0"/>
    <x v="4"/>
    <x v="27"/>
    <n v="2"/>
    <n v="47.01"/>
    <s v="Completed"/>
    <s v="PayPal"/>
    <n v="94.02"/>
    <n v="4"/>
    <x v="0"/>
  </r>
  <r>
    <x v="2377"/>
    <x v="663"/>
    <s v="CUST1424"/>
    <s v="Linda Garcia"/>
    <x v="0"/>
    <x v="6"/>
    <x v="41"/>
    <n v="1"/>
    <n v="47.07"/>
    <s v="Completed"/>
    <s v="PayPal"/>
    <n v="47.07"/>
    <n v="6"/>
    <x v="0"/>
  </r>
  <r>
    <x v="2378"/>
    <x v="600"/>
    <s v="CUST1779"/>
    <s v="Andi Yusuf"/>
    <x v="0"/>
    <x v="1"/>
    <x v="18"/>
    <n v="2"/>
    <n v="47.14"/>
    <s v="Completed"/>
    <s v="Credit Card"/>
    <n v="94.28"/>
    <n v="8"/>
    <x v="0"/>
  </r>
  <r>
    <x v="2379"/>
    <x v="205"/>
    <s v="CUST1826"/>
    <s v="Maria Halim"/>
    <x v="0"/>
    <x v="5"/>
    <x v="33"/>
    <n v="1"/>
    <n v="47.19"/>
    <s v="Completed"/>
    <s v="Debit Card"/>
    <n v="47.19"/>
    <n v="6"/>
    <x v="0"/>
  </r>
  <r>
    <x v="2380"/>
    <x v="212"/>
    <s v="CUST1750"/>
    <s v="Nina Brown"/>
    <x v="3"/>
    <x v="1"/>
    <x v="5"/>
    <n v="1"/>
    <n v="47.19"/>
    <s v="Completed"/>
    <s v="Gift Card"/>
    <n v="47.19"/>
    <n v="3"/>
    <x v="0"/>
  </r>
  <r>
    <x v="2381"/>
    <x v="181"/>
    <s v="CUST1031"/>
    <s v="Robert Tan"/>
    <x v="0"/>
    <x v="4"/>
    <x v="23"/>
    <n v="1"/>
    <n v="47.24"/>
    <s v="Cancelled"/>
    <s v="Debit Card"/>
    <n v="47.24"/>
    <n v="5"/>
    <x v="0"/>
  </r>
  <r>
    <x v="2382"/>
    <x v="612"/>
    <s v="CUST1029"/>
    <s v="Nina Smith"/>
    <x v="1"/>
    <x v="3"/>
    <x v="14"/>
    <n v="3"/>
    <n v="47.24"/>
    <s v="Completed"/>
    <s v="Gift Card"/>
    <n v="141.72"/>
    <n v="8"/>
    <x v="0"/>
  </r>
  <r>
    <x v="2383"/>
    <x v="549"/>
    <s v="CUST1520"/>
    <s v="John Halim"/>
    <x v="0"/>
    <x v="3"/>
    <x v="14"/>
    <n v="1"/>
    <n v="47.25"/>
    <s v="Completed"/>
    <s v="PayPal"/>
    <n v="47.25"/>
    <n v="3"/>
    <x v="0"/>
  </r>
  <r>
    <x v="2384"/>
    <x v="566"/>
    <s v="CUST1230"/>
    <s v="Budi Sari"/>
    <x v="1"/>
    <x v="1"/>
    <x v="20"/>
    <n v="2"/>
    <n v="47.25"/>
    <s v="Completed"/>
    <s v="PayPal"/>
    <n v="94.5"/>
    <n v="2"/>
    <x v="0"/>
  </r>
  <r>
    <x v="2385"/>
    <x v="493"/>
    <s v="CUST1336"/>
    <s v="Robert Wilson"/>
    <x v="3"/>
    <x v="5"/>
    <x v="32"/>
    <n v="1"/>
    <n v="47.26"/>
    <s v="Cancelled"/>
    <s v="Unknown"/>
    <n v="47.26"/>
    <n v="2"/>
    <x v="0"/>
  </r>
  <r>
    <x v="2386"/>
    <x v="475"/>
    <s v="CUST1847"/>
    <s v="Dewi Smith"/>
    <x v="0"/>
    <x v="1"/>
    <x v="17"/>
    <n v="1"/>
    <n v="47.27"/>
    <s v="Completed"/>
    <s v="Credit Card"/>
    <n v="47.27"/>
    <n v="2"/>
    <x v="0"/>
  </r>
  <r>
    <x v="2387"/>
    <x v="106"/>
    <s v="CUST1755"/>
    <s v="Budi Sari"/>
    <x v="0"/>
    <x v="3"/>
    <x v="14"/>
    <n v="4"/>
    <n v="47.3"/>
    <s v="Completed"/>
    <s v="Debit Card"/>
    <n v="189.2"/>
    <n v="11"/>
    <x v="0"/>
  </r>
  <r>
    <x v="2388"/>
    <x v="396"/>
    <s v="CUST1759"/>
    <s v="Budi Johnson"/>
    <x v="1"/>
    <x v="5"/>
    <x v="33"/>
    <n v="1"/>
    <n v="47.31"/>
    <s v="Completed"/>
    <s v="Credit Card"/>
    <n v="47.31"/>
    <n v="3"/>
    <x v="0"/>
  </r>
  <r>
    <x v="2389"/>
    <x v="36"/>
    <s v="CUST1576"/>
    <s v="Linda Pratama"/>
    <x v="0"/>
    <x v="5"/>
    <x v="28"/>
    <n v="1"/>
    <n v="47.31"/>
    <s v="Completed"/>
    <s v="Debit Card"/>
    <n v="47.31"/>
    <n v="4"/>
    <x v="0"/>
  </r>
  <r>
    <x v="2390"/>
    <x v="145"/>
    <s v="CUST1249"/>
    <s v="Kevin Taylor"/>
    <x v="0"/>
    <x v="4"/>
    <x v="24"/>
    <n v="1"/>
    <n v="47.35"/>
    <s v="Completed"/>
    <s v="PayPal"/>
    <n v="47.35"/>
    <n v="5"/>
    <x v="0"/>
  </r>
  <r>
    <x v="2391"/>
    <x v="556"/>
    <s v="CUST1213"/>
    <s v="Michael Tan"/>
    <x v="0"/>
    <x v="6"/>
    <x v="38"/>
    <n v="2"/>
    <n v="47.35"/>
    <s v="Completed"/>
    <s v="PayPal"/>
    <n v="94.7"/>
    <n v="6"/>
    <x v="0"/>
  </r>
  <r>
    <x v="2392"/>
    <x v="300"/>
    <s v="CUST1307"/>
    <s v="Lisa Santos"/>
    <x v="3"/>
    <x v="4"/>
    <x v="27"/>
    <n v="3"/>
    <n v="47.38"/>
    <s v="Cancelled"/>
    <s v="PayPal"/>
    <n v="142.14000000000001"/>
    <n v="3"/>
    <x v="0"/>
  </r>
  <r>
    <x v="2393"/>
    <x v="34"/>
    <s v="CUST1397"/>
    <s v="Maria Anderson"/>
    <x v="0"/>
    <x v="1"/>
    <x v="18"/>
    <n v="5"/>
    <n v="47.39"/>
    <s v="Completed"/>
    <s v="Debit Card"/>
    <n v="236.95"/>
    <n v="4"/>
    <x v="0"/>
  </r>
  <r>
    <x v="2394"/>
    <x v="485"/>
    <s v="CUST1016"/>
    <s v="John Pratama"/>
    <x v="1"/>
    <x v="6"/>
    <x v="40"/>
    <n v="1"/>
    <n v="47.41"/>
    <s v="Cancelled"/>
    <s v="Credit Card"/>
    <n v="47.41"/>
    <n v="4"/>
    <x v="0"/>
  </r>
  <r>
    <x v="2395"/>
    <x v="708"/>
    <s v="CUST1607"/>
    <s v="Fajar Kurniawan"/>
    <x v="0"/>
    <x v="3"/>
    <x v="13"/>
    <n v="1"/>
    <n v="47.45"/>
    <s v="Pending"/>
    <s v="Debit Card"/>
    <n v="47.45"/>
    <n v="5"/>
    <x v="0"/>
  </r>
  <r>
    <x v="2396"/>
    <x v="119"/>
    <s v="CUST1691"/>
    <s v="Dewi Anderson"/>
    <x v="0"/>
    <x v="4"/>
    <x v="23"/>
    <n v="1"/>
    <n v="47.45"/>
    <s v="Completed"/>
    <s v="PayPal"/>
    <n v="47.45"/>
    <n v="5"/>
    <x v="0"/>
  </r>
  <r>
    <x v="2397"/>
    <x v="689"/>
    <s v="CUST1433"/>
    <s v="Sarah Tan"/>
    <x v="0"/>
    <x v="1"/>
    <x v="5"/>
    <n v="1"/>
    <n v="47.46"/>
    <s v="Completed"/>
    <s v="Credit Card"/>
    <n v="47.46"/>
    <n v="5"/>
    <x v="0"/>
  </r>
  <r>
    <x v="2398"/>
    <x v="110"/>
    <s v="CUST1100"/>
    <s v="Ahmad Wijaya"/>
    <x v="1"/>
    <x v="3"/>
    <x v="16"/>
    <n v="1"/>
    <n v="47.48"/>
    <s v="Completed"/>
    <s v="Credit Card"/>
    <n v="47.48"/>
    <n v="4"/>
    <x v="0"/>
  </r>
  <r>
    <x v="2399"/>
    <x v="247"/>
    <s v="CUST1734"/>
    <s v="Ahmad Wilson"/>
    <x v="0"/>
    <x v="4"/>
    <x v="26"/>
    <n v="1"/>
    <n v="47.5"/>
    <s v="Completed"/>
    <s v="Credit Card"/>
    <n v="47.5"/>
    <n v="8"/>
    <x v="0"/>
  </r>
  <r>
    <x v="2400"/>
    <x v="141"/>
    <s v="CUST1549"/>
    <s v="James Nugroho"/>
    <x v="0"/>
    <x v="3"/>
    <x v="19"/>
    <n v="1"/>
    <n v="47.53"/>
    <s v="Completed"/>
    <s v="Credit Card"/>
    <n v="47.53"/>
    <n v="3"/>
    <x v="0"/>
  </r>
  <r>
    <x v="2401"/>
    <x v="355"/>
    <s v="CUST1321"/>
    <s v="Putri Garcia"/>
    <x v="1"/>
    <x v="5"/>
    <x v="32"/>
    <n v="3"/>
    <n v="47.53"/>
    <s v="Returned"/>
    <s v="Unknown"/>
    <n v="142.59"/>
    <n v="8"/>
    <x v="0"/>
  </r>
  <r>
    <x v="2402"/>
    <x v="228"/>
    <s v="CUST1772"/>
    <s v="Ahmad Hidayat"/>
    <x v="0"/>
    <x v="1"/>
    <x v="20"/>
    <n v="1"/>
    <n v="47.59"/>
    <s v="Completed"/>
    <s v="Gift Card"/>
    <n v="47.59"/>
    <n v="6"/>
    <x v="0"/>
  </r>
  <r>
    <x v="2403"/>
    <x v="565"/>
    <s v="CUST1160"/>
    <s v="James Nugroho"/>
    <x v="0"/>
    <x v="3"/>
    <x v="13"/>
    <n v="1"/>
    <n v="47.6"/>
    <s v="Completed"/>
    <s v="Credit Card"/>
    <n v="47.6"/>
    <n v="6"/>
    <x v="0"/>
  </r>
  <r>
    <x v="2404"/>
    <x v="364"/>
    <s v="CUST1500"/>
    <s v="Nina Hidayat"/>
    <x v="1"/>
    <x v="5"/>
    <x v="31"/>
    <n v="2"/>
    <n v="47.62"/>
    <s v="Completed"/>
    <s v="Gift Card"/>
    <n v="95.24"/>
    <n v="5"/>
    <x v="0"/>
  </r>
  <r>
    <x v="2405"/>
    <x v="59"/>
    <s v="CUST1316"/>
    <s v="Michael Wilson"/>
    <x v="3"/>
    <x v="5"/>
    <x v="29"/>
    <n v="1"/>
    <n v="47.63"/>
    <s v="Completed"/>
    <s v="Debit Card"/>
    <n v="47.63"/>
    <n v="4"/>
    <x v="0"/>
  </r>
  <r>
    <x v="2406"/>
    <x v="321"/>
    <s v="CUST1237"/>
    <s v="Nina Anderson"/>
    <x v="0"/>
    <x v="4"/>
    <x v="27"/>
    <n v="1"/>
    <n v="47.63"/>
    <s v="Completed"/>
    <s v="Credit Card"/>
    <n v="47.63"/>
    <n v="5"/>
    <x v="0"/>
  </r>
  <r>
    <x v="2407"/>
    <x v="96"/>
    <s v="CUST1330"/>
    <s v="Putri Johnson"/>
    <x v="1"/>
    <x v="4"/>
    <x v="25"/>
    <n v="4"/>
    <n v="47.65"/>
    <s v="Completed"/>
    <s v="Credit Card"/>
    <n v="190.6"/>
    <n v="3"/>
    <x v="0"/>
  </r>
  <r>
    <x v="2408"/>
    <x v="370"/>
    <s v="CUST1543"/>
    <s v="Ayu Wilson"/>
    <x v="0"/>
    <x v="6"/>
    <x v="37"/>
    <n v="3"/>
    <n v="47.67"/>
    <s v="Returned"/>
    <s v="PayPal"/>
    <n v="143.01"/>
    <n v="12"/>
    <x v="0"/>
  </r>
  <r>
    <x v="2409"/>
    <x v="9"/>
    <s v="CUST1788"/>
    <s v="Linda Wijaya"/>
    <x v="1"/>
    <x v="1"/>
    <x v="18"/>
    <n v="1"/>
    <n v="47.71"/>
    <s v="Completed"/>
    <s v="Gift Card"/>
    <n v="47.71"/>
    <n v="2"/>
    <x v="0"/>
  </r>
  <r>
    <x v="2410"/>
    <x v="44"/>
    <s v="CUST1746"/>
    <s v="Siti Garcia"/>
    <x v="0"/>
    <x v="3"/>
    <x v="19"/>
    <n v="1"/>
    <n v="47.73"/>
    <s v="Completed"/>
    <s v="Credit Card"/>
    <n v="47.73"/>
    <n v="7"/>
    <x v="0"/>
  </r>
  <r>
    <x v="2411"/>
    <x v="659"/>
    <s v="CUST1146"/>
    <s v="Ayu Smith"/>
    <x v="0"/>
    <x v="1"/>
    <x v="18"/>
    <n v="2"/>
    <n v="47.75"/>
    <s v="Completed"/>
    <s v="PayPal"/>
    <n v="95.5"/>
    <n v="6"/>
    <x v="0"/>
  </r>
  <r>
    <x v="2412"/>
    <x v="469"/>
    <s v="CUST1609"/>
    <s v="Rina Chen"/>
    <x v="0"/>
    <x v="3"/>
    <x v="14"/>
    <n v="1"/>
    <n v="47.76"/>
    <s v="Completed"/>
    <s v="Credit Card"/>
    <n v="47.76"/>
    <n v="5"/>
    <x v="0"/>
  </r>
  <r>
    <x v="2413"/>
    <x v="424"/>
    <s v="CUST1653"/>
    <s v="Michael Chen"/>
    <x v="1"/>
    <x v="3"/>
    <x v="16"/>
    <n v="1"/>
    <n v="47.79"/>
    <s v="Cancelled"/>
    <s v="Credit Card"/>
    <n v="47.79"/>
    <n v="4"/>
    <x v="0"/>
  </r>
  <r>
    <x v="2414"/>
    <x v="92"/>
    <s v="CUST1161"/>
    <s v="Ayu Yusuf"/>
    <x v="0"/>
    <x v="4"/>
    <x v="22"/>
    <n v="1"/>
    <n v="47.86"/>
    <s v="Completed"/>
    <s v="PayPal"/>
    <n v="47.86"/>
    <n v="4"/>
    <x v="0"/>
  </r>
  <r>
    <x v="2415"/>
    <x v="343"/>
    <s v="CUST1562"/>
    <s v="Robert Tan"/>
    <x v="0"/>
    <x v="5"/>
    <x v="30"/>
    <n v="1"/>
    <n v="47.88"/>
    <s v="Completed"/>
    <s v="PayPal"/>
    <n v="47.88"/>
    <n v="5"/>
    <x v="0"/>
  </r>
  <r>
    <x v="2416"/>
    <x v="592"/>
    <s v="CUST1298"/>
    <s v="Dewi Anderson"/>
    <x v="0"/>
    <x v="5"/>
    <x v="31"/>
    <n v="1"/>
    <n v="47.88"/>
    <s v="Completed"/>
    <s v="Credit Card"/>
    <n v="47.88"/>
    <n v="7"/>
    <x v="0"/>
  </r>
  <r>
    <x v="2417"/>
    <x v="180"/>
    <s v="CUST1269"/>
    <s v="Andi Kurniawan"/>
    <x v="0"/>
    <x v="4"/>
    <x v="23"/>
    <n v="2"/>
    <n v="47.93"/>
    <s v="Completed"/>
    <s v="PayPal"/>
    <n v="95.86"/>
    <n v="4"/>
    <x v="0"/>
  </r>
  <r>
    <x v="2418"/>
    <x v="338"/>
    <s v="CUST1740"/>
    <s v="Dewi Hidayat"/>
    <x v="0"/>
    <x v="4"/>
    <x v="26"/>
    <n v="3"/>
    <n v="48.06"/>
    <s v="Completed"/>
    <s v="Unknown"/>
    <n v="144.18"/>
    <n v="8"/>
    <x v="0"/>
  </r>
  <r>
    <x v="2419"/>
    <x v="277"/>
    <s v="CUST1870"/>
    <s v="Dewi Chen"/>
    <x v="0"/>
    <x v="5"/>
    <x v="34"/>
    <n v="5"/>
    <n v="48.07"/>
    <s v="Completed"/>
    <s v="Gift Card"/>
    <n v="240.35"/>
    <n v="8"/>
    <x v="0"/>
  </r>
  <r>
    <x v="2420"/>
    <x v="111"/>
    <s v="CUST1838"/>
    <s v="Budi Chen"/>
    <x v="1"/>
    <x v="1"/>
    <x v="6"/>
    <n v="1"/>
    <n v="48.11"/>
    <s v="Completed"/>
    <s v="Credit Card"/>
    <n v="48.11"/>
    <n v="6"/>
    <x v="0"/>
  </r>
  <r>
    <x v="2421"/>
    <x v="696"/>
    <s v="CUST1681"/>
    <s v="Maria Hidayat"/>
    <x v="0"/>
    <x v="3"/>
    <x v="16"/>
    <n v="1"/>
    <n v="48.13"/>
    <s v="Completed"/>
    <s v="Gift Card"/>
    <n v="48.13"/>
    <n v="9"/>
    <x v="0"/>
  </r>
  <r>
    <x v="2422"/>
    <x v="33"/>
    <s v="CUST1651"/>
    <s v="Rina Nugroho"/>
    <x v="0"/>
    <x v="5"/>
    <x v="29"/>
    <n v="1"/>
    <n v="48.15"/>
    <s v="Completed"/>
    <s v="Credit Card"/>
    <n v="48.15"/>
    <n v="4"/>
    <x v="0"/>
  </r>
  <r>
    <x v="2423"/>
    <x v="506"/>
    <s v="CUST1235"/>
    <s v="Nina Halim"/>
    <x v="0"/>
    <x v="3"/>
    <x v="13"/>
    <n v="2"/>
    <n v="48.15"/>
    <s v="Completed"/>
    <s v="Debit Card"/>
    <n v="96.3"/>
    <n v="7"/>
    <x v="0"/>
  </r>
  <r>
    <x v="2424"/>
    <x v="611"/>
    <s v="CUST1897"/>
    <s v="Linda Kurniawan"/>
    <x v="3"/>
    <x v="5"/>
    <x v="29"/>
    <n v="1"/>
    <n v="48.17"/>
    <s v="Pending"/>
    <s v="Debit Card"/>
    <n v="48.17"/>
    <n v="3"/>
    <x v="0"/>
  </r>
  <r>
    <x v="2425"/>
    <x v="520"/>
    <s v="CUST1350"/>
    <s v="Linda Salim"/>
    <x v="0"/>
    <x v="4"/>
    <x v="24"/>
    <n v="1"/>
    <n v="48.198750000000004"/>
    <s v="Completed"/>
    <s v="Credit Card"/>
    <n v="48.198750000000004"/>
    <n v="5"/>
    <x v="0"/>
  </r>
  <r>
    <x v="2426"/>
    <x v="372"/>
    <s v="CUST1642"/>
    <s v="Unknown Customer"/>
    <x v="3"/>
    <x v="4"/>
    <x v="24"/>
    <n v="1"/>
    <n v="48.198750000000004"/>
    <s v="Returned"/>
    <s v="Gift Card"/>
    <n v="48.198750000000004"/>
    <n v="2"/>
    <x v="0"/>
  </r>
  <r>
    <x v="2427"/>
    <x v="454"/>
    <s v="CUST1109"/>
    <s v="Rina Halim"/>
    <x v="1"/>
    <x v="4"/>
    <x v="24"/>
    <n v="2"/>
    <n v="48.198750000000004"/>
    <s v="Completed"/>
    <s v="Debit Card"/>
    <n v="96.397500000000008"/>
    <n v="5"/>
    <x v="0"/>
  </r>
  <r>
    <x v="2428"/>
    <x v="628"/>
    <s v="CUST1615"/>
    <s v="Putri Anderson"/>
    <x v="3"/>
    <x v="4"/>
    <x v="24"/>
    <n v="2"/>
    <n v="48.198750000000004"/>
    <s v="Completed"/>
    <s v="PayPal"/>
    <n v="96.397500000000008"/>
    <n v="3"/>
    <x v="0"/>
  </r>
  <r>
    <x v="2429"/>
    <x v="331"/>
    <s v="CUST1531"/>
    <s v="Ahmad Halim"/>
    <x v="1"/>
    <x v="5"/>
    <x v="32"/>
    <n v="1"/>
    <n v="48.21"/>
    <s v="Completed"/>
    <s v="Credit Card"/>
    <n v="48.21"/>
    <n v="3"/>
    <x v="0"/>
  </r>
  <r>
    <x v="2430"/>
    <x v="278"/>
    <s v="CUST1463"/>
    <s v="Linda Brown"/>
    <x v="0"/>
    <x v="5"/>
    <x v="33"/>
    <n v="4"/>
    <n v="48.22"/>
    <s v="Completed"/>
    <s v="Credit Card"/>
    <n v="192.88"/>
    <n v="7"/>
    <x v="0"/>
  </r>
  <r>
    <x v="2431"/>
    <x v="64"/>
    <s v="CUST1524"/>
    <s v="Robert Smith"/>
    <x v="2"/>
    <x v="3"/>
    <x v="12"/>
    <n v="4"/>
    <n v="48.25"/>
    <s v="Completed"/>
    <s v="Credit Card"/>
    <n v="193"/>
    <n v="4"/>
    <x v="0"/>
  </r>
  <r>
    <x v="2432"/>
    <x v="510"/>
    <s v="CUST1080"/>
    <s v="Nina Garcia"/>
    <x v="0"/>
    <x v="1"/>
    <x v="5"/>
    <n v="2"/>
    <n v="48.26"/>
    <s v="Completed"/>
    <s v="Gift Card"/>
    <n v="96.52"/>
    <n v="2"/>
    <x v="0"/>
  </r>
  <r>
    <x v="2433"/>
    <x v="616"/>
    <s v="CUST1707"/>
    <s v="Michael Yusuf"/>
    <x v="0"/>
    <x v="4"/>
    <x v="21"/>
    <n v="1"/>
    <n v="48.27"/>
    <s v="Cancelled"/>
    <s v="PayPal"/>
    <n v="48.27"/>
    <n v="4"/>
    <x v="0"/>
  </r>
  <r>
    <x v="2434"/>
    <x v="680"/>
    <s v="CUST1612"/>
    <s v="Budi Nugroho"/>
    <x v="0"/>
    <x v="6"/>
    <x v="41"/>
    <n v="1"/>
    <n v="48.3"/>
    <s v="Completed"/>
    <s v="Gift Card"/>
    <n v="48.3"/>
    <n v="3"/>
    <x v="0"/>
  </r>
  <r>
    <x v="2435"/>
    <x v="195"/>
    <s v="CUST1675"/>
    <s v="Putri Kurniawan"/>
    <x v="0"/>
    <x v="3"/>
    <x v="14"/>
    <n v="2"/>
    <n v="48.39"/>
    <s v="Completed"/>
    <s v="Gift Card"/>
    <n v="96.78"/>
    <n v="6"/>
    <x v="0"/>
  </r>
  <r>
    <x v="2436"/>
    <x v="166"/>
    <s v="CUST1555"/>
    <s v="Andi Hidayat"/>
    <x v="1"/>
    <x v="3"/>
    <x v="13"/>
    <n v="5"/>
    <n v="48.39"/>
    <s v="Completed"/>
    <s v="Debit Card"/>
    <n v="241.95"/>
    <n v="3"/>
    <x v="0"/>
  </r>
  <r>
    <x v="2437"/>
    <x v="577"/>
    <s v="CUST1503"/>
    <s v="Andi Anderson"/>
    <x v="0"/>
    <x v="3"/>
    <x v="19"/>
    <n v="2"/>
    <n v="48.41"/>
    <s v="Completed"/>
    <s v="PayPal"/>
    <n v="96.82"/>
    <n v="6"/>
    <x v="0"/>
  </r>
  <r>
    <x v="2438"/>
    <x v="574"/>
    <s v="CUST1292"/>
    <s v="Budi Halim"/>
    <x v="0"/>
    <x v="3"/>
    <x v="14"/>
    <n v="1"/>
    <n v="48.42"/>
    <s v="Completed"/>
    <s v="Debit Card"/>
    <n v="48.42"/>
    <n v="6"/>
    <x v="0"/>
  </r>
  <r>
    <x v="2439"/>
    <x v="500"/>
    <s v="CUST1717"/>
    <s v="Siti Sari"/>
    <x v="0"/>
    <x v="3"/>
    <x v="16"/>
    <n v="1"/>
    <n v="48.45"/>
    <s v="Completed"/>
    <s v="PayPal"/>
    <n v="48.45"/>
    <n v="5"/>
    <x v="0"/>
  </r>
  <r>
    <x v="2440"/>
    <x v="678"/>
    <s v="CUST1411"/>
    <s v="Ahmad Garcia"/>
    <x v="1"/>
    <x v="3"/>
    <x v="12"/>
    <n v="1"/>
    <n v="48.45"/>
    <s v="Completed"/>
    <s v="Credit Card"/>
    <n v="48.45"/>
    <n v="3"/>
    <x v="0"/>
  </r>
  <r>
    <x v="2441"/>
    <x v="131"/>
    <s v="CUST1892"/>
    <s v="Fajar Brown"/>
    <x v="1"/>
    <x v="3"/>
    <x v="16"/>
    <n v="2"/>
    <n v="48.46"/>
    <s v="Completed"/>
    <s v="Gift Card"/>
    <n v="96.92"/>
    <n v="2"/>
    <x v="0"/>
  </r>
  <r>
    <x v="2442"/>
    <x v="643"/>
    <s v="CUST1783"/>
    <s v="Ayu Taylor"/>
    <x v="0"/>
    <x v="6"/>
    <x v="39"/>
    <n v="1"/>
    <n v="48.47"/>
    <s v="Completed"/>
    <s v="Credit Card"/>
    <n v="48.47"/>
    <n v="11"/>
    <x v="0"/>
  </r>
  <r>
    <x v="2443"/>
    <x v="493"/>
    <s v="CUST1222"/>
    <s v="Dewi Sari"/>
    <x v="0"/>
    <x v="5"/>
    <x v="32"/>
    <n v="1"/>
    <n v="48.47"/>
    <s v="Completed"/>
    <s v="PayPal"/>
    <n v="48.47"/>
    <n v="9"/>
    <x v="0"/>
  </r>
  <r>
    <x v="2444"/>
    <x v="681"/>
    <s v="CUST1148"/>
    <s v="Siti Yusuf"/>
    <x v="0"/>
    <x v="1"/>
    <x v="17"/>
    <n v="1"/>
    <n v="48.49"/>
    <s v="Completed"/>
    <s v="Gift Card"/>
    <n v="48.49"/>
    <n v="4"/>
    <x v="0"/>
  </r>
  <r>
    <x v="2445"/>
    <x v="418"/>
    <s v="CUST1359"/>
    <s v="Ayu Wilson"/>
    <x v="3"/>
    <x v="3"/>
    <x v="13"/>
    <n v="1"/>
    <n v="48.51"/>
    <s v="Completed"/>
    <s v="Gift Card"/>
    <n v="48.51"/>
    <n v="3"/>
    <x v="0"/>
  </r>
  <r>
    <x v="2446"/>
    <x v="375"/>
    <s v="CUST1660"/>
    <s v="Andi Salim"/>
    <x v="0"/>
    <x v="1"/>
    <x v="20"/>
    <n v="1"/>
    <n v="48.530909090909091"/>
    <s v="Completed"/>
    <s v="Credit Card"/>
    <n v="48.530909090909091"/>
    <n v="5"/>
    <x v="0"/>
  </r>
  <r>
    <x v="2447"/>
    <x v="532"/>
    <s v="CUST1194"/>
    <s v="Maria Hidayat"/>
    <x v="0"/>
    <x v="1"/>
    <x v="20"/>
    <n v="1"/>
    <n v="48.530909090909091"/>
    <s v="Returned"/>
    <s v="PayPal"/>
    <n v="48.530909090909091"/>
    <n v="8"/>
    <x v="0"/>
  </r>
  <r>
    <x v="2448"/>
    <x v="336"/>
    <s v="CUST1145"/>
    <s v="Linda Smith"/>
    <x v="0"/>
    <x v="1"/>
    <x v="20"/>
    <n v="2"/>
    <n v="48.530909090909091"/>
    <s v="Completed"/>
    <s v="Credit Card"/>
    <n v="97.061818181818182"/>
    <n v="12"/>
    <x v="0"/>
  </r>
  <r>
    <x v="2449"/>
    <x v="709"/>
    <s v="CUST1547"/>
    <s v="Andi Tan"/>
    <x v="1"/>
    <x v="3"/>
    <x v="14"/>
    <n v="1"/>
    <n v="48.54"/>
    <s v="Completed"/>
    <s v="PayPal"/>
    <n v="48.54"/>
    <n v="4"/>
    <x v="0"/>
  </r>
  <r>
    <x v="2450"/>
    <x v="40"/>
    <s v="CUST1682"/>
    <s v="Ayu Hidayat"/>
    <x v="3"/>
    <x v="5"/>
    <x v="28"/>
    <n v="1"/>
    <n v="48.58"/>
    <s v="Completed"/>
    <s v="Debit Card"/>
    <n v="48.58"/>
    <n v="3"/>
    <x v="0"/>
  </r>
  <r>
    <x v="2451"/>
    <x v="448"/>
    <s v="CUST1723"/>
    <s v="Ayu Wijaya"/>
    <x v="0"/>
    <x v="5"/>
    <x v="32"/>
    <n v="1"/>
    <n v="48.59"/>
    <s v="Completed"/>
    <s v="Debit Card"/>
    <n v="48.59"/>
    <n v="5"/>
    <x v="0"/>
  </r>
  <r>
    <x v="2452"/>
    <x v="118"/>
    <s v="CUST1262"/>
    <s v="Robert Garcia"/>
    <x v="0"/>
    <x v="4"/>
    <x v="24"/>
    <n v="1"/>
    <n v="48.67"/>
    <s v="Pending"/>
    <s v="Credit Card"/>
    <n v="48.67"/>
    <n v="2"/>
    <x v="0"/>
  </r>
  <r>
    <x v="2453"/>
    <x v="536"/>
    <s v="CUST1648"/>
    <s v="Unknown Customer"/>
    <x v="0"/>
    <x v="3"/>
    <x v="14"/>
    <n v="1"/>
    <n v="48.67"/>
    <s v="Completed"/>
    <s v="Gift Card"/>
    <n v="48.67"/>
    <n v="7"/>
    <x v="0"/>
  </r>
  <r>
    <x v="2454"/>
    <x v="607"/>
    <s v="CUST1291"/>
    <s v="Dewi Wijaya"/>
    <x v="0"/>
    <x v="3"/>
    <x v="13"/>
    <n v="2"/>
    <n v="48.7"/>
    <s v="Completed"/>
    <s v="PayPal"/>
    <n v="97.4"/>
    <n v="4"/>
    <x v="0"/>
  </r>
  <r>
    <x v="2455"/>
    <x v="523"/>
    <s v="CUST1271"/>
    <s v="Lisa Chen"/>
    <x v="0"/>
    <x v="4"/>
    <x v="23"/>
    <n v="2"/>
    <n v="48.71"/>
    <s v="Completed"/>
    <s v="Credit Card"/>
    <n v="97.42"/>
    <n v="6"/>
    <x v="0"/>
  </r>
  <r>
    <x v="2456"/>
    <x v="665"/>
    <s v="CUST1873"/>
    <s v="Ayu Anderson"/>
    <x v="0"/>
    <x v="3"/>
    <x v="16"/>
    <n v="1"/>
    <n v="48.73"/>
    <s v="Completed"/>
    <s v="Gift Card"/>
    <n v="48.73"/>
    <n v="5"/>
    <x v="0"/>
  </r>
  <r>
    <x v="2457"/>
    <x v="191"/>
    <s v="CUST1234"/>
    <s v="Nina Salim"/>
    <x v="0"/>
    <x v="3"/>
    <x v="13"/>
    <n v="1"/>
    <n v="48.74"/>
    <s v="Completed"/>
    <s v="Credit Card"/>
    <n v="48.74"/>
    <n v="6"/>
    <x v="0"/>
  </r>
  <r>
    <x v="2458"/>
    <x v="43"/>
    <s v="CUST1552"/>
    <s v="Andi Sari"/>
    <x v="1"/>
    <x v="6"/>
    <x v="40"/>
    <n v="1"/>
    <n v="48.82"/>
    <s v="Completed"/>
    <s v="Credit Card"/>
    <n v="48.82"/>
    <n v="4"/>
    <x v="0"/>
  </r>
  <r>
    <x v="2459"/>
    <x v="689"/>
    <s v="CUST1414"/>
    <s v="Ayu Chen"/>
    <x v="0"/>
    <x v="1"/>
    <x v="18"/>
    <n v="1"/>
    <n v="48.86"/>
    <s v="Completed"/>
    <s v="Credit Card"/>
    <n v="48.86"/>
    <n v="6"/>
    <x v="0"/>
  </r>
  <r>
    <x v="2460"/>
    <x v="107"/>
    <s v="CUST1638"/>
    <s v="Maria Kurniawan"/>
    <x v="0"/>
    <x v="5"/>
    <x v="33"/>
    <n v="2"/>
    <n v="48.86"/>
    <s v="Completed"/>
    <s v="Gift Card"/>
    <n v="97.72"/>
    <n v="8"/>
    <x v="0"/>
  </r>
  <r>
    <x v="2461"/>
    <x v="3"/>
    <s v="CUST1222"/>
    <s v="Dewi Sari"/>
    <x v="0"/>
    <x v="3"/>
    <x v="12"/>
    <n v="1"/>
    <n v="48.88"/>
    <s v="Cancelled"/>
    <s v="PayPal"/>
    <n v="48.88"/>
    <n v="9"/>
    <x v="0"/>
  </r>
  <r>
    <x v="2462"/>
    <x v="474"/>
    <s v="CUST1196"/>
    <s v="Putri Pratama"/>
    <x v="0"/>
    <x v="5"/>
    <x v="33"/>
    <n v="1"/>
    <n v="48.93"/>
    <s v="Completed"/>
    <s v="Credit Card"/>
    <n v="48.93"/>
    <n v="6"/>
    <x v="0"/>
  </r>
  <r>
    <x v="2463"/>
    <x v="9"/>
    <s v="CUST1611"/>
    <s v="Maria Sari"/>
    <x v="0"/>
    <x v="5"/>
    <x v="34"/>
    <n v="1"/>
    <n v="48.95"/>
    <s v="Completed"/>
    <s v="Unknown"/>
    <n v="48.95"/>
    <n v="10"/>
    <x v="0"/>
  </r>
  <r>
    <x v="2464"/>
    <x v="311"/>
    <s v="CUST1585"/>
    <s v="Robert Anderson"/>
    <x v="0"/>
    <x v="4"/>
    <x v="21"/>
    <n v="2"/>
    <n v="49.01"/>
    <s v="Completed"/>
    <s v="PayPal"/>
    <n v="98.02"/>
    <n v="6"/>
    <x v="0"/>
  </r>
  <r>
    <x v="2465"/>
    <x v="369"/>
    <s v="CUST1862"/>
    <s v="Ahmad Santos"/>
    <x v="0"/>
    <x v="5"/>
    <x v="32"/>
    <n v="1"/>
    <n v="49.07"/>
    <s v="Completed"/>
    <s v="Credit Card"/>
    <n v="49.07"/>
    <n v="7"/>
    <x v="0"/>
  </r>
  <r>
    <x v="2466"/>
    <x v="312"/>
    <s v="CUST1254"/>
    <s v="Nina Garcia"/>
    <x v="0"/>
    <x v="4"/>
    <x v="23"/>
    <n v="2"/>
    <n v="49.19"/>
    <s v="Completed"/>
    <s v="Debit Card"/>
    <n v="98.38"/>
    <n v="6"/>
    <x v="0"/>
  </r>
  <r>
    <x v="2467"/>
    <x v="665"/>
    <s v="CUST1378"/>
    <s v="Lisa Salim"/>
    <x v="0"/>
    <x v="1"/>
    <x v="6"/>
    <n v="1"/>
    <n v="49.24"/>
    <s v="Completed"/>
    <s v="Gift Card"/>
    <n v="49.24"/>
    <n v="2"/>
    <x v="0"/>
  </r>
  <r>
    <x v="2468"/>
    <x v="220"/>
    <s v="CUST1050"/>
    <s v="Sarah Anderson"/>
    <x v="0"/>
    <x v="5"/>
    <x v="32"/>
    <n v="3"/>
    <n v="49.24"/>
    <s v="Completed"/>
    <s v="Credit Card"/>
    <n v="147.72"/>
    <n v="4"/>
    <x v="0"/>
  </r>
  <r>
    <x v="2469"/>
    <x v="613"/>
    <s v="CUST1258"/>
    <s v="Ayu Smith"/>
    <x v="0"/>
    <x v="6"/>
    <x v="36"/>
    <n v="1"/>
    <n v="49.25"/>
    <s v="Returned"/>
    <s v="Credit Card"/>
    <n v="49.25"/>
    <n v="7"/>
    <x v="0"/>
  </r>
  <r>
    <x v="2470"/>
    <x v="169"/>
    <s v="CUST1891"/>
    <s v="Sarah Lee"/>
    <x v="0"/>
    <x v="1"/>
    <x v="5"/>
    <n v="1"/>
    <n v="49.37"/>
    <s v="Completed"/>
    <s v="PayPal"/>
    <n v="49.37"/>
    <n v="6"/>
    <x v="0"/>
  </r>
  <r>
    <x v="2471"/>
    <x v="387"/>
    <s v="CUST1367"/>
    <s v="James Salim"/>
    <x v="1"/>
    <x v="6"/>
    <x v="36"/>
    <n v="1"/>
    <n v="49.4"/>
    <s v="Completed"/>
    <s v="Debit Card"/>
    <n v="49.4"/>
    <n v="4"/>
    <x v="0"/>
  </r>
  <r>
    <x v="2472"/>
    <x v="565"/>
    <s v="CUST1890"/>
    <s v="Ahmad Sari"/>
    <x v="0"/>
    <x v="1"/>
    <x v="17"/>
    <n v="2"/>
    <n v="49.44"/>
    <s v="Completed"/>
    <s v="Credit Card"/>
    <n v="98.88"/>
    <n v="3"/>
    <x v="0"/>
  </r>
  <r>
    <x v="2473"/>
    <x v="339"/>
    <s v="CUST1054"/>
    <s v="Putri Garcia"/>
    <x v="0"/>
    <x v="3"/>
    <x v="16"/>
    <n v="2"/>
    <n v="49.49"/>
    <s v="Completed"/>
    <s v="Gift Card"/>
    <n v="98.98"/>
    <n v="3"/>
    <x v="0"/>
  </r>
  <r>
    <x v="2474"/>
    <x v="459"/>
    <s v="CUST1297"/>
    <s v="Nina Wilson"/>
    <x v="0"/>
    <x v="3"/>
    <x v="12"/>
    <n v="2"/>
    <n v="49.5"/>
    <s v="Completed"/>
    <s v="Credit Card"/>
    <n v="99"/>
    <n v="5"/>
    <x v="0"/>
  </r>
  <r>
    <x v="2475"/>
    <x v="157"/>
    <s v="CUST1678"/>
    <s v="Lisa Brown"/>
    <x v="1"/>
    <x v="4"/>
    <x v="26"/>
    <n v="1"/>
    <n v="49.54"/>
    <s v="Returned"/>
    <s v="Gift Card"/>
    <n v="49.54"/>
    <n v="8"/>
    <x v="0"/>
  </r>
  <r>
    <x v="2476"/>
    <x v="224"/>
    <s v="CUST1834"/>
    <s v="Andi Nugroho"/>
    <x v="0"/>
    <x v="3"/>
    <x v="14"/>
    <n v="4"/>
    <n v="49.55"/>
    <s v="Pending"/>
    <s v="Debit Card"/>
    <n v="198.2"/>
    <n v="12"/>
    <x v="0"/>
  </r>
  <r>
    <x v="2477"/>
    <x v="280"/>
    <s v="CUST1366"/>
    <s v="David Anderson"/>
    <x v="0"/>
    <x v="1"/>
    <x v="9"/>
    <n v="1"/>
    <n v="49.63"/>
    <s v="Completed"/>
    <s v="Credit Card"/>
    <n v="49.63"/>
    <n v="4"/>
    <x v="0"/>
  </r>
  <r>
    <x v="2478"/>
    <x v="433"/>
    <s v="CUST1569"/>
    <s v="David Kurniawan"/>
    <x v="0"/>
    <x v="3"/>
    <x v="12"/>
    <n v="1"/>
    <n v="49.67"/>
    <s v="Completed"/>
    <s v="Credit Card"/>
    <n v="49.67"/>
    <n v="9"/>
    <x v="0"/>
  </r>
  <r>
    <x v="2479"/>
    <x v="49"/>
    <s v="CUST1210"/>
    <s v="Nina Garcia"/>
    <x v="0"/>
    <x v="1"/>
    <x v="20"/>
    <n v="1"/>
    <n v="49.73"/>
    <s v="Returned"/>
    <s v="Credit Card"/>
    <n v="49.73"/>
    <n v="9"/>
    <x v="0"/>
  </r>
  <r>
    <x v="2480"/>
    <x v="703"/>
    <s v="CUST1316"/>
    <s v="Michael Wilson"/>
    <x v="3"/>
    <x v="5"/>
    <x v="34"/>
    <n v="4"/>
    <n v="49.73"/>
    <s v="Completed"/>
    <s v="Credit Card"/>
    <n v="198.92"/>
    <n v="4"/>
    <x v="0"/>
  </r>
  <r>
    <x v="2481"/>
    <x v="683"/>
    <s v="CUST1785"/>
    <s v="Maria Nugroho"/>
    <x v="0"/>
    <x v="5"/>
    <x v="33"/>
    <n v="2"/>
    <n v="49.81"/>
    <s v="Completed"/>
    <s v="PayPal"/>
    <n v="99.62"/>
    <n v="5"/>
    <x v="0"/>
  </r>
  <r>
    <x v="2482"/>
    <x v="372"/>
    <s v="CUST1743"/>
    <s v="Linda Chen"/>
    <x v="0"/>
    <x v="4"/>
    <x v="26"/>
    <n v="1"/>
    <n v="49.87"/>
    <s v="Completed"/>
    <s v="Gift Card"/>
    <n v="49.87"/>
    <n v="5"/>
    <x v="0"/>
  </r>
  <r>
    <x v="2483"/>
    <x v="445"/>
    <s v="CUST1513"/>
    <s v="Robert Kurniawan"/>
    <x v="0"/>
    <x v="1"/>
    <x v="18"/>
    <n v="1"/>
    <n v="49.9"/>
    <s v="Completed"/>
    <s v="PayPal"/>
    <n v="49.9"/>
    <n v="5"/>
    <x v="0"/>
  </r>
  <r>
    <x v="2484"/>
    <x v="263"/>
    <s v="CUST1392"/>
    <s v="Nina Garcia"/>
    <x v="0"/>
    <x v="1"/>
    <x v="6"/>
    <n v="2"/>
    <n v="49.92"/>
    <s v="Completed"/>
    <s v="Gift Card"/>
    <n v="99.84"/>
    <n v="5"/>
    <x v="0"/>
  </r>
  <r>
    <x v="2485"/>
    <x v="203"/>
    <s v="CUST1599"/>
    <s v="Siti Kurniawan"/>
    <x v="1"/>
    <x v="4"/>
    <x v="25"/>
    <n v="2"/>
    <n v="49.92"/>
    <s v="Completed"/>
    <s v="Gift Card"/>
    <n v="99.84"/>
    <n v="5"/>
    <x v="0"/>
  </r>
  <r>
    <x v="2486"/>
    <x v="614"/>
    <s v="CUST1222"/>
    <s v="Dewi Sari"/>
    <x v="0"/>
    <x v="4"/>
    <x v="24"/>
    <n v="2"/>
    <n v="49.92"/>
    <s v="Completed"/>
    <s v="PayPal"/>
    <n v="99.84"/>
    <n v="9"/>
    <x v="0"/>
  </r>
  <r>
    <x v="2487"/>
    <x v="385"/>
    <s v="CUST1147"/>
    <s v="Sarah Wilson"/>
    <x v="0"/>
    <x v="1"/>
    <x v="18"/>
    <n v="1"/>
    <n v="50.01"/>
    <s v="Completed"/>
    <s v="PayPal"/>
    <n v="50.01"/>
    <n v="7"/>
    <x v="0"/>
  </r>
  <r>
    <x v="2488"/>
    <x v="560"/>
    <s v="CUST1092"/>
    <s v="Putri Nugroho"/>
    <x v="0"/>
    <x v="1"/>
    <x v="9"/>
    <n v="1"/>
    <n v="50.04"/>
    <s v="Completed"/>
    <s v="Debit Card"/>
    <n v="50.04"/>
    <n v="8"/>
    <x v="0"/>
  </r>
  <r>
    <x v="2489"/>
    <x v="546"/>
    <s v="CUST1221"/>
    <s v="Siti Chen"/>
    <x v="0"/>
    <x v="1"/>
    <x v="9"/>
    <n v="1"/>
    <n v="50.05"/>
    <s v="Completed"/>
    <s v="PayPal"/>
    <n v="50.05"/>
    <n v="5"/>
    <x v="0"/>
  </r>
  <r>
    <x v="2490"/>
    <x v="569"/>
    <s v="CUST1291"/>
    <s v="Dewi Wijaya"/>
    <x v="0"/>
    <x v="6"/>
    <x v="36"/>
    <n v="1"/>
    <n v="50.07"/>
    <s v="Completed"/>
    <s v="PayPal"/>
    <n v="50.07"/>
    <n v="4"/>
    <x v="0"/>
  </r>
  <r>
    <x v="2491"/>
    <x v="394"/>
    <s v="CUST1575"/>
    <s v="Michael Halim"/>
    <x v="0"/>
    <x v="1"/>
    <x v="6"/>
    <n v="2"/>
    <n v="50.08"/>
    <s v="Returned"/>
    <s v="Unknown"/>
    <n v="100.16"/>
    <n v="7"/>
    <x v="0"/>
  </r>
  <r>
    <x v="2492"/>
    <x v="445"/>
    <s v="CUST1160"/>
    <s v="James Nugroho"/>
    <x v="0"/>
    <x v="4"/>
    <x v="26"/>
    <n v="1"/>
    <n v="50.09"/>
    <s v="Completed"/>
    <s v="PayPal"/>
    <n v="50.09"/>
    <n v="6"/>
    <x v="0"/>
  </r>
  <r>
    <x v="2493"/>
    <x v="542"/>
    <s v="CUST1052"/>
    <s v="Fajar Halim"/>
    <x v="0"/>
    <x v="1"/>
    <x v="9"/>
    <n v="1"/>
    <n v="50.14"/>
    <s v="Completed"/>
    <s v="PayPal"/>
    <n v="50.14"/>
    <n v="8"/>
    <x v="0"/>
  </r>
  <r>
    <x v="2494"/>
    <x v="668"/>
    <s v="CUST1076"/>
    <s v="Kevin Santos"/>
    <x v="0"/>
    <x v="6"/>
    <x v="38"/>
    <n v="2"/>
    <n v="50.17"/>
    <s v="Cancelled"/>
    <s v="Credit Card"/>
    <n v="100.34"/>
    <n v="9"/>
    <x v="0"/>
  </r>
  <r>
    <x v="2495"/>
    <x v="692"/>
    <s v="CUST1072"/>
    <s v="Nina Salim"/>
    <x v="0"/>
    <x v="3"/>
    <x v="12"/>
    <n v="1"/>
    <n v="50.19"/>
    <s v="Completed"/>
    <s v="PayPal"/>
    <n v="50.19"/>
    <n v="2"/>
    <x v="0"/>
  </r>
  <r>
    <x v="2496"/>
    <x v="683"/>
    <s v="CUST1111"/>
    <s v="Siti Halim"/>
    <x v="0"/>
    <x v="3"/>
    <x v="12"/>
    <n v="1"/>
    <n v="50.19"/>
    <s v="Completed"/>
    <s v="Gift Card"/>
    <n v="50.19"/>
    <n v="6"/>
    <x v="0"/>
  </r>
  <r>
    <x v="2497"/>
    <x v="541"/>
    <s v="CUST1138"/>
    <s v="Fajar Anderson"/>
    <x v="0"/>
    <x v="1"/>
    <x v="18"/>
    <n v="1"/>
    <n v="50.21"/>
    <s v="Completed"/>
    <s v="PayPal"/>
    <n v="50.21"/>
    <n v="7"/>
    <x v="0"/>
  </r>
  <r>
    <x v="2498"/>
    <x v="189"/>
    <s v="CUST1833"/>
    <s v="Putri Yusuf"/>
    <x v="0"/>
    <x v="5"/>
    <x v="32"/>
    <n v="1"/>
    <n v="50.22"/>
    <s v="Completed"/>
    <s v="Unknown"/>
    <n v="50.22"/>
    <n v="8"/>
    <x v="0"/>
  </r>
  <r>
    <x v="2499"/>
    <x v="166"/>
    <s v="CUST1638"/>
    <s v="Maria Kurniawan"/>
    <x v="0"/>
    <x v="3"/>
    <x v="19"/>
    <n v="2"/>
    <n v="50.28"/>
    <s v="Completed"/>
    <s v="Gift Card"/>
    <n v="100.56"/>
    <n v="8"/>
    <x v="0"/>
  </r>
  <r>
    <x v="2500"/>
    <x v="695"/>
    <s v="CUST1140"/>
    <s v="Maria Wijaya"/>
    <x v="0"/>
    <x v="4"/>
    <x v="21"/>
    <n v="1"/>
    <n v="50.29"/>
    <s v="Completed"/>
    <s v="Credit Card"/>
    <n v="50.29"/>
    <n v="5"/>
    <x v="0"/>
  </r>
  <r>
    <x v="2501"/>
    <x v="642"/>
    <s v="CUST1425"/>
    <s v="Linda Anderson"/>
    <x v="0"/>
    <x v="3"/>
    <x v="12"/>
    <n v="1"/>
    <n v="50.34"/>
    <s v="Completed"/>
    <s v="Gift Card"/>
    <n v="50.34"/>
    <n v="4"/>
    <x v="0"/>
  </r>
  <r>
    <x v="2502"/>
    <x v="605"/>
    <s v="CUST1396"/>
    <s v="David Wijaya"/>
    <x v="0"/>
    <x v="1"/>
    <x v="18"/>
    <n v="2"/>
    <n v="50.35"/>
    <s v="Completed"/>
    <s v="Gift Card"/>
    <n v="100.7"/>
    <n v="5"/>
    <x v="0"/>
  </r>
  <r>
    <x v="2503"/>
    <x v="472"/>
    <s v="CUST1470"/>
    <s v="Robert Salim"/>
    <x v="3"/>
    <x v="3"/>
    <x v="12"/>
    <n v="1"/>
    <n v="50.36"/>
    <s v="Completed"/>
    <s v="Credit Card"/>
    <n v="50.36"/>
    <n v="3"/>
    <x v="0"/>
  </r>
  <r>
    <x v="2504"/>
    <x v="107"/>
    <s v="CUST1842"/>
    <s v="Siti Salim"/>
    <x v="1"/>
    <x v="3"/>
    <x v="12"/>
    <n v="1"/>
    <n v="50.37"/>
    <s v="Completed"/>
    <s v="Debit Card"/>
    <n v="50.37"/>
    <n v="5"/>
    <x v="0"/>
  </r>
  <r>
    <x v="2505"/>
    <x v="310"/>
    <s v="CUST1856"/>
    <s v="Siti Brown"/>
    <x v="0"/>
    <x v="4"/>
    <x v="26"/>
    <n v="2"/>
    <n v="50.47"/>
    <s v="Completed"/>
    <s v="PayPal"/>
    <n v="100.94"/>
    <n v="6"/>
    <x v="0"/>
  </r>
  <r>
    <x v="2506"/>
    <x v="408"/>
    <s v="CUST1428"/>
    <s v="Andi Chen"/>
    <x v="0"/>
    <x v="4"/>
    <x v="23"/>
    <n v="2"/>
    <n v="50.48"/>
    <s v="Completed"/>
    <s v="PayPal"/>
    <n v="100.96"/>
    <n v="7"/>
    <x v="0"/>
  </r>
  <r>
    <x v="2507"/>
    <x v="580"/>
    <s v="CUST1118"/>
    <s v="Budi Anderson"/>
    <x v="0"/>
    <x v="1"/>
    <x v="20"/>
    <n v="1"/>
    <n v="50.5"/>
    <s v="Completed"/>
    <s v="PayPal"/>
    <n v="50.5"/>
    <n v="4"/>
    <x v="0"/>
  </r>
  <r>
    <x v="2508"/>
    <x v="556"/>
    <s v="CUST1738"/>
    <s v="Fajar Halim"/>
    <x v="0"/>
    <x v="6"/>
    <x v="39"/>
    <n v="1"/>
    <n v="50.53"/>
    <s v="Completed"/>
    <s v="PayPal"/>
    <n v="50.53"/>
    <n v="8"/>
    <x v="0"/>
  </r>
  <r>
    <x v="2509"/>
    <x v="375"/>
    <s v="CUST1582"/>
    <s v="Michael Lee"/>
    <x v="0"/>
    <x v="4"/>
    <x v="26"/>
    <n v="2"/>
    <n v="50.53"/>
    <s v="Completed"/>
    <s v="Unknown"/>
    <n v="101.06"/>
    <n v="4"/>
    <x v="0"/>
  </r>
  <r>
    <x v="2510"/>
    <x v="188"/>
    <s v="CUST1577"/>
    <s v="John Anderson"/>
    <x v="0"/>
    <x v="6"/>
    <x v="40"/>
    <n v="1"/>
    <n v="50.58"/>
    <s v="Completed"/>
    <s v="Gift Card"/>
    <n v="50.58"/>
    <n v="3"/>
    <x v="0"/>
  </r>
  <r>
    <x v="2511"/>
    <x v="292"/>
    <s v="CUST1353"/>
    <s v="Andi Halim"/>
    <x v="0"/>
    <x v="3"/>
    <x v="14"/>
    <n v="1"/>
    <n v="50.6"/>
    <s v="Completed"/>
    <s v="Gift Card"/>
    <n v="50.6"/>
    <n v="10"/>
    <x v="0"/>
  </r>
  <r>
    <x v="2512"/>
    <x v="499"/>
    <s v="CUST1018"/>
    <s v="Ahmad Wilson"/>
    <x v="1"/>
    <x v="5"/>
    <x v="32"/>
    <n v="1"/>
    <n v="50.64"/>
    <s v="Completed"/>
    <s v="Debit Card"/>
    <n v="50.64"/>
    <n v="4"/>
    <x v="0"/>
  </r>
  <r>
    <x v="2513"/>
    <x v="24"/>
    <s v="CUST1509"/>
    <s v="Fajar Wilson"/>
    <x v="3"/>
    <x v="3"/>
    <x v="14"/>
    <n v="1"/>
    <n v="50.64"/>
    <s v="Completed"/>
    <s v="PayPal"/>
    <n v="50.64"/>
    <n v="2"/>
    <x v="0"/>
  </r>
  <r>
    <x v="2514"/>
    <x v="497"/>
    <s v="CUST1410"/>
    <s v="Fajar Hidayat"/>
    <x v="1"/>
    <x v="3"/>
    <x v="13"/>
    <n v="1"/>
    <n v="50.65"/>
    <s v="Completed"/>
    <s v="PayPal"/>
    <n v="50.65"/>
    <n v="6"/>
    <x v="0"/>
  </r>
  <r>
    <x v="2515"/>
    <x v="344"/>
    <s v="CUST1109"/>
    <s v="Rina Halim"/>
    <x v="1"/>
    <x v="1"/>
    <x v="5"/>
    <n v="1"/>
    <n v="50.71"/>
    <s v="Pending"/>
    <s v="Gift Card"/>
    <n v="50.71"/>
    <n v="5"/>
    <x v="0"/>
  </r>
  <r>
    <x v="2516"/>
    <x v="617"/>
    <s v="CUST1373"/>
    <s v="James Smith"/>
    <x v="0"/>
    <x v="3"/>
    <x v="16"/>
    <n v="1"/>
    <n v="50.72"/>
    <s v="Completed"/>
    <s v="Debit Card"/>
    <n v="50.72"/>
    <n v="8"/>
    <x v="0"/>
  </r>
  <r>
    <x v="2517"/>
    <x v="411"/>
    <s v="CUST1056"/>
    <s v="Rina Smith"/>
    <x v="0"/>
    <x v="1"/>
    <x v="6"/>
    <n v="1"/>
    <n v="50.78"/>
    <s v="Completed"/>
    <s v="Credit Card"/>
    <n v="50.78"/>
    <n v="4"/>
    <x v="0"/>
  </r>
  <r>
    <x v="2518"/>
    <x v="703"/>
    <s v="CUST1172"/>
    <s v="Nina Lee"/>
    <x v="0"/>
    <x v="3"/>
    <x v="16"/>
    <n v="1"/>
    <n v="50.82"/>
    <s v="Completed"/>
    <s v="Gift Card"/>
    <n v="50.82"/>
    <n v="8"/>
    <x v="0"/>
  </r>
  <r>
    <x v="2519"/>
    <x v="710"/>
    <s v="CUST1112"/>
    <s v="Putri Halim"/>
    <x v="1"/>
    <x v="4"/>
    <x v="27"/>
    <n v="1"/>
    <n v="50.83"/>
    <s v="Completed"/>
    <s v="Gift Card"/>
    <n v="50.83"/>
    <n v="5"/>
    <x v="0"/>
  </r>
  <r>
    <x v="2520"/>
    <x v="479"/>
    <s v="CUST1815"/>
    <s v="Budi Garcia"/>
    <x v="1"/>
    <x v="3"/>
    <x v="13"/>
    <n v="1"/>
    <n v="50.9"/>
    <s v="Returned"/>
    <s v="Debit Card"/>
    <n v="50.9"/>
    <n v="6"/>
    <x v="0"/>
  </r>
  <r>
    <x v="2521"/>
    <x v="50"/>
    <s v="CUST1440"/>
    <s v="Nina Chen"/>
    <x v="1"/>
    <x v="1"/>
    <x v="6"/>
    <n v="2"/>
    <n v="50.96"/>
    <s v="Completed"/>
    <s v="Debit Card"/>
    <n v="101.92"/>
    <n v="3"/>
    <x v="0"/>
  </r>
  <r>
    <x v="2522"/>
    <x v="637"/>
    <s v="CUST1568"/>
    <s v="Budi Chen"/>
    <x v="0"/>
    <x v="1"/>
    <x v="18"/>
    <n v="1"/>
    <n v="51.02"/>
    <s v="Completed"/>
    <s v="Credit Card"/>
    <n v="51.02"/>
    <n v="5"/>
    <x v="0"/>
  </r>
  <r>
    <x v="2523"/>
    <x v="195"/>
    <s v="CUST1096"/>
    <s v="Michael Santos"/>
    <x v="1"/>
    <x v="3"/>
    <x v="16"/>
    <n v="2"/>
    <n v="51.02"/>
    <s v="Completed"/>
    <s v="PayPal"/>
    <n v="102.04"/>
    <n v="2"/>
    <x v="0"/>
  </r>
  <r>
    <x v="2524"/>
    <x v="193"/>
    <s v="CUST1794"/>
    <s v="Robert Halim"/>
    <x v="0"/>
    <x v="5"/>
    <x v="32"/>
    <n v="3"/>
    <n v="51.05"/>
    <s v="Completed"/>
    <s v="Gift Card"/>
    <n v="153.14999999999998"/>
    <n v="3"/>
    <x v="0"/>
  </r>
  <r>
    <x v="2525"/>
    <x v="341"/>
    <s v="CUST1863"/>
    <s v="David Pratama"/>
    <x v="0"/>
    <x v="6"/>
    <x v="39"/>
    <n v="1"/>
    <n v="51.06"/>
    <s v="Completed"/>
    <s v="Credit Card"/>
    <n v="51.06"/>
    <n v="6"/>
    <x v="0"/>
  </r>
  <r>
    <x v="2526"/>
    <x v="40"/>
    <s v="CUST1262"/>
    <s v="Robert Garcia"/>
    <x v="0"/>
    <x v="3"/>
    <x v="16"/>
    <n v="4"/>
    <n v="51.08"/>
    <s v="Completed"/>
    <s v="Credit Card"/>
    <n v="204.32"/>
    <n v="2"/>
    <x v="0"/>
  </r>
  <r>
    <x v="2527"/>
    <x v="229"/>
    <s v="CUST1162"/>
    <s v="Siti Smith"/>
    <x v="0"/>
    <x v="3"/>
    <x v="16"/>
    <n v="1"/>
    <n v="51.12"/>
    <s v="Completed"/>
    <s v="PayPal"/>
    <n v="51.12"/>
    <n v="4"/>
    <x v="0"/>
  </r>
  <r>
    <x v="2528"/>
    <x v="334"/>
    <s v="CUST1820"/>
    <s v="Maria Brown"/>
    <x v="0"/>
    <x v="5"/>
    <x v="32"/>
    <n v="1"/>
    <n v="51.16"/>
    <s v="Returned"/>
    <s v="PayPal"/>
    <n v="51.16"/>
    <n v="3"/>
    <x v="0"/>
  </r>
  <r>
    <x v="2529"/>
    <x v="533"/>
    <s v="CUST1067"/>
    <s v="Nina Halim"/>
    <x v="0"/>
    <x v="1"/>
    <x v="20"/>
    <n v="1"/>
    <n v="51.21"/>
    <s v="Completed"/>
    <s v="Credit Card"/>
    <n v="51.21"/>
    <n v="6"/>
    <x v="0"/>
  </r>
  <r>
    <x v="2530"/>
    <x v="141"/>
    <s v="CUST1866"/>
    <s v="Dewi Lee"/>
    <x v="1"/>
    <x v="3"/>
    <x v="16"/>
    <n v="1"/>
    <n v="51.32"/>
    <s v="Completed"/>
    <s v="Debit Card"/>
    <n v="51.32"/>
    <n v="4"/>
    <x v="0"/>
  </r>
  <r>
    <x v="2531"/>
    <x v="471"/>
    <s v="CUST1573"/>
    <s v="Putri Kurniawan"/>
    <x v="1"/>
    <x v="3"/>
    <x v="14"/>
    <n v="1"/>
    <n v="51.34"/>
    <s v="Completed"/>
    <s v="Credit Card"/>
    <n v="51.34"/>
    <n v="3"/>
    <x v="0"/>
  </r>
  <r>
    <x v="2532"/>
    <x v="343"/>
    <s v="CUST1575"/>
    <s v="Michael Halim"/>
    <x v="0"/>
    <x v="3"/>
    <x v="16"/>
    <n v="5"/>
    <n v="51.37"/>
    <s v="Cancelled"/>
    <s v="Credit Card"/>
    <n v="256.84999999999997"/>
    <n v="7"/>
    <x v="0"/>
  </r>
  <r>
    <x v="2533"/>
    <x v="305"/>
    <s v="CUST1362"/>
    <s v="Linda Taylor"/>
    <x v="1"/>
    <x v="1"/>
    <x v="17"/>
    <n v="1"/>
    <n v="51.43"/>
    <s v="Returned"/>
    <s v="Gift Card"/>
    <n v="51.43"/>
    <n v="4"/>
    <x v="0"/>
  </r>
  <r>
    <x v="2534"/>
    <x v="205"/>
    <s v="CUST1852"/>
    <s v="Putri Garcia"/>
    <x v="0"/>
    <x v="4"/>
    <x v="23"/>
    <n v="1"/>
    <n v="51.51"/>
    <s v="Completed"/>
    <s v="Debit Card"/>
    <n v="51.51"/>
    <n v="5"/>
    <x v="0"/>
  </r>
  <r>
    <x v="2535"/>
    <x v="214"/>
    <s v="CUST1051"/>
    <s v="Lisa Tan"/>
    <x v="0"/>
    <x v="3"/>
    <x v="14"/>
    <n v="1"/>
    <n v="51.53"/>
    <s v="Completed"/>
    <s v="PayPal"/>
    <n v="51.53"/>
    <n v="5"/>
    <x v="0"/>
  </r>
  <r>
    <x v="2536"/>
    <x v="33"/>
    <s v="CUST1654"/>
    <s v="John Smith"/>
    <x v="1"/>
    <x v="1"/>
    <x v="17"/>
    <n v="1"/>
    <n v="51.54"/>
    <s v="Completed"/>
    <s v="Credit Card"/>
    <n v="51.54"/>
    <n v="5"/>
    <x v="0"/>
  </r>
  <r>
    <x v="2537"/>
    <x v="538"/>
    <s v="CUST1721"/>
    <s v="Nina Wijaya"/>
    <x v="0"/>
    <x v="6"/>
    <x v="38"/>
    <n v="1"/>
    <n v="51.56"/>
    <s v="Completed"/>
    <s v="Debit Card"/>
    <n v="51.56"/>
    <n v="4"/>
    <x v="0"/>
  </r>
  <r>
    <x v="2538"/>
    <x v="354"/>
    <s v="CUST1332"/>
    <s v="Siti Johnson"/>
    <x v="1"/>
    <x v="3"/>
    <x v="16"/>
    <n v="1"/>
    <n v="51.6"/>
    <s v="Completed"/>
    <s v="PayPal"/>
    <n v="51.6"/>
    <n v="5"/>
    <x v="0"/>
  </r>
  <r>
    <x v="2539"/>
    <x v="388"/>
    <s v="CUST1572"/>
    <s v="Maria Yusuf"/>
    <x v="0"/>
    <x v="3"/>
    <x v="19"/>
    <n v="5"/>
    <n v="51.6"/>
    <s v="Cancelled"/>
    <s v="Debit Card"/>
    <n v="258"/>
    <n v="9"/>
    <x v="0"/>
  </r>
  <r>
    <x v="2540"/>
    <x v="91"/>
    <s v="CUST1355"/>
    <s v="Michael Garcia"/>
    <x v="0"/>
    <x v="4"/>
    <x v="27"/>
    <n v="1"/>
    <n v="51.67"/>
    <s v="Cancelled"/>
    <s v="Credit Card"/>
    <n v="51.67"/>
    <n v="3"/>
    <x v="0"/>
  </r>
  <r>
    <x v="2541"/>
    <x v="44"/>
    <s v="CUST1849"/>
    <s v="Putri Santos"/>
    <x v="1"/>
    <x v="5"/>
    <x v="29"/>
    <n v="1"/>
    <n v="51.67"/>
    <s v="Returned"/>
    <s v="Gift Card"/>
    <n v="51.67"/>
    <n v="3"/>
    <x v="0"/>
  </r>
  <r>
    <x v="2542"/>
    <x v="441"/>
    <s v="CUST1385"/>
    <s v="Michael Lee"/>
    <x v="0"/>
    <x v="3"/>
    <x v="14"/>
    <n v="1"/>
    <n v="51.69"/>
    <s v="Completed"/>
    <s v="Gift Card"/>
    <n v="51.69"/>
    <n v="7"/>
    <x v="0"/>
  </r>
  <r>
    <x v="2543"/>
    <x v="284"/>
    <s v="CUST1663"/>
    <s v="Lisa Pratama"/>
    <x v="0"/>
    <x v="3"/>
    <x v="14"/>
    <n v="2"/>
    <n v="51.74"/>
    <s v="Completed"/>
    <s v="Unknown"/>
    <n v="103.48"/>
    <n v="2"/>
    <x v="0"/>
  </r>
  <r>
    <x v="2544"/>
    <x v="569"/>
    <s v="CUST1448"/>
    <s v="Maria Halim"/>
    <x v="0"/>
    <x v="3"/>
    <x v="13"/>
    <n v="2"/>
    <n v="51.76"/>
    <s v="Completed"/>
    <s v="Debit Card"/>
    <n v="103.52"/>
    <n v="7"/>
    <x v="0"/>
  </r>
  <r>
    <x v="2545"/>
    <x v="190"/>
    <s v="CUST1584"/>
    <s v="John Garcia"/>
    <x v="0"/>
    <x v="1"/>
    <x v="20"/>
    <n v="1"/>
    <n v="51.78"/>
    <s v="Completed"/>
    <s v="Credit Card"/>
    <n v="51.78"/>
    <n v="5"/>
    <x v="0"/>
  </r>
  <r>
    <x v="2546"/>
    <x v="361"/>
    <s v="CUST1584"/>
    <s v="John Garcia"/>
    <x v="0"/>
    <x v="5"/>
    <x v="28"/>
    <n v="3"/>
    <n v="51.8"/>
    <s v="Completed"/>
    <s v="Credit Card"/>
    <n v="155.39999999999998"/>
    <n v="5"/>
    <x v="0"/>
  </r>
  <r>
    <x v="2547"/>
    <x v="315"/>
    <s v="CUST1608"/>
    <s v="Dewi Lee"/>
    <x v="0"/>
    <x v="3"/>
    <x v="14"/>
    <n v="1"/>
    <n v="51.98"/>
    <s v="Cancelled"/>
    <s v="Debit Card"/>
    <n v="51.98"/>
    <n v="5"/>
    <x v="0"/>
  </r>
  <r>
    <x v="2548"/>
    <x v="708"/>
    <s v="CUST1303"/>
    <s v="James Wilson"/>
    <x v="1"/>
    <x v="4"/>
    <x v="26"/>
    <n v="1"/>
    <n v="52.06"/>
    <s v="Completed"/>
    <s v="Gift Card"/>
    <n v="52.06"/>
    <n v="4"/>
    <x v="0"/>
  </r>
  <r>
    <x v="2549"/>
    <x v="384"/>
    <s v="CUST1428"/>
    <s v="Andi Chen"/>
    <x v="0"/>
    <x v="4"/>
    <x v="25"/>
    <n v="1"/>
    <n v="52.08"/>
    <s v="Completed"/>
    <s v="Debit Card"/>
    <n v="52.08"/>
    <n v="7"/>
    <x v="0"/>
  </r>
  <r>
    <x v="2550"/>
    <x v="711"/>
    <s v="CUST1786"/>
    <s v="Siti Brown"/>
    <x v="3"/>
    <x v="3"/>
    <x v="12"/>
    <n v="1"/>
    <n v="52.11"/>
    <s v="Completed"/>
    <s v="PayPal"/>
    <n v="52.11"/>
    <n v="4"/>
    <x v="0"/>
  </r>
  <r>
    <x v="2551"/>
    <x v="712"/>
    <s v="CUST1168"/>
    <s v="Linda Nugroho"/>
    <x v="0"/>
    <x v="1"/>
    <x v="6"/>
    <n v="2"/>
    <n v="52.11"/>
    <s v="Completed"/>
    <s v="Debit Card"/>
    <n v="104.22"/>
    <n v="4"/>
    <x v="0"/>
  </r>
  <r>
    <x v="2552"/>
    <x v="665"/>
    <s v="CUST1712"/>
    <s v="David Nugroho"/>
    <x v="0"/>
    <x v="6"/>
    <x v="40"/>
    <n v="2"/>
    <n v="52.15"/>
    <s v="Completed"/>
    <s v="Gift Card"/>
    <n v="104.3"/>
    <n v="7"/>
    <x v="0"/>
  </r>
  <r>
    <x v="2553"/>
    <x v="573"/>
    <s v="CUST1464"/>
    <s v="Dewi Taylor"/>
    <x v="0"/>
    <x v="5"/>
    <x v="34"/>
    <n v="2"/>
    <n v="52.15"/>
    <s v="Returned"/>
    <s v="Credit Card"/>
    <n v="104.3"/>
    <n v="6"/>
    <x v="0"/>
  </r>
  <r>
    <x v="2554"/>
    <x v="422"/>
    <s v="CUST1457"/>
    <s v="David Johnson"/>
    <x v="0"/>
    <x v="1"/>
    <x v="17"/>
    <n v="1"/>
    <n v="52.16"/>
    <s v="Completed"/>
    <s v="Gift Card"/>
    <n v="52.16"/>
    <n v="4"/>
    <x v="0"/>
  </r>
  <r>
    <x v="2555"/>
    <x v="282"/>
    <s v="CUST1547"/>
    <s v="Andi Tan"/>
    <x v="1"/>
    <x v="4"/>
    <x v="27"/>
    <n v="1"/>
    <n v="52.18"/>
    <s v="Completed"/>
    <s v="Unknown"/>
    <n v="52.18"/>
    <n v="4"/>
    <x v="0"/>
  </r>
  <r>
    <x v="2556"/>
    <x v="427"/>
    <s v="CUST1341"/>
    <s v="Fajar Wijaya"/>
    <x v="0"/>
    <x v="3"/>
    <x v="12"/>
    <n v="3"/>
    <n v="52.21"/>
    <s v="Completed"/>
    <s v="Gift Card"/>
    <n v="156.63"/>
    <n v="6"/>
    <x v="0"/>
  </r>
  <r>
    <x v="2557"/>
    <x v="713"/>
    <s v="CUST1375"/>
    <s v="Robert Garcia"/>
    <x v="0"/>
    <x v="5"/>
    <x v="28"/>
    <n v="1"/>
    <n v="52.24"/>
    <s v="Completed"/>
    <s v="Gift Card"/>
    <n v="52.24"/>
    <n v="5"/>
    <x v="0"/>
  </r>
  <r>
    <x v="2558"/>
    <x v="135"/>
    <s v="CUST1525"/>
    <s v="Michael Anderson"/>
    <x v="0"/>
    <x v="3"/>
    <x v="12"/>
    <n v="1"/>
    <n v="52.29"/>
    <s v="Completed"/>
    <s v="Gift Card"/>
    <n v="52.29"/>
    <n v="4"/>
    <x v="0"/>
  </r>
  <r>
    <x v="2559"/>
    <x v="334"/>
    <s v="CUST1189"/>
    <s v="Ahmad Kurniawan"/>
    <x v="1"/>
    <x v="6"/>
    <x v="38"/>
    <n v="1"/>
    <n v="52.32"/>
    <s v="Completed"/>
    <s v="Gift Card"/>
    <n v="52.32"/>
    <n v="6"/>
    <x v="0"/>
  </r>
  <r>
    <x v="2560"/>
    <x v="143"/>
    <s v="CUST1727"/>
    <s v="Nina Brown"/>
    <x v="1"/>
    <x v="1"/>
    <x v="9"/>
    <n v="2"/>
    <n v="52.35"/>
    <s v="Completed"/>
    <s v="Debit Card"/>
    <n v="104.7"/>
    <n v="1"/>
    <x v="1"/>
  </r>
  <r>
    <x v="2561"/>
    <x v="665"/>
    <s v="CUST1231"/>
    <s v="Dewi Smith"/>
    <x v="1"/>
    <x v="5"/>
    <x v="28"/>
    <n v="2"/>
    <n v="52.36"/>
    <s v="Completed"/>
    <s v="Debit Card"/>
    <n v="104.72"/>
    <n v="3"/>
    <x v="0"/>
  </r>
  <r>
    <x v="2562"/>
    <x v="52"/>
    <s v="CUST1785"/>
    <s v="Maria Nugroho"/>
    <x v="0"/>
    <x v="3"/>
    <x v="13"/>
    <n v="1"/>
    <n v="52.39"/>
    <s v="Completed"/>
    <s v="Debit Card"/>
    <n v="52.39"/>
    <n v="5"/>
    <x v="0"/>
  </r>
  <r>
    <x v="2563"/>
    <x v="552"/>
    <s v="CUST1743"/>
    <s v="Linda Chen"/>
    <x v="0"/>
    <x v="3"/>
    <x v="13"/>
    <n v="1"/>
    <n v="52.42"/>
    <s v="Pending"/>
    <s v="PayPal"/>
    <n v="52.42"/>
    <n v="5"/>
    <x v="0"/>
  </r>
  <r>
    <x v="2564"/>
    <x v="257"/>
    <s v="CUST1298"/>
    <s v="Dewi Anderson"/>
    <x v="0"/>
    <x v="3"/>
    <x v="12"/>
    <n v="2"/>
    <n v="52.46"/>
    <s v="Completed"/>
    <s v="PayPal"/>
    <n v="104.92"/>
    <n v="7"/>
    <x v="0"/>
  </r>
  <r>
    <x v="2565"/>
    <x v="322"/>
    <s v="CUST1087"/>
    <s v="Linda Tan"/>
    <x v="0"/>
    <x v="3"/>
    <x v="13"/>
    <n v="5"/>
    <n v="52.46"/>
    <s v="Returned"/>
    <s v="Gift Card"/>
    <n v="262.3"/>
    <n v="7"/>
    <x v="0"/>
  </r>
  <r>
    <x v="2566"/>
    <x v="168"/>
    <s v="CUST1810"/>
    <s v="Dewi Salim"/>
    <x v="1"/>
    <x v="4"/>
    <x v="22"/>
    <n v="5"/>
    <n v="52.47"/>
    <s v="Completed"/>
    <s v="Debit Card"/>
    <n v="262.35000000000002"/>
    <n v="4"/>
    <x v="0"/>
  </r>
  <r>
    <x v="2567"/>
    <x v="383"/>
    <s v="CUST1385"/>
    <s v="Michael Lee"/>
    <x v="0"/>
    <x v="4"/>
    <x v="23"/>
    <n v="3"/>
    <n v="52.49"/>
    <s v="Completed"/>
    <s v="Debit Card"/>
    <n v="157.47"/>
    <n v="7"/>
    <x v="0"/>
  </r>
  <r>
    <x v="2568"/>
    <x v="474"/>
    <s v="CUST1725"/>
    <s v="Nina Pratama"/>
    <x v="3"/>
    <x v="3"/>
    <x v="12"/>
    <n v="1"/>
    <n v="52.5"/>
    <s v="Completed"/>
    <s v="Credit Card"/>
    <n v="52.5"/>
    <n v="3"/>
    <x v="0"/>
  </r>
  <r>
    <x v="2569"/>
    <x v="532"/>
    <s v="CUST1007"/>
    <s v="Budi Garcia"/>
    <x v="0"/>
    <x v="5"/>
    <x v="30"/>
    <n v="3"/>
    <n v="52.53"/>
    <s v="Completed"/>
    <s v="Unknown"/>
    <n v="157.59"/>
    <n v="5"/>
    <x v="0"/>
  </r>
  <r>
    <x v="2570"/>
    <x v="276"/>
    <s v="CUST1725"/>
    <s v="Nina Pratama"/>
    <x v="3"/>
    <x v="1"/>
    <x v="20"/>
    <n v="2"/>
    <n v="52.61"/>
    <s v="Completed"/>
    <s v="Credit Card"/>
    <n v="105.22"/>
    <n v="3"/>
    <x v="0"/>
  </r>
  <r>
    <x v="2571"/>
    <x v="488"/>
    <s v="CUST1104"/>
    <s v="Sarah Tan"/>
    <x v="0"/>
    <x v="5"/>
    <x v="30"/>
    <n v="1"/>
    <n v="52.65"/>
    <s v="Completed"/>
    <s v="Unknown"/>
    <n v="52.65"/>
    <n v="6"/>
    <x v="0"/>
  </r>
  <r>
    <x v="2572"/>
    <x v="529"/>
    <s v="CUST1442"/>
    <s v="Andi Lee"/>
    <x v="0"/>
    <x v="4"/>
    <x v="22"/>
    <n v="1"/>
    <n v="52.65"/>
    <s v="Completed"/>
    <s v="Credit Card"/>
    <n v="52.65"/>
    <n v="4"/>
    <x v="0"/>
  </r>
  <r>
    <x v="2573"/>
    <x v="228"/>
    <s v="CUST1084"/>
    <s v="Ahmad Anderson"/>
    <x v="0"/>
    <x v="1"/>
    <x v="17"/>
    <n v="1"/>
    <n v="52.65"/>
    <s v="Completed"/>
    <s v="Debit Card"/>
    <n v="52.65"/>
    <n v="4"/>
    <x v="0"/>
  </r>
  <r>
    <x v="2574"/>
    <x v="92"/>
    <s v="CUST1839"/>
    <s v="John Tan"/>
    <x v="0"/>
    <x v="3"/>
    <x v="13"/>
    <n v="1"/>
    <n v="52.67"/>
    <s v="Completed"/>
    <s v="Debit Card"/>
    <n v="52.67"/>
    <n v="10"/>
    <x v="0"/>
  </r>
  <r>
    <x v="2575"/>
    <x v="360"/>
    <s v="CUST1007"/>
    <s v="Budi Garcia"/>
    <x v="0"/>
    <x v="6"/>
    <x v="41"/>
    <n v="1"/>
    <n v="52.71"/>
    <s v="Pending"/>
    <s v="PayPal"/>
    <n v="52.71"/>
    <n v="5"/>
    <x v="0"/>
  </r>
  <r>
    <x v="2576"/>
    <x v="467"/>
    <s v="CUST1306"/>
    <s v="John Chen"/>
    <x v="0"/>
    <x v="4"/>
    <x v="22"/>
    <n v="1"/>
    <n v="52.79"/>
    <s v="Completed"/>
    <s v="PayPal"/>
    <n v="52.79"/>
    <n v="5"/>
    <x v="0"/>
  </r>
  <r>
    <x v="2577"/>
    <x v="256"/>
    <s v="CUST1895"/>
    <s v="Michael Johnson"/>
    <x v="0"/>
    <x v="6"/>
    <x v="41"/>
    <n v="2"/>
    <n v="52.8"/>
    <s v="Completed"/>
    <s v="Gift Card"/>
    <n v="105.6"/>
    <n v="8"/>
    <x v="0"/>
  </r>
  <r>
    <x v="2578"/>
    <x v="189"/>
    <s v="CUST1252"/>
    <s v="Ayu Brown"/>
    <x v="0"/>
    <x v="3"/>
    <x v="12"/>
    <n v="1"/>
    <n v="52.84"/>
    <s v="Completed"/>
    <s v="Gift Card"/>
    <n v="52.84"/>
    <n v="4"/>
    <x v="0"/>
  </r>
  <r>
    <x v="2579"/>
    <x v="51"/>
    <s v="CUST1118"/>
    <s v="Budi Anderson"/>
    <x v="0"/>
    <x v="1"/>
    <x v="5"/>
    <n v="4"/>
    <n v="52.86"/>
    <s v="Pending"/>
    <s v="Debit Card"/>
    <n v="211.44"/>
    <n v="4"/>
    <x v="0"/>
  </r>
  <r>
    <x v="2580"/>
    <x v="533"/>
    <s v="CUST1572"/>
    <s v="Maria Yusuf"/>
    <x v="0"/>
    <x v="3"/>
    <x v="16"/>
    <n v="2"/>
    <n v="52.88"/>
    <s v="Cancelled"/>
    <s v="Credit Card"/>
    <n v="105.76"/>
    <n v="9"/>
    <x v="0"/>
  </r>
  <r>
    <x v="2581"/>
    <x v="54"/>
    <s v="CUST1630"/>
    <s v="John Kurniawan"/>
    <x v="0"/>
    <x v="1"/>
    <x v="17"/>
    <n v="3"/>
    <n v="52.88"/>
    <s v="Cancelled"/>
    <s v="PayPal"/>
    <n v="158.64000000000001"/>
    <n v="6"/>
    <x v="0"/>
  </r>
  <r>
    <x v="2582"/>
    <x v="407"/>
    <s v="CUST1287"/>
    <s v="John Pratama"/>
    <x v="1"/>
    <x v="1"/>
    <x v="17"/>
    <n v="1"/>
    <n v="52.890520833333333"/>
    <s v="Pending"/>
    <s v="PayPal"/>
    <n v="52.890520833333333"/>
    <n v="4"/>
    <x v="0"/>
  </r>
  <r>
    <x v="2583"/>
    <x v="524"/>
    <s v="CUST1535"/>
    <s v="Maria Brown"/>
    <x v="0"/>
    <x v="1"/>
    <x v="17"/>
    <n v="1"/>
    <n v="52.890520833333333"/>
    <s v="Completed"/>
    <s v="PayPal"/>
    <n v="52.890520833333333"/>
    <n v="5"/>
    <x v="0"/>
  </r>
  <r>
    <x v="2584"/>
    <x v="402"/>
    <s v="CUST1799"/>
    <s v="Robert Hidayat"/>
    <x v="1"/>
    <x v="1"/>
    <x v="17"/>
    <n v="2"/>
    <n v="52.890520833333333"/>
    <s v="Completed"/>
    <s v="PayPal"/>
    <n v="105.78104166666667"/>
    <n v="7"/>
    <x v="0"/>
  </r>
  <r>
    <x v="2585"/>
    <x v="57"/>
    <s v="CUST1735"/>
    <s v="Maria Halim"/>
    <x v="0"/>
    <x v="1"/>
    <x v="17"/>
    <n v="2"/>
    <n v="52.890520833333333"/>
    <s v="Completed"/>
    <s v="PayPal"/>
    <n v="105.78104166666667"/>
    <n v="5"/>
    <x v="0"/>
  </r>
  <r>
    <x v="2586"/>
    <x v="168"/>
    <s v="CUST1133"/>
    <s v="Andi Hidayat"/>
    <x v="0"/>
    <x v="1"/>
    <x v="18"/>
    <n v="2"/>
    <n v="52.92"/>
    <s v="Completed"/>
    <s v="Credit Card"/>
    <n v="105.84"/>
    <n v="7"/>
    <x v="0"/>
  </r>
  <r>
    <x v="2587"/>
    <x v="348"/>
    <s v="CUST1222"/>
    <s v="Dewi Sari"/>
    <x v="0"/>
    <x v="3"/>
    <x v="12"/>
    <n v="3"/>
    <n v="52.94"/>
    <s v="Completed"/>
    <s v="Debit Card"/>
    <n v="158.82"/>
    <n v="9"/>
    <x v="0"/>
  </r>
  <r>
    <x v="2588"/>
    <x v="642"/>
    <s v="CUST1806"/>
    <s v="Ahmad Hidayat"/>
    <x v="0"/>
    <x v="5"/>
    <x v="33"/>
    <n v="2"/>
    <n v="52.95"/>
    <s v="Cancelled"/>
    <s v="Gift Card"/>
    <n v="105.9"/>
    <n v="3"/>
    <x v="0"/>
  </r>
  <r>
    <x v="2589"/>
    <x v="481"/>
    <s v="CUST1297"/>
    <s v="Nina Wilson"/>
    <x v="0"/>
    <x v="1"/>
    <x v="18"/>
    <n v="3"/>
    <n v="53.02"/>
    <s v="Completed"/>
    <s v="PayPal"/>
    <n v="159.06"/>
    <n v="5"/>
    <x v="0"/>
  </r>
  <r>
    <x v="2590"/>
    <x v="714"/>
    <s v="CUST1834"/>
    <s v="Andi Nugroho"/>
    <x v="0"/>
    <x v="3"/>
    <x v="19"/>
    <n v="1"/>
    <n v="53.1"/>
    <s v="Completed"/>
    <s v="PayPal"/>
    <n v="53.1"/>
    <n v="12"/>
    <x v="0"/>
  </r>
  <r>
    <x v="2591"/>
    <x v="145"/>
    <s v="CUST1039"/>
    <s v="Robert Tan"/>
    <x v="0"/>
    <x v="4"/>
    <x v="27"/>
    <n v="1"/>
    <n v="53.14"/>
    <s v="Completed"/>
    <s v="Debit Card"/>
    <n v="53.14"/>
    <n v="7"/>
    <x v="0"/>
  </r>
  <r>
    <x v="2592"/>
    <x v="517"/>
    <s v="CUST1413"/>
    <s v="Dewi Chen"/>
    <x v="1"/>
    <x v="4"/>
    <x v="23"/>
    <n v="1"/>
    <n v="53.15"/>
    <s v="Completed"/>
    <s v="PayPal"/>
    <n v="53.15"/>
    <n v="3"/>
    <x v="0"/>
  </r>
  <r>
    <x v="2593"/>
    <x v="261"/>
    <s v="CUST1537"/>
    <s v="Putri Sari"/>
    <x v="1"/>
    <x v="1"/>
    <x v="17"/>
    <n v="2"/>
    <n v="53.18"/>
    <s v="Completed"/>
    <s v="PayPal"/>
    <n v="106.36"/>
    <n v="5"/>
    <x v="0"/>
  </r>
  <r>
    <x v="2594"/>
    <x v="129"/>
    <s v="CUST1169"/>
    <s v="Lisa Hidayat"/>
    <x v="1"/>
    <x v="3"/>
    <x v="19"/>
    <n v="1"/>
    <n v="53.2"/>
    <s v="Completed"/>
    <s v="Gift Card"/>
    <n v="53.2"/>
    <n v="5"/>
    <x v="0"/>
  </r>
  <r>
    <x v="2595"/>
    <x v="387"/>
    <s v="CUST1083"/>
    <s v="Ahmad Taylor"/>
    <x v="0"/>
    <x v="4"/>
    <x v="22"/>
    <n v="1"/>
    <n v="53.26"/>
    <s v="Completed"/>
    <s v="Credit Card"/>
    <n v="53.26"/>
    <n v="1"/>
    <x v="1"/>
  </r>
  <r>
    <x v="2596"/>
    <x v="444"/>
    <s v="CUST1573"/>
    <s v="Putri Kurniawan"/>
    <x v="1"/>
    <x v="1"/>
    <x v="17"/>
    <n v="1"/>
    <n v="53.34"/>
    <s v="Completed"/>
    <s v="Gift Card"/>
    <n v="53.34"/>
    <n v="3"/>
    <x v="0"/>
  </r>
  <r>
    <x v="2597"/>
    <x v="204"/>
    <s v="CUST1824"/>
    <s v="Linda Chen"/>
    <x v="0"/>
    <x v="1"/>
    <x v="18"/>
    <n v="1"/>
    <n v="53.348859649122844"/>
    <s v="Cancelled"/>
    <s v="PayPal"/>
    <n v="53.348859649122844"/>
    <n v="6"/>
    <x v="0"/>
  </r>
  <r>
    <x v="2598"/>
    <x v="468"/>
    <s v="CUST1620"/>
    <s v="Budi Chen"/>
    <x v="0"/>
    <x v="1"/>
    <x v="18"/>
    <n v="4"/>
    <n v="53.348859649122844"/>
    <s v="Completed"/>
    <s v="PayPal"/>
    <n v="213.39543859649137"/>
    <n v="4"/>
    <x v="0"/>
  </r>
  <r>
    <x v="2599"/>
    <x v="466"/>
    <s v="CUST1723"/>
    <s v="Ayu Wijaya"/>
    <x v="0"/>
    <x v="5"/>
    <x v="33"/>
    <n v="1"/>
    <n v="53.35"/>
    <s v="Completed"/>
    <s v="Debit Card"/>
    <n v="53.35"/>
    <n v="5"/>
    <x v="0"/>
  </r>
  <r>
    <x v="2600"/>
    <x v="33"/>
    <s v="CUST1194"/>
    <s v="Maria Hidayat"/>
    <x v="0"/>
    <x v="6"/>
    <x v="42"/>
    <n v="1"/>
    <n v="53.35"/>
    <s v="Completed"/>
    <s v="Gift Card"/>
    <n v="53.35"/>
    <n v="8"/>
    <x v="0"/>
  </r>
  <r>
    <x v="2601"/>
    <x v="336"/>
    <s v="CUST1731"/>
    <s v="Robert Anderson"/>
    <x v="3"/>
    <x v="4"/>
    <x v="21"/>
    <n v="2"/>
    <n v="53.37"/>
    <s v="Completed"/>
    <s v="Credit Card"/>
    <n v="106.74"/>
    <n v="3"/>
    <x v="0"/>
  </r>
  <r>
    <x v="2602"/>
    <x v="188"/>
    <s v="CUST1611"/>
    <s v="Maria Sari"/>
    <x v="0"/>
    <x v="3"/>
    <x v="19"/>
    <n v="1"/>
    <n v="53.39"/>
    <s v="Completed"/>
    <s v="Credit Card"/>
    <n v="53.39"/>
    <n v="10"/>
    <x v="0"/>
  </r>
  <r>
    <x v="2603"/>
    <x v="278"/>
    <s v="CUST1253"/>
    <s v="Ahmad Garcia"/>
    <x v="0"/>
    <x v="4"/>
    <x v="23"/>
    <n v="1"/>
    <n v="53.42"/>
    <s v="Cancelled"/>
    <s v="Gift Card"/>
    <n v="53.42"/>
    <n v="5"/>
    <x v="0"/>
  </r>
  <r>
    <x v="2604"/>
    <x v="168"/>
    <s v="CUST1721"/>
    <s v="Nina Wijaya"/>
    <x v="0"/>
    <x v="3"/>
    <x v="16"/>
    <n v="2"/>
    <n v="53.42"/>
    <s v="Completed"/>
    <s v="Credit Card"/>
    <n v="106.84"/>
    <n v="4"/>
    <x v="0"/>
  </r>
  <r>
    <x v="2605"/>
    <x v="632"/>
    <s v="CUST1596"/>
    <s v="Ayu Garcia"/>
    <x v="0"/>
    <x v="3"/>
    <x v="14"/>
    <n v="1"/>
    <n v="53.43"/>
    <s v="Completed"/>
    <s v="Credit Card"/>
    <n v="53.43"/>
    <n v="8"/>
    <x v="0"/>
  </r>
  <r>
    <x v="2606"/>
    <x v="650"/>
    <s v="CUST1521"/>
    <s v="John Smith"/>
    <x v="0"/>
    <x v="3"/>
    <x v="12"/>
    <n v="1"/>
    <n v="53.45"/>
    <s v="Completed"/>
    <s v="Credit Card"/>
    <n v="53.45"/>
    <n v="4"/>
    <x v="0"/>
  </r>
  <r>
    <x v="2607"/>
    <x v="182"/>
    <s v="CUST1652"/>
    <s v="Ahmad Smith"/>
    <x v="1"/>
    <x v="3"/>
    <x v="16"/>
    <n v="1"/>
    <n v="53.48"/>
    <s v="Completed"/>
    <s v="PayPal"/>
    <n v="53.48"/>
    <n v="3"/>
    <x v="0"/>
  </r>
  <r>
    <x v="2608"/>
    <x v="328"/>
    <s v="CUST1116"/>
    <s v="Michael Lee"/>
    <x v="0"/>
    <x v="3"/>
    <x v="12"/>
    <n v="1"/>
    <n v="53.5"/>
    <s v="Completed"/>
    <s v="Gift Card"/>
    <n v="53.5"/>
    <n v="4"/>
    <x v="0"/>
  </r>
  <r>
    <x v="2609"/>
    <x v="141"/>
    <s v="CUST1656"/>
    <s v="Ayu Yusuf"/>
    <x v="1"/>
    <x v="1"/>
    <x v="9"/>
    <n v="1"/>
    <n v="53.53"/>
    <s v="Completed"/>
    <s v="Gift Card"/>
    <n v="53.53"/>
    <n v="4"/>
    <x v="0"/>
  </r>
  <r>
    <x v="2610"/>
    <x v="235"/>
    <s v="CUST1251"/>
    <s v="Nina Salim"/>
    <x v="0"/>
    <x v="4"/>
    <x v="26"/>
    <n v="1"/>
    <n v="53.63"/>
    <s v="Completed"/>
    <s v="Debit Card"/>
    <n v="53.63"/>
    <n v="8"/>
    <x v="0"/>
  </r>
  <r>
    <x v="2611"/>
    <x v="450"/>
    <s v="CUST1746"/>
    <s v="Siti Garcia"/>
    <x v="0"/>
    <x v="1"/>
    <x v="20"/>
    <n v="2"/>
    <n v="53.63"/>
    <s v="Completed"/>
    <s v="Debit Card"/>
    <n v="107.26"/>
    <n v="7"/>
    <x v="0"/>
  </r>
  <r>
    <x v="2612"/>
    <x v="508"/>
    <s v="CUST1241"/>
    <s v="Fajar Hidayat"/>
    <x v="0"/>
    <x v="3"/>
    <x v="19"/>
    <n v="1"/>
    <n v="53.67"/>
    <s v="Completed"/>
    <s v="Debit Card"/>
    <n v="53.67"/>
    <n v="4"/>
    <x v="0"/>
  </r>
  <r>
    <x v="2613"/>
    <x v="547"/>
    <s v="CUST1831"/>
    <s v="Sarah Hidayat"/>
    <x v="0"/>
    <x v="1"/>
    <x v="17"/>
    <n v="1"/>
    <n v="53.67"/>
    <s v="Completed"/>
    <s v="Gift Card"/>
    <n v="53.67"/>
    <n v="5"/>
    <x v="0"/>
  </r>
  <r>
    <x v="2614"/>
    <x v="340"/>
    <s v="CUST1566"/>
    <s v="Sarah Chen"/>
    <x v="1"/>
    <x v="3"/>
    <x v="13"/>
    <n v="1"/>
    <n v="53.72"/>
    <s v="Completed"/>
    <s v="Debit Card"/>
    <n v="53.72"/>
    <n v="2"/>
    <x v="0"/>
  </r>
  <r>
    <x v="2615"/>
    <x v="41"/>
    <s v="CUST1823"/>
    <s v="John Johnson"/>
    <x v="3"/>
    <x v="3"/>
    <x v="13"/>
    <n v="2"/>
    <n v="53.75"/>
    <s v="Cancelled"/>
    <s v="Debit Card"/>
    <n v="107.5"/>
    <n v="3"/>
    <x v="0"/>
  </r>
  <r>
    <x v="2616"/>
    <x v="547"/>
    <s v="CUST1237"/>
    <s v="Nina Anderson"/>
    <x v="0"/>
    <x v="4"/>
    <x v="27"/>
    <n v="2"/>
    <n v="53.77"/>
    <s v="Completed"/>
    <s v="Debit Card"/>
    <n v="107.54"/>
    <n v="5"/>
    <x v="0"/>
  </r>
  <r>
    <x v="2617"/>
    <x v="491"/>
    <s v="CUST1272"/>
    <s v="Michael Nugroho"/>
    <x v="3"/>
    <x v="6"/>
    <x v="36"/>
    <n v="2"/>
    <n v="53.77"/>
    <s v="Completed"/>
    <s v="Debit Card"/>
    <n v="107.54"/>
    <n v="2"/>
    <x v="0"/>
  </r>
  <r>
    <x v="2618"/>
    <x v="574"/>
    <s v="CUST1635"/>
    <s v="Sarah Yusuf"/>
    <x v="3"/>
    <x v="4"/>
    <x v="26"/>
    <n v="3"/>
    <n v="53.78"/>
    <s v="Completed"/>
    <s v="Credit Card"/>
    <n v="161.34"/>
    <n v="3"/>
    <x v="0"/>
  </r>
  <r>
    <x v="2619"/>
    <x v="105"/>
    <s v="CUST1172"/>
    <s v="Nina Lee"/>
    <x v="0"/>
    <x v="6"/>
    <x v="41"/>
    <n v="1"/>
    <n v="53.79"/>
    <s v="Completed"/>
    <s v="Unknown"/>
    <n v="53.79"/>
    <n v="8"/>
    <x v="0"/>
  </r>
  <r>
    <x v="2620"/>
    <x v="627"/>
    <s v="CUST1241"/>
    <s v="Fajar Hidayat"/>
    <x v="0"/>
    <x v="1"/>
    <x v="9"/>
    <n v="2"/>
    <n v="53.79"/>
    <s v="Completed"/>
    <s v="Credit Card"/>
    <n v="107.58"/>
    <n v="4"/>
    <x v="0"/>
  </r>
  <r>
    <x v="2621"/>
    <x v="427"/>
    <s v="CUST1748"/>
    <s v="Robert Salim"/>
    <x v="0"/>
    <x v="4"/>
    <x v="25"/>
    <n v="2"/>
    <n v="53.87"/>
    <s v="Pending"/>
    <s v="Debit Card"/>
    <n v="107.74"/>
    <n v="3"/>
    <x v="0"/>
  </r>
  <r>
    <x v="2622"/>
    <x v="396"/>
    <s v="CUST1888"/>
    <s v="Putri Tan"/>
    <x v="0"/>
    <x v="3"/>
    <x v="13"/>
    <n v="1"/>
    <n v="53.88"/>
    <s v="Completed"/>
    <s v="PayPal"/>
    <n v="53.88"/>
    <n v="6"/>
    <x v="0"/>
  </r>
  <r>
    <x v="2623"/>
    <x v="30"/>
    <s v="CUST1734"/>
    <s v="Ahmad Wilson"/>
    <x v="0"/>
    <x v="4"/>
    <x v="24"/>
    <n v="1"/>
    <n v="53.93"/>
    <s v="Cancelled"/>
    <s v="Credit Card"/>
    <n v="53.93"/>
    <n v="8"/>
    <x v="0"/>
  </r>
  <r>
    <x v="2624"/>
    <x v="335"/>
    <s v="CUST1239"/>
    <s v="Dewi Wilson"/>
    <x v="0"/>
    <x v="5"/>
    <x v="29"/>
    <n v="1"/>
    <n v="53.95"/>
    <s v="Returned"/>
    <s v="Gift Card"/>
    <n v="53.95"/>
    <n v="4"/>
    <x v="0"/>
  </r>
  <r>
    <x v="2625"/>
    <x v="552"/>
    <s v="CUST1863"/>
    <s v="David Pratama"/>
    <x v="0"/>
    <x v="4"/>
    <x v="24"/>
    <n v="1"/>
    <n v="53.98"/>
    <s v="Cancelled"/>
    <s v="PayPal"/>
    <n v="53.98"/>
    <n v="6"/>
    <x v="0"/>
  </r>
  <r>
    <x v="2626"/>
    <x v="212"/>
    <s v="CUST1307"/>
    <s v="Lisa Santos"/>
    <x v="3"/>
    <x v="3"/>
    <x v="16"/>
    <n v="1"/>
    <n v="53.98"/>
    <s v="Completed"/>
    <s v="Credit Card"/>
    <n v="53.98"/>
    <n v="3"/>
    <x v="0"/>
  </r>
  <r>
    <x v="2627"/>
    <x v="397"/>
    <s v="CUST1594"/>
    <s v="James Chen"/>
    <x v="0"/>
    <x v="6"/>
    <x v="37"/>
    <n v="2"/>
    <n v="53.99"/>
    <s v="Completed"/>
    <s v="Credit Card"/>
    <n v="107.98"/>
    <n v="4"/>
    <x v="0"/>
  </r>
  <r>
    <x v="2628"/>
    <x v="472"/>
    <s v="CUST1250"/>
    <s v="Linda Smith"/>
    <x v="0"/>
    <x v="3"/>
    <x v="16"/>
    <n v="4"/>
    <n v="54.01"/>
    <s v="Completed"/>
    <s v="Debit Card"/>
    <n v="216.04"/>
    <n v="6"/>
    <x v="0"/>
  </r>
  <r>
    <x v="2629"/>
    <x v="354"/>
    <s v="CUST1885"/>
    <s v="Lisa Santos"/>
    <x v="0"/>
    <x v="1"/>
    <x v="17"/>
    <n v="1"/>
    <n v="54.25"/>
    <s v="Completed"/>
    <s v="Gift Card"/>
    <n v="54.25"/>
    <n v="6"/>
    <x v="0"/>
  </r>
  <r>
    <x v="2630"/>
    <x v="24"/>
    <s v="CUST1639"/>
    <s v="Dewi Salim"/>
    <x v="1"/>
    <x v="6"/>
    <x v="39"/>
    <n v="1"/>
    <n v="54.32"/>
    <s v="Completed"/>
    <s v="Gift Card"/>
    <n v="54.32"/>
    <n v="7"/>
    <x v="0"/>
  </r>
  <r>
    <x v="2631"/>
    <x v="76"/>
    <s v="CUST1104"/>
    <s v="Sarah Tan"/>
    <x v="0"/>
    <x v="4"/>
    <x v="27"/>
    <n v="1"/>
    <n v="54.33"/>
    <s v="Completed"/>
    <s v="Credit Card"/>
    <n v="54.33"/>
    <n v="6"/>
    <x v="0"/>
  </r>
  <r>
    <x v="2632"/>
    <x v="63"/>
    <s v="CUST1039"/>
    <s v="Robert Tan"/>
    <x v="0"/>
    <x v="4"/>
    <x v="25"/>
    <n v="1"/>
    <n v="54.35"/>
    <s v="Completed"/>
    <s v="PayPal"/>
    <n v="54.35"/>
    <n v="7"/>
    <x v="0"/>
  </r>
  <r>
    <x v="2633"/>
    <x v="32"/>
    <s v="CUST1843"/>
    <s v="Siti Hidayat"/>
    <x v="0"/>
    <x v="6"/>
    <x v="38"/>
    <n v="2"/>
    <n v="54.46"/>
    <s v="Cancelled"/>
    <s v="Debit Card"/>
    <n v="108.92"/>
    <n v="8"/>
    <x v="0"/>
  </r>
  <r>
    <x v="2634"/>
    <x v="472"/>
    <s v="CUST1372"/>
    <s v="Rina Nugroho"/>
    <x v="0"/>
    <x v="1"/>
    <x v="6"/>
    <n v="2"/>
    <n v="54.47"/>
    <s v="Returned"/>
    <s v="PayPal"/>
    <n v="108.94"/>
    <n v="4"/>
    <x v="0"/>
  </r>
  <r>
    <x v="2635"/>
    <x v="694"/>
    <s v="CUST1056"/>
    <s v="Rina Smith"/>
    <x v="0"/>
    <x v="6"/>
    <x v="40"/>
    <n v="1"/>
    <n v="54.51"/>
    <s v="Completed"/>
    <s v="Gift Card"/>
    <n v="54.51"/>
    <n v="4"/>
    <x v="0"/>
  </r>
  <r>
    <x v="2636"/>
    <x v="392"/>
    <s v="CUST1021"/>
    <s v="David Wijaya"/>
    <x v="0"/>
    <x v="3"/>
    <x v="13"/>
    <n v="1"/>
    <n v="54.51"/>
    <s v="Completed"/>
    <s v="Credit Card"/>
    <n v="54.51"/>
    <n v="6"/>
    <x v="0"/>
  </r>
  <r>
    <x v="2637"/>
    <x v="631"/>
    <s v="CUST1135"/>
    <s v="Rina Kurniawan"/>
    <x v="1"/>
    <x v="3"/>
    <x v="14"/>
    <n v="1"/>
    <n v="54.52"/>
    <s v="Completed"/>
    <s v="Gift Card"/>
    <n v="54.52"/>
    <n v="5"/>
    <x v="0"/>
  </r>
  <r>
    <x v="2638"/>
    <x v="72"/>
    <s v="CUST1594"/>
    <s v="James Chen"/>
    <x v="0"/>
    <x v="6"/>
    <x v="39"/>
    <n v="1"/>
    <n v="54.53"/>
    <s v="Completed"/>
    <s v="Gift Card"/>
    <n v="54.53"/>
    <n v="4"/>
    <x v="0"/>
  </r>
  <r>
    <x v="2639"/>
    <x v="61"/>
    <s v="CUST1145"/>
    <s v="Linda Smith"/>
    <x v="0"/>
    <x v="1"/>
    <x v="5"/>
    <n v="1"/>
    <n v="54.53"/>
    <s v="Completed"/>
    <s v="PayPal"/>
    <n v="54.53"/>
    <n v="12"/>
    <x v="0"/>
  </r>
  <r>
    <x v="2640"/>
    <x v="524"/>
    <s v="CUST1115"/>
    <s v="Maria Wilson"/>
    <x v="0"/>
    <x v="4"/>
    <x v="25"/>
    <n v="1"/>
    <n v="54.55"/>
    <s v="Completed"/>
    <s v="Gift Card"/>
    <n v="54.55"/>
    <n v="3"/>
    <x v="0"/>
  </r>
  <r>
    <x v="2641"/>
    <x v="81"/>
    <s v="CUST1757"/>
    <s v="Sarah Lee"/>
    <x v="0"/>
    <x v="4"/>
    <x v="27"/>
    <n v="1"/>
    <n v="54.55"/>
    <s v="Completed"/>
    <s v="Debit Card"/>
    <n v="54.55"/>
    <n v="4"/>
    <x v="0"/>
  </r>
  <r>
    <x v="2642"/>
    <x v="177"/>
    <s v="CUST1265"/>
    <s v="Sarah Johnson"/>
    <x v="1"/>
    <x v="4"/>
    <x v="22"/>
    <n v="2"/>
    <n v="54.57"/>
    <s v="Completed"/>
    <s v="Debit Card"/>
    <n v="109.14"/>
    <n v="4"/>
    <x v="0"/>
  </r>
  <r>
    <x v="2643"/>
    <x v="270"/>
    <s v="CUST1669"/>
    <s v="Dewi Brown"/>
    <x v="0"/>
    <x v="3"/>
    <x v="12"/>
    <n v="1"/>
    <n v="54.6"/>
    <s v="Completed"/>
    <s v="Debit Card"/>
    <n v="54.6"/>
    <n v="5"/>
    <x v="0"/>
  </r>
  <r>
    <x v="2644"/>
    <x v="661"/>
    <s v="CUST1850"/>
    <s v="Dewi Wijaya"/>
    <x v="0"/>
    <x v="1"/>
    <x v="9"/>
    <n v="2"/>
    <n v="54.62"/>
    <s v="Completed"/>
    <s v="Gift Card"/>
    <n v="109.24"/>
    <n v="6"/>
    <x v="0"/>
  </r>
  <r>
    <x v="2645"/>
    <x v="678"/>
    <s v="CUST1700"/>
    <s v="Robert Smith"/>
    <x v="0"/>
    <x v="3"/>
    <x v="19"/>
    <n v="2"/>
    <n v="54.64"/>
    <s v="Cancelled"/>
    <s v="Gift Card"/>
    <n v="109.28"/>
    <n v="6"/>
    <x v="0"/>
  </r>
  <r>
    <x v="2646"/>
    <x v="619"/>
    <s v="CUST1528"/>
    <s v="Maria Chen"/>
    <x v="0"/>
    <x v="3"/>
    <x v="16"/>
    <n v="1"/>
    <n v="54.66"/>
    <s v="Pending"/>
    <s v="Unknown"/>
    <n v="54.66"/>
    <n v="6"/>
    <x v="0"/>
  </r>
  <r>
    <x v="2647"/>
    <x v="669"/>
    <s v="CUST1862"/>
    <s v="Ahmad Santos"/>
    <x v="0"/>
    <x v="5"/>
    <x v="28"/>
    <n v="1"/>
    <n v="54.68"/>
    <s v="Completed"/>
    <s v="Debit Card"/>
    <n v="54.68"/>
    <n v="7"/>
    <x v="0"/>
  </r>
  <r>
    <x v="2648"/>
    <x v="484"/>
    <s v="CUST1531"/>
    <s v="Ahmad Halim"/>
    <x v="1"/>
    <x v="3"/>
    <x v="14"/>
    <n v="1"/>
    <n v="54.74"/>
    <s v="Completed"/>
    <s v="Gift Card"/>
    <n v="54.74"/>
    <n v="3"/>
    <x v="0"/>
  </r>
  <r>
    <x v="2649"/>
    <x v="493"/>
    <s v="CUST1873"/>
    <s v="Ayu Anderson"/>
    <x v="0"/>
    <x v="4"/>
    <x v="25"/>
    <n v="2"/>
    <n v="54.74"/>
    <s v="Cancelled"/>
    <s v="Debit Card"/>
    <n v="109.48"/>
    <n v="5"/>
    <x v="0"/>
  </r>
  <r>
    <x v="2650"/>
    <x v="241"/>
    <s v="CUST1585"/>
    <s v="Robert Anderson"/>
    <x v="0"/>
    <x v="3"/>
    <x v="12"/>
    <n v="1"/>
    <n v="54.75"/>
    <s v="Cancelled"/>
    <s v="Debit Card"/>
    <n v="54.75"/>
    <n v="6"/>
    <x v="0"/>
  </r>
  <r>
    <x v="2651"/>
    <x v="209"/>
    <s v="CUST1428"/>
    <s v="Unknown Customer"/>
    <x v="0"/>
    <x v="4"/>
    <x v="21"/>
    <n v="2"/>
    <n v="54.79"/>
    <s v="Completed"/>
    <s v="Debit Card"/>
    <n v="109.58"/>
    <n v="7"/>
    <x v="0"/>
  </r>
  <r>
    <x v="2652"/>
    <x v="507"/>
    <s v="CUST1837"/>
    <s v="Dewi Johnson"/>
    <x v="0"/>
    <x v="3"/>
    <x v="12"/>
    <n v="1"/>
    <n v="54.83"/>
    <s v="Completed"/>
    <s v="Gift Card"/>
    <n v="54.83"/>
    <n v="6"/>
    <x v="0"/>
  </r>
  <r>
    <x v="2653"/>
    <x v="385"/>
    <s v="CUST1561"/>
    <s v="Nina Santos"/>
    <x v="0"/>
    <x v="3"/>
    <x v="12"/>
    <n v="2"/>
    <n v="54.84"/>
    <s v="Completed"/>
    <s v="PayPal"/>
    <n v="109.68"/>
    <n v="4"/>
    <x v="0"/>
  </r>
  <r>
    <x v="2654"/>
    <x v="533"/>
    <s v="CUST1751"/>
    <s v="Sarah Brown"/>
    <x v="0"/>
    <x v="6"/>
    <x v="41"/>
    <n v="1"/>
    <n v="54.95"/>
    <s v="Cancelled"/>
    <s v="Gift Card"/>
    <n v="54.95"/>
    <n v="2"/>
    <x v="0"/>
  </r>
  <r>
    <x v="2655"/>
    <x v="670"/>
    <s v="CUST1189"/>
    <s v="Ahmad Kurniawan"/>
    <x v="1"/>
    <x v="6"/>
    <x v="38"/>
    <n v="2"/>
    <n v="54.95"/>
    <s v="Completed"/>
    <s v="Gift Card"/>
    <n v="109.9"/>
    <n v="6"/>
    <x v="0"/>
  </r>
  <r>
    <x v="2656"/>
    <x v="148"/>
    <s v="CUST1246"/>
    <s v="Ayu Brown"/>
    <x v="0"/>
    <x v="3"/>
    <x v="19"/>
    <n v="2"/>
    <n v="54.98"/>
    <s v="Completed"/>
    <s v="Credit Card"/>
    <n v="109.96"/>
    <n v="7"/>
    <x v="0"/>
  </r>
  <r>
    <x v="2657"/>
    <x v="287"/>
    <s v="CUST1389"/>
    <s v="Fajar Salim"/>
    <x v="0"/>
    <x v="5"/>
    <x v="34"/>
    <n v="2"/>
    <n v="54.98"/>
    <s v="Cancelled"/>
    <s v="Debit Card"/>
    <n v="109.96"/>
    <n v="4"/>
    <x v="0"/>
  </r>
  <r>
    <x v="2658"/>
    <x v="103"/>
    <s v="CUST1658"/>
    <s v="Robert Chen"/>
    <x v="1"/>
    <x v="3"/>
    <x v="19"/>
    <n v="4"/>
    <n v="55.01"/>
    <s v="Completed"/>
    <s v="Credit Card"/>
    <n v="220.04"/>
    <n v="3"/>
    <x v="0"/>
  </r>
  <r>
    <x v="2659"/>
    <x v="715"/>
    <s v="CUST1260"/>
    <s v="Fajar Pratama"/>
    <x v="0"/>
    <x v="1"/>
    <x v="9"/>
    <n v="1"/>
    <n v="55.012772277227732"/>
    <s v="Completed"/>
    <s v="Gift Card"/>
    <n v="55.012772277227732"/>
    <n v="5"/>
    <x v="0"/>
  </r>
  <r>
    <x v="2660"/>
    <x v="443"/>
    <s v="CUST1324"/>
    <s v="Budi Santos"/>
    <x v="1"/>
    <x v="1"/>
    <x v="9"/>
    <n v="1"/>
    <n v="55.012772277227732"/>
    <s v="Completed"/>
    <s v="Gift Card"/>
    <n v="55.012772277227732"/>
    <n v="2"/>
    <x v="0"/>
  </r>
  <r>
    <x v="2661"/>
    <x v="101"/>
    <s v="CUST1762"/>
    <s v="Rina Nugroho"/>
    <x v="3"/>
    <x v="1"/>
    <x v="9"/>
    <n v="1"/>
    <n v="55.012772277227732"/>
    <s v="Completed"/>
    <s v="Credit Card"/>
    <n v="55.012772277227732"/>
    <n v="2"/>
    <x v="0"/>
  </r>
  <r>
    <x v="2662"/>
    <x v="650"/>
    <s v="CUST1030"/>
    <s v="Sarah Lee"/>
    <x v="1"/>
    <x v="1"/>
    <x v="9"/>
    <n v="1"/>
    <n v="55.012772277227732"/>
    <s v="Completed"/>
    <s v="Debit Card"/>
    <n v="55.012772277227732"/>
    <n v="3"/>
    <x v="0"/>
  </r>
  <r>
    <x v="2663"/>
    <x v="454"/>
    <s v="CUST1216"/>
    <s v="Robert Anderson"/>
    <x v="0"/>
    <x v="1"/>
    <x v="9"/>
    <n v="2"/>
    <n v="55.012772277227732"/>
    <s v="Returned"/>
    <s v="PayPal"/>
    <n v="110.02554455445546"/>
    <n v="6"/>
    <x v="0"/>
  </r>
  <r>
    <x v="2664"/>
    <x v="582"/>
    <s v="CUST1144"/>
    <s v="Kevin Smith"/>
    <x v="0"/>
    <x v="1"/>
    <x v="6"/>
    <n v="1"/>
    <n v="55.05"/>
    <s v="Returned"/>
    <s v="Credit Card"/>
    <n v="55.05"/>
    <n v="5"/>
    <x v="0"/>
  </r>
  <r>
    <x v="2665"/>
    <x v="514"/>
    <s v="CUST1119"/>
    <s v="Andi Kurniawan"/>
    <x v="1"/>
    <x v="5"/>
    <x v="32"/>
    <n v="1"/>
    <n v="55.09"/>
    <s v="Completed"/>
    <s v="PayPal"/>
    <n v="55.09"/>
    <n v="4"/>
    <x v="0"/>
  </r>
  <r>
    <x v="2666"/>
    <x v="541"/>
    <s v="CUST1502"/>
    <s v="Rina Kurniawan"/>
    <x v="0"/>
    <x v="5"/>
    <x v="30"/>
    <n v="3"/>
    <n v="55.12"/>
    <s v="Completed"/>
    <s v="Gift Card"/>
    <n v="165.35999999999999"/>
    <n v="3"/>
    <x v="0"/>
  </r>
  <r>
    <x v="2667"/>
    <x v="476"/>
    <s v="CUST1085"/>
    <s v="John Kurniawan"/>
    <x v="0"/>
    <x v="5"/>
    <x v="32"/>
    <n v="3"/>
    <n v="55.13"/>
    <s v="Completed"/>
    <s v="Debit Card"/>
    <n v="165.39000000000001"/>
    <n v="7"/>
    <x v="0"/>
  </r>
  <r>
    <x v="2668"/>
    <x v="716"/>
    <s v="CUST1535"/>
    <s v="Maria Brown"/>
    <x v="0"/>
    <x v="3"/>
    <x v="12"/>
    <n v="5"/>
    <n v="55.13"/>
    <s v="Completed"/>
    <s v="PayPal"/>
    <n v="275.65000000000003"/>
    <n v="5"/>
    <x v="0"/>
  </r>
  <r>
    <x v="2669"/>
    <x v="52"/>
    <s v="CUST1222"/>
    <s v="Dewi Sari"/>
    <x v="0"/>
    <x v="6"/>
    <x v="39"/>
    <n v="1"/>
    <n v="55.22"/>
    <s v="Completed"/>
    <s v="Credit Card"/>
    <n v="55.22"/>
    <n v="9"/>
    <x v="0"/>
  </r>
  <r>
    <x v="2670"/>
    <x v="585"/>
    <s v="CUST1130"/>
    <s v="Maria Johnson"/>
    <x v="0"/>
    <x v="3"/>
    <x v="19"/>
    <n v="1"/>
    <n v="55.23"/>
    <s v="Completed"/>
    <s v="Debit Card"/>
    <n v="55.23"/>
    <n v="5"/>
    <x v="0"/>
  </r>
  <r>
    <x v="2671"/>
    <x v="399"/>
    <s v="CUST1490"/>
    <s v="David Halim"/>
    <x v="0"/>
    <x v="4"/>
    <x v="24"/>
    <n v="2"/>
    <n v="55.25"/>
    <s v="Completed"/>
    <s v="PayPal"/>
    <n v="110.5"/>
    <n v="6"/>
    <x v="0"/>
  </r>
  <r>
    <x v="2672"/>
    <x v="95"/>
    <s v="CUST1078"/>
    <s v="Rina Santos"/>
    <x v="0"/>
    <x v="5"/>
    <x v="32"/>
    <n v="5"/>
    <n v="55.25"/>
    <s v="Completed"/>
    <s v="PayPal"/>
    <n v="276.25"/>
    <n v="7"/>
    <x v="0"/>
  </r>
  <r>
    <x v="2673"/>
    <x v="88"/>
    <s v="CUST1842"/>
    <s v="Siti Salim"/>
    <x v="1"/>
    <x v="1"/>
    <x v="5"/>
    <n v="1"/>
    <n v="55.27"/>
    <s v="Returned"/>
    <s v="PayPal"/>
    <n v="55.27"/>
    <n v="5"/>
    <x v="0"/>
  </r>
  <r>
    <x v="2674"/>
    <x v="330"/>
    <s v="CUST1206"/>
    <s v="Siti Wilson"/>
    <x v="0"/>
    <x v="5"/>
    <x v="33"/>
    <n v="4"/>
    <n v="55.27"/>
    <s v="Completed"/>
    <s v="Debit Card"/>
    <n v="221.08"/>
    <n v="6"/>
    <x v="0"/>
  </r>
  <r>
    <x v="2675"/>
    <x v="421"/>
    <s v="CUST1625"/>
    <s v="Lisa Pratama"/>
    <x v="0"/>
    <x v="6"/>
    <x v="37"/>
    <n v="5"/>
    <n v="55.27"/>
    <s v="Completed"/>
    <s v="PayPal"/>
    <n v="276.35000000000002"/>
    <n v="5"/>
    <x v="0"/>
  </r>
  <r>
    <x v="2676"/>
    <x v="597"/>
    <s v="CUST1574"/>
    <s v="Unknown Customer"/>
    <x v="0"/>
    <x v="1"/>
    <x v="17"/>
    <n v="2"/>
    <n v="55.31"/>
    <s v="Completed"/>
    <s v="PayPal"/>
    <n v="110.62"/>
    <n v="4"/>
    <x v="0"/>
  </r>
  <r>
    <x v="2677"/>
    <x v="13"/>
    <s v="CUST1766"/>
    <s v="Michael Kurniawan"/>
    <x v="0"/>
    <x v="1"/>
    <x v="18"/>
    <n v="2"/>
    <n v="55.31"/>
    <s v="Cancelled"/>
    <s v="Gift Card"/>
    <n v="110.62"/>
    <n v="6"/>
    <x v="0"/>
  </r>
  <r>
    <x v="2678"/>
    <x v="398"/>
    <s v="CUST1295"/>
    <s v="Robert Taylor"/>
    <x v="0"/>
    <x v="6"/>
    <x v="39"/>
    <n v="5"/>
    <n v="55.34"/>
    <s v="Returned"/>
    <s v="Gift Card"/>
    <n v="276.70000000000005"/>
    <n v="7"/>
    <x v="0"/>
  </r>
  <r>
    <x v="2679"/>
    <x v="337"/>
    <s v="CUST1063"/>
    <s v="David Anderson"/>
    <x v="0"/>
    <x v="5"/>
    <x v="31"/>
    <n v="1"/>
    <n v="55.39"/>
    <s v="Completed"/>
    <s v="Debit Card"/>
    <n v="55.39"/>
    <n v="7"/>
    <x v="0"/>
  </r>
  <r>
    <x v="2680"/>
    <x v="397"/>
    <s v="CUST1596"/>
    <s v="Ayu Garcia"/>
    <x v="0"/>
    <x v="6"/>
    <x v="40"/>
    <n v="1"/>
    <n v="55.41"/>
    <s v="Completed"/>
    <s v="Gift Card"/>
    <n v="55.41"/>
    <n v="8"/>
    <x v="0"/>
  </r>
  <r>
    <x v="2681"/>
    <x v="349"/>
    <s v="CUST1263"/>
    <s v="John Santos"/>
    <x v="0"/>
    <x v="4"/>
    <x v="24"/>
    <n v="1"/>
    <n v="55.46"/>
    <s v="Completed"/>
    <s v="Gift Card"/>
    <n v="55.46"/>
    <n v="5"/>
    <x v="0"/>
  </r>
  <r>
    <x v="2682"/>
    <x v="349"/>
    <s v="CUST1102"/>
    <s v="Maria Brown"/>
    <x v="0"/>
    <x v="3"/>
    <x v="12"/>
    <n v="1"/>
    <n v="55.57"/>
    <s v="Completed"/>
    <s v="Debit Card"/>
    <n v="55.57"/>
    <n v="5"/>
    <x v="0"/>
  </r>
  <r>
    <x v="2683"/>
    <x v="583"/>
    <s v="CUST1270"/>
    <s v="Andi Salim"/>
    <x v="0"/>
    <x v="1"/>
    <x v="18"/>
    <n v="1"/>
    <n v="55.61"/>
    <s v="Completed"/>
    <s v="PayPal"/>
    <n v="55.61"/>
    <n v="9"/>
    <x v="0"/>
  </r>
  <r>
    <x v="2684"/>
    <x v="335"/>
    <s v="CUST1764"/>
    <s v="Andi Yusuf"/>
    <x v="0"/>
    <x v="4"/>
    <x v="21"/>
    <n v="1"/>
    <n v="55.64"/>
    <s v="Completed"/>
    <s v="PayPal"/>
    <n v="55.64"/>
    <n v="7"/>
    <x v="0"/>
  </r>
  <r>
    <x v="2685"/>
    <x v="691"/>
    <s v="CUST1865"/>
    <s v="Ayu Salim"/>
    <x v="0"/>
    <x v="3"/>
    <x v="12"/>
    <n v="2"/>
    <n v="55.64"/>
    <s v="Completed"/>
    <s v="Credit Card"/>
    <n v="111.28"/>
    <n v="9"/>
    <x v="0"/>
  </r>
  <r>
    <x v="2686"/>
    <x v="640"/>
    <s v="CUST1240"/>
    <s v="Linda Chen"/>
    <x v="0"/>
    <x v="4"/>
    <x v="24"/>
    <n v="1"/>
    <n v="55.65"/>
    <s v="Completed"/>
    <s v="Credit Card"/>
    <n v="55.65"/>
    <n v="7"/>
    <x v="0"/>
  </r>
  <r>
    <x v="2687"/>
    <x v="710"/>
    <s v="CUST1413"/>
    <s v="Dewi Chen"/>
    <x v="1"/>
    <x v="5"/>
    <x v="29"/>
    <n v="1"/>
    <n v="55.66"/>
    <s v="Completed"/>
    <s v="Gift Card"/>
    <n v="55.66"/>
    <n v="3"/>
    <x v="0"/>
  </r>
  <r>
    <x v="2688"/>
    <x v="650"/>
    <s v="CUST1112"/>
    <s v="Putri Halim"/>
    <x v="1"/>
    <x v="1"/>
    <x v="5"/>
    <n v="1"/>
    <n v="55.69"/>
    <s v="Completed"/>
    <s v="PayPal"/>
    <n v="55.69"/>
    <n v="5"/>
    <x v="0"/>
  </r>
  <r>
    <x v="2689"/>
    <x v="529"/>
    <s v="CUST1466"/>
    <s v="Lisa Wijaya"/>
    <x v="0"/>
    <x v="5"/>
    <x v="34"/>
    <n v="1"/>
    <n v="55.69"/>
    <s v="Completed"/>
    <s v="Debit Card"/>
    <n v="55.69"/>
    <n v="5"/>
    <x v="0"/>
  </r>
  <r>
    <x v="2690"/>
    <x v="222"/>
    <s v="CUST1189"/>
    <s v="Ahmad Kurniawan"/>
    <x v="1"/>
    <x v="1"/>
    <x v="5"/>
    <n v="1"/>
    <n v="55.73"/>
    <s v="Completed"/>
    <s v="Debit Card"/>
    <n v="55.73"/>
    <n v="6"/>
    <x v="0"/>
  </r>
  <r>
    <x v="2691"/>
    <x v="443"/>
    <s v="CUST1710"/>
    <s v="Linda Chen"/>
    <x v="0"/>
    <x v="3"/>
    <x v="14"/>
    <n v="1"/>
    <n v="55.75"/>
    <s v="Completed"/>
    <s v="Gift Card"/>
    <n v="55.75"/>
    <n v="6"/>
    <x v="0"/>
  </r>
  <r>
    <x v="2692"/>
    <x v="484"/>
    <s v="CUST1554"/>
    <s v="Dewi Tan"/>
    <x v="0"/>
    <x v="3"/>
    <x v="13"/>
    <n v="1"/>
    <n v="55.79"/>
    <s v="Returned"/>
    <s v="Credit Card"/>
    <n v="55.79"/>
    <n v="4"/>
    <x v="0"/>
  </r>
  <r>
    <x v="2693"/>
    <x v="340"/>
    <s v="CUST1664"/>
    <s v="Unknown Customer"/>
    <x v="1"/>
    <x v="3"/>
    <x v="16"/>
    <n v="1"/>
    <n v="55.83"/>
    <s v="Completed"/>
    <s v="Gift Card"/>
    <n v="55.83"/>
    <n v="6"/>
    <x v="0"/>
  </r>
  <r>
    <x v="2694"/>
    <x v="227"/>
    <s v="CUST1210"/>
    <s v="Nina Garcia"/>
    <x v="0"/>
    <x v="5"/>
    <x v="30"/>
    <n v="1"/>
    <n v="55.85"/>
    <s v="Completed"/>
    <s v="Debit Card"/>
    <n v="55.85"/>
    <n v="9"/>
    <x v="0"/>
  </r>
  <r>
    <x v="2695"/>
    <x v="522"/>
    <s v="CUST1633"/>
    <s v="James Kurniawan"/>
    <x v="0"/>
    <x v="6"/>
    <x v="41"/>
    <n v="2"/>
    <n v="55.85"/>
    <s v="Completed"/>
    <s v="Credit Card"/>
    <n v="111.7"/>
    <n v="6"/>
    <x v="0"/>
  </r>
  <r>
    <x v="2696"/>
    <x v="27"/>
    <s v="CUST1373"/>
    <s v="James Smith"/>
    <x v="0"/>
    <x v="6"/>
    <x v="41"/>
    <n v="1"/>
    <n v="55.87"/>
    <s v="Completed"/>
    <s v="Credit Card"/>
    <n v="55.87"/>
    <n v="8"/>
    <x v="0"/>
  </r>
  <r>
    <x v="2697"/>
    <x v="607"/>
    <s v="CUST1773"/>
    <s v="Andi Nugroho"/>
    <x v="1"/>
    <x v="1"/>
    <x v="5"/>
    <n v="4"/>
    <n v="55.96"/>
    <s v="Completed"/>
    <s v="Credit Card"/>
    <n v="223.84"/>
    <n v="2"/>
    <x v="0"/>
  </r>
  <r>
    <x v="2698"/>
    <x v="642"/>
    <s v="CUST1076"/>
    <s v="Kevin Santos"/>
    <x v="0"/>
    <x v="4"/>
    <x v="26"/>
    <n v="2"/>
    <n v="55.99"/>
    <s v="Completed"/>
    <s v="Credit Card"/>
    <n v="111.98"/>
    <n v="9"/>
    <x v="0"/>
  </r>
  <r>
    <x v="2699"/>
    <x v="277"/>
    <s v="CUST1717"/>
    <s v="Siti Sari"/>
    <x v="0"/>
    <x v="3"/>
    <x v="13"/>
    <n v="2"/>
    <n v="56"/>
    <s v="Completed"/>
    <s v="Credit Card"/>
    <n v="112"/>
    <n v="5"/>
    <x v="0"/>
  </r>
  <r>
    <x v="2700"/>
    <x v="260"/>
    <s v="CUST1388"/>
    <s v="Rina Tan"/>
    <x v="0"/>
    <x v="4"/>
    <x v="23"/>
    <n v="3"/>
    <n v="56.02"/>
    <s v="Completed"/>
    <s v="Gift Card"/>
    <n v="168.06"/>
    <n v="7"/>
    <x v="0"/>
  </r>
  <r>
    <x v="2701"/>
    <x v="189"/>
    <s v="CUST1549"/>
    <s v="James Nugroho"/>
    <x v="0"/>
    <x v="1"/>
    <x v="18"/>
    <n v="2"/>
    <n v="56.04"/>
    <s v="Returned"/>
    <s v="Debit Card"/>
    <n v="112.08"/>
    <n v="3"/>
    <x v="0"/>
  </r>
  <r>
    <x v="2702"/>
    <x v="507"/>
    <s v="CUST1640"/>
    <s v="Siti Smith"/>
    <x v="0"/>
    <x v="6"/>
    <x v="42"/>
    <n v="1"/>
    <n v="56.05"/>
    <s v="Completed"/>
    <s v="Gift Card"/>
    <n v="56.05"/>
    <n v="9"/>
    <x v="0"/>
  </r>
  <r>
    <x v="2703"/>
    <x v="572"/>
    <s v="CUST1834"/>
    <s v="Andi Nugroho"/>
    <x v="0"/>
    <x v="4"/>
    <x v="22"/>
    <n v="1"/>
    <n v="56.08"/>
    <s v="Completed"/>
    <s v="Credit Card"/>
    <n v="56.08"/>
    <n v="12"/>
    <x v="0"/>
  </r>
  <r>
    <x v="2704"/>
    <x v="201"/>
    <s v="CUST1191"/>
    <s v="Putri Yusuf"/>
    <x v="1"/>
    <x v="6"/>
    <x v="41"/>
    <n v="1"/>
    <n v="56.08"/>
    <s v="Completed"/>
    <s v="Gift Card"/>
    <n v="56.08"/>
    <n v="3"/>
    <x v="0"/>
  </r>
  <r>
    <x v="2705"/>
    <x v="20"/>
    <s v="CUST1816"/>
    <s v="John Kurniawan"/>
    <x v="0"/>
    <x v="1"/>
    <x v="18"/>
    <n v="2"/>
    <n v="56.08"/>
    <s v="Returned"/>
    <s v="Debit Card"/>
    <n v="112.16"/>
    <n v="6"/>
    <x v="0"/>
  </r>
  <r>
    <x v="2706"/>
    <x v="494"/>
    <s v="CUST1238"/>
    <s v="John Pratama"/>
    <x v="0"/>
    <x v="3"/>
    <x v="13"/>
    <n v="1"/>
    <n v="56.09"/>
    <s v="Completed"/>
    <s v="Gift Card"/>
    <n v="56.09"/>
    <n v="8"/>
    <x v="0"/>
  </r>
  <r>
    <x v="2707"/>
    <x v="107"/>
    <s v="CUST1198"/>
    <s v="Putri Anderson"/>
    <x v="0"/>
    <x v="3"/>
    <x v="13"/>
    <n v="2"/>
    <n v="56.13"/>
    <s v="Completed"/>
    <s v="Debit Card"/>
    <n v="112.26"/>
    <n v="4"/>
    <x v="0"/>
  </r>
  <r>
    <x v="2708"/>
    <x v="38"/>
    <s v="CUST1449"/>
    <s v="Michael Chen"/>
    <x v="0"/>
    <x v="1"/>
    <x v="6"/>
    <n v="1"/>
    <n v="56.14"/>
    <s v="Completed"/>
    <s v="Credit Card"/>
    <n v="56.14"/>
    <n v="4"/>
    <x v="0"/>
  </r>
  <r>
    <x v="2709"/>
    <x v="287"/>
    <s v="CUST1247"/>
    <s v="Andi Nugroho"/>
    <x v="0"/>
    <x v="5"/>
    <x v="29"/>
    <n v="5"/>
    <n v="56.16"/>
    <s v="Completed"/>
    <s v="Gift Card"/>
    <n v="280.79999999999995"/>
    <n v="5"/>
    <x v="0"/>
  </r>
  <r>
    <x v="2710"/>
    <x v="332"/>
    <s v="CUST1703"/>
    <s v="Budi Wilson"/>
    <x v="0"/>
    <x v="4"/>
    <x v="23"/>
    <n v="1"/>
    <n v="56.2"/>
    <s v="Completed"/>
    <s v="Credit Card"/>
    <n v="56.2"/>
    <n v="4"/>
    <x v="0"/>
  </r>
  <r>
    <x v="2711"/>
    <x v="275"/>
    <s v="CUST1187"/>
    <s v="Dewi Anderson"/>
    <x v="1"/>
    <x v="5"/>
    <x v="34"/>
    <n v="1"/>
    <n v="56.21"/>
    <s v="Cancelled"/>
    <s v="Debit Card"/>
    <n v="56.21"/>
    <n v="4"/>
    <x v="0"/>
  </r>
  <r>
    <x v="2712"/>
    <x v="234"/>
    <s v="CUST1428"/>
    <s v="Andi Chen"/>
    <x v="0"/>
    <x v="3"/>
    <x v="13"/>
    <n v="5"/>
    <n v="56.21"/>
    <s v="Completed"/>
    <s v="Credit Card"/>
    <n v="281.05"/>
    <n v="7"/>
    <x v="0"/>
  </r>
  <r>
    <x v="2713"/>
    <x v="610"/>
    <s v="CUST1061"/>
    <s v="Robert Chen"/>
    <x v="0"/>
    <x v="4"/>
    <x v="23"/>
    <n v="1"/>
    <n v="56.22"/>
    <s v="Completed"/>
    <s v="Debit Card"/>
    <n v="56.22"/>
    <n v="4"/>
    <x v="0"/>
  </r>
  <r>
    <x v="2714"/>
    <x v="316"/>
    <s v="CUST1016"/>
    <s v="John Pratama"/>
    <x v="1"/>
    <x v="3"/>
    <x v="13"/>
    <n v="1"/>
    <n v="56.25"/>
    <s v="Completed"/>
    <s v="PayPal"/>
    <n v="56.25"/>
    <n v="4"/>
    <x v="0"/>
  </r>
  <r>
    <x v="2715"/>
    <x v="300"/>
    <s v="CUST1672"/>
    <s v="Ahmad Smith"/>
    <x v="0"/>
    <x v="6"/>
    <x v="38"/>
    <n v="1"/>
    <n v="56.31"/>
    <s v="Completed"/>
    <s v="Unknown"/>
    <n v="56.31"/>
    <n v="3"/>
    <x v="0"/>
  </r>
  <r>
    <x v="2716"/>
    <x v="106"/>
    <s v="CUST1895"/>
    <s v="Michael Johnson"/>
    <x v="0"/>
    <x v="5"/>
    <x v="29"/>
    <n v="1"/>
    <n v="56.32"/>
    <s v="Cancelled"/>
    <s v="PayPal"/>
    <n v="56.32"/>
    <n v="8"/>
    <x v="0"/>
  </r>
  <r>
    <x v="2717"/>
    <x v="694"/>
    <s v="CUST1640"/>
    <s v="Siti Smith"/>
    <x v="0"/>
    <x v="1"/>
    <x v="20"/>
    <n v="2"/>
    <n v="56.34"/>
    <s v="Completed"/>
    <s v="Gift Card"/>
    <n v="112.68"/>
    <n v="9"/>
    <x v="0"/>
  </r>
  <r>
    <x v="2718"/>
    <x v="174"/>
    <s v="CUST1593"/>
    <s v="Sarah Taylor"/>
    <x v="0"/>
    <x v="3"/>
    <x v="19"/>
    <n v="1"/>
    <n v="56.38"/>
    <s v="Completed"/>
    <s v="Credit Card"/>
    <n v="56.38"/>
    <n v="5"/>
    <x v="0"/>
  </r>
  <r>
    <x v="2719"/>
    <x v="556"/>
    <s v="CUST1018"/>
    <s v="Ahmad Wilson"/>
    <x v="1"/>
    <x v="4"/>
    <x v="23"/>
    <n v="1"/>
    <n v="56.38"/>
    <s v="Completed"/>
    <s v="Gift Card"/>
    <n v="56.38"/>
    <n v="4"/>
    <x v="0"/>
  </r>
  <r>
    <x v="2720"/>
    <x v="558"/>
    <s v="CUST1708"/>
    <s v="Ayu Smith"/>
    <x v="0"/>
    <x v="1"/>
    <x v="9"/>
    <n v="1"/>
    <n v="56.4"/>
    <s v="Completed"/>
    <s v="PayPal"/>
    <n v="56.4"/>
    <n v="3"/>
    <x v="0"/>
  </r>
  <r>
    <x v="2721"/>
    <x v="61"/>
    <s v="CUST1023"/>
    <s v="Siti Wilson"/>
    <x v="0"/>
    <x v="5"/>
    <x v="31"/>
    <n v="1"/>
    <n v="56.46"/>
    <s v="Completed"/>
    <s v="Gift Card"/>
    <n v="56.46"/>
    <n v="3"/>
    <x v="0"/>
  </r>
  <r>
    <x v="2722"/>
    <x v="647"/>
    <s v="CUST1594"/>
    <s v="James Chen"/>
    <x v="0"/>
    <x v="1"/>
    <x v="20"/>
    <n v="1"/>
    <n v="56.5"/>
    <s v="Completed"/>
    <s v="Credit Card"/>
    <n v="56.5"/>
    <n v="4"/>
    <x v="0"/>
  </r>
  <r>
    <x v="2723"/>
    <x v="118"/>
    <s v="CUST1093"/>
    <s v="Kevin Nugroho"/>
    <x v="1"/>
    <x v="4"/>
    <x v="22"/>
    <n v="2"/>
    <n v="56.55"/>
    <s v="Completed"/>
    <s v="Gift Card"/>
    <n v="113.1"/>
    <n v="2"/>
    <x v="0"/>
  </r>
  <r>
    <x v="2724"/>
    <x v="455"/>
    <s v="CUST1748"/>
    <s v="Robert Salim"/>
    <x v="0"/>
    <x v="3"/>
    <x v="12"/>
    <n v="1"/>
    <n v="56.61"/>
    <s v="Pending"/>
    <s v="Gift Card"/>
    <n v="56.61"/>
    <n v="3"/>
    <x v="0"/>
  </r>
  <r>
    <x v="2725"/>
    <x v="448"/>
    <s v="CUST1283"/>
    <s v="Michael Brown"/>
    <x v="1"/>
    <x v="3"/>
    <x v="13"/>
    <n v="1"/>
    <n v="56.65"/>
    <s v="Completed"/>
    <s v="Gift Card"/>
    <n v="56.65"/>
    <n v="6"/>
    <x v="0"/>
  </r>
  <r>
    <x v="2726"/>
    <x v="446"/>
    <s v="CUST1700"/>
    <s v="Robert Smith"/>
    <x v="0"/>
    <x v="4"/>
    <x v="22"/>
    <n v="1"/>
    <n v="56.71"/>
    <s v="Completed"/>
    <s v="Gift Card"/>
    <n v="56.71"/>
    <n v="6"/>
    <x v="0"/>
  </r>
  <r>
    <x v="2727"/>
    <x v="717"/>
    <s v="CUST1470"/>
    <s v="Robert Salim"/>
    <x v="3"/>
    <x v="1"/>
    <x v="6"/>
    <n v="1"/>
    <n v="56.72"/>
    <s v="Completed"/>
    <s v="Gift Card"/>
    <n v="56.72"/>
    <n v="3"/>
    <x v="0"/>
  </r>
  <r>
    <x v="2728"/>
    <x v="441"/>
    <s v="CUST1319"/>
    <s v="Rina Santos"/>
    <x v="0"/>
    <x v="1"/>
    <x v="6"/>
    <n v="1"/>
    <n v="56.76"/>
    <s v="Completed"/>
    <s v="Credit Card"/>
    <n v="56.76"/>
    <n v="5"/>
    <x v="0"/>
  </r>
  <r>
    <x v="2729"/>
    <x v="487"/>
    <s v="CUST1891"/>
    <s v="Sarah Lee"/>
    <x v="0"/>
    <x v="3"/>
    <x v="19"/>
    <n v="2"/>
    <n v="56.82"/>
    <s v="Completed"/>
    <s v="PayPal"/>
    <n v="113.64"/>
    <n v="6"/>
    <x v="0"/>
  </r>
  <r>
    <x v="2730"/>
    <x v="718"/>
    <s v="CUST1593"/>
    <s v="Sarah Taylor"/>
    <x v="0"/>
    <x v="6"/>
    <x v="37"/>
    <n v="1"/>
    <n v="56.85"/>
    <s v="Completed"/>
    <s v="Debit Card"/>
    <n v="56.85"/>
    <n v="5"/>
    <x v="0"/>
  </r>
  <r>
    <x v="2731"/>
    <x v="29"/>
    <s v="CUST1558"/>
    <s v="Sarah Wilson"/>
    <x v="0"/>
    <x v="1"/>
    <x v="20"/>
    <n v="2"/>
    <n v="56.86"/>
    <s v="Completed"/>
    <s v="Credit Card"/>
    <n v="113.72"/>
    <n v="2"/>
    <x v="0"/>
  </r>
  <r>
    <x v="2732"/>
    <x v="139"/>
    <s v="CUST1491"/>
    <s v="Rina Taylor"/>
    <x v="0"/>
    <x v="4"/>
    <x v="22"/>
    <n v="2"/>
    <n v="56.88"/>
    <s v="Completed"/>
    <s v="Debit Card"/>
    <n v="113.76"/>
    <n v="7"/>
    <x v="0"/>
  </r>
  <r>
    <x v="2733"/>
    <x v="690"/>
    <s v="CUST1806"/>
    <s v="Ahmad Hidayat"/>
    <x v="0"/>
    <x v="3"/>
    <x v="14"/>
    <n v="1"/>
    <n v="56.91"/>
    <s v="Completed"/>
    <s v="Unknown"/>
    <n v="56.91"/>
    <n v="3"/>
    <x v="0"/>
  </r>
  <r>
    <x v="2734"/>
    <x v="517"/>
    <s v="CUST1599"/>
    <s v="Unknown Customer"/>
    <x v="1"/>
    <x v="5"/>
    <x v="30"/>
    <n v="1"/>
    <n v="56.95"/>
    <s v="Completed"/>
    <s v="Gift Card"/>
    <n v="56.95"/>
    <n v="5"/>
    <x v="0"/>
  </r>
  <r>
    <x v="2735"/>
    <x v="603"/>
    <s v="CUST1575"/>
    <s v="Michael Halim"/>
    <x v="0"/>
    <x v="3"/>
    <x v="16"/>
    <n v="2"/>
    <n v="56.98"/>
    <s v="Completed"/>
    <s v="Credit Card"/>
    <n v="113.96"/>
    <n v="7"/>
    <x v="0"/>
  </r>
  <r>
    <x v="2736"/>
    <x v="300"/>
    <s v="CUST1668"/>
    <s v="Siti Brown"/>
    <x v="0"/>
    <x v="1"/>
    <x v="18"/>
    <n v="1"/>
    <n v="57"/>
    <s v="Cancelled"/>
    <s v="Gift Card"/>
    <n v="57"/>
    <n v="4"/>
    <x v="0"/>
  </r>
  <r>
    <x v="2737"/>
    <x v="380"/>
    <s v="CUST1063"/>
    <s v="David Anderson"/>
    <x v="0"/>
    <x v="4"/>
    <x v="25"/>
    <n v="1"/>
    <n v="57.04"/>
    <s v="Completed"/>
    <s v="Gift Card"/>
    <n v="57.04"/>
    <n v="7"/>
    <x v="0"/>
  </r>
  <r>
    <x v="2738"/>
    <x v="566"/>
    <s v="CUST1726"/>
    <s v="John Tan"/>
    <x v="0"/>
    <x v="4"/>
    <x v="27"/>
    <n v="4"/>
    <n v="57.08"/>
    <s v="Completed"/>
    <s v="Debit Card"/>
    <n v="228.32"/>
    <n v="8"/>
    <x v="0"/>
  </r>
  <r>
    <x v="2739"/>
    <x v="712"/>
    <s v="CUST1579"/>
    <s v="Kevin Tan"/>
    <x v="0"/>
    <x v="4"/>
    <x v="25"/>
    <n v="5"/>
    <n v="57.1"/>
    <s v="Completed"/>
    <s v="Gift Card"/>
    <n v="285.5"/>
    <n v="6"/>
    <x v="0"/>
  </r>
  <r>
    <x v="2740"/>
    <x v="650"/>
    <s v="CUST1329"/>
    <s v="Andi Tan"/>
    <x v="0"/>
    <x v="3"/>
    <x v="13"/>
    <n v="1"/>
    <n v="57.12"/>
    <s v="Completed"/>
    <s v="PayPal"/>
    <n v="57.12"/>
    <n v="4"/>
    <x v="0"/>
  </r>
  <r>
    <x v="2741"/>
    <x v="287"/>
    <s v="CUST1772"/>
    <s v="Ahmad Hidayat"/>
    <x v="0"/>
    <x v="1"/>
    <x v="6"/>
    <n v="2"/>
    <n v="57.129625000000047"/>
    <s v="Completed"/>
    <s v="Debit Card"/>
    <n v="114.25925000000009"/>
    <n v="6"/>
    <x v="0"/>
  </r>
  <r>
    <x v="2742"/>
    <x v="230"/>
    <s v="CUST1234"/>
    <s v="Nina Salim"/>
    <x v="0"/>
    <x v="6"/>
    <x v="42"/>
    <n v="1"/>
    <n v="57.15"/>
    <s v="Pending"/>
    <s v="PayPal"/>
    <n v="57.15"/>
    <n v="6"/>
    <x v="0"/>
  </r>
  <r>
    <x v="2743"/>
    <x v="562"/>
    <s v="CUST1865"/>
    <s v="Ayu Salim"/>
    <x v="0"/>
    <x v="5"/>
    <x v="34"/>
    <n v="1"/>
    <n v="57.16"/>
    <s v="Completed"/>
    <s v="Debit Card"/>
    <n v="57.16"/>
    <n v="9"/>
    <x v="0"/>
  </r>
  <r>
    <x v="2744"/>
    <x v="688"/>
    <s v="CUST1780"/>
    <s v="Lisa Wijaya"/>
    <x v="0"/>
    <x v="3"/>
    <x v="19"/>
    <n v="1"/>
    <n v="57.2"/>
    <s v="Completed"/>
    <s v="Credit Card"/>
    <n v="57.2"/>
    <n v="6"/>
    <x v="0"/>
  </r>
  <r>
    <x v="2745"/>
    <x v="431"/>
    <s v="CUST1659"/>
    <s v="Kevin Hidayat"/>
    <x v="1"/>
    <x v="4"/>
    <x v="26"/>
    <n v="2"/>
    <n v="57.25"/>
    <s v="Completed"/>
    <s v="PayPal"/>
    <n v="114.5"/>
    <n v="4"/>
    <x v="0"/>
  </r>
  <r>
    <x v="2746"/>
    <x v="99"/>
    <s v="CUST1795"/>
    <s v="Michael Chen"/>
    <x v="1"/>
    <x v="1"/>
    <x v="20"/>
    <n v="1"/>
    <n v="57.25"/>
    <s v="Cancelled"/>
    <s v="Credit Card"/>
    <n v="57.25"/>
    <n v="3"/>
    <x v="0"/>
  </r>
  <r>
    <x v="2747"/>
    <x v="221"/>
    <s v="CUST1236"/>
    <s v="Michael Wilson"/>
    <x v="0"/>
    <x v="1"/>
    <x v="20"/>
    <n v="2"/>
    <n v="57.33"/>
    <s v="Completed"/>
    <s v="Gift Card"/>
    <n v="114.66"/>
    <n v="6"/>
    <x v="0"/>
  </r>
  <r>
    <x v="2748"/>
    <x v="432"/>
    <s v="CUST1273"/>
    <s v="Ayu Salim"/>
    <x v="0"/>
    <x v="1"/>
    <x v="9"/>
    <n v="4"/>
    <n v="57.35"/>
    <s v="Returned"/>
    <s v="Debit Card"/>
    <n v="229.4"/>
    <n v="6"/>
    <x v="0"/>
  </r>
  <r>
    <x v="2749"/>
    <x v="47"/>
    <s v="CUST1174"/>
    <s v="Unknown Customer"/>
    <x v="0"/>
    <x v="4"/>
    <x v="22"/>
    <n v="2"/>
    <n v="57.36"/>
    <s v="Completed"/>
    <s v="PayPal"/>
    <n v="114.72"/>
    <n v="7"/>
    <x v="0"/>
  </r>
  <r>
    <x v="2750"/>
    <x v="74"/>
    <s v="CUST1025"/>
    <s v="Nina Chen"/>
    <x v="0"/>
    <x v="3"/>
    <x v="19"/>
    <n v="1"/>
    <n v="57.39"/>
    <s v="Completed"/>
    <s v="Debit Card"/>
    <n v="57.39"/>
    <n v="2"/>
    <x v="0"/>
  </r>
  <r>
    <x v="2751"/>
    <x v="547"/>
    <s v="CUST1608"/>
    <s v="Dewi Lee"/>
    <x v="0"/>
    <x v="1"/>
    <x v="9"/>
    <n v="3"/>
    <n v="57.39"/>
    <s v="Completed"/>
    <s v="Gift Card"/>
    <n v="172.17000000000002"/>
    <n v="5"/>
    <x v="0"/>
  </r>
  <r>
    <x v="2752"/>
    <x v="148"/>
    <s v="CUST1174"/>
    <s v="Siti Lee"/>
    <x v="0"/>
    <x v="5"/>
    <x v="31"/>
    <n v="2"/>
    <n v="57.41"/>
    <s v="Completed"/>
    <s v="PayPal"/>
    <n v="114.82"/>
    <n v="7"/>
    <x v="0"/>
  </r>
  <r>
    <x v="2753"/>
    <x v="455"/>
    <s v="CUST1664"/>
    <s v="Dewi Nugroho"/>
    <x v="1"/>
    <x v="6"/>
    <x v="41"/>
    <n v="2"/>
    <n v="57.41"/>
    <s v="Completed"/>
    <s v="Credit Card"/>
    <n v="114.82"/>
    <n v="6"/>
    <x v="0"/>
  </r>
  <r>
    <x v="2754"/>
    <x v="505"/>
    <s v="CUST1474"/>
    <s v="Kevin Sari"/>
    <x v="0"/>
    <x v="3"/>
    <x v="13"/>
    <n v="3"/>
    <n v="57.43"/>
    <s v="Completed"/>
    <s v="Debit Card"/>
    <n v="172.29"/>
    <n v="6"/>
    <x v="0"/>
  </r>
  <r>
    <x v="2755"/>
    <x v="464"/>
    <s v="CUST1771"/>
    <s v="Putri Salim"/>
    <x v="0"/>
    <x v="1"/>
    <x v="5"/>
    <n v="1"/>
    <n v="57.44"/>
    <s v="Completed"/>
    <s v="Gift Card"/>
    <n v="57.44"/>
    <n v="7"/>
    <x v="0"/>
  </r>
  <r>
    <x v="2756"/>
    <x v="157"/>
    <s v="CUST1292"/>
    <s v="Budi Halim"/>
    <x v="0"/>
    <x v="1"/>
    <x v="17"/>
    <n v="1"/>
    <n v="57.47"/>
    <s v="Completed"/>
    <s v="PayPal"/>
    <n v="57.47"/>
    <n v="6"/>
    <x v="0"/>
  </r>
  <r>
    <x v="2757"/>
    <x v="661"/>
    <s v="CUST1436"/>
    <s v="Lisa Garcia"/>
    <x v="0"/>
    <x v="1"/>
    <x v="6"/>
    <n v="1"/>
    <n v="57.52"/>
    <s v="Completed"/>
    <s v="Credit Card"/>
    <n v="57.52"/>
    <n v="8"/>
    <x v="0"/>
  </r>
  <r>
    <x v="2758"/>
    <x v="326"/>
    <s v="CUST1393"/>
    <s v="Putri Johnson"/>
    <x v="0"/>
    <x v="1"/>
    <x v="9"/>
    <n v="1"/>
    <n v="57.52"/>
    <s v="Completed"/>
    <s v="PayPal"/>
    <n v="57.52"/>
    <n v="4"/>
    <x v="0"/>
  </r>
  <r>
    <x v="2759"/>
    <x v="107"/>
    <s v="CUST1319"/>
    <s v="Rina Santos"/>
    <x v="0"/>
    <x v="4"/>
    <x v="25"/>
    <n v="1"/>
    <n v="57.54"/>
    <s v="Completed"/>
    <s v="Gift Card"/>
    <n v="57.54"/>
    <n v="5"/>
    <x v="0"/>
  </r>
  <r>
    <x v="2760"/>
    <x v="198"/>
    <s v="CUST1755"/>
    <s v="Budi Sari"/>
    <x v="0"/>
    <x v="3"/>
    <x v="13"/>
    <n v="1"/>
    <n v="57.58"/>
    <s v="Completed"/>
    <s v="Credit Card"/>
    <n v="57.58"/>
    <n v="11"/>
    <x v="0"/>
  </r>
  <r>
    <x v="2761"/>
    <x v="523"/>
    <s v="CUST1151"/>
    <s v="Ayu Smith"/>
    <x v="0"/>
    <x v="6"/>
    <x v="37"/>
    <n v="1"/>
    <n v="57.61"/>
    <s v="Completed"/>
    <s v="Unknown"/>
    <n v="57.61"/>
    <n v="3"/>
    <x v="0"/>
  </r>
  <r>
    <x v="2762"/>
    <x v="247"/>
    <s v="CUST1612"/>
    <s v="Budi Nugroho"/>
    <x v="0"/>
    <x v="6"/>
    <x v="39"/>
    <n v="3"/>
    <n v="57.61"/>
    <s v="Completed"/>
    <s v="Debit Card"/>
    <n v="172.82999999999998"/>
    <n v="3"/>
    <x v="0"/>
  </r>
  <r>
    <x v="2763"/>
    <x v="222"/>
    <s v="CUST1245"/>
    <s v="Dewi Yusuf"/>
    <x v="1"/>
    <x v="3"/>
    <x v="12"/>
    <n v="1"/>
    <n v="57.62"/>
    <s v="Completed"/>
    <s v="Debit Card"/>
    <n v="57.62"/>
    <n v="4"/>
    <x v="0"/>
  </r>
  <r>
    <x v="2764"/>
    <x v="423"/>
    <s v="CUST1085"/>
    <s v="John Kurniawan"/>
    <x v="0"/>
    <x v="3"/>
    <x v="16"/>
    <n v="2"/>
    <n v="57.62"/>
    <s v="Completed"/>
    <s v="Debit Card"/>
    <n v="115.24"/>
    <n v="7"/>
    <x v="0"/>
  </r>
  <r>
    <x v="2765"/>
    <x v="36"/>
    <s v="CUST1210"/>
    <s v="Nina Garcia"/>
    <x v="0"/>
    <x v="4"/>
    <x v="27"/>
    <n v="2"/>
    <n v="57.72"/>
    <s v="Completed"/>
    <s v="PayPal"/>
    <n v="115.44"/>
    <n v="9"/>
    <x v="0"/>
  </r>
  <r>
    <x v="2766"/>
    <x v="446"/>
    <s v="CUST1117"/>
    <s v="Sarah Pratama"/>
    <x v="0"/>
    <x v="3"/>
    <x v="16"/>
    <n v="2"/>
    <n v="57.83"/>
    <s v="Completed"/>
    <s v="Credit Card"/>
    <n v="115.66"/>
    <n v="5"/>
    <x v="0"/>
  </r>
  <r>
    <x v="2767"/>
    <x v="642"/>
    <s v="CUST1451"/>
    <s v="Ahmad Garcia"/>
    <x v="0"/>
    <x v="3"/>
    <x v="16"/>
    <n v="2"/>
    <n v="57.86"/>
    <s v="Cancelled"/>
    <s v="Credit Card"/>
    <n v="115.72"/>
    <n v="12"/>
    <x v="0"/>
  </r>
  <r>
    <x v="2768"/>
    <x v="599"/>
    <s v="CUST1683"/>
    <s v="Putri Lee"/>
    <x v="0"/>
    <x v="1"/>
    <x v="20"/>
    <n v="1"/>
    <n v="57.89"/>
    <s v="Completed"/>
    <s v="Debit Card"/>
    <n v="57.89"/>
    <n v="4"/>
    <x v="0"/>
  </r>
  <r>
    <x v="2769"/>
    <x v="367"/>
    <s v="CUST1515"/>
    <s v="John Salim"/>
    <x v="0"/>
    <x v="4"/>
    <x v="24"/>
    <n v="4"/>
    <n v="57.91"/>
    <s v="Completed"/>
    <s v="Credit Card"/>
    <n v="231.64"/>
    <n v="3"/>
    <x v="0"/>
  </r>
  <r>
    <x v="2770"/>
    <x v="59"/>
    <s v="CUST1777"/>
    <s v="Ayu Chen"/>
    <x v="0"/>
    <x v="4"/>
    <x v="24"/>
    <n v="1"/>
    <n v="57.96"/>
    <s v="Completed"/>
    <s v="PayPal"/>
    <n v="57.96"/>
    <n v="8"/>
    <x v="0"/>
  </r>
  <r>
    <x v="2771"/>
    <x v="378"/>
    <s v="CUST1536"/>
    <s v="Maria Hidayat"/>
    <x v="2"/>
    <x v="4"/>
    <x v="21"/>
    <n v="2"/>
    <n v="58.04"/>
    <s v="Completed"/>
    <s v="Credit Card"/>
    <n v="116.08"/>
    <n v="1"/>
    <x v="1"/>
  </r>
  <r>
    <x v="2772"/>
    <x v="316"/>
    <s v="CUST1374"/>
    <s v="Nina Garcia"/>
    <x v="1"/>
    <x v="5"/>
    <x v="29"/>
    <n v="1"/>
    <n v="58.05"/>
    <s v="Completed"/>
    <s v="Credit Card"/>
    <n v="58.05"/>
    <n v="2"/>
    <x v="0"/>
  </r>
  <r>
    <x v="2773"/>
    <x v="139"/>
    <s v="CUST1559"/>
    <s v="Fajar Sari"/>
    <x v="1"/>
    <x v="3"/>
    <x v="19"/>
    <n v="2"/>
    <n v="58.06"/>
    <s v="Returned"/>
    <s v="Debit Card"/>
    <n v="116.12"/>
    <n v="3"/>
    <x v="0"/>
  </r>
  <r>
    <x v="2774"/>
    <x v="17"/>
    <s v="CUST1797"/>
    <s v="Ahmad Brown"/>
    <x v="3"/>
    <x v="3"/>
    <x v="14"/>
    <n v="3"/>
    <n v="58.06"/>
    <s v="Completed"/>
    <s v="Debit Card"/>
    <n v="174.18"/>
    <n v="1"/>
    <x v="1"/>
  </r>
  <r>
    <x v="2775"/>
    <x v="286"/>
    <s v="CUST1049"/>
    <s v="Unknown Customer"/>
    <x v="0"/>
    <x v="4"/>
    <x v="22"/>
    <n v="1"/>
    <n v="58.08"/>
    <s v="Completed"/>
    <s v="Credit Card"/>
    <n v="58.08"/>
    <n v="2"/>
    <x v="0"/>
  </r>
  <r>
    <x v="2776"/>
    <x v="102"/>
    <s v="CUST1499"/>
    <s v="David Santos"/>
    <x v="0"/>
    <x v="1"/>
    <x v="6"/>
    <n v="1"/>
    <n v="58.1"/>
    <s v="Cancelled"/>
    <s v="Gift Card"/>
    <n v="58.1"/>
    <n v="9"/>
    <x v="0"/>
  </r>
  <r>
    <x v="2777"/>
    <x v="52"/>
    <s v="CUST1828"/>
    <s v="Andi Chen"/>
    <x v="0"/>
    <x v="4"/>
    <x v="27"/>
    <n v="1"/>
    <n v="58.11"/>
    <s v="Completed"/>
    <s v="PayPal"/>
    <n v="58.11"/>
    <n v="2"/>
    <x v="0"/>
  </r>
  <r>
    <x v="2778"/>
    <x v="364"/>
    <s v="CUST1088"/>
    <s v="Kevin Chen"/>
    <x v="3"/>
    <x v="6"/>
    <x v="35"/>
    <n v="2"/>
    <n v="58.12"/>
    <s v="Completed"/>
    <s v="PayPal"/>
    <n v="116.24"/>
    <n v="1"/>
    <x v="1"/>
  </r>
  <r>
    <x v="2779"/>
    <x v="45"/>
    <s v="CUST1887"/>
    <s v="Maria Wilson"/>
    <x v="0"/>
    <x v="3"/>
    <x v="16"/>
    <n v="1"/>
    <n v="58.15"/>
    <s v="Completed"/>
    <s v="PayPal"/>
    <n v="58.15"/>
    <n v="2"/>
    <x v="0"/>
  </r>
  <r>
    <x v="2780"/>
    <x v="228"/>
    <s v="CUST1045"/>
    <s v="Budi Yusuf"/>
    <x v="0"/>
    <x v="5"/>
    <x v="32"/>
    <n v="1"/>
    <n v="58.17"/>
    <s v="Returned"/>
    <s v="Gift Card"/>
    <n v="58.17"/>
    <n v="2"/>
    <x v="0"/>
  </r>
  <r>
    <x v="2781"/>
    <x v="202"/>
    <s v="CUST1327"/>
    <s v="Rina Lee"/>
    <x v="0"/>
    <x v="4"/>
    <x v="25"/>
    <n v="2"/>
    <n v="58.19"/>
    <s v="Completed"/>
    <s v="PayPal"/>
    <n v="116.38"/>
    <n v="6"/>
    <x v="0"/>
  </r>
  <r>
    <x v="2782"/>
    <x v="178"/>
    <s v="CUST1068"/>
    <s v="Linda Nugroho"/>
    <x v="0"/>
    <x v="4"/>
    <x v="23"/>
    <n v="1"/>
    <n v="58.22"/>
    <s v="Cancelled"/>
    <s v="Debit Card"/>
    <n v="58.22"/>
    <n v="5"/>
    <x v="0"/>
  </r>
  <r>
    <x v="2783"/>
    <x v="107"/>
    <s v="CUST1170"/>
    <s v="Ayu Salim"/>
    <x v="0"/>
    <x v="5"/>
    <x v="28"/>
    <n v="1"/>
    <n v="58.24"/>
    <s v="Completed"/>
    <s v="PayPal"/>
    <n v="58.24"/>
    <n v="4"/>
    <x v="0"/>
  </r>
  <r>
    <x v="2784"/>
    <x v="603"/>
    <s v="CUST1645"/>
    <s v="Sarah Chen"/>
    <x v="1"/>
    <x v="3"/>
    <x v="16"/>
    <n v="1"/>
    <n v="58.26"/>
    <s v="Completed"/>
    <s v="Debit Card"/>
    <n v="58.26"/>
    <n v="2"/>
    <x v="0"/>
  </r>
  <r>
    <x v="2785"/>
    <x v="55"/>
    <s v="CUST1799"/>
    <s v="Robert Hidayat"/>
    <x v="1"/>
    <x v="1"/>
    <x v="5"/>
    <n v="1"/>
    <n v="58.28"/>
    <s v="Completed"/>
    <s v="Gift Card"/>
    <n v="58.28"/>
    <n v="7"/>
    <x v="0"/>
  </r>
  <r>
    <x v="2786"/>
    <x v="14"/>
    <s v="CUST1699"/>
    <s v="John Yusuf"/>
    <x v="0"/>
    <x v="4"/>
    <x v="26"/>
    <n v="1"/>
    <n v="58.29"/>
    <s v="Completed"/>
    <s v="Debit Card"/>
    <n v="58.29"/>
    <n v="6"/>
    <x v="0"/>
  </r>
  <r>
    <x v="2787"/>
    <x v="478"/>
    <s v="CUST1451"/>
    <s v="Ahmad Garcia"/>
    <x v="0"/>
    <x v="5"/>
    <x v="34"/>
    <n v="2"/>
    <n v="58.35"/>
    <s v="Completed"/>
    <s v="Credit Card"/>
    <n v="116.7"/>
    <n v="12"/>
    <x v="0"/>
  </r>
  <r>
    <x v="2788"/>
    <x v="626"/>
    <s v="CUST1039"/>
    <s v="Robert Tan"/>
    <x v="0"/>
    <x v="3"/>
    <x v="19"/>
    <n v="1"/>
    <n v="58.36"/>
    <s v="Cancelled"/>
    <s v="PayPal"/>
    <n v="58.36"/>
    <n v="7"/>
    <x v="0"/>
  </r>
  <r>
    <x v="2789"/>
    <x v="156"/>
    <s v="CUST1726"/>
    <s v="John Tan"/>
    <x v="0"/>
    <x v="4"/>
    <x v="21"/>
    <n v="1"/>
    <n v="58.39"/>
    <s v="Completed"/>
    <s v="PayPal"/>
    <n v="58.39"/>
    <n v="8"/>
    <x v="0"/>
  </r>
  <r>
    <x v="2790"/>
    <x v="488"/>
    <s v="CUST1474"/>
    <s v="Kevin Sari"/>
    <x v="0"/>
    <x v="1"/>
    <x v="5"/>
    <n v="4"/>
    <n v="58.43"/>
    <s v="Completed"/>
    <s v="Credit Card"/>
    <n v="233.72"/>
    <n v="6"/>
    <x v="0"/>
  </r>
  <r>
    <x v="2791"/>
    <x v="530"/>
    <s v="CUST1658"/>
    <s v="Robert Chen"/>
    <x v="1"/>
    <x v="1"/>
    <x v="20"/>
    <n v="1"/>
    <n v="58.48"/>
    <s v="Completed"/>
    <s v="PayPal"/>
    <n v="58.48"/>
    <n v="3"/>
    <x v="0"/>
  </r>
  <r>
    <x v="2792"/>
    <x v="296"/>
    <s v="CUST1405"/>
    <s v="Rina Lee"/>
    <x v="0"/>
    <x v="6"/>
    <x v="35"/>
    <n v="1"/>
    <n v="58.48"/>
    <s v="Cancelled"/>
    <s v="Debit Card"/>
    <n v="58.48"/>
    <n v="4"/>
    <x v="0"/>
  </r>
  <r>
    <x v="2793"/>
    <x v="99"/>
    <s v="CUST1297"/>
    <s v="Nina Wilson"/>
    <x v="0"/>
    <x v="6"/>
    <x v="38"/>
    <n v="3"/>
    <n v="58.55"/>
    <s v="Completed"/>
    <s v="Gift Card"/>
    <n v="175.64999999999998"/>
    <n v="5"/>
    <x v="0"/>
  </r>
  <r>
    <x v="2794"/>
    <x v="687"/>
    <s v="CUST1857"/>
    <s v="John Kurniawan"/>
    <x v="0"/>
    <x v="6"/>
    <x v="35"/>
    <n v="2"/>
    <n v="58.59"/>
    <s v="Completed"/>
    <s v="PayPal"/>
    <n v="117.18"/>
    <n v="5"/>
    <x v="0"/>
  </r>
  <r>
    <x v="2795"/>
    <x v="425"/>
    <s v="CUST1809"/>
    <s v="Kevin Smith"/>
    <x v="0"/>
    <x v="3"/>
    <x v="14"/>
    <n v="3"/>
    <n v="58.59"/>
    <s v="Completed"/>
    <s v="Debit Card"/>
    <n v="175.77"/>
    <n v="4"/>
    <x v="0"/>
  </r>
  <r>
    <x v="2796"/>
    <x v="226"/>
    <s v="CUST1856"/>
    <s v="Siti Brown"/>
    <x v="0"/>
    <x v="1"/>
    <x v="17"/>
    <n v="2"/>
    <n v="58.63"/>
    <s v="Cancelled"/>
    <s v="Credit Card"/>
    <n v="117.26"/>
    <n v="6"/>
    <x v="0"/>
  </r>
  <r>
    <x v="2797"/>
    <x v="315"/>
    <s v="CUST1883"/>
    <s v="Kevin Anderson"/>
    <x v="3"/>
    <x v="3"/>
    <x v="16"/>
    <n v="1"/>
    <n v="58.69"/>
    <s v="Completed"/>
    <s v="PayPal"/>
    <n v="58.69"/>
    <n v="4"/>
    <x v="0"/>
  </r>
  <r>
    <x v="2798"/>
    <x v="683"/>
    <s v="CUST1331"/>
    <s v="Ayu Chen"/>
    <x v="1"/>
    <x v="4"/>
    <x v="27"/>
    <n v="3"/>
    <n v="58.79"/>
    <s v="Completed"/>
    <s v="Debit Card"/>
    <n v="176.37"/>
    <n v="3"/>
    <x v="0"/>
  </r>
  <r>
    <x v="2799"/>
    <x v="460"/>
    <s v="CUST1878"/>
    <s v="Ayu Sari"/>
    <x v="0"/>
    <x v="5"/>
    <x v="34"/>
    <n v="2"/>
    <n v="58.8"/>
    <s v="Completed"/>
    <s v="PayPal"/>
    <n v="117.6"/>
    <n v="5"/>
    <x v="0"/>
  </r>
  <r>
    <x v="2800"/>
    <x v="670"/>
    <s v="CUST1052"/>
    <s v="Fajar Halim"/>
    <x v="0"/>
    <x v="6"/>
    <x v="42"/>
    <n v="3"/>
    <n v="58.8"/>
    <s v="Completed"/>
    <s v="Debit Card"/>
    <n v="176.39999999999998"/>
    <n v="8"/>
    <x v="0"/>
  </r>
  <r>
    <x v="2801"/>
    <x v="684"/>
    <s v="CUST1488"/>
    <s v="John Taylor"/>
    <x v="0"/>
    <x v="1"/>
    <x v="17"/>
    <n v="1"/>
    <n v="58.85"/>
    <s v="Completed"/>
    <s v="Gift Card"/>
    <n v="58.85"/>
    <n v="5"/>
    <x v="0"/>
  </r>
  <r>
    <x v="2802"/>
    <x v="363"/>
    <s v="CUST1207"/>
    <s v="Maria Taylor"/>
    <x v="0"/>
    <x v="4"/>
    <x v="21"/>
    <n v="1"/>
    <n v="58.86"/>
    <s v="Completed"/>
    <s v="Gift Card"/>
    <n v="58.86"/>
    <n v="2"/>
    <x v="0"/>
  </r>
  <r>
    <x v="2803"/>
    <x v="287"/>
    <s v="CUST1739"/>
    <s v="Fajar Wilson"/>
    <x v="0"/>
    <x v="3"/>
    <x v="14"/>
    <n v="2"/>
    <n v="58.89"/>
    <s v="Completed"/>
    <s v="Gift Card"/>
    <n v="117.78"/>
    <n v="5"/>
    <x v="0"/>
  </r>
  <r>
    <x v="2804"/>
    <x v="561"/>
    <s v="CUST1485"/>
    <s v="Dewi Smith"/>
    <x v="0"/>
    <x v="3"/>
    <x v="12"/>
    <n v="2"/>
    <n v="58.89"/>
    <s v="Completed"/>
    <s v="Credit Card"/>
    <n v="117.78"/>
    <n v="5"/>
    <x v="0"/>
  </r>
  <r>
    <x v="2805"/>
    <x v="638"/>
    <s v="CUST1582"/>
    <s v="Michael Lee"/>
    <x v="0"/>
    <x v="6"/>
    <x v="41"/>
    <n v="1"/>
    <n v="58.91"/>
    <s v="Completed"/>
    <s v="Credit Card"/>
    <n v="58.91"/>
    <n v="4"/>
    <x v="0"/>
  </r>
  <r>
    <x v="2806"/>
    <x v="77"/>
    <s v="CUST1141"/>
    <s v="Fajar Taylor"/>
    <x v="0"/>
    <x v="3"/>
    <x v="13"/>
    <n v="4"/>
    <n v="58.93"/>
    <s v="Completed"/>
    <s v="PayPal"/>
    <n v="235.72"/>
    <n v="7"/>
    <x v="0"/>
  </r>
  <r>
    <x v="2807"/>
    <x v="655"/>
    <s v="CUST1302"/>
    <s v="Dewi Taylor"/>
    <x v="1"/>
    <x v="4"/>
    <x v="24"/>
    <n v="5"/>
    <n v="58.93"/>
    <s v="Completed"/>
    <s v="Debit Card"/>
    <n v="294.64999999999998"/>
    <n v="6"/>
    <x v="0"/>
  </r>
  <r>
    <x v="2808"/>
    <x v="468"/>
    <s v="CUST1667"/>
    <s v="Robert Halim"/>
    <x v="1"/>
    <x v="1"/>
    <x v="9"/>
    <n v="1"/>
    <n v="58.96"/>
    <s v="Completed"/>
    <s v="PayPal"/>
    <n v="58.96"/>
    <n v="7"/>
    <x v="0"/>
  </r>
  <r>
    <x v="2809"/>
    <x v="169"/>
    <s v="CUST1373"/>
    <s v="James Smith"/>
    <x v="0"/>
    <x v="3"/>
    <x v="19"/>
    <n v="1"/>
    <n v="59.11"/>
    <s v="Completed"/>
    <s v="Gift Card"/>
    <n v="59.11"/>
    <n v="8"/>
    <x v="0"/>
  </r>
  <r>
    <x v="2810"/>
    <x v="135"/>
    <s v="CUST1138"/>
    <s v="Fajar Anderson"/>
    <x v="0"/>
    <x v="3"/>
    <x v="12"/>
    <n v="4"/>
    <n v="59.18"/>
    <s v="Completed"/>
    <s v="Gift Card"/>
    <n v="236.72"/>
    <n v="7"/>
    <x v="0"/>
  </r>
  <r>
    <x v="2811"/>
    <x v="267"/>
    <s v="CUST1844"/>
    <s v="Ahmad Johnson"/>
    <x v="0"/>
    <x v="4"/>
    <x v="23"/>
    <n v="5"/>
    <n v="59.21"/>
    <s v="Completed"/>
    <s v="PayPal"/>
    <n v="296.05"/>
    <n v="4"/>
    <x v="0"/>
  </r>
  <r>
    <x v="2812"/>
    <x v="356"/>
    <s v="CUST1655"/>
    <s v="John Tan"/>
    <x v="0"/>
    <x v="3"/>
    <x v="16"/>
    <n v="1"/>
    <n v="59.23"/>
    <s v="Completed"/>
    <s v="PayPal"/>
    <n v="59.23"/>
    <n v="9"/>
    <x v="0"/>
  </r>
  <r>
    <x v="2813"/>
    <x v="694"/>
    <s v="CUST1158"/>
    <s v="Nina Nugroho"/>
    <x v="0"/>
    <x v="3"/>
    <x v="19"/>
    <n v="1"/>
    <n v="59.23"/>
    <s v="Completed"/>
    <s v="Gift Card"/>
    <n v="59.23"/>
    <n v="3"/>
    <x v="0"/>
  </r>
  <r>
    <x v="2814"/>
    <x v="225"/>
    <s v="CUST1399"/>
    <s v="Rina Lee"/>
    <x v="0"/>
    <x v="1"/>
    <x v="5"/>
    <n v="1"/>
    <n v="59.23"/>
    <s v="Completed"/>
    <s v="Credit Card"/>
    <n v="59.23"/>
    <n v="4"/>
    <x v="0"/>
  </r>
  <r>
    <x v="2815"/>
    <x v="413"/>
    <s v="CUST1052"/>
    <s v="Fajar Halim"/>
    <x v="0"/>
    <x v="1"/>
    <x v="20"/>
    <n v="2"/>
    <n v="59.23"/>
    <s v="Completed"/>
    <s v="Debit Card"/>
    <n v="118.46"/>
    <n v="8"/>
    <x v="0"/>
  </r>
  <r>
    <x v="2816"/>
    <x v="240"/>
    <s v="CUST1451"/>
    <s v="Ahmad Garcia"/>
    <x v="0"/>
    <x v="3"/>
    <x v="16"/>
    <n v="2"/>
    <n v="59.26"/>
    <s v="Completed"/>
    <s v="Gift Card"/>
    <n v="118.52"/>
    <n v="12"/>
    <x v="0"/>
  </r>
  <r>
    <x v="2817"/>
    <x v="554"/>
    <s v="CUST1319"/>
    <s v="Rina Santos"/>
    <x v="0"/>
    <x v="5"/>
    <x v="34"/>
    <n v="1"/>
    <n v="59.27"/>
    <s v="Completed"/>
    <s v="Gift Card"/>
    <n v="59.27"/>
    <n v="5"/>
    <x v="0"/>
  </r>
  <r>
    <x v="2818"/>
    <x v="108"/>
    <s v="CUST1771"/>
    <s v="Putri Salim"/>
    <x v="0"/>
    <x v="3"/>
    <x v="14"/>
    <n v="2"/>
    <n v="59.4"/>
    <s v="Completed"/>
    <s v="Gift Card"/>
    <n v="118.8"/>
    <n v="7"/>
    <x v="0"/>
  </r>
  <r>
    <x v="2819"/>
    <x v="214"/>
    <s v="CUST1593"/>
    <s v="Sarah Taylor"/>
    <x v="0"/>
    <x v="5"/>
    <x v="31"/>
    <n v="1"/>
    <n v="59.43"/>
    <s v="Completed"/>
    <s v="Gift Card"/>
    <n v="59.43"/>
    <n v="5"/>
    <x v="0"/>
  </r>
  <r>
    <x v="2820"/>
    <x v="185"/>
    <s v="CUST1165"/>
    <s v="John Sari"/>
    <x v="0"/>
    <x v="3"/>
    <x v="19"/>
    <n v="1"/>
    <n v="59.43"/>
    <s v="Completed"/>
    <s v="Gift Card"/>
    <n v="59.43"/>
    <n v="3"/>
    <x v="0"/>
  </r>
  <r>
    <x v="2821"/>
    <x v="516"/>
    <s v="CUST1380"/>
    <s v="Lisa Brown"/>
    <x v="1"/>
    <x v="3"/>
    <x v="12"/>
    <n v="2"/>
    <n v="59.47"/>
    <s v="Completed"/>
    <s v="Debit Card"/>
    <n v="118.94"/>
    <n v="6"/>
    <x v="0"/>
  </r>
  <r>
    <x v="2822"/>
    <x v="25"/>
    <s v="CUST1093"/>
    <s v="Kevin Nugroho"/>
    <x v="1"/>
    <x v="3"/>
    <x v="19"/>
    <n v="1"/>
    <n v="59.48"/>
    <s v="Completed"/>
    <s v="PayPal"/>
    <n v="59.48"/>
    <n v="2"/>
    <x v="0"/>
  </r>
  <r>
    <x v="2823"/>
    <x v="671"/>
    <s v="CUST1034"/>
    <s v="Putri Pratama"/>
    <x v="0"/>
    <x v="6"/>
    <x v="42"/>
    <n v="1"/>
    <n v="59.51"/>
    <s v="Completed"/>
    <s v="Debit Card"/>
    <n v="59.51"/>
    <n v="2"/>
    <x v="0"/>
  </r>
  <r>
    <x v="2824"/>
    <x v="385"/>
    <s v="CUST1474"/>
    <s v="Kevin Sari"/>
    <x v="0"/>
    <x v="4"/>
    <x v="21"/>
    <n v="2"/>
    <n v="59.52"/>
    <s v="Completed"/>
    <s v="PayPal"/>
    <n v="119.04"/>
    <n v="6"/>
    <x v="0"/>
  </r>
  <r>
    <x v="2825"/>
    <x v="345"/>
    <s v="CUST1213"/>
    <s v="Michael Tan"/>
    <x v="0"/>
    <x v="3"/>
    <x v="14"/>
    <n v="1"/>
    <n v="59.55"/>
    <s v="Pending"/>
    <s v="Credit Card"/>
    <n v="59.55"/>
    <n v="6"/>
    <x v="0"/>
  </r>
  <r>
    <x v="2826"/>
    <x v="275"/>
    <s v="CUST1768"/>
    <s v="Rina Nugroho"/>
    <x v="0"/>
    <x v="1"/>
    <x v="17"/>
    <n v="1"/>
    <n v="59.58"/>
    <s v="Completed"/>
    <s v="Debit Card"/>
    <n v="59.58"/>
    <n v="5"/>
    <x v="0"/>
  </r>
  <r>
    <x v="2827"/>
    <x v="54"/>
    <s v="CUST1694"/>
    <s v="Ayu Tan"/>
    <x v="1"/>
    <x v="1"/>
    <x v="17"/>
    <n v="1"/>
    <n v="59.6"/>
    <s v="Completed"/>
    <s v="Debit Card"/>
    <n v="59.6"/>
    <n v="3"/>
    <x v="0"/>
  </r>
  <r>
    <x v="2828"/>
    <x v="33"/>
    <s v="CUST1843"/>
    <s v="Siti Hidayat"/>
    <x v="0"/>
    <x v="1"/>
    <x v="18"/>
    <n v="1"/>
    <n v="59.63"/>
    <s v="Completed"/>
    <s v="Credit Card"/>
    <n v="59.63"/>
    <n v="8"/>
    <x v="0"/>
  </r>
  <r>
    <x v="2829"/>
    <x v="255"/>
    <s v="CUST1184"/>
    <s v="Michael Kurniawan"/>
    <x v="0"/>
    <x v="5"/>
    <x v="34"/>
    <n v="1"/>
    <n v="59.64"/>
    <s v="Completed"/>
    <s v="PayPal"/>
    <n v="59.64"/>
    <n v="6"/>
    <x v="0"/>
  </r>
  <r>
    <x v="2830"/>
    <x v="671"/>
    <s v="CUST1873"/>
    <s v="Ayu Anderson"/>
    <x v="0"/>
    <x v="4"/>
    <x v="27"/>
    <n v="4"/>
    <n v="59.65"/>
    <s v="Completed"/>
    <s v="Unknown"/>
    <n v="238.6"/>
    <n v="5"/>
    <x v="0"/>
  </r>
  <r>
    <x v="2831"/>
    <x v="255"/>
    <s v="CUST1147"/>
    <s v="Sarah Wilson"/>
    <x v="0"/>
    <x v="3"/>
    <x v="12"/>
    <n v="4"/>
    <n v="59.67"/>
    <s v="Completed"/>
    <s v="Debit Card"/>
    <n v="238.68"/>
    <n v="7"/>
    <x v="0"/>
  </r>
  <r>
    <x v="2832"/>
    <x v="54"/>
    <s v="CUST1794"/>
    <s v="Robert Halim"/>
    <x v="0"/>
    <x v="3"/>
    <x v="14"/>
    <n v="1"/>
    <n v="59.68"/>
    <s v="Completed"/>
    <s v="Credit Card"/>
    <n v="59.68"/>
    <n v="3"/>
    <x v="0"/>
  </r>
  <r>
    <x v="2833"/>
    <x v="90"/>
    <s v="CUST1192"/>
    <s v="Lisa Kurniawan"/>
    <x v="0"/>
    <x v="4"/>
    <x v="25"/>
    <n v="1"/>
    <n v="59.72"/>
    <s v="Completed"/>
    <s v="Debit Card"/>
    <n v="59.72"/>
    <n v="4"/>
    <x v="0"/>
  </r>
  <r>
    <x v="2834"/>
    <x v="196"/>
    <s v="CUST1379"/>
    <s v="Putri Halim"/>
    <x v="0"/>
    <x v="3"/>
    <x v="12"/>
    <n v="1"/>
    <n v="59.72"/>
    <s v="Completed"/>
    <s v="PayPal"/>
    <n v="59.72"/>
    <n v="4"/>
    <x v="0"/>
  </r>
  <r>
    <x v="2835"/>
    <x v="502"/>
    <s v="CUST1614"/>
    <s v="Putri Lee"/>
    <x v="0"/>
    <x v="3"/>
    <x v="19"/>
    <n v="5"/>
    <n v="59.73"/>
    <s v="Completed"/>
    <s v="Credit Card"/>
    <n v="298.64999999999998"/>
    <n v="4"/>
    <x v="0"/>
  </r>
  <r>
    <x v="2836"/>
    <x v="576"/>
    <s v="CUST1388"/>
    <s v="Rina Tan"/>
    <x v="0"/>
    <x v="6"/>
    <x v="36"/>
    <n v="1"/>
    <n v="59.74"/>
    <s v="Pending"/>
    <s v="Debit Card"/>
    <n v="59.74"/>
    <n v="7"/>
    <x v="0"/>
  </r>
  <r>
    <x v="2837"/>
    <x v="144"/>
    <s v="CUST1254"/>
    <s v="Nina Garcia"/>
    <x v="0"/>
    <x v="3"/>
    <x v="19"/>
    <n v="1"/>
    <n v="59.8"/>
    <s v="Completed"/>
    <s v="Gift Card"/>
    <n v="59.8"/>
    <n v="6"/>
    <x v="0"/>
  </r>
  <r>
    <x v="2838"/>
    <x v="228"/>
    <s v="CUST1808"/>
    <s v="Michael Kurniawan"/>
    <x v="1"/>
    <x v="4"/>
    <x v="21"/>
    <n v="1"/>
    <n v="59.82"/>
    <s v="Pending"/>
    <s v="Credit Card"/>
    <n v="59.82"/>
    <n v="9"/>
    <x v="0"/>
  </r>
  <r>
    <x v="2839"/>
    <x v="446"/>
    <s v="CUST1639"/>
    <s v="Dewi Salim"/>
    <x v="1"/>
    <x v="6"/>
    <x v="42"/>
    <n v="1"/>
    <n v="59.84"/>
    <s v="Completed"/>
    <s v="Gift Card"/>
    <n v="59.84"/>
    <n v="7"/>
    <x v="0"/>
  </r>
  <r>
    <x v="2840"/>
    <x v="326"/>
    <s v="CUST1005"/>
    <s v="Dewi Wijaya"/>
    <x v="0"/>
    <x v="3"/>
    <x v="19"/>
    <n v="1"/>
    <n v="59.85"/>
    <s v="Completed"/>
    <s v="Gift Card"/>
    <n v="59.85"/>
    <n v="10"/>
    <x v="0"/>
  </r>
  <r>
    <x v="2841"/>
    <x v="708"/>
    <s v="CUST1852"/>
    <s v="Putri Garcia"/>
    <x v="0"/>
    <x v="4"/>
    <x v="27"/>
    <n v="1"/>
    <n v="59.85"/>
    <s v="Completed"/>
    <s v="Debit Card"/>
    <n v="59.85"/>
    <n v="5"/>
    <x v="0"/>
  </r>
  <r>
    <x v="2842"/>
    <x v="398"/>
    <s v="CUST1315"/>
    <s v="Andi Brown"/>
    <x v="0"/>
    <x v="6"/>
    <x v="41"/>
    <n v="2"/>
    <n v="59.88"/>
    <s v="Completed"/>
    <s v="Debit Card"/>
    <n v="119.76"/>
    <n v="2"/>
    <x v="0"/>
  </r>
  <r>
    <x v="2843"/>
    <x v="317"/>
    <s v="CUST1207"/>
    <s v="Maria Taylor"/>
    <x v="0"/>
    <x v="4"/>
    <x v="22"/>
    <n v="1"/>
    <n v="59.91"/>
    <s v="Completed"/>
    <s v="Gift Card"/>
    <n v="59.91"/>
    <n v="2"/>
    <x v="0"/>
  </r>
  <r>
    <x v="2844"/>
    <x v="5"/>
    <s v="CUST1210"/>
    <s v="Nina Garcia"/>
    <x v="0"/>
    <x v="3"/>
    <x v="19"/>
    <n v="1"/>
    <n v="59.92"/>
    <s v="Completed"/>
    <s v="Gift Card"/>
    <n v="59.92"/>
    <n v="9"/>
    <x v="0"/>
  </r>
  <r>
    <x v="2845"/>
    <x v="482"/>
    <s v="CUST1662"/>
    <s v="Siti Lee"/>
    <x v="1"/>
    <x v="3"/>
    <x v="13"/>
    <n v="1"/>
    <n v="59.93"/>
    <s v="Completed"/>
    <s v="Gift Card"/>
    <n v="59.93"/>
    <n v="5"/>
    <x v="0"/>
  </r>
  <r>
    <x v="2846"/>
    <x v="219"/>
    <s v="CUST1257"/>
    <s v="Sarah Taylor"/>
    <x v="0"/>
    <x v="3"/>
    <x v="14"/>
    <n v="1"/>
    <n v="59.93"/>
    <s v="Completed"/>
    <s v="Credit Card"/>
    <n v="59.93"/>
    <n v="7"/>
    <x v="0"/>
  </r>
  <r>
    <x v="2847"/>
    <x v="104"/>
    <s v="CUST1624"/>
    <s v="Budi Smith"/>
    <x v="0"/>
    <x v="4"/>
    <x v="22"/>
    <n v="2"/>
    <n v="59.98"/>
    <s v="Completed"/>
    <s v="Gift Card"/>
    <n v="119.96"/>
    <n v="5"/>
    <x v="0"/>
  </r>
  <r>
    <x v="2848"/>
    <x v="297"/>
    <s v="CUST1316"/>
    <s v="Michael Wilson"/>
    <x v="3"/>
    <x v="1"/>
    <x v="18"/>
    <n v="1"/>
    <n v="59.99"/>
    <s v="Completed"/>
    <s v="Gift Card"/>
    <n v="59.99"/>
    <n v="4"/>
    <x v="0"/>
  </r>
  <r>
    <x v="2849"/>
    <x v="220"/>
    <s v="CUST1584"/>
    <s v="John Garcia"/>
    <x v="0"/>
    <x v="4"/>
    <x v="22"/>
    <n v="2"/>
    <n v="60.01"/>
    <s v="Completed"/>
    <s v="Gift Card"/>
    <n v="120.02"/>
    <n v="5"/>
    <x v="0"/>
  </r>
  <r>
    <x v="2850"/>
    <x v="178"/>
    <s v="CUST1456"/>
    <s v="Kevin Nugroho"/>
    <x v="0"/>
    <x v="1"/>
    <x v="5"/>
    <n v="1"/>
    <n v="60.06"/>
    <s v="Completed"/>
    <s v="Gift Card"/>
    <n v="60.06"/>
    <n v="5"/>
    <x v="0"/>
  </r>
  <r>
    <x v="2851"/>
    <x v="92"/>
    <s v="CUST1037"/>
    <s v="Lisa Garcia"/>
    <x v="0"/>
    <x v="6"/>
    <x v="35"/>
    <n v="1"/>
    <n v="60.07"/>
    <s v="Completed"/>
    <s v="PayPal"/>
    <n v="60.07"/>
    <n v="3"/>
    <x v="0"/>
  </r>
  <r>
    <x v="2852"/>
    <x v="241"/>
    <s v="CUST1781"/>
    <s v="Andi Yusuf"/>
    <x v="1"/>
    <x v="1"/>
    <x v="5"/>
    <n v="1"/>
    <n v="60.13"/>
    <s v="Completed"/>
    <s v="PayPal"/>
    <n v="60.13"/>
    <n v="5"/>
    <x v="0"/>
  </r>
  <r>
    <x v="2853"/>
    <x v="272"/>
    <s v="CUST1822"/>
    <s v="Ayu Wilson"/>
    <x v="0"/>
    <x v="4"/>
    <x v="21"/>
    <n v="2"/>
    <n v="60.13"/>
    <s v="Completed"/>
    <s v="Debit Card"/>
    <n v="120.26"/>
    <n v="6"/>
    <x v="0"/>
  </r>
  <r>
    <x v="2854"/>
    <x v="541"/>
    <s v="CUST1472"/>
    <s v="Andi Halim"/>
    <x v="1"/>
    <x v="1"/>
    <x v="20"/>
    <n v="1"/>
    <n v="60.25"/>
    <s v="Completed"/>
    <s v="Debit Card"/>
    <n v="60.25"/>
    <n v="3"/>
    <x v="0"/>
  </r>
  <r>
    <x v="2855"/>
    <x v="596"/>
    <s v="CUST1640"/>
    <s v="Siti Smith"/>
    <x v="0"/>
    <x v="1"/>
    <x v="17"/>
    <n v="2"/>
    <n v="60.28"/>
    <s v="Completed"/>
    <s v="Credit Card"/>
    <n v="120.56"/>
    <n v="9"/>
    <x v="0"/>
  </r>
  <r>
    <x v="2856"/>
    <x v="193"/>
    <s v="CUST1741"/>
    <s v="Siti Wilson"/>
    <x v="0"/>
    <x v="1"/>
    <x v="17"/>
    <n v="2"/>
    <n v="60.3"/>
    <s v="Cancelled"/>
    <s v="Unknown"/>
    <n v="120.6"/>
    <n v="7"/>
    <x v="0"/>
  </r>
  <r>
    <x v="2857"/>
    <x v="23"/>
    <s v="CUST1463"/>
    <s v="Linda Brown"/>
    <x v="0"/>
    <x v="4"/>
    <x v="22"/>
    <n v="2"/>
    <n v="60.31"/>
    <s v="Completed"/>
    <s v="Gift Card"/>
    <n v="120.62"/>
    <n v="7"/>
    <x v="0"/>
  </r>
  <r>
    <x v="2858"/>
    <x v="19"/>
    <s v="CUST1056"/>
    <s v="Rina Smith"/>
    <x v="0"/>
    <x v="5"/>
    <x v="31"/>
    <n v="2"/>
    <n v="60.33"/>
    <s v="Completed"/>
    <s v="Credit Card"/>
    <n v="120.66"/>
    <n v="4"/>
    <x v="0"/>
  </r>
  <r>
    <x v="2859"/>
    <x v="238"/>
    <s v="CUST1461"/>
    <s v="Dewi Brown"/>
    <x v="0"/>
    <x v="4"/>
    <x v="25"/>
    <n v="2"/>
    <n v="60.34"/>
    <s v="Completed"/>
    <s v="Gift Card"/>
    <n v="120.68"/>
    <n v="3"/>
    <x v="0"/>
  </r>
  <r>
    <x v="2860"/>
    <x v="146"/>
    <s v="CUST1827"/>
    <s v="Putri Garcia"/>
    <x v="0"/>
    <x v="4"/>
    <x v="22"/>
    <n v="1"/>
    <n v="60.4"/>
    <s v="Completed"/>
    <s v="Credit Card"/>
    <n v="60.4"/>
    <n v="3"/>
    <x v="0"/>
  </r>
  <r>
    <x v="2861"/>
    <x v="12"/>
    <s v="CUST1322"/>
    <s v="Ahmad Wijaya"/>
    <x v="1"/>
    <x v="1"/>
    <x v="6"/>
    <n v="1"/>
    <n v="60.51"/>
    <s v="Completed"/>
    <s v="Credit Card"/>
    <n v="60.51"/>
    <n v="7"/>
    <x v="0"/>
  </r>
  <r>
    <x v="2862"/>
    <x v="68"/>
    <s v="CUST1843"/>
    <s v="Siti Hidayat"/>
    <x v="0"/>
    <x v="5"/>
    <x v="29"/>
    <n v="2"/>
    <n v="60.53"/>
    <s v="Completed"/>
    <s v="Debit Card"/>
    <n v="121.06"/>
    <n v="8"/>
    <x v="0"/>
  </r>
  <r>
    <x v="2863"/>
    <x v="285"/>
    <s v="CUST1219"/>
    <s v="Linda Yusuf"/>
    <x v="0"/>
    <x v="1"/>
    <x v="20"/>
    <n v="2"/>
    <n v="60.55"/>
    <s v="Completed"/>
    <s v="Debit Card"/>
    <n v="121.1"/>
    <n v="5"/>
    <x v="0"/>
  </r>
  <r>
    <x v="2864"/>
    <x v="567"/>
    <s v="CUST1302"/>
    <s v="Dewi Taylor"/>
    <x v="1"/>
    <x v="1"/>
    <x v="17"/>
    <n v="2"/>
    <n v="60.61"/>
    <s v="Completed"/>
    <s v="Credit Card"/>
    <n v="121.22"/>
    <n v="6"/>
    <x v="0"/>
  </r>
  <r>
    <x v="2865"/>
    <x v="255"/>
    <s v="CUST1345"/>
    <s v="Michael Santos"/>
    <x v="0"/>
    <x v="1"/>
    <x v="9"/>
    <n v="1"/>
    <n v="60.62"/>
    <s v="Completed"/>
    <s v="PayPal"/>
    <n v="60.62"/>
    <n v="7"/>
    <x v="0"/>
  </r>
  <r>
    <x v="2866"/>
    <x v="719"/>
    <s v="CUST1002"/>
    <s v="Sarah Kurniawan"/>
    <x v="0"/>
    <x v="1"/>
    <x v="5"/>
    <n v="1"/>
    <n v="60.64"/>
    <s v="Completed"/>
    <s v="Debit Card"/>
    <n v="60.64"/>
    <n v="5"/>
    <x v="0"/>
  </r>
  <r>
    <x v="2867"/>
    <x v="528"/>
    <s v="CUST1487"/>
    <s v="Andi Lee"/>
    <x v="0"/>
    <x v="1"/>
    <x v="18"/>
    <n v="1"/>
    <n v="60.65"/>
    <s v="Completed"/>
    <s v="Unknown"/>
    <n v="60.65"/>
    <n v="7"/>
    <x v="0"/>
  </r>
  <r>
    <x v="2868"/>
    <x v="340"/>
    <s v="CUST1341"/>
    <s v="Fajar Wijaya"/>
    <x v="0"/>
    <x v="6"/>
    <x v="35"/>
    <n v="1"/>
    <n v="60.7"/>
    <s v="Completed"/>
    <s v="Gift Card"/>
    <n v="60.7"/>
    <n v="6"/>
    <x v="0"/>
  </r>
  <r>
    <x v="2869"/>
    <x v="304"/>
    <s v="CUST1506"/>
    <s v="Lisa Wilson"/>
    <x v="1"/>
    <x v="1"/>
    <x v="9"/>
    <n v="2"/>
    <n v="60.72"/>
    <s v="Completed"/>
    <s v="PayPal"/>
    <n v="121.44"/>
    <n v="5"/>
    <x v="0"/>
  </r>
  <r>
    <x v="2870"/>
    <x v="335"/>
    <s v="CUST1783"/>
    <s v="Ayu Taylor"/>
    <x v="0"/>
    <x v="5"/>
    <x v="32"/>
    <n v="3"/>
    <n v="60.779880952380921"/>
    <s v="Completed"/>
    <s v="Credit Card"/>
    <n v="182.33964285714276"/>
    <n v="11"/>
    <x v="0"/>
  </r>
  <r>
    <x v="2871"/>
    <x v="27"/>
    <s v="CUST1779"/>
    <s v="Andi Yusuf"/>
    <x v="0"/>
    <x v="4"/>
    <x v="27"/>
    <n v="1"/>
    <n v="60.82"/>
    <s v="Completed"/>
    <s v="Credit Card"/>
    <n v="60.82"/>
    <n v="8"/>
    <x v="0"/>
  </r>
  <r>
    <x v="2872"/>
    <x v="190"/>
    <s v="CUST1126"/>
    <s v="Ahmad Garcia"/>
    <x v="0"/>
    <x v="4"/>
    <x v="27"/>
    <n v="1"/>
    <n v="60.85"/>
    <s v="Completed"/>
    <s v="PayPal"/>
    <n v="60.85"/>
    <n v="6"/>
    <x v="0"/>
  </r>
  <r>
    <x v="2873"/>
    <x v="274"/>
    <s v="CUST1696"/>
    <s v="David Hidayat"/>
    <x v="0"/>
    <x v="1"/>
    <x v="17"/>
    <n v="4"/>
    <n v="60.85"/>
    <s v="Pending"/>
    <s v="Gift Card"/>
    <n v="243.4"/>
    <n v="8"/>
    <x v="0"/>
  </r>
  <r>
    <x v="2874"/>
    <x v="193"/>
    <s v="CUST1855"/>
    <s v="James Brown"/>
    <x v="0"/>
    <x v="4"/>
    <x v="26"/>
    <n v="1"/>
    <n v="60.96"/>
    <s v="Completed"/>
    <s v="Credit Card"/>
    <n v="60.96"/>
    <n v="5"/>
    <x v="0"/>
  </r>
  <r>
    <x v="2875"/>
    <x v="142"/>
    <s v="CUST1192"/>
    <s v="Lisa Kurniawan"/>
    <x v="0"/>
    <x v="4"/>
    <x v="27"/>
    <n v="2"/>
    <n v="60.99"/>
    <s v="Completed"/>
    <s v="Gift Card"/>
    <n v="121.98"/>
    <n v="4"/>
    <x v="0"/>
  </r>
  <r>
    <x v="2876"/>
    <x v="719"/>
    <s v="CUST1895"/>
    <s v="Michael Johnson"/>
    <x v="0"/>
    <x v="4"/>
    <x v="22"/>
    <n v="1"/>
    <n v="61.02"/>
    <s v="Pending"/>
    <s v="PayPal"/>
    <n v="61.02"/>
    <n v="8"/>
    <x v="0"/>
  </r>
  <r>
    <x v="2877"/>
    <x v="263"/>
    <s v="CUST1779"/>
    <s v="Andi Yusuf"/>
    <x v="0"/>
    <x v="5"/>
    <x v="30"/>
    <n v="2"/>
    <n v="61.05"/>
    <s v="Completed"/>
    <s v="Debit Card"/>
    <n v="122.1"/>
    <n v="8"/>
    <x v="0"/>
  </r>
  <r>
    <x v="2878"/>
    <x v="125"/>
    <s v="CUST1853"/>
    <s v="Robert Smith"/>
    <x v="0"/>
    <x v="1"/>
    <x v="18"/>
    <n v="1"/>
    <n v="61.08"/>
    <s v="Returned"/>
    <s v="PayPal"/>
    <n v="61.08"/>
    <n v="5"/>
    <x v="0"/>
  </r>
  <r>
    <x v="2879"/>
    <x v="707"/>
    <s v="CUST1251"/>
    <s v="Nina Salim"/>
    <x v="0"/>
    <x v="1"/>
    <x v="6"/>
    <n v="2"/>
    <n v="61.09"/>
    <s v="Completed"/>
    <s v="Credit Card"/>
    <n v="122.18"/>
    <n v="8"/>
    <x v="0"/>
  </r>
  <r>
    <x v="2880"/>
    <x v="444"/>
    <s v="CUST1505"/>
    <s v="Michael Anderson"/>
    <x v="3"/>
    <x v="5"/>
    <x v="33"/>
    <n v="2"/>
    <n v="61.2"/>
    <s v="Completed"/>
    <s v="PayPal"/>
    <n v="122.4"/>
    <n v="3"/>
    <x v="0"/>
  </r>
  <r>
    <x v="2881"/>
    <x v="32"/>
    <s v="CUST1223"/>
    <s v="Michael Halim"/>
    <x v="0"/>
    <x v="5"/>
    <x v="30"/>
    <n v="1"/>
    <n v="61.21"/>
    <s v="Completed"/>
    <s v="Gift Card"/>
    <n v="61.21"/>
    <n v="7"/>
    <x v="0"/>
  </r>
  <r>
    <x v="2882"/>
    <x v="468"/>
    <s v="CUST1410"/>
    <s v="Fajar Hidayat"/>
    <x v="1"/>
    <x v="4"/>
    <x v="23"/>
    <n v="2"/>
    <n v="61.26"/>
    <s v="Completed"/>
    <s v="Gift Card"/>
    <n v="122.52"/>
    <n v="6"/>
    <x v="0"/>
  </r>
  <r>
    <x v="2883"/>
    <x v="62"/>
    <s v="CUST1580"/>
    <s v="Linda Tan"/>
    <x v="1"/>
    <x v="6"/>
    <x v="36"/>
    <n v="2"/>
    <n v="61.31"/>
    <s v="Completed"/>
    <s v="Credit Card"/>
    <n v="122.62"/>
    <n v="4"/>
    <x v="0"/>
  </r>
  <r>
    <x v="2884"/>
    <x v="37"/>
    <s v="CUST1664"/>
    <s v="Dewi Nugroho"/>
    <x v="1"/>
    <x v="4"/>
    <x v="25"/>
    <n v="2"/>
    <n v="61.31"/>
    <s v="Completed"/>
    <s v="Credit Card"/>
    <n v="122.62"/>
    <n v="6"/>
    <x v="0"/>
  </r>
  <r>
    <x v="2885"/>
    <x v="252"/>
    <s v="CUST1856"/>
    <s v="Siti Brown"/>
    <x v="0"/>
    <x v="1"/>
    <x v="18"/>
    <n v="2"/>
    <n v="61.32"/>
    <s v="Completed"/>
    <s v="Credit Card"/>
    <n v="122.64"/>
    <n v="6"/>
    <x v="0"/>
  </r>
  <r>
    <x v="2886"/>
    <x v="466"/>
    <s v="CUST1895"/>
    <s v="Michael Johnson"/>
    <x v="0"/>
    <x v="4"/>
    <x v="24"/>
    <n v="1"/>
    <n v="61.37"/>
    <s v="Completed"/>
    <s v="Credit Card"/>
    <n v="61.37"/>
    <n v="8"/>
    <x v="0"/>
  </r>
  <r>
    <x v="2887"/>
    <x v="75"/>
    <s v="CUST1631"/>
    <s v="Lisa Tan"/>
    <x v="0"/>
    <x v="4"/>
    <x v="23"/>
    <n v="1"/>
    <n v="61.42"/>
    <s v="Completed"/>
    <s v="Debit Card"/>
    <n v="61.42"/>
    <n v="3"/>
    <x v="0"/>
  </r>
  <r>
    <x v="2888"/>
    <x v="353"/>
    <s v="CUST1027"/>
    <s v="Budi Smith"/>
    <x v="0"/>
    <x v="5"/>
    <x v="29"/>
    <n v="1"/>
    <n v="61.44"/>
    <s v="Completed"/>
    <s v="PayPal"/>
    <n v="61.44"/>
    <n v="2"/>
    <x v="0"/>
  </r>
  <r>
    <x v="2889"/>
    <x v="408"/>
    <s v="CUST1136"/>
    <s v="Budi Hidayat"/>
    <x v="0"/>
    <x v="1"/>
    <x v="5"/>
    <n v="1"/>
    <n v="61.44"/>
    <s v="Completed"/>
    <s v="PayPal"/>
    <n v="61.44"/>
    <n v="3"/>
    <x v="0"/>
  </r>
  <r>
    <x v="2890"/>
    <x v="331"/>
    <s v="CUST1641"/>
    <s v="Rina Nugroho"/>
    <x v="1"/>
    <x v="1"/>
    <x v="9"/>
    <n v="1"/>
    <n v="61.47"/>
    <s v="Returned"/>
    <s v="Gift Card"/>
    <n v="61.47"/>
    <n v="8"/>
    <x v="0"/>
  </r>
  <r>
    <x v="2891"/>
    <x v="172"/>
    <s v="CUST1671"/>
    <s v="John Taylor"/>
    <x v="3"/>
    <x v="1"/>
    <x v="18"/>
    <n v="2"/>
    <n v="61.48"/>
    <s v="Pending"/>
    <s v="Gift Card"/>
    <n v="122.96"/>
    <n v="4"/>
    <x v="0"/>
  </r>
  <r>
    <x v="2892"/>
    <x v="635"/>
    <s v="CUST1048"/>
    <s v="Andi Kurniawan"/>
    <x v="0"/>
    <x v="5"/>
    <x v="31"/>
    <n v="1"/>
    <n v="61.57"/>
    <s v="Completed"/>
    <s v="Credit Card"/>
    <n v="61.57"/>
    <n v="4"/>
    <x v="0"/>
  </r>
  <r>
    <x v="2893"/>
    <x v="26"/>
    <s v="CUST1834"/>
    <s v="Andi Nugroho"/>
    <x v="0"/>
    <x v="6"/>
    <x v="41"/>
    <n v="2"/>
    <n v="61.65"/>
    <s v="Completed"/>
    <s v="PayPal"/>
    <n v="123.3"/>
    <n v="12"/>
    <x v="0"/>
  </r>
  <r>
    <x v="2894"/>
    <x v="475"/>
    <s v="CUST1290"/>
    <s v="Lisa Nugroho"/>
    <x v="0"/>
    <x v="5"/>
    <x v="32"/>
    <n v="1"/>
    <n v="61.68"/>
    <s v="Completed"/>
    <s v="Debit Card"/>
    <n v="61.68"/>
    <n v="3"/>
    <x v="0"/>
  </r>
  <r>
    <x v="2895"/>
    <x v="239"/>
    <s v="CUST1149"/>
    <s v="Sarah Yusuf"/>
    <x v="1"/>
    <x v="6"/>
    <x v="39"/>
    <n v="1"/>
    <n v="61.79"/>
    <s v="Returned"/>
    <s v="Debit Card"/>
    <n v="61.79"/>
    <n v="2"/>
    <x v="0"/>
  </r>
  <r>
    <x v="2896"/>
    <x v="611"/>
    <s v="CUST1318"/>
    <s v="David Smith"/>
    <x v="3"/>
    <x v="6"/>
    <x v="37"/>
    <n v="1"/>
    <n v="61.83"/>
    <s v="Returned"/>
    <s v="Credit Card"/>
    <n v="61.83"/>
    <n v="4"/>
    <x v="0"/>
  </r>
  <r>
    <x v="2897"/>
    <x v="250"/>
    <s v="CUST1305"/>
    <s v="Linda Nugroho"/>
    <x v="0"/>
    <x v="5"/>
    <x v="33"/>
    <n v="1"/>
    <n v="61.86"/>
    <s v="Completed"/>
    <s v="Gift Card"/>
    <n v="61.86"/>
    <n v="5"/>
    <x v="0"/>
  </r>
  <r>
    <x v="2898"/>
    <x v="649"/>
    <s v="CUST1713"/>
    <s v="Dewi Taylor"/>
    <x v="0"/>
    <x v="1"/>
    <x v="9"/>
    <n v="1"/>
    <n v="61.9"/>
    <s v="Completed"/>
    <s v="Debit Card"/>
    <n v="61.9"/>
    <n v="6"/>
    <x v="0"/>
  </r>
  <r>
    <x v="2899"/>
    <x v="642"/>
    <s v="CUST1593"/>
    <s v="Sarah Taylor"/>
    <x v="0"/>
    <x v="1"/>
    <x v="18"/>
    <n v="1"/>
    <n v="61.96"/>
    <s v="Returned"/>
    <s v="Debit Card"/>
    <n v="61.96"/>
    <n v="5"/>
    <x v="0"/>
  </r>
  <r>
    <x v="2900"/>
    <x v="393"/>
    <s v="CUST1619"/>
    <s v="Andi Smith"/>
    <x v="1"/>
    <x v="5"/>
    <x v="29"/>
    <n v="4"/>
    <n v="61.99"/>
    <s v="Completed"/>
    <s v="Gift Card"/>
    <n v="247.96"/>
    <n v="7"/>
    <x v="0"/>
  </r>
  <r>
    <x v="2901"/>
    <x v="295"/>
    <s v="CUST1604"/>
    <s v="John Wilson"/>
    <x v="1"/>
    <x v="1"/>
    <x v="20"/>
    <n v="1"/>
    <n v="62.08"/>
    <s v="Completed"/>
    <s v="Credit Card"/>
    <n v="62.08"/>
    <n v="2"/>
    <x v="0"/>
  </r>
  <r>
    <x v="2902"/>
    <x v="484"/>
    <s v="CUST1776"/>
    <s v="Ahmad Smith"/>
    <x v="0"/>
    <x v="1"/>
    <x v="9"/>
    <n v="2"/>
    <n v="62.08"/>
    <s v="Completed"/>
    <s v="Gift Card"/>
    <n v="124.16"/>
    <n v="3"/>
    <x v="0"/>
  </r>
  <r>
    <x v="2903"/>
    <x v="421"/>
    <s v="CUST1860"/>
    <s v="Rina Nugroho"/>
    <x v="0"/>
    <x v="5"/>
    <x v="34"/>
    <n v="2"/>
    <n v="62.11"/>
    <s v="Returned"/>
    <s v="Credit Card"/>
    <n v="124.22"/>
    <n v="7"/>
    <x v="0"/>
  </r>
  <r>
    <x v="2904"/>
    <x v="582"/>
    <s v="CUST1751"/>
    <s v="Sarah Brown"/>
    <x v="0"/>
    <x v="5"/>
    <x v="34"/>
    <n v="1"/>
    <n v="62.15"/>
    <s v="Completed"/>
    <s v="PayPal"/>
    <n v="62.15"/>
    <n v="2"/>
    <x v="0"/>
  </r>
  <r>
    <x v="2905"/>
    <x v="280"/>
    <s v="CUST1143"/>
    <s v="Linda Wijaya"/>
    <x v="0"/>
    <x v="1"/>
    <x v="18"/>
    <n v="5"/>
    <n v="62.15"/>
    <s v="Cancelled"/>
    <s v="PayPal"/>
    <n v="310.75"/>
    <n v="4"/>
    <x v="0"/>
  </r>
  <r>
    <x v="2906"/>
    <x v="368"/>
    <s v="CUST1558"/>
    <s v="Sarah Wilson"/>
    <x v="0"/>
    <x v="4"/>
    <x v="25"/>
    <n v="3"/>
    <n v="62.25"/>
    <s v="Completed"/>
    <s v="Gift Card"/>
    <n v="186.75"/>
    <n v="2"/>
    <x v="0"/>
  </r>
  <r>
    <x v="2907"/>
    <x v="221"/>
    <s v="CUST1406"/>
    <s v="Ahmad Wilson"/>
    <x v="0"/>
    <x v="4"/>
    <x v="27"/>
    <n v="1"/>
    <n v="62.28"/>
    <s v="Pending"/>
    <s v="Gift Card"/>
    <n v="62.28"/>
    <n v="4"/>
    <x v="0"/>
  </r>
  <r>
    <x v="2908"/>
    <x v="54"/>
    <s v="CUST1806"/>
    <s v="Ahmad Hidayat"/>
    <x v="0"/>
    <x v="4"/>
    <x v="26"/>
    <n v="1"/>
    <n v="62.58"/>
    <s v="Completed"/>
    <s v="Gift Card"/>
    <n v="62.58"/>
    <n v="3"/>
    <x v="0"/>
  </r>
  <r>
    <x v="2909"/>
    <x v="672"/>
    <s v="CUST1883"/>
    <s v="Unknown Customer"/>
    <x v="3"/>
    <x v="1"/>
    <x v="17"/>
    <n v="1"/>
    <n v="62.6"/>
    <s v="Completed"/>
    <s v="Gift Card"/>
    <n v="62.6"/>
    <n v="4"/>
    <x v="0"/>
  </r>
  <r>
    <x v="2910"/>
    <x v="290"/>
    <s v="CUST1778"/>
    <s v="Kevin Wilson"/>
    <x v="0"/>
    <x v="1"/>
    <x v="9"/>
    <n v="1"/>
    <n v="62.61"/>
    <s v="Completed"/>
    <s v="Gift Card"/>
    <n v="62.61"/>
    <n v="5"/>
    <x v="0"/>
  </r>
  <r>
    <x v="2911"/>
    <x v="599"/>
    <s v="CUST1720"/>
    <s v="Rina Salim"/>
    <x v="0"/>
    <x v="4"/>
    <x v="27"/>
    <n v="1"/>
    <n v="62.67"/>
    <s v="Completed"/>
    <s v="Debit Card"/>
    <n v="62.67"/>
    <n v="5"/>
    <x v="0"/>
  </r>
  <r>
    <x v="2912"/>
    <x v="468"/>
    <s v="CUST1438"/>
    <s v="John Smith"/>
    <x v="1"/>
    <x v="5"/>
    <x v="33"/>
    <n v="5"/>
    <n v="62.7"/>
    <s v="Completed"/>
    <s v="Credit Card"/>
    <n v="313.5"/>
    <n v="3"/>
    <x v="0"/>
  </r>
  <r>
    <x v="2913"/>
    <x v="283"/>
    <s v="CUST1524"/>
    <s v="Robert Smith"/>
    <x v="2"/>
    <x v="4"/>
    <x v="26"/>
    <n v="4"/>
    <n v="62.83"/>
    <s v="Completed"/>
    <s v="Debit Card"/>
    <n v="251.32"/>
    <n v="4"/>
    <x v="0"/>
  </r>
  <r>
    <x v="2914"/>
    <x v="65"/>
    <s v="CUST1400"/>
    <s v="James Yusuf"/>
    <x v="0"/>
    <x v="4"/>
    <x v="26"/>
    <n v="1"/>
    <n v="62.9"/>
    <s v="Completed"/>
    <s v="Credit Card"/>
    <n v="62.9"/>
    <n v="7"/>
    <x v="0"/>
  </r>
  <r>
    <x v="2915"/>
    <x v="395"/>
    <s v="CUST1758"/>
    <s v="John Tan"/>
    <x v="1"/>
    <x v="6"/>
    <x v="38"/>
    <n v="1"/>
    <n v="62.9"/>
    <s v="Completed"/>
    <s v="Debit Card"/>
    <n v="62.9"/>
    <n v="4"/>
    <x v="0"/>
  </r>
  <r>
    <x v="2916"/>
    <x v="569"/>
    <s v="CUST1541"/>
    <s v="Linda Johnson"/>
    <x v="1"/>
    <x v="4"/>
    <x v="21"/>
    <n v="2"/>
    <n v="62.91"/>
    <s v="Completed"/>
    <s v="Credit Card"/>
    <n v="125.82"/>
    <n v="7"/>
    <x v="0"/>
  </r>
  <r>
    <x v="2917"/>
    <x v="507"/>
    <s v="CUST1745"/>
    <s v="Ahmad Halim"/>
    <x v="0"/>
    <x v="5"/>
    <x v="29"/>
    <n v="1"/>
    <n v="62.92"/>
    <s v="Completed"/>
    <s v="PayPal"/>
    <n v="62.92"/>
    <n v="10"/>
    <x v="0"/>
  </r>
  <r>
    <x v="2918"/>
    <x v="6"/>
    <s v="CUST1640"/>
    <s v="Unknown Customer"/>
    <x v="0"/>
    <x v="4"/>
    <x v="26"/>
    <n v="1"/>
    <n v="62.93"/>
    <s v="Completed"/>
    <s v="Gift Card"/>
    <n v="62.93"/>
    <n v="9"/>
    <x v="0"/>
  </r>
  <r>
    <x v="2919"/>
    <x v="661"/>
    <s v="CUST1395"/>
    <s v="Lisa Kurniawan"/>
    <x v="3"/>
    <x v="5"/>
    <x v="32"/>
    <n v="2"/>
    <n v="63"/>
    <s v="Completed"/>
    <s v="Credit Card"/>
    <n v="126"/>
    <n v="5"/>
    <x v="0"/>
  </r>
  <r>
    <x v="2920"/>
    <x v="546"/>
    <s v="CUST1776"/>
    <s v="Ahmad Smith"/>
    <x v="0"/>
    <x v="1"/>
    <x v="18"/>
    <n v="3"/>
    <n v="63.04"/>
    <s v="Returned"/>
    <s v="Gift Card"/>
    <n v="189.12"/>
    <n v="3"/>
    <x v="0"/>
  </r>
  <r>
    <x v="2921"/>
    <x v="38"/>
    <s v="CUST1613"/>
    <s v="Andi Garcia"/>
    <x v="0"/>
    <x v="6"/>
    <x v="37"/>
    <n v="1"/>
    <n v="63.09"/>
    <s v="Completed"/>
    <s v="Credit Card"/>
    <n v="63.09"/>
    <n v="5"/>
    <x v="0"/>
  </r>
  <r>
    <x v="2922"/>
    <x v="583"/>
    <s v="CUST1150"/>
    <s v="Ayu Wijaya"/>
    <x v="0"/>
    <x v="6"/>
    <x v="35"/>
    <n v="1"/>
    <n v="63.17"/>
    <s v="Completed"/>
    <s v="Gift Card"/>
    <n v="63.17"/>
    <n v="7"/>
    <x v="0"/>
  </r>
  <r>
    <x v="2923"/>
    <x v="456"/>
    <s v="CUST1393"/>
    <s v="Putri Johnson"/>
    <x v="0"/>
    <x v="6"/>
    <x v="42"/>
    <n v="1"/>
    <n v="63.23"/>
    <s v="Completed"/>
    <s v="Debit Card"/>
    <n v="63.23"/>
    <n v="4"/>
    <x v="0"/>
  </r>
  <r>
    <x v="2924"/>
    <x v="527"/>
    <s v="CUST1644"/>
    <s v="Andi Salim"/>
    <x v="0"/>
    <x v="4"/>
    <x v="24"/>
    <n v="4"/>
    <n v="63.24"/>
    <s v="Completed"/>
    <s v="Credit Card"/>
    <n v="252.96"/>
    <n v="6"/>
    <x v="0"/>
  </r>
  <r>
    <x v="2925"/>
    <x v="96"/>
    <s v="CUST1017"/>
    <s v="Michael Lee"/>
    <x v="3"/>
    <x v="5"/>
    <x v="28"/>
    <n v="4"/>
    <n v="63.44"/>
    <s v="Completed"/>
    <s v="Debit Card"/>
    <n v="253.76"/>
    <n v="3"/>
    <x v="0"/>
  </r>
  <r>
    <x v="2926"/>
    <x v="67"/>
    <s v="CUST1482"/>
    <s v="Sarah Johnson"/>
    <x v="0"/>
    <x v="1"/>
    <x v="20"/>
    <n v="1"/>
    <n v="63.46"/>
    <s v="Completed"/>
    <s v="Debit Card"/>
    <n v="63.46"/>
    <n v="4"/>
    <x v="0"/>
  </r>
  <r>
    <x v="2927"/>
    <x v="557"/>
    <s v="CUST1298"/>
    <s v="Dewi Anderson"/>
    <x v="0"/>
    <x v="4"/>
    <x v="26"/>
    <n v="1"/>
    <n v="63.46"/>
    <s v="Completed"/>
    <s v="Credit Card"/>
    <n v="63.46"/>
    <n v="7"/>
    <x v="0"/>
  </r>
  <r>
    <x v="2928"/>
    <x v="384"/>
    <s v="CUST1826"/>
    <s v="Maria Halim"/>
    <x v="0"/>
    <x v="6"/>
    <x v="36"/>
    <n v="3"/>
    <n v="63.47"/>
    <s v="Completed"/>
    <s v="Unknown"/>
    <n v="190.41"/>
    <n v="6"/>
    <x v="0"/>
  </r>
  <r>
    <x v="2929"/>
    <x v="48"/>
    <s v="CUST1832"/>
    <s v="Rina Pratama"/>
    <x v="3"/>
    <x v="6"/>
    <x v="36"/>
    <n v="1"/>
    <n v="63.49"/>
    <s v="Completed"/>
    <s v="Gift Card"/>
    <n v="63.49"/>
    <n v="4"/>
    <x v="0"/>
  </r>
  <r>
    <x v="2930"/>
    <x v="471"/>
    <s v="CUST1292"/>
    <s v="Budi Halim"/>
    <x v="0"/>
    <x v="1"/>
    <x v="20"/>
    <n v="1"/>
    <n v="63.54"/>
    <s v="Cancelled"/>
    <s v="Credit Card"/>
    <n v="63.54"/>
    <n v="6"/>
    <x v="0"/>
  </r>
  <r>
    <x v="2931"/>
    <x v="25"/>
    <s v="CUST1159"/>
    <s v="Unknown Customer"/>
    <x v="0"/>
    <x v="4"/>
    <x v="21"/>
    <n v="2"/>
    <n v="63.58"/>
    <s v="Completed"/>
    <s v="Debit Card"/>
    <n v="127.16"/>
    <n v="4"/>
    <x v="0"/>
  </r>
  <r>
    <x v="2932"/>
    <x v="6"/>
    <s v="CUST1780"/>
    <s v="Lisa Wijaya"/>
    <x v="0"/>
    <x v="1"/>
    <x v="6"/>
    <n v="4"/>
    <n v="63.62"/>
    <s v="Completed"/>
    <s v="PayPal"/>
    <n v="254.48"/>
    <n v="6"/>
    <x v="0"/>
  </r>
  <r>
    <x v="2933"/>
    <x v="456"/>
    <s v="CUST1186"/>
    <s v="Andi Anderson"/>
    <x v="3"/>
    <x v="1"/>
    <x v="18"/>
    <n v="3"/>
    <n v="63.72"/>
    <s v="Returned"/>
    <s v="PayPal"/>
    <n v="191.16"/>
    <n v="6"/>
    <x v="0"/>
  </r>
  <r>
    <x v="2934"/>
    <x v="369"/>
    <s v="CUST1418"/>
    <s v="Fajar Halim"/>
    <x v="0"/>
    <x v="6"/>
    <x v="35"/>
    <n v="1"/>
    <n v="63.76"/>
    <s v="Completed"/>
    <s v="Gift Card"/>
    <n v="63.76"/>
    <n v="4"/>
    <x v="0"/>
  </r>
  <r>
    <x v="2935"/>
    <x v="500"/>
    <s v="CUST1895"/>
    <s v="Michael Johnson"/>
    <x v="0"/>
    <x v="1"/>
    <x v="9"/>
    <n v="2"/>
    <n v="63.86"/>
    <s v="Cancelled"/>
    <s v="Credit Card"/>
    <n v="127.72"/>
    <n v="8"/>
    <x v="0"/>
  </r>
  <r>
    <x v="2936"/>
    <x v="634"/>
    <s v="CUST1252"/>
    <s v="Ayu Brown"/>
    <x v="0"/>
    <x v="5"/>
    <x v="29"/>
    <n v="1"/>
    <n v="63.918390804597685"/>
    <s v="Completed"/>
    <s v="Debit Card"/>
    <n v="63.918390804597685"/>
    <n v="4"/>
    <x v="0"/>
  </r>
  <r>
    <x v="2937"/>
    <x v="720"/>
    <s v="CUST1356"/>
    <s v="Ahmad Tan"/>
    <x v="0"/>
    <x v="5"/>
    <x v="29"/>
    <n v="1"/>
    <n v="63.918390804597685"/>
    <s v="Pending"/>
    <s v="Gift Card"/>
    <n v="63.918390804597685"/>
    <n v="5"/>
    <x v="0"/>
  </r>
  <r>
    <x v="2938"/>
    <x v="603"/>
    <s v="CUST1838"/>
    <s v="Budi Chen"/>
    <x v="1"/>
    <x v="5"/>
    <x v="29"/>
    <n v="1"/>
    <n v="63.918390804597685"/>
    <s v="Completed"/>
    <s v="PayPal"/>
    <n v="63.918390804597685"/>
    <n v="6"/>
    <x v="0"/>
  </r>
  <r>
    <x v="2939"/>
    <x v="707"/>
    <s v="CUST1673"/>
    <s v="Ahmad Smith"/>
    <x v="0"/>
    <x v="5"/>
    <x v="32"/>
    <n v="4"/>
    <n v="63.94"/>
    <s v="Returned"/>
    <s v="PayPal"/>
    <n v="255.76"/>
    <n v="4"/>
    <x v="0"/>
  </r>
  <r>
    <x v="2940"/>
    <x v="190"/>
    <s v="CUST1439"/>
    <s v="Maria Johnson"/>
    <x v="0"/>
    <x v="5"/>
    <x v="29"/>
    <n v="1"/>
    <n v="63.99"/>
    <s v="Cancelled"/>
    <s v="Credit Card"/>
    <n v="63.99"/>
    <n v="6"/>
    <x v="0"/>
  </r>
  <r>
    <x v="2941"/>
    <x v="194"/>
    <s v="CUST1473"/>
    <s v="Maria Pratama"/>
    <x v="0"/>
    <x v="1"/>
    <x v="20"/>
    <n v="3"/>
    <n v="64.06"/>
    <s v="Completed"/>
    <s v="Debit Card"/>
    <n v="192.18"/>
    <n v="5"/>
    <x v="0"/>
  </r>
  <r>
    <x v="2942"/>
    <x v="88"/>
    <s v="CUST1648"/>
    <s v="James Wijaya"/>
    <x v="0"/>
    <x v="4"/>
    <x v="27"/>
    <n v="2"/>
    <n v="64.09"/>
    <s v="Completed"/>
    <s v="PayPal"/>
    <n v="128.18"/>
    <n v="7"/>
    <x v="0"/>
  </r>
  <r>
    <x v="2943"/>
    <x v="84"/>
    <s v="CUST1619"/>
    <s v="Andi Smith"/>
    <x v="1"/>
    <x v="1"/>
    <x v="9"/>
    <n v="1"/>
    <n v="64.099999999999994"/>
    <s v="Completed"/>
    <s v="Debit Card"/>
    <n v="64.099999999999994"/>
    <n v="7"/>
    <x v="0"/>
  </r>
  <r>
    <x v="2944"/>
    <x v="268"/>
    <s v="CUST1376"/>
    <s v="Nina Yusuf"/>
    <x v="1"/>
    <x v="1"/>
    <x v="9"/>
    <n v="2"/>
    <n v="64.12"/>
    <s v="Completed"/>
    <s v="PayPal"/>
    <n v="128.24"/>
    <n v="5"/>
    <x v="0"/>
  </r>
  <r>
    <x v="2945"/>
    <x v="113"/>
    <s v="CUST1703"/>
    <s v="Budi Wilson"/>
    <x v="0"/>
    <x v="1"/>
    <x v="6"/>
    <n v="1"/>
    <n v="64.150000000000006"/>
    <s v="Completed"/>
    <s v="Gift Card"/>
    <n v="64.150000000000006"/>
    <n v="4"/>
    <x v="0"/>
  </r>
  <r>
    <x v="2946"/>
    <x v="44"/>
    <s v="CUST1398"/>
    <s v="Nina Kurniawan"/>
    <x v="0"/>
    <x v="1"/>
    <x v="18"/>
    <n v="1"/>
    <n v="64.16"/>
    <s v="Completed"/>
    <s v="Unknown"/>
    <n v="64.16"/>
    <n v="2"/>
    <x v="0"/>
  </r>
  <r>
    <x v="2947"/>
    <x v="465"/>
    <s v="CUST1087"/>
    <s v="Linda Tan"/>
    <x v="0"/>
    <x v="1"/>
    <x v="9"/>
    <n v="2"/>
    <n v="64.17"/>
    <s v="Returned"/>
    <s v="Credit Card"/>
    <n v="128.34"/>
    <n v="7"/>
    <x v="0"/>
  </r>
  <r>
    <x v="2948"/>
    <x v="721"/>
    <s v="CUST1038"/>
    <s v="Linda Nugroho"/>
    <x v="0"/>
    <x v="5"/>
    <x v="31"/>
    <n v="1"/>
    <n v="64.172839506172835"/>
    <s v="Completed"/>
    <s v="PayPal"/>
    <n v="64.172839506172835"/>
    <n v="6"/>
    <x v="0"/>
  </r>
  <r>
    <x v="2949"/>
    <x v="287"/>
    <s v="CUST1079"/>
    <s v="Siti Sari"/>
    <x v="0"/>
    <x v="5"/>
    <x v="31"/>
    <n v="4"/>
    <n v="64.172839506172835"/>
    <s v="Completed"/>
    <s v="Credit Card"/>
    <n v="256.69135802469134"/>
    <n v="6"/>
    <x v="0"/>
  </r>
  <r>
    <x v="2950"/>
    <x v="55"/>
    <s v="CUST1496"/>
    <s v="John Smith"/>
    <x v="0"/>
    <x v="5"/>
    <x v="31"/>
    <n v="4"/>
    <n v="64.172839506172835"/>
    <s v="Returned"/>
    <s v="Debit Card"/>
    <n v="256.69135802469134"/>
    <n v="5"/>
    <x v="0"/>
  </r>
  <r>
    <x v="2951"/>
    <x v="219"/>
    <s v="CUST1388"/>
    <s v="Rina Tan"/>
    <x v="0"/>
    <x v="4"/>
    <x v="25"/>
    <n v="2"/>
    <n v="64.19"/>
    <s v="Completed"/>
    <s v="PayPal"/>
    <n v="128.38"/>
    <n v="7"/>
    <x v="0"/>
  </r>
  <r>
    <x v="2952"/>
    <x v="161"/>
    <s v="CUST1647"/>
    <s v="Nina Nugroho"/>
    <x v="1"/>
    <x v="4"/>
    <x v="24"/>
    <n v="1"/>
    <n v="64.209999999999994"/>
    <s v="Completed"/>
    <s v="PayPal"/>
    <n v="64.209999999999994"/>
    <n v="2"/>
    <x v="0"/>
  </r>
  <r>
    <x v="2953"/>
    <x v="308"/>
    <s v="CUST1126"/>
    <s v="Ahmad Garcia"/>
    <x v="0"/>
    <x v="5"/>
    <x v="34"/>
    <n v="1"/>
    <n v="64.209999999999994"/>
    <s v="Completed"/>
    <s v="Credit Card"/>
    <n v="64.209999999999994"/>
    <n v="6"/>
    <x v="0"/>
  </r>
  <r>
    <x v="2954"/>
    <x v="392"/>
    <s v="CUST1655"/>
    <s v="John Tan"/>
    <x v="0"/>
    <x v="4"/>
    <x v="24"/>
    <n v="4"/>
    <n v="64.23"/>
    <s v="Completed"/>
    <s v="Gift Card"/>
    <n v="256.92"/>
    <n v="9"/>
    <x v="0"/>
  </r>
  <r>
    <x v="2955"/>
    <x v="412"/>
    <s v="CUST1562"/>
    <s v="Robert Tan"/>
    <x v="0"/>
    <x v="5"/>
    <x v="31"/>
    <n v="1"/>
    <n v="64.25"/>
    <s v="Completed"/>
    <s v="PayPal"/>
    <n v="64.25"/>
    <n v="5"/>
    <x v="0"/>
  </r>
  <r>
    <x v="2956"/>
    <x v="226"/>
    <s v="CUST1636"/>
    <s v="Michael Santos"/>
    <x v="0"/>
    <x v="6"/>
    <x v="39"/>
    <n v="2"/>
    <n v="64.28"/>
    <s v="Completed"/>
    <s v="Credit Card"/>
    <n v="128.56"/>
    <n v="2"/>
    <x v="0"/>
  </r>
  <r>
    <x v="2957"/>
    <x v="260"/>
    <s v="CUST1257"/>
    <s v="Sarah Taylor"/>
    <x v="0"/>
    <x v="6"/>
    <x v="38"/>
    <n v="2"/>
    <n v="64.319999999999993"/>
    <s v="Completed"/>
    <s v="Debit Card"/>
    <n v="128.63999999999999"/>
    <n v="7"/>
    <x v="0"/>
  </r>
  <r>
    <x v="2958"/>
    <x v="511"/>
    <s v="CUST1227"/>
    <s v="David Wijaya"/>
    <x v="0"/>
    <x v="5"/>
    <x v="30"/>
    <n v="1"/>
    <n v="64.44"/>
    <s v="Completed"/>
    <s v="Credit Card"/>
    <n v="64.44"/>
    <n v="2"/>
    <x v="0"/>
  </r>
  <r>
    <x v="2959"/>
    <x v="525"/>
    <s v="CUST1312"/>
    <s v="Linda Wijaya"/>
    <x v="1"/>
    <x v="1"/>
    <x v="5"/>
    <n v="4"/>
    <n v="64.48"/>
    <s v="Completed"/>
    <s v="Debit Card"/>
    <n v="257.92"/>
    <n v="4"/>
    <x v="0"/>
  </r>
  <r>
    <x v="2960"/>
    <x v="697"/>
    <s v="CUST1095"/>
    <s v="Sarah Smith"/>
    <x v="0"/>
    <x v="4"/>
    <x v="27"/>
    <n v="1"/>
    <n v="64.540000000000006"/>
    <s v="Cancelled"/>
    <s v="Credit Card"/>
    <n v="64.540000000000006"/>
    <n v="9"/>
    <x v="0"/>
  </r>
  <r>
    <x v="2961"/>
    <x v="346"/>
    <s v="CUST1251"/>
    <s v="Nina Salim"/>
    <x v="0"/>
    <x v="4"/>
    <x v="21"/>
    <n v="1"/>
    <n v="64.540000000000006"/>
    <s v="Returned"/>
    <s v="Credit Card"/>
    <n v="64.540000000000006"/>
    <n v="8"/>
    <x v="0"/>
  </r>
  <r>
    <x v="2962"/>
    <x v="401"/>
    <s v="CUST1889"/>
    <s v="James Sari"/>
    <x v="1"/>
    <x v="4"/>
    <x v="26"/>
    <n v="1"/>
    <n v="64.569999999999993"/>
    <s v="Completed"/>
    <s v="Unknown"/>
    <n v="64.569999999999993"/>
    <n v="5"/>
    <x v="0"/>
  </r>
  <r>
    <x v="2963"/>
    <x v="595"/>
    <s v="CUST1894"/>
    <s v="Putri Anderson"/>
    <x v="0"/>
    <x v="5"/>
    <x v="28"/>
    <n v="1"/>
    <n v="64.617323943661987"/>
    <s v="Completed"/>
    <s v="Gift Card"/>
    <n v="64.617323943661987"/>
    <n v="4"/>
    <x v="0"/>
  </r>
  <r>
    <x v="2964"/>
    <x v="654"/>
    <s v="CUST1837"/>
    <s v="Dewi Johnson"/>
    <x v="0"/>
    <x v="5"/>
    <x v="28"/>
    <n v="1"/>
    <n v="64.617323943661987"/>
    <s v="Completed"/>
    <s v="Debit Card"/>
    <n v="64.617323943661987"/>
    <n v="6"/>
    <x v="0"/>
  </r>
  <r>
    <x v="2965"/>
    <x v="505"/>
    <s v="CUST1041"/>
    <s v="Michael Wijaya"/>
    <x v="0"/>
    <x v="4"/>
    <x v="25"/>
    <n v="3"/>
    <n v="64.63"/>
    <s v="Completed"/>
    <s v="PayPal"/>
    <n v="193.89"/>
    <n v="8"/>
    <x v="0"/>
  </r>
  <r>
    <x v="2966"/>
    <x v="428"/>
    <s v="CUST1106"/>
    <s v="Lisa Kurniawan"/>
    <x v="0"/>
    <x v="1"/>
    <x v="20"/>
    <n v="1"/>
    <n v="64.69"/>
    <s v="Returned"/>
    <s v="Unknown"/>
    <n v="64.69"/>
    <n v="5"/>
    <x v="0"/>
  </r>
  <r>
    <x v="2967"/>
    <x v="400"/>
    <s v="CUST1659"/>
    <s v="Kevin Hidayat"/>
    <x v="1"/>
    <x v="1"/>
    <x v="17"/>
    <n v="1"/>
    <n v="64.78"/>
    <s v="Completed"/>
    <s v="PayPal"/>
    <n v="64.78"/>
    <n v="4"/>
    <x v="0"/>
  </r>
  <r>
    <x v="2968"/>
    <x v="587"/>
    <s v="CUST1298"/>
    <s v="Dewi Anderson"/>
    <x v="0"/>
    <x v="5"/>
    <x v="29"/>
    <n v="1"/>
    <n v="65.05"/>
    <s v="Completed"/>
    <s v="Gift Card"/>
    <n v="65.05"/>
    <n v="7"/>
    <x v="0"/>
  </r>
  <r>
    <x v="2969"/>
    <x v="307"/>
    <s v="CUST1348"/>
    <s v="Putri Nugroho"/>
    <x v="0"/>
    <x v="4"/>
    <x v="22"/>
    <n v="4"/>
    <n v="65.17"/>
    <s v="Completed"/>
    <s v="PayPal"/>
    <n v="260.68"/>
    <n v="6"/>
    <x v="0"/>
  </r>
  <r>
    <x v="2970"/>
    <x v="490"/>
    <s v="CUST1066"/>
    <s v="Michael Lee"/>
    <x v="1"/>
    <x v="5"/>
    <x v="30"/>
    <n v="1"/>
    <n v="65.239999999999995"/>
    <s v="Completed"/>
    <s v="Debit Card"/>
    <n v="65.239999999999995"/>
    <n v="5"/>
    <x v="0"/>
  </r>
  <r>
    <x v="2971"/>
    <x v="93"/>
    <s v="CUST1786"/>
    <s v="Siti Brown"/>
    <x v="3"/>
    <x v="1"/>
    <x v="6"/>
    <n v="3"/>
    <n v="65.25"/>
    <s v="Completed"/>
    <s v="Debit Card"/>
    <n v="195.75"/>
    <n v="4"/>
    <x v="0"/>
  </r>
  <r>
    <x v="2972"/>
    <x v="165"/>
    <s v="CUST1471"/>
    <s v="James Anderson"/>
    <x v="0"/>
    <x v="1"/>
    <x v="20"/>
    <n v="1"/>
    <n v="65.34"/>
    <s v="Completed"/>
    <s v="PayPal"/>
    <n v="65.34"/>
    <n v="4"/>
    <x v="0"/>
  </r>
  <r>
    <x v="2973"/>
    <x v="627"/>
    <s v="CUST1430"/>
    <s v="Maria Garcia"/>
    <x v="1"/>
    <x v="5"/>
    <x v="34"/>
    <n v="1"/>
    <n v="65.37"/>
    <s v="Completed"/>
    <s v="Credit Card"/>
    <n v="65.37"/>
    <n v="6"/>
    <x v="0"/>
  </r>
  <r>
    <x v="2974"/>
    <x v="1"/>
    <s v="CUST1004"/>
    <s v="Ahmad Yusuf"/>
    <x v="3"/>
    <x v="4"/>
    <x v="24"/>
    <n v="2"/>
    <n v="65.37"/>
    <s v="Completed"/>
    <s v="Credit Card"/>
    <n v="130.74"/>
    <n v="2"/>
    <x v="0"/>
  </r>
  <r>
    <x v="2975"/>
    <x v="253"/>
    <s v="CUST1104"/>
    <s v="Sarah Tan"/>
    <x v="0"/>
    <x v="4"/>
    <x v="23"/>
    <n v="4"/>
    <n v="65.39"/>
    <s v="Completed"/>
    <s v="Debit Card"/>
    <n v="261.56"/>
    <n v="6"/>
    <x v="0"/>
  </r>
  <r>
    <x v="2976"/>
    <x v="198"/>
    <s v="CUST1473"/>
    <s v="Maria Pratama"/>
    <x v="0"/>
    <x v="1"/>
    <x v="17"/>
    <n v="1"/>
    <n v="65.400000000000006"/>
    <s v="Completed"/>
    <s v="Debit Card"/>
    <n v="65.400000000000006"/>
    <n v="5"/>
    <x v="0"/>
  </r>
  <r>
    <x v="2977"/>
    <x v="623"/>
    <s v="CUST1152"/>
    <s v="Dewi Yusuf"/>
    <x v="1"/>
    <x v="1"/>
    <x v="18"/>
    <n v="1"/>
    <n v="65.489999999999995"/>
    <s v="Completed"/>
    <s v="Gift Card"/>
    <n v="65.489999999999995"/>
    <n v="5"/>
    <x v="0"/>
  </r>
  <r>
    <x v="2978"/>
    <x v="14"/>
    <s v="CUST1217"/>
    <s v="Michael Santos"/>
    <x v="0"/>
    <x v="1"/>
    <x v="5"/>
    <n v="2"/>
    <n v="65.510000000000005"/>
    <s v="Completed"/>
    <s v="Credit Card"/>
    <n v="131.02000000000001"/>
    <n v="7"/>
    <x v="0"/>
  </r>
  <r>
    <x v="2979"/>
    <x v="448"/>
    <s v="CUST1236"/>
    <s v="Michael Wilson"/>
    <x v="0"/>
    <x v="5"/>
    <x v="32"/>
    <n v="3"/>
    <n v="65.52"/>
    <s v="Completed"/>
    <s v="PayPal"/>
    <n v="196.56"/>
    <n v="6"/>
    <x v="0"/>
  </r>
  <r>
    <x v="2980"/>
    <x v="583"/>
    <s v="CUST1289"/>
    <s v="Dewi Brown"/>
    <x v="0"/>
    <x v="1"/>
    <x v="20"/>
    <n v="1"/>
    <n v="65.540000000000006"/>
    <s v="Completed"/>
    <s v="PayPal"/>
    <n v="65.540000000000006"/>
    <n v="6"/>
    <x v="0"/>
  </r>
  <r>
    <x v="2981"/>
    <x v="670"/>
    <s v="CUST1817"/>
    <s v="Ahmad Hidayat"/>
    <x v="0"/>
    <x v="1"/>
    <x v="9"/>
    <n v="2"/>
    <n v="65.72"/>
    <s v="Completed"/>
    <s v="Credit Card"/>
    <n v="131.44"/>
    <n v="7"/>
    <x v="0"/>
  </r>
  <r>
    <x v="2982"/>
    <x v="592"/>
    <s v="CUST1382"/>
    <s v="David Hidayat"/>
    <x v="0"/>
    <x v="6"/>
    <x v="38"/>
    <n v="4"/>
    <n v="65.72"/>
    <s v="Completed"/>
    <s v="Debit Card"/>
    <n v="262.88"/>
    <n v="12"/>
    <x v="0"/>
  </r>
  <r>
    <x v="2983"/>
    <x v="71"/>
    <s v="CUST1718"/>
    <s v="Dewi Lee"/>
    <x v="0"/>
    <x v="4"/>
    <x v="26"/>
    <n v="4"/>
    <n v="65.760000000000005"/>
    <s v="Completed"/>
    <s v="Debit Card"/>
    <n v="263.04000000000002"/>
    <n v="4"/>
    <x v="0"/>
  </r>
  <r>
    <x v="2984"/>
    <x v="237"/>
    <s v="CUST1029"/>
    <s v="Nina Smith"/>
    <x v="1"/>
    <x v="1"/>
    <x v="20"/>
    <n v="2"/>
    <n v="65.8"/>
    <s v="Completed"/>
    <s v="PayPal"/>
    <n v="131.6"/>
    <n v="8"/>
    <x v="0"/>
  </r>
  <r>
    <x v="2985"/>
    <x v="24"/>
    <s v="CUST1031"/>
    <s v="Robert Tan"/>
    <x v="0"/>
    <x v="5"/>
    <x v="34"/>
    <n v="1"/>
    <n v="65.819999999999993"/>
    <s v="Completed"/>
    <s v="Gift Card"/>
    <n v="65.819999999999993"/>
    <n v="5"/>
    <x v="0"/>
  </r>
  <r>
    <x v="2986"/>
    <x v="430"/>
    <s v="CUST1327"/>
    <s v="Rina Lee"/>
    <x v="0"/>
    <x v="6"/>
    <x v="42"/>
    <n v="4"/>
    <n v="65.849999999999994"/>
    <s v="Completed"/>
    <s v="Debit Card"/>
    <n v="263.39999999999998"/>
    <n v="6"/>
    <x v="0"/>
  </r>
  <r>
    <x v="2987"/>
    <x v="330"/>
    <s v="CUST1541"/>
    <s v="Linda Johnson"/>
    <x v="1"/>
    <x v="1"/>
    <x v="9"/>
    <n v="2"/>
    <n v="65.94"/>
    <s v="Completed"/>
    <s v="Debit Card"/>
    <n v="131.88"/>
    <n v="7"/>
    <x v="0"/>
  </r>
  <r>
    <x v="2988"/>
    <x v="679"/>
    <s v="CUST1868"/>
    <s v="Nina Lee"/>
    <x v="1"/>
    <x v="4"/>
    <x v="27"/>
    <n v="1"/>
    <n v="65.98"/>
    <s v="Completed"/>
    <s v="Debit Card"/>
    <n v="65.98"/>
    <n v="3"/>
    <x v="0"/>
  </r>
  <r>
    <x v="2989"/>
    <x v="570"/>
    <s v="CUST1285"/>
    <s v="John Kurniawan"/>
    <x v="1"/>
    <x v="5"/>
    <x v="34"/>
    <n v="5"/>
    <n v="65.98"/>
    <s v="Completed"/>
    <s v="PayPal"/>
    <n v="329.90000000000003"/>
    <n v="3"/>
    <x v="0"/>
  </r>
  <r>
    <x v="2990"/>
    <x v="500"/>
    <s v="CUST1665"/>
    <s v="Sarah Halim"/>
    <x v="0"/>
    <x v="5"/>
    <x v="34"/>
    <n v="4"/>
    <n v="66.06"/>
    <s v="Completed"/>
    <s v="Credit Card"/>
    <n v="264.24"/>
    <n v="3"/>
    <x v="0"/>
  </r>
  <r>
    <x v="2991"/>
    <x v="521"/>
    <s v="CUST1089"/>
    <s v="Dewi Pratama"/>
    <x v="1"/>
    <x v="4"/>
    <x v="21"/>
    <n v="4"/>
    <n v="66.06"/>
    <s v="Completed"/>
    <s v="Credit Card"/>
    <n v="264.24"/>
    <n v="5"/>
    <x v="0"/>
  </r>
  <r>
    <x v="2992"/>
    <x v="679"/>
    <s v="CUST1244"/>
    <s v="Nina Pratama"/>
    <x v="0"/>
    <x v="4"/>
    <x v="22"/>
    <n v="1"/>
    <n v="66.069999999999993"/>
    <s v="Completed"/>
    <s v="Gift Card"/>
    <n v="66.069999999999993"/>
    <n v="6"/>
    <x v="0"/>
  </r>
  <r>
    <x v="2993"/>
    <x v="525"/>
    <s v="CUST1057"/>
    <s v="Maria Lee"/>
    <x v="1"/>
    <x v="4"/>
    <x v="22"/>
    <n v="1"/>
    <n v="66.099999999999994"/>
    <s v="Completed"/>
    <s v="Gift Card"/>
    <n v="66.099999999999994"/>
    <n v="5"/>
    <x v="0"/>
  </r>
  <r>
    <x v="2994"/>
    <x v="594"/>
    <s v="CUST1255"/>
    <s v="Budi Kurniawan"/>
    <x v="0"/>
    <x v="4"/>
    <x v="24"/>
    <n v="2"/>
    <n v="66.209999999999994"/>
    <s v="Returned"/>
    <s v="PayPal"/>
    <n v="132.41999999999999"/>
    <n v="4"/>
    <x v="0"/>
  </r>
  <r>
    <x v="2995"/>
    <x v="414"/>
    <s v="CUST1616"/>
    <s v="Putri Wijaya"/>
    <x v="1"/>
    <x v="1"/>
    <x v="18"/>
    <n v="1"/>
    <n v="66.23"/>
    <s v="Completed"/>
    <s v="Gift Card"/>
    <n v="66.23"/>
    <n v="3"/>
    <x v="0"/>
  </r>
  <r>
    <x v="2996"/>
    <x v="282"/>
    <s v="CUST1427"/>
    <s v="James Halim"/>
    <x v="1"/>
    <x v="4"/>
    <x v="22"/>
    <n v="1"/>
    <n v="66.3"/>
    <s v="Completed"/>
    <s v="Gift Card"/>
    <n v="66.3"/>
    <n v="3"/>
    <x v="0"/>
  </r>
  <r>
    <x v="2997"/>
    <x v="609"/>
    <s v="CUST1630"/>
    <s v="John Kurniawan"/>
    <x v="0"/>
    <x v="1"/>
    <x v="5"/>
    <n v="1"/>
    <n v="66.33"/>
    <s v="Cancelled"/>
    <s v="Debit Card"/>
    <n v="66.33"/>
    <n v="6"/>
    <x v="0"/>
  </r>
  <r>
    <x v="2998"/>
    <x v="363"/>
    <s v="CUST1437"/>
    <s v="John Tan"/>
    <x v="0"/>
    <x v="4"/>
    <x v="24"/>
    <n v="4"/>
    <n v="66.36"/>
    <s v="Completed"/>
    <s v="Gift Card"/>
    <n v="265.44"/>
    <n v="3"/>
    <x v="0"/>
  </r>
  <r>
    <x v="2999"/>
    <x v="68"/>
    <s v="CUST1074"/>
    <s v="John Sari"/>
    <x v="1"/>
    <x v="6"/>
    <x v="38"/>
    <n v="2"/>
    <n v="66.39"/>
    <s v="Completed"/>
    <s v="PayPal"/>
    <n v="132.78"/>
    <n v="4"/>
    <x v="0"/>
  </r>
  <r>
    <x v="3000"/>
    <x v="395"/>
    <s v="CUST1320"/>
    <s v="Lisa Wijaya"/>
    <x v="2"/>
    <x v="4"/>
    <x v="23"/>
    <n v="4"/>
    <n v="66.42"/>
    <s v="Cancelled"/>
    <s v="PayPal"/>
    <n v="265.68"/>
    <n v="2"/>
    <x v="0"/>
  </r>
  <r>
    <x v="3001"/>
    <x v="516"/>
    <s v="CUST1343"/>
    <s v="Dewi Sari"/>
    <x v="0"/>
    <x v="6"/>
    <x v="35"/>
    <n v="1"/>
    <n v="66.45"/>
    <s v="Completed"/>
    <s v="Gift Card"/>
    <n v="66.45"/>
    <n v="4"/>
    <x v="0"/>
  </r>
  <r>
    <x v="3002"/>
    <x v="392"/>
    <s v="CUST1464"/>
    <s v="Dewi Taylor"/>
    <x v="0"/>
    <x v="6"/>
    <x v="42"/>
    <n v="2"/>
    <n v="66.45"/>
    <s v="Returned"/>
    <s v="Debit Card"/>
    <n v="132.9"/>
    <n v="6"/>
    <x v="0"/>
  </r>
  <r>
    <x v="3003"/>
    <x v="95"/>
    <s v="CUST1121"/>
    <s v="David Nugroho"/>
    <x v="0"/>
    <x v="5"/>
    <x v="33"/>
    <n v="1"/>
    <n v="66.52"/>
    <s v="Completed"/>
    <s v="Credit Card"/>
    <n v="66.52"/>
    <n v="7"/>
    <x v="0"/>
  </r>
  <r>
    <x v="3004"/>
    <x v="575"/>
    <s v="CUST1438"/>
    <s v="John Smith"/>
    <x v="1"/>
    <x v="5"/>
    <x v="33"/>
    <n v="1"/>
    <n v="66.540000000000006"/>
    <s v="Completed"/>
    <s v="Debit Card"/>
    <n v="66.540000000000006"/>
    <n v="3"/>
    <x v="0"/>
  </r>
  <r>
    <x v="3005"/>
    <x v="695"/>
    <s v="CUST1605"/>
    <s v="Andi Sari"/>
    <x v="0"/>
    <x v="5"/>
    <x v="31"/>
    <n v="2"/>
    <n v="66.540000000000006"/>
    <s v="Completed"/>
    <s v="PayPal"/>
    <n v="133.08000000000001"/>
    <n v="5"/>
    <x v="0"/>
  </r>
  <r>
    <x v="3006"/>
    <x v="653"/>
    <s v="CUST1537"/>
    <s v="Putri Sari"/>
    <x v="1"/>
    <x v="6"/>
    <x v="40"/>
    <n v="1"/>
    <n v="66.56"/>
    <s v="Completed"/>
    <s v="Debit Card"/>
    <n v="66.56"/>
    <n v="5"/>
    <x v="0"/>
  </r>
  <r>
    <x v="3007"/>
    <x v="409"/>
    <s v="CUST1185"/>
    <s v="David Johnson"/>
    <x v="1"/>
    <x v="4"/>
    <x v="27"/>
    <n v="2"/>
    <n v="66.59"/>
    <s v="Completed"/>
    <s v="PayPal"/>
    <n v="133.18"/>
    <n v="4"/>
    <x v="0"/>
  </r>
  <r>
    <x v="3008"/>
    <x v="482"/>
    <s v="CUST1500"/>
    <s v="Nina Hidayat"/>
    <x v="1"/>
    <x v="5"/>
    <x v="32"/>
    <n v="1"/>
    <n v="66.62"/>
    <s v="Pending"/>
    <s v="Credit Card"/>
    <n v="66.62"/>
    <n v="5"/>
    <x v="0"/>
  </r>
  <r>
    <x v="3009"/>
    <x v="105"/>
    <s v="CUST1818"/>
    <s v="Siti Salim"/>
    <x v="0"/>
    <x v="5"/>
    <x v="34"/>
    <n v="1"/>
    <n v="66.63"/>
    <s v="Completed"/>
    <s v="Credit Card"/>
    <n v="66.63"/>
    <n v="8"/>
    <x v="0"/>
  </r>
  <r>
    <x v="3010"/>
    <x v="120"/>
    <s v="CUST1038"/>
    <s v="Linda Nugroho"/>
    <x v="0"/>
    <x v="5"/>
    <x v="33"/>
    <n v="4"/>
    <n v="66.78"/>
    <s v="Cancelled"/>
    <s v="PayPal"/>
    <n v="267.12"/>
    <n v="6"/>
    <x v="0"/>
  </r>
  <r>
    <x v="3011"/>
    <x v="503"/>
    <s v="CUST1678"/>
    <s v="Lisa Brown"/>
    <x v="1"/>
    <x v="5"/>
    <x v="33"/>
    <n v="1"/>
    <n v="66.84"/>
    <s v="Completed"/>
    <s v="Gift Card"/>
    <n v="66.84"/>
    <n v="8"/>
    <x v="0"/>
  </r>
  <r>
    <x v="3012"/>
    <x v="569"/>
    <s v="CUST1051"/>
    <s v="Lisa Tan"/>
    <x v="0"/>
    <x v="4"/>
    <x v="24"/>
    <n v="3"/>
    <n v="66.87"/>
    <s v="Pending"/>
    <s v="Debit Card"/>
    <n v="200.61"/>
    <n v="5"/>
    <x v="0"/>
  </r>
  <r>
    <x v="3013"/>
    <x v="257"/>
    <s v="CUST1353"/>
    <s v="Andi Halim"/>
    <x v="0"/>
    <x v="6"/>
    <x v="39"/>
    <n v="1"/>
    <n v="66.92"/>
    <s v="Completed"/>
    <s v="Debit Card"/>
    <n v="66.92"/>
    <n v="10"/>
    <x v="0"/>
  </r>
  <r>
    <x v="3014"/>
    <x v="360"/>
    <s v="CUST1620"/>
    <s v="Budi Chen"/>
    <x v="0"/>
    <x v="4"/>
    <x v="21"/>
    <n v="2"/>
    <n v="67.02"/>
    <s v="Completed"/>
    <s v="Credit Card"/>
    <n v="134.04"/>
    <n v="4"/>
    <x v="0"/>
  </r>
  <r>
    <x v="3015"/>
    <x v="200"/>
    <s v="CUST1318"/>
    <s v="David Smith"/>
    <x v="3"/>
    <x v="6"/>
    <x v="42"/>
    <n v="2"/>
    <n v="67.06"/>
    <s v="Completed"/>
    <s v="Debit Card"/>
    <n v="134.12"/>
    <n v="4"/>
    <x v="0"/>
  </r>
  <r>
    <x v="3016"/>
    <x v="21"/>
    <s v="CUST1430"/>
    <s v="Maria Garcia"/>
    <x v="1"/>
    <x v="4"/>
    <x v="22"/>
    <n v="1"/>
    <n v="67.14"/>
    <s v="Cancelled"/>
    <s v="Gift Card"/>
    <n v="67.14"/>
    <n v="6"/>
    <x v="0"/>
  </r>
  <r>
    <x v="3017"/>
    <x v="660"/>
    <s v="CUST1138"/>
    <s v="Unknown Customer"/>
    <x v="0"/>
    <x v="1"/>
    <x v="17"/>
    <n v="1"/>
    <n v="67.16"/>
    <s v="Completed"/>
    <s v="Credit Card"/>
    <n v="67.16"/>
    <n v="7"/>
    <x v="0"/>
  </r>
  <r>
    <x v="3018"/>
    <x v="614"/>
    <s v="CUST1480"/>
    <s v="Rina Lee"/>
    <x v="1"/>
    <x v="4"/>
    <x v="21"/>
    <n v="2"/>
    <n v="67.180000000000007"/>
    <s v="Completed"/>
    <s v="Debit Card"/>
    <n v="134.36000000000001"/>
    <n v="2"/>
    <x v="0"/>
  </r>
  <r>
    <x v="3019"/>
    <x v="12"/>
    <s v="CUST1644"/>
    <s v="Andi Salim"/>
    <x v="0"/>
    <x v="6"/>
    <x v="38"/>
    <n v="2"/>
    <n v="67.209999999999994"/>
    <s v="Completed"/>
    <s v="PayPal"/>
    <n v="134.41999999999999"/>
    <n v="6"/>
    <x v="0"/>
  </r>
  <r>
    <x v="3020"/>
    <x v="479"/>
    <s v="CUST1735"/>
    <s v="Maria Halim"/>
    <x v="0"/>
    <x v="1"/>
    <x v="6"/>
    <n v="1"/>
    <n v="67.28"/>
    <s v="Completed"/>
    <s v="Gift Card"/>
    <n v="67.28"/>
    <n v="5"/>
    <x v="0"/>
  </r>
  <r>
    <x v="3021"/>
    <x v="415"/>
    <s v="CUST1421"/>
    <s v="Ayu Lee"/>
    <x v="0"/>
    <x v="5"/>
    <x v="30"/>
    <n v="1"/>
    <n v="67.37"/>
    <s v="Completed"/>
    <s v="PayPal"/>
    <n v="67.37"/>
    <n v="6"/>
    <x v="0"/>
  </r>
  <r>
    <x v="3022"/>
    <x v="498"/>
    <s v="CUST1865"/>
    <s v="Ayu Salim"/>
    <x v="0"/>
    <x v="5"/>
    <x v="29"/>
    <n v="2"/>
    <n v="67.37"/>
    <s v="Completed"/>
    <s v="PayPal"/>
    <n v="134.74"/>
    <n v="9"/>
    <x v="0"/>
  </r>
  <r>
    <x v="3023"/>
    <x v="423"/>
    <s v="CUST1586"/>
    <s v="Putri Smith"/>
    <x v="1"/>
    <x v="5"/>
    <x v="34"/>
    <n v="1"/>
    <n v="67.379666666666608"/>
    <s v="Completed"/>
    <s v="Debit Card"/>
    <n v="67.379666666666608"/>
    <n v="5"/>
    <x v="0"/>
  </r>
  <r>
    <x v="3024"/>
    <x v="235"/>
    <s v="CUST1387"/>
    <s v="Budi Pratama"/>
    <x v="0"/>
    <x v="6"/>
    <x v="40"/>
    <n v="1"/>
    <n v="67.44"/>
    <s v="Pending"/>
    <s v="Unknown"/>
    <n v="67.44"/>
    <n v="4"/>
    <x v="0"/>
  </r>
  <r>
    <x v="3025"/>
    <x v="36"/>
    <s v="CUST1350"/>
    <s v="Linda Salim"/>
    <x v="0"/>
    <x v="4"/>
    <x v="21"/>
    <n v="1"/>
    <n v="67.45"/>
    <s v="Completed"/>
    <s v="Credit Card"/>
    <n v="67.45"/>
    <n v="5"/>
    <x v="0"/>
  </r>
  <r>
    <x v="3026"/>
    <x v="501"/>
    <s v="CUST1187"/>
    <s v="Dewi Anderson"/>
    <x v="1"/>
    <x v="1"/>
    <x v="17"/>
    <n v="4"/>
    <n v="67.52"/>
    <s v="Completed"/>
    <s v="Gift Card"/>
    <n v="270.08"/>
    <n v="4"/>
    <x v="0"/>
  </r>
  <r>
    <x v="3027"/>
    <x v="276"/>
    <s v="CUST1167"/>
    <s v="Putri Hidayat"/>
    <x v="0"/>
    <x v="6"/>
    <x v="41"/>
    <n v="1"/>
    <n v="67.599999999999994"/>
    <s v="Completed"/>
    <s v="Debit Card"/>
    <n v="67.599999999999994"/>
    <n v="6"/>
    <x v="0"/>
  </r>
  <r>
    <x v="3028"/>
    <x v="623"/>
    <s v="CUST1878"/>
    <s v="Ayu Sari"/>
    <x v="0"/>
    <x v="5"/>
    <x v="32"/>
    <n v="1"/>
    <n v="67.599999999999994"/>
    <s v="Completed"/>
    <s v="Gift Card"/>
    <n v="67.599999999999994"/>
    <n v="5"/>
    <x v="0"/>
  </r>
  <r>
    <x v="3029"/>
    <x v="49"/>
    <s v="CUST1400"/>
    <s v="James Yusuf"/>
    <x v="0"/>
    <x v="1"/>
    <x v="6"/>
    <n v="1"/>
    <n v="67.63"/>
    <s v="Completed"/>
    <s v="PayPal"/>
    <n v="67.63"/>
    <n v="7"/>
    <x v="0"/>
  </r>
  <r>
    <x v="3030"/>
    <x v="638"/>
    <s v="CUST1370"/>
    <s v="Unknown Customer"/>
    <x v="0"/>
    <x v="5"/>
    <x v="30"/>
    <n v="1"/>
    <n v="67.73"/>
    <s v="Completed"/>
    <s v="Debit Card"/>
    <n v="67.73"/>
    <n v="6"/>
    <x v="0"/>
  </r>
  <r>
    <x v="3031"/>
    <x v="181"/>
    <s v="CUST1065"/>
    <s v="Unknown Customer"/>
    <x v="0"/>
    <x v="6"/>
    <x v="37"/>
    <n v="1"/>
    <n v="67.77"/>
    <s v="Completed"/>
    <s v="Debit Card"/>
    <n v="67.77"/>
    <n v="5"/>
    <x v="0"/>
  </r>
  <r>
    <x v="3032"/>
    <x v="210"/>
    <s v="CUST1248"/>
    <s v="Andi Pratama"/>
    <x v="0"/>
    <x v="6"/>
    <x v="40"/>
    <n v="4"/>
    <n v="67.819999999999993"/>
    <s v="Completed"/>
    <s v="PayPal"/>
    <n v="271.27999999999997"/>
    <n v="8"/>
    <x v="0"/>
  </r>
  <r>
    <x v="3033"/>
    <x v="288"/>
    <s v="CUST1246"/>
    <s v="Ayu Brown"/>
    <x v="0"/>
    <x v="6"/>
    <x v="42"/>
    <n v="3"/>
    <n v="67.849999999999994"/>
    <s v="Returned"/>
    <s v="Debit Card"/>
    <n v="203.54999999999998"/>
    <n v="7"/>
    <x v="0"/>
  </r>
  <r>
    <x v="3034"/>
    <x v="170"/>
    <s v="CUST1039"/>
    <s v="Robert Tan"/>
    <x v="0"/>
    <x v="4"/>
    <x v="25"/>
    <n v="2"/>
    <n v="67.89"/>
    <s v="Returned"/>
    <s v="Debit Card"/>
    <n v="135.78"/>
    <n v="7"/>
    <x v="0"/>
  </r>
  <r>
    <x v="3035"/>
    <x v="722"/>
    <s v="CUST1678"/>
    <s v="Lisa Brown"/>
    <x v="1"/>
    <x v="5"/>
    <x v="31"/>
    <n v="1"/>
    <n v="67.95"/>
    <s v="Returned"/>
    <s v="Credit Card"/>
    <n v="67.95"/>
    <n v="8"/>
    <x v="0"/>
  </r>
  <r>
    <x v="3036"/>
    <x v="359"/>
    <s v="CUST1831"/>
    <s v="Sarah Hidayat"/>
    <x v="0"/>
    <x v="5"/>
    <x v="30"/>
    <n v="1"/>
    <n v="67.97"/>
    <s v="Completed"/>
    <s v="PayPal"/>
    <n v="67.97"/>
    <n v="5"/>
    <x v="0"/>
  </r>
  <r>
    <x v="3037"/>
    <x v="684"/>
    <s v="CUST1858"/>
    <s v="Maria Hidayat"/>
    <x v="0"/>
    <x v="6"/>
    <x v="38"/>
    <n v="3"/>
    <n v="68.02"/>
    <s v="Completed"/>
    <s v="Unknown"/>
    <n v="204.06"/>
    <n v="3"/>
    <x v="0"/>
  </r>
  <r>
    <x v="3038"/>
    <x v="673"/>
    <s v="CUST1365"/>
    <s v="David Chen"/>
    <x v="1"/>
    <x v="5"/>
    <x v="32"/>
    <n v="1"/>
    <n v="68.05"/>
    <s v="Returned"/>
    <s v="Gift Card"/>
    <n v="68.05"/>
    <n v="4"/>
    <x v="0"/>
  </r>
  <r>
    <x v="3039"/>
    <x v="670"/>
    <s v="CUST1085"/>
    <s v="John Kurniawan"/>
    <x v="0"/>
    <x v="5"/>
    <x v="31"/>
    <n v="5"/>
    <n v="68.180000000000007"/>
    <s v="Completed"/>
    <s v="PayPal"/>
    <n v="340.90000000000003"/>
    <n v="7"/>
    <x v="0"/>
  </r>
  <r>
    <x v="3040"/>
    <x v="639"/>
    <s v="CUST1142"/>
    <s v="Kevin Salim"/>
    <x v="0"/>
    <x v="1"/>
    <x v="18"/>
    <n v="1"/>
    <n v="68.23"/>
    <s v="Completed"/>
    <s v="Debit Card"/>
    <n v="68.23"/>
    <n v="4"/>
    <x v="0"/>
  </r>
  <r>
    <x v="3041"/>
    <x v="100"/>
    <s v="CUST1705"/>
    <s v="Michael Johnson"/>
    <x v="1"/>
    <x v="6"/>
    <x v="39"/>
    <n v="1"/>
    <n v="68.239999999999995"/>
    <s v="Completed"/>
    <s v="Gift Card"/>
    <n v="68.239999999999995"/>
    <n v="4"/>
    <x v="0"/>
  </r>
  <r>
    <x v="3042"/>
    <x v="112"/>
    <s v="CUST1881"/>
    <s v="Unknown Customer"/>
    <x v="0"/>
    <x v="4"/>
    <x v="26"/>
    <n v="1"/>
    <n v="68.38"/>
    <s v="Completed"/>
    <s v="Unknown"/>
    <n v="68.38"/>
    <n v="3"/>
    <x v="0"/>
  </r>
  <r>
    <x v="3043"/>
    <x v="313"/>
    <s v="CUST1184"/>
    <s v="Michael Kurniawan"/>
    <x v="0"/>
    <x v="1"/>
    <x v="17"/>
    <n v="3"/>
    <n v="68.400000000000006"/>
    <s v="Completed"/>
    <s v="Gift Card"/>
    <n v="205.20000000000002"/>
    <n v="6"/>
    <x v="0"/>
  </r>
  <r>
    <x v="3044"/>
    <x v="147"/>
    <s v="CUST1711"/>
    <s v="Maria Smith"/>
    <x v="0"/>
    <x v="4"/>
    <x v="25"/>
    <n v="1"/>
    <n v="68.510000000000005"/>
    <s v="Completed"/>
    <s v="Gift Card"/>
    <n v="68.510000000000005"/>
    <n v="3"/>
    <x v="0"/>
  </r>
  <r>
    <x v="3045"/>
    <x v="588"/>
    <s v="CUST1137"/>
    <s v="Budi Wijaya"/>
    <x v="0"/>
    <x v="1"/>
    <x v="5"/>
    <n v="1"/>
    <n v="68.55"/>
    <s v="Completed"/>
    <s v="Debit Card"/>
    <n v="68.55"/>
    <n v="6"/>
    <x v="0"/>
  </r>
  <r>
    <x v="3046"/>
    <x v="299"/>
    <s v="CUST1636"/>
    <s v="Michael Santos"/>
    <x v="0"/>
    <x v="4"/>
    <x v="24"/>
    <n v="2"/>
    <n v="68.67"/>
    <s v="Completed"/>
    <s v="PayPal"/>
    <n v="137.34"/>
    <n v="2"/>
    <x v="0"/>
  </r>
  <r>
    <x v="3047"/>
    <x v="671"/>
    <s v="CUST1028"/>
    <s v="Maria Garcia"/>
    <x v="1"/>
    <x v="4"/>
    <x v="25"/>
    <n v="4"/>
    <n v="68.67"/>
    <s v="Completed"/>
    <s v="PayPal"/>
    <n v="274.68"/>
    <n v="2"/>
    <x v="0"/>
  </r>
  <r>
    <x v="3048"/>
    <x v="609"/>
    <s v="CUST1383"/>
    <s v="David Garcia"/>
    <x v="0"/>
    <x v="1"/>
    <x v="20"/>
    <n v="5"/>
    <n v="68.67"/>
    <s v="Completed"/>
    <s v="Debit Card"/>
    <n v="343.35"/>
    <n v="4"/>
    <x v="0"/>
  </r>
  <r>
    <x v="3049"/>
    <x v="664"/>
    <s v="CUST1546"/>
    <s v="John Garcia"/>
    <x v="0"/>
    <x v="6"/>
    <x v="39"/>
    <n v="1"/>
    <n v="68.680000000000007"/>
    <s v="Pending"/>
    <s v="PayPal"/>
    <n v="68.680000000000007"/>
    <n v="5"/>
    <x v="0"/>
  </r>
  <r>
    <x v="3050"/>
    <x v="91"/>
    <s v="CUST1120"/>
    <s v="Dewi Johnson"/>
    <x v="1"/>
    <x v="4"/>
    <x v="21"/>
    <n v="2"/>
    <n v="68.72"/>
    <s v="Completed"/>
    <s v="PayPal"/>
    <n v="137.44"/>
    <n v="6"/>
    <x v="0"/>
  </r>
  <r>
    <x v="3051"/>
    <x v="390"/>
    <s v="CUST1096"/>
    <s v="Michael Santos"/>
    <x v="1"/>
    <x v="6"/>
    <x v="37"/>
    <n v="1"/>
    <n v="68.760000000000005"/>
    <s v="Pending"/>
    <s v="Debit Card"/>
    <n v="68.760000000000005"/>
    <n v="2"/>
    <x v="0"/>
  </r>
  <r>
    <x v="3052"/>
    <x v="239"/>
    <s v="CUST1511"/>
    <s v="Maria Brown"/>
    <x v="1"/>
    <x v="6"/>
    <x v="37"/>
    <n v="1"/>
    <n v="68.78"/>
    <s v="Completed"/>
    <s v="Debit Card"/>
    <n v="68.78"/>
    <n v="2"/>
    <x v="0"/>
  </r>
  <r>
    <x v="3053"/>
    <x v="246"/>
    <s v="CUST1501"/>
    <s v="Fajar Yusuf"/>
    <x v="0"/>
    <x v="4"/>
    <x v="22"/>
    <n v="1"/>
    <n v="68.790000000000006"/>
    <s v="Completed"/>
    <s v="Debit Card"/>
    <n v="68.790000000000006"/>
    <n v="4"/>
    <x v="0"/>
  </r>
  <r>
    <x v="3054"/>
    <x v="561"/>
    <s v="CUST1342"/>
    <s v="Putri Anderson"/>
    <x v="0"/>
    <x v="4"/>
    <x v="27"/>
    <n v="1"/>
    <n v="68.900000000000006"/>
    <s v="Completed"/>
    <s v="Debit Card"/>
    <n v="68.900000000000006"/>
    <n v="4"/>
    <x v="0"/>
  </r>
  <r>
    <x v="3055"/>
    <x v="586"/>
    <s v="CUST1104"/>
    <s v="Sarah Tan"/>
    <x v="0"/>
    <x v="6"/>
    <x v="36"/>
    <n v="1"/>
    <n v="68.92"/>
    <s v="Completed"/>
    <s v="Debit Card"/>
    <n v="68.92"/>
    <n v="6"/>
    <x v="0"/>
  </r>
  <r>
    <x v="3056"/>
    <x v="79"/>
    <s v="CUST1353"/>
    <s v="Andi Halim"/>
    <x v="0"/>
    <x v="6"/>
    <x v="42"/>
    <n v="1"/>
    <n v="68.959999999999994"/>
    <s v="Completed"/>
    <s v="PayPal"/>
    <n v="68.959999999999994"/>
    <n v="10"/>
    <x v="0"/>
  </r>
  <r>
    <x v="3057"/>
    <x v="516"/>
    <s v="CUST1602"/>
    <s v="Siti Lee"/>
    <x v="1"/>
    <x v="4"/>
    <x v="24"/>
    <n v="1"/>
    <n v="69.010000000000005"/>
    <s v="Completed"/>
    <s v="Gift Card"/>
    <n v="69.010000000000005"/>
    <n v="5"/>
    <x v="0"/>
  </r>
  <r>
    <x v="3058"/>
    <x v="52"/>
    <s v="CUST1238"/>
    <s v="John Pratama"/>
    <x v="0"/>
    <x v="5"/>
    <x v="28"/>
    <n v="1"/>
    <n v="69.03"/>
    <s v="Completed"/>
    <s v="Credit Card"/>
    <n v="69.03"/>
    <n v="8"/>
    <x v="0"/>
  </r>
  <r>
    <x v="3059"/>
    <x v="485"/>
    <s v="CUST1060"/>
    <s v="Ahmad Wilson"/>
    <x v="0"/>
    <x v="4"/>
    <x v="23"/>
    <n v="2"/>
    <n v="69.11"/>
    <s v="Completed"/>
    <s v="Debit Card"/>
    <n v="138.22"/>
    <n v="7"/>
    <x v="0"/>
  </r>
  <r>
    <x v="3060"/>
    <x v="42"/>
    <s v="CUST1851"/>
    <s v="Robert Salim"/>
    <x v="0"/>
    <x v="4"/>
    <x v="24"/>
    <n v="2"/>
    <n v="69.14"/>
    <s v="Cancelled"/>
    <s v="Gift Card"/>
    <n v="138.28"/>
    <n v="4"/>
    <x v="0"/>
  </r>
  <r>
    <x v="3061"/>
    <x v="261"/>
    <s v="CUST1590"/>
    <s v="Putri Tan"/>
    <x v="0"/>
    <x v="4"/>
    <x v="23"/>
    <n v="2"/>
    <n v="69.17"/>
    <s v="Completed"/>
    <s v="Credit Card"/>
    <n v="138.34"/>
    <n v="2"/>
    <x v="0"/>
  </r>
  <r>
    <x v="3062"/>
    <x v="324"/>
    <s v="CUST1664"/>
    <s v="Dewi Nugroho"/>
    <x v="1"/>
    <x v="6"/>
    <x v="35"/>
    <n v="1"/>
    <n v="69.180000000000007"/>
    <s v="Completed"/>
    <s v="Credit Card"/>
    <n v="69.180000000000007"/>
    <n v="6"/>
    <x v="0"/>
  </r>
  <r>
    <x v="3063"/>
    <x v="129"/>
    <s v="CUST1641"/>
    <s v="Rina Nugroho"/>
    <x v="1"/>
    <x v="1"/>
    <x v="18"/>
    <n v="1"/>
    <n v="69.37"/>
    <s v="Completed"/>
    <s v="Gift Card"/>
    <n v="69.37"/>
    <n v="8"/>
    <x v="0"/>
  </r>
  <r>
    <x v="3064"/>
    <x v="368"/>
    <s v="CUST1679"/>
    <s v="Siti Halim"/>
    <x v="0"/>
    <x v="4"/>
    <x v="21"/>
    <n v="3"/>
    <n v="69.489999999999995"/>
    <s v="Completed"/>
    <s v="Gift Card"/>
    <n v="208.46999999999997"/>
    <n v="8"/>
    <x v="0"/>
  </r>
  <r>
    <x v="3065"/>
    <x v="554"/>
    <s v="CUST1824"/>
    <s v="Linda Chen"/>
    <x v="0"/>
    <x v="1"/>
    <x v="18"/>
    <n v="2"/>
    <n v="69.510000000000005"/>
    <s v="Pending"/>
    <s v="Credit Card"/>
    <n v="139.02000000000001"/>
    <n v="6"/>
    <x v="0"/>
  </r>
  <r>
    <x v="3066"/>
    <x v="101"/>
    <s v="CUST1173"/>
    <s v="John Tan"/>
    <x v="0"/>
    <x v="5"/>
    <x v="29"/>
    <n v="2"/>
    <n v="69.53"/>
    <s v="Completed"/>
    <s v="Debit Card"/>
    <n v="139.06"/>
    <n v="5"/>
    <x v="0"/>
  </r>
  <r>
    <x v="3067"/>
    <x v="432"/>
    <s v="CUST1084"/>
    <s v="Ahmad Anderson"/>
    <x v="0"/>
    <x v="6"/>
    <x v="42"/>
    <n v="3"/>
    <n v="69.56"/>
    <s v="Completed"/>
    <s v="PayPal"/>
    <n v="208.68"/>
    <n v="4"/>
    <x v="0"/>
  </r>
  <r>
    <x v="3068"/>
    <x v="660"/>
    <s v="CUST1622"/>
    <s v="Michael Garcia"/>
    <x v="0"/>
    <x v="5"/>
    <x v="34"/>
    <n v="1"/>
    <n v="69.63"/>
    <s v="Completed"/>
    <s v="Credit Card"/>
    <n v="69.63"/>
    <n v="6"/>
    <x v="0"/>
  </r>
  <r>
    <x v="3069"/>
    <x v="716"/>
    <s v="CUST1491"/>
    <s v="Rina Taylor"/>
    <x v="0"/>
    <x v="5"/>
    <x v="34"/>
    <n v="2"/>
    <n v="69.64"/>
    <s v="Cancelled"/>
    <s v="PayPal"/>
    <n v="139.28"/>
    <n v="7"/>
    <x v="0"/>
  </r>
  <r>
    <x v="3070"/>
    <x v="297"/>
    <s v="CUST1148"/>
    <s v="Siti Yusuf"/>
    <x v="0"/>
    <x v="5"/>
    <x v="33"/>
    <n v="1"/>
    <n v="69.67"/>
    <s v="Completed"/>
    <s v="PayPal"/>
    <n v="69.67"/>
    <n v="4"/>
    <x v="0"/>
  </r>
  <r>
    <x v="3071"/>
    <x v="190"/>
    <s v="CUST1264"/>
    <s v="Siti Halim"/>
    <x v="0"/>
    <x v="1"/>
    <x v="9"/>
    <n v="1"/>
    <n v="69.73"/>
    <s v="Completed"/>
    <s v="Debit Card"/>
    <n v="69.73"/>
    <n v="7"/>
    <x v="0"/>
  </r>
  <r>
    <x v="3072"/>
    <x v="171"/>
    <s v="CUST1875"/>
    <s v="Fajar Garcia"/>
    <x v="0"/>
    <x v="1"/>
    <x v="6"/>
    <n v="1"/>
    <n v="69.78"/>
    <s v="Completed"/>
    <s v="Credit Card"/>
    <n v="69.78"/>
    <n v="4"/>
    <x v="0"/>
  </r>
  <r>
    <x v="3073"/>
    <x v="521"/>
    <s v="CUST1627"/>
    <s v="Sarah Brown"/>
    <x v="0"/>
    <x v="1"/>
    <x v="17"/>
    <n v="1"/>
    <n v="69.78"/>
    <s v="Completed"/>
    <s v="Gift Card"/>
    <n v="69.78"/>
    <n v="2"/>
    <x v="0"/>
  </r>
  <r>
    <x v="3074"/>
    <x v="717"/>
    <s v="CUST1543"/>
    <s v="Ayu Wilson"/>
    <x v="0"/>
    <x v="5"/>
    <x v="29"/>
    <n v="1"/>
    <n v="69.790000000000006"/>
    <s v="Completed"/>
    <s v="Gift Card"/>
    <n v="69.790000000000006"/>
    <n v="12"/>
    <x v="0"/>
  </r>
  <r>
    <x v="3075"/>
    <x v="4"/>
    <s v="CUST1275"/>
    <s v="Andi Johnson"/>
    <x v="0"/>
    <x v="6"/>
    <x v="39"/>
    <n v="5"/>
    <n v="69.8"/>
    <s v="Completed"/>
    <s v="PayPal"/>
    <n v="349"/>
    <n v="4"/>
    <x v="0"/>
  </r>
  <r>
    <x v="3076"/>
    <x v="165"/>
    <s v="CUST1480"/>
    <s v="Rina Lee"/>
    <x v="1"/>
    <x v="4"/>
    <x v="23"/>
    <n v="1"/>
    <n v="69.849999999999994"/>
    <s v="Completed"/>
    <s v="Gift Card"/>
    <n v="69.849999999999994"/>
    <n v="2"/>
    <x v="0"/>
  </r>
  <r>
    <x v="3077"/>
    <x v="335"/>
    <s v="CUST1412"/>
    <s v="Siti Anderson"/>
    <x v="0"/>
    <x v="5"/>
    <x v="33"/>
    <n v="1"/>
    <n v="69.866582278481062"/>
    <s v="Completed"/>
    <s v="Debit Card"/>
    <n v="69.866582278481062"/>
    <n v="10"/>
    <x v="0"/>
  </r>
  <r>
    <x v="3078"/>
    <x v="109"/>
    <s v="CUST1342"/>
    <s v="Putri Anderson"/>
    <x v="0"/>
    <x v="5"/>
    <x v="33"/>
    <n v="1"/>
    <n v="69.866582278481062"/>
    <s v="Completed"/>
    <s v="Credit Card"/>
    <n v="69.866582278481062"/>
    <n v="4"/>
    <x v="0"/>
  </r>
  <r>
    <x v="3079"/>
    <x v="26"/>
    <s v="CUST1224"/>
    <s v="Ayu Salim"/>
    <x v="3"/>
    <x v="4"/>
    <x v="26"/>
    <n v="2"/>
    <n v="69.91"/>
    <s v="Completed"/>
    <s v="Unknown"/>
    <n v="139.82"/>
    <n v="2"/>
    <x v="0"/>
  </r>
  <r>
    <x v="3080"/>
    <x v="281"/>
    <s v="CUST1386"/>
    <s v="Lisa Johnson"/>
    <x v="0"/>
    <x v="4"/>
    <x v="25"/>
    <n v="1"/>
    <n v="69.930000000000007"/>
    <s v="Completed"/>
    <s v="Credit Card"/>
    <n v="69.930000000000007"/>
    <n v="7"/>
    <x v="0"/>
  </r>
  <r>
    <x v="3081"/>
    <x v="485"/>
    <s v="CUST1302"/>
    <s v="Dewi Taylor"/>
    <x v="1"/>
    <x v="4"/>
    <x v="23"/>
    <n v="2"/>
    <n v="69.989999999999995"/>
    <s v="Completed"/>
    <s v="Credit Card"/>
    <n v="139.97999999999999"/>
    <n v="6"/>
    <x v="0"/>
  </r>
  <r>
    <x v="3082"/>
    <x v="555"/>
    <s v="CUST1468"/>
    <s v="Michael Tan"/>
    <x v="0"/>
    <x v="4"/>
    <x v="21"/>
    <n v="1"/>
    <n v="70.03"/>
    <s v="Returned"/>
    <s v="Credit Card"/>
    <n v="70.03"/>
    <n v="8"/>
    <x v="0"/>
  </r>
  <r>
    <x v="3083"/>
    <x v="479"/>
    <s v="CUST1546"/>
    <s v="John Garcia"/>
    <x v="0"/>
    <x v="4"/>
    <x v="27"/>
    <n v="1"/>
    <n v="70.03"/>
    <s v="Completed"/>
    <s v="Debit Card"/>
    <n v="70.03"/>
    <n v="5"/>
    <x v="0"/>
  </r>
  <r>
    <x v="3084"/>
    <x v="240"/>
    <s v="CUST1754"/>
    <s v="Kevin Salim"/>
    <x v="1"/>
    <x v="5"/>
    <x v="30"/>
    <n v="4"/>
    <n v="70.03"/>
    <s v="Completed"/>
    <s v="PayPal"/>
    <n v="280.12"/>
    <n v="5"/>
    <x v="0"/>
  </r>
  <r>
    <x v="3085"/>
    <x v="147"/>
    <s v="CUST1033"/>
    <s v="Linda Sari"/>
    <x v="0"/>
    <x v="1"/>
    <x v="17"/>
    <n v="1"/>
    <n v="70.12"/>
    <s v="Completed"/>
    <s v="Credit Card"/>
    <n v="70.12"/>
    <n v="4"/>
    <x v="0"/>
  </r>
  <r>
    <x v="3086"/>
    <x v="141"/>
    <s v="CUST1309"/>
    <s v="Unknown Customer"/>
    <x v="3"/>
    <x v="5"/>
    <x v="29"/>
    <n v="1"/>
    <n v="70.12"/>
    <s v="Completed"/>
    <s v="PayPal"/>
    <n v="70.12"/>
    <n v="2"/>
    <x v="0"/>
  </r>
  <r>
    <x v="3087"/>
    <x v="573"/>
    <s v="CUST1542"/>
    <s v="Linda Smith"/>
    <x v="0"/>
    <x v="4"/>
    <x v="22"/>
    <n v="1"/>
    <n v="70.13"/>
    <s v="Completed"/>
    <s v="Gift Card"/>
    <n v="70.13"/>
    <n v="2"/>
    <x v="0"/>
  </r>
  <r>
    <x v="3088"/>
    <x v="399"/>
    <s v="CUST1389"/>
    <s v="Fajar Salim"/>
    <x v="0"/>
    <x v="4"/>
    <x v="21"/>
    <n v="3"/>
    <n v="70.150000000000006"/>
    <s v="Completed"/>
    <s v="Debit Card"/>
    <n v="210.45000000000002"/>
    <n v="4"/>
    <x v="0"/>
  </r>
  <r>
    <x v="3089"/>
    <x v="593"/>
    <s v="CUST1293"/>
    <s v="Robert Yusuf"/>
    <x v="3"/>
    <x v="6"/>
    <x v="35"/>
    <n v="3"/>
    <n v="70.16"/>
    <s v="Cancelled"/>
    <s v="Credit Card"/>
    <n v="210.48"/>
    <n v="2"/>
    <x v="0"/>
  </r>
  <r>
    <x v="3090"/>
    <x v="546"/>
    <s v="CUST1380"/>
    <s v="Lisa Brown"/>
    <x v="1"/>
    <x v="4"/>
    <x v="25"/>
    <n v="1"/>
    <n v="70.17"/>
    <s v="Completed"/>
    <s v="Credit Card"/>
    <n v="70.17"/>
    <n v="6"/>
    <x v="0"/>
  </r>
  <r>
    <x v="3091"/>
    <x v="533"/>
    <s v="CUST1872"/>
    <s v="Siti Taylor"/>
    <x v="0"/>
    <x v="6"/>
    <x v="41"/>
    <n v="2"/>
    <n v="70.180000000000007"/>
    <s v="Completed"/>
    <s v="Credit Card"/>
    <n v="140.36000000000001"/>
    <n v="5"/>
    <x v="0"/>
  </r>
  <r>
    <x v="3092"/>
    <x v="608"/>
    <s v="CUST1522"/>
    <s v="Rina Tan"/>
    <x v="0"/>
    <x v="1"/>
    <x v="20"/>
    <n v="1"/>
    <n v="70.239999999999995"/>
    <s v="Completed"/>
    <s v="PayPal"/>
    <n v="70.239999999999995"/>
    <n v="1"/>
    <x v="1"/>
  </r>
  <r>
    <x v="3093"/>
    <x v="295"/>
    <s v="CUST1565"/>
    <s v="Rina Hidayat"/>
    <x v="0"/>
    <x v="6"/>
    <x v="37"/>
    <n v="2"/>
    <n v="70.28"/>
    <s v="Completed"/>
    <s v="Credit Card"/>
    <n v="140.56"/>
    <n v="5"/>
    <x v="0"/>
  </r>
  <r>
    <x v="3094"/>
    <x v="456"/>
    <s v="CUST1707"/>
    <s v="Michael Yusuf"/>
    <x v="0"/>
    <x v="6"/>
    <x v="37"/>
    <n v="3"/>
    <n v="70.28"/>
    <s v="Completed"/>
    <s v="Debit Card"/>
    <n v="210.84"/>
    <n v="4"/>
    <x v="0"/>
  </r>
  <r>
    <x v="3095"/>
    <x v="153"/>
    <s v="CUST1619"/>
    <s v="Andi Smith"/>
    <x v="1"/>
    <x v="4"/>
    <x v="26"/>
    <n v="2"/>
    <n v="70.3"/>
    <s v="Completed"/>
    <s v="Gift Card"/>
    <n v="140.6"/>
    <n v="7"/>
    <x v="0"/>
  </r>
  <r>
    <x v="3096"/>
    <x v="643"/>
    <s v="CUST1872"/>
    <s v="Siti Taylor"/>
    <x v="0"/>
    <x v="6"/>
    <x v="38"/>
    <n v="2"/>
    <n v="70.31"/>
    <s v="Completed"/>
    <s v="Debit Card"/>
    <n v="140.62"/>
    <n v="5"/>
    <x v="0"/>
  </r>
  <r>
    <x v="3097"/>
    <x v="219"/>
    <s v="CUST1499"/>
    <s v="David Santos"/>
    <x v="0"/>
    <x v="1"/>
    <x v="18"/>
    <n v="1"/>
    <n v="70.33"/>
    <s v="Completed"/>
    <s v="Gift Card"/>
    <n v="70.33"/>
    <n v="9"/>
    <x v="0"/>
  </r>
  <r>
    <x v="3098"/>
    <x v="67"/>
    <s v="CUST1031"/>
    <s v="Robert Tan"/>
    <x v="0"/>
    <x v="4"/>
    <x v="24"/>
    <n v="3"/>
    <n v="70.349999999999994"/>
    <s v="Pending"/>
    <s v="Gift Card"/>
    <n v="211.04999999999998"/>
    <n v="5"/>
    <x v="0"/>
  </r>
  <r>
    <x v="3099"/>
    <x v="76"/>
    <s v="CUST1185"/>
    <s v="David Johnson"/>
    <x v="1"/>
    <x v="5"/>
    <x v="33"/>
    <n v="2"/>
    <n v="70.459999999999994"/>
    <s v="Completed"/>
    <s v="PayPal"/>
    <n v="140.91999999999999"/>
    <n v="4"/>
    <x v="0"/>
  </r>
  <r>
    <x v="3100"/>
    <x v="84"/>
    <s v="CUST1599"/>
    <s v="Siti Kurniawan"/>
    <x v="1"/>
    <x v="6"/>
    <x v="37"/>
    <n v="2"/>
    <n v="70.489999999999995"/>
    <s v="Cancelled"/>
    <s v="Debit Card"/>
    <n v="140.97999999999999"/>
    <n v="5"/>
    <x v="0"/>
  </r>
  <r>
    <x v="3101"/>
    <x v="148"/>
    <s v="CUST1778"/>
    <s v="Kevin Wilson"/>
    <x v="0"/>
    <x v="4"/>
    <x v="24"/>
    <n v="2"/>
    <n v="70.510000000000005"/>
    <s v="Completed"/>
    <s v="Credit Card"/>
    <n v="141.02000000000001"/>
    <n v="5"/>
    <x v="0"/>
  </r>
  <r>
    <x v="3102"/>
    <x v="30"/>
    <s v="CUST1078"/>
    <s v="Rina Santos"/>
    <x v="0"/>
    <x v="6"/>
    <x v="42"/>
    <n v="2"/>
    <n v="70.55"/>
    <s v="Completed"/>
    <s v="Gift Card"/>
    <n v="141.1"/>
    <n v="7"/>
    <x v="0"/>
  </r>
  <r>
    <x v="3103"/>
    <x v="404"/>
    <s v="CUST1071"/>
    <s v="Kevin Lee"/>
    <x v="1"/>
    <x v="5"/>
    <x v="34"/>
    <n v="1"/>
    <n v="70.72"/>
    <s v="Completed"/>
    <s v="Unknown"/>
    <n v="70.72"/>
    <n v="6"/>
    <x v="0"/>
  </r>
  <r>
    <x v="3104"/>
    <x v="32"/>
    <s v="CUST1074"/>
    <s v="Unknown Customer"/>
    <x v="1"/>
    <x v="1"/>
    <x v="17"/>
    <n v="1"/>
    <n v="70.739999999999995"/>
    <s v="Completed"/>
    <s v="Credit Card"/>
    <n v="70.739999999999995"/>
    <n v="4"/>
    <x v="0"/>
  </r>
  <r>
    <x v="3105"/>
    <x v="680"/>
    <s v="CUST1735"/>
    <s v="Maria Halim"/>
    <x v="0"/>
    <x v="1"/>
    <x v="18"/>
    <n v="1"/>
    <n v="70.84"/>
    <s v="Completed"/>
    <s v="Debit Card"/>
    <n v="70.84"/>
    <n v="5"/>
    <x v="0"/>
  </r>
  <r>
    <x v="3106"/>
    <x v="324"/>
    <s v="CUST1734"/>
    <s v="Ahmad Wilson"/>
    <x v="0"/>
    <x v="6"/>
    <x v="35"/>
    <n v="1"/>
    <n v="70.94"/>
    <s v="Completed"/>
    <s v="Gift Card"/>
    <n v="70.94"/>
    <n v="8"/>
    <x v="0"/>
  </r>
  <r>
    <x v="3107"/>
    <x v="124"/>
    <s v="CUST1610"/>
    <s v="Dewi Tan"/>
    <x v="0"/>
    <x v="4"/>
    <x v="26"/>
    <n v="2"/>
    <n v="70.98"/>
    <s v="Completed"/>
    <s v="Gift Card"/>
    <n v="141.96"/>
    <n v="2"/>
    <x v="0"/>
  </r>
  <r>
    <x v="3108"/>
    <x v="456"/>
    <s v="CUST1026"/>
    <s v="Putri Yusuf"/>
    <x v="0"/>
    <x v="5"/>
    <x v="30"/>
    <n v="1"/>
    <n v="71.031917808219177"/>
    <s v="Completed"/>
    <s v="Credit Card"/>
    <n v="71.031917808219177"/>
    <n v="6"/>
    <x v="0"/>
  </r>
  <r>
    <x v="3109"/>
    <x v="395"/>
    <s v="CUST1624"/>
    <s v="Budi Smith"/>
    <x v="0"/>
    <x v="5"/>
    <x v="30"/>
    <n v="1"/>
    <n v="71.031917808219177"/>
    <s v="Completed"/>
    <s v="Gift Card"/>
    <n v="71.031917808219177"/>
    <n v="5"/>
    <x v="0"/>
  </r>
  <r>
    <x v="3110"/>
    <x v="492"/>
    <s v="CUST1884"/>
    <s v="Kevin Salim"/>
    <x v="0"/>
    <x v="5"/>
    <x v="30"/>
    <n v="1"/>
    <n v="71.031917808219177"/>
    <s v="Completed"/>
    <s v="Debit Card"/>
    <n v="71.031917808219177"/>
    <n v="7"/>
    <x v="0"/>
  </r>
  <r>
    <x v="3111"/>
    <x v="191"/>
    <s v="CUST1783"/>
    <s v="Ayu Taylor"/>
    <x v="0"/>
    <x v="4"/>
    <x v="24"/>
    <n v="2"/>
    <n v="71.08"/>
    <s v="Completed"/>
    <s v="Credit Card"/>
    <n v="142.16"/>
    <n v="11"/>
    <x v="0"/>
  </r>
  <r>
    <x v="3112"/>
    <x v="446"/>
    <s v="CUST1018"/>
    <s v="Ahmad Wilson"/>
    <x v="1"/>
    <x v="4"/>
    <x v="25"/>
    <n v="1"/>
    <n v="71.099999999999994"/>
    <s v="Completed"/>
    <s v="Debit Card"/>
    <n v="71.099999999999994"/>
    <n v="4"/>
    <x v="0"/>
  </r>
  <r>
    <x v="3113"/>
    <x v="115"/>
    <s v="CUST1547"/>
    <s v="Andi Tan"/>
    <x v="1"/>
    <x v="6"/>
    <x v="40"/>
    <n v="1"/>
    <n v="71.11"/>
    <s v="Completed"/>
    <s v="Credit Card"/>
    <n v="71.11"/>
    <n v="4"/>
    <x v="0"/>
  </r>
  <r>
    <x v="3114"/>
    <x v="315"/>
    <s v="CUST1288"/>
    <s v="Ahmad Halim"/>
    <x v="0"/>
    <x v="1"/>
    <x v="18"/>
    <n v="2"/>
    <n v="71.13"/>
    <s v="Completed"/>
    <s v="Credit Card"/>
    <n v="142.26"/>
    <n v="4"/>
    <x v="0"/>
  </r>
  <r>
    <x v="3115"/>
    <x v="610"/>
    <s v="CUST1633"/>
    <s v="James Kurniawan"/>
    <x v="0"/>
    <x v="5"/>
    <x v="33"/>
    <n v="3"/>
    <n v="71.13"/>
    <s v="Completed"/>
    <s v="Credit Card"/>
    <n v="213.39"/>
    <n v="6"/>
    <x v="0"/>
  </r>
  <r>
    <x v="3116"/>
    <x v="399"/>
    <s v="CUST1509"/>
    <s v="Fajar Wilson"/>
    <x v="3"/>
    <x v="6"/>
    <x v="35"/>
    <n v="1"/>
    <n v="71.14"/>
    <s v="Completed"/>
    <s v="Gift Card"/>
    <n v="71.14"/>
    <n v="2"/>
    <x v="0"/>
  </r>
  <r>
    <x v="3117"/>
    <x v="245"/>
    <s v="CUST1596"/>
    <s v="Ayu Garcia"/>
    <x v="0"/>
    <x v="1"/>
    <x v="5"/>
    <n v="2"/>
    <n v="71.17"/>
    <s v="Completed"/>
    <s v="PayPal"/>
    <n v="142.34"/>
    <n v="8"/>
    <x v="0"/>
  </r>
  <r>
    <x v="3118"/>
    <x v="352"/>
    <s v="CUST1026"/>
    <s v="Putri Yusuf"/>
    <x v="0"/>
    <x v="5"/>
    <x v="28"/>
    <n v="2"/>
    <n v="71.19"/>
    <s v="Returned"/>
    <s v="Credit Card"/>
    <n v="142.38"/>
    <n v="6"/>
    <x v="0"/>
  </r>
  <r>
    <x v="3119"/>
    <x v="635"/>
    <s v="CUST1791"/>
    <s v="Kevin Chen"/>
    <x v="0"/>
    <x v="6"/>
    <x v="39"/>
    <n v="1"/>
    <n v="71.290000000000006"/>
    <s v="Completed"/>
    <s v="Credit Card"/>
    <n v="71.290000000000006"/>
    <n v="3"/>
    <x v="0"/>
  </r>
  <r>
    <x v="3120"/>
    <x v="317"/>
    <s v="CUST1623"/>
    <s v="John Yusuf"/>
    <x v="0"/>
    <x v="4"/>
    <x v="24"/>
    <n v="1"/>
    <n v="71.290000000000006"/>
    <s v="Completed"/>
    <s v="PayPal"/>
    <n v="71.290000000000006"/>
    <n v="7"/>
    <x v="0"/>
  </r>
  <r>
    <x v="3121"/>
    <x v="156"/>
    <s v="CUST1145"/>
    <s v="Linda Smith"/>
    <x v="0"/>
    <x v="6"/>
    <x v="41"/>
    <n v="1"/>
    <n v="71.3"/>
    <s v="Returned"/>
    <s v="Debit Card"/>
    <n v="71.3"/>
    <n v="12"/>
    <x v="0"/>
  </r>
  <r>
    <x v="3122"/>
    <x v="701"/>
    <s v="CUST1606"/>
    <s v="Lisa Halim"/>
    <x v="0"/>
    <x v="4"/>
    <x v="23"/>
    <n v="2"/>
    <n v="71.349999999999994"/>
    <s v="Completed"/>
    <s v="Debit Card"/>
    <n v="142.69999999999999"/>
    <n v="3"/>
    <x v="0"/>
  </r>
  <r>
    <x v="3123"/>
    <x v="360"/>
    <s v="CUST1174"/>
    <s v="Siti Lee"/>
    <x v="0"/>
    <x v="4"/>
    <x v="26"/>
    <n v="1"/>
    <n v="71.39"/>
    <s v="Completed"/>
    <s v="Credit Card"/>
    <n v="71.39"/>
    <n v="7"/>
    <x v="0"/>
  </r>
  <r>
    <x v="3124"/>
    <x v="115"/>
    <s v="CUST1247"/>
    <s v="Andi Nugroho"/>
    <x v="0"/>
    <x v="5"/>
    <x v="29"/>
    <n v="1"/>
    <n v="71.400000000000006"/>
    <s v="Completed"/>
    <s v="Debit Card"/>
    <n v="71.400000000000006"/>
    <n v="5"/>
    <x v="0"/>
  </r>
  <r>
    <x v="3125"/>
    <x v="281"/>
    <s v="CUST1137"/>
    <s v="Budi Wijaya"/>
    <x v="0"/>
    <x v="1"/>
    <x v="18"/>
    <n v="2"/>
    <n v="71.489999999999995"/>
    <s v="Completed"/>
    <s v="Credit Card"/>
    <n v="142.97999999999999"/>
    <n v="6"/>
    <x v="0"/>
  </r>
  <r>
    <x v="3126"/>
    <x v="294"/>
    <s v="CUST1255"/>
    <s v="Budi Kurniawan"/>
    <x v="0"/>
    <x v="5"/>
    <x v="31"/>
    <n v="1"/>
    <n v="71.63"/>
    <s v="Completed"/>
    <s v="Credit Card"/>
    <n v="71.63"/>
    <n v="4"/>
    <x v="0"/>
  </r>
  <r>
    <x v="3127"/>
    <x v="389"/>
    <s v="CUST1739"/>
    <s v="Fajar Wilson"/>
    <x v="0"/>
    <x v="1"/>
    <x v="6"/>
    <n v="2"/>
    <n v="71.66"/>
    <s v="Completed"/>
    <s v="Credit Card"/>
    <n v="143.32"/>
    <n v="5"/>
    <x v="0"/>
  </r>
  <r>
    <x v="3128"/>
    <x v="396"/>
    <s v="CUST1368"/>
    <s v="Budi Smith"/>
    <x v="1"/>
    <x v="1"/>
    <x v="17"/>
    <n v="1"/>
    <n v="71.77"/>
    <s v="Completed"/>
    <s v="PayPal"/>
    <n v="71.77"/>
    <n v="2"/>
    <x v="0"/>
  </r>
  <r>
    <x v="3129"/>
    <x v="447"/>
    <s v="CUST1889"/>
    <s v="James Sari"/>
    <x v="1"/>
    <x v="4"/>
    <x v="24"/>
    <n v="1"/>
    <n v="71.81"/>
    <s v="Completed"/>
    <s v="Debit Card"/>
    <n v="71.81"/>
    <n v="5"/>
    <x v="0"/>
  </r>
  <r>
    <x v="3130"/>
    <x v="194"/>
    <s v="CUST1867"/>
    <s v="Nina Garcia"/>
    <x v="1"/>
    <x v="4"/>
    <x v="26"/>
    <n v="1"/>
    <n v="71.89"/>
    <s v="Completed"/>
    <s v="Gift Card"/>
    <n v="71.89"/>
    <n v="4"/>
    <x v="0"/>
  </r>
  <r>
    <x v="3131"/>
    <x v="702"/>
    <s v="CUST1813"/>
    <s v="Linda Pratama"/>
    <x v="0"/>
    <x v="6"/>
    <x v="42"/>
    <n v="2"/>
    <n v="71.94"/>
    <s v="Completed"/>
    <s v="Credit Card"/>
    <n v="143.88"/>
    <n v="4"/>
    <x v="0"/>
  </r>
  <r>
    <x v="3132"/>
    <x v="670"/>
    <s v="CUST1066"/>
    <s v="Michael Lee"/>
    <x v="1"/>
    <x v="1"/>
    <x v="6"/>
    <n v="2"/>
    <n v="71.94"/>
    <s v="Completed"/>
    <s v="Credit Card"/>
    <n v="143.88"/>
    <n v="5"/>
    <x v="0"/>
  </r>
  <r>
    <x v="3133"/>
    <x v="666"/>
    <s v="CUST1589"/>
    <s v="Siti Nugroho"/>
    <x v="0"/>
    <x v="5"/>
    <x v="33"/>
    <n v="1"/>
    <n v="72.010000000000005"/>
    <s v="Returned"/>
    <s v="Unknown"/>
    <n v="72.010000000000005"/>
    <n v="5"/>
    <x v="0"/>
  </r>
  <r>
    <x v="3134"/>
    <x v="104"/>
    <s v="CUST1222"/>
    <s v="Dewi Sari"/>
    <x v="0"/>
    <x v="4"/>
    <x v="24"/>
    <n v="1"/>
    <n v="72.069999999999993"/>
    <s v="Completed"/>
    <s v="PayPal"/>
    <n v="72.069999999999993"/>
    <n v="9"/>
    <x v="0"/>
  </r>
  <r>
    <x v="3135"/>
    <x v="227"/>
    <s v="CUST1092"/>
    <s v="Putri Nugroho"/>
    <x v="0"/>
    <x v="4"/>
    <x v="27"/>
    <n v="1"/>
    <n v="72.08"/>
    <s v="Cancelled"/>
    <s v="Credit Card"/>
    <n v="72.08"/>
    <n v="8"/>
    <x v="0"/>
  </r>
  <r>
    <x v="3136"/>
    <x v="723"/>
    <s v="CUST1739"/>
    <s v="Fajar Wilson"/>
    <x v="0"/>
    <x v="6"/>
    <x v="41"/>
    <n v="1"/>
    <n v="72.099999999999994"/>
    <s v="Completed"/>
    <s v="Gift Card"/>
    <n v="72.099999999999994"/>
    <n v="5"/>
    <x v="0"/>
  </r>
  <r>
    <x v="3137"/>
    <x v="275"/>
    <s v="CUST1497"/>
    <s v="David Halim"/>
    <x v="1"/>
    <x v="6"/>
    <x v="39"/>
    <n v="1"/>
    <n v="72.13"/>
    <s v="Completed"/>
    <s v="Debit Card"/>
    <n v="72.13"/>
    <n v="3"/>
    <x v="0"/>
  </r>
  <r>
    <x v="3138"/>
    <x v="439"/>
    <s v="CUST1707"/>
    <s v="Michael Yusuf"/>
    <x v="0"/>
    <x v="5"/>
    <x v="33"/>
    <n v="1"/>
    <n v="72.209999999999994"/>
    <s v="Completed"/>
    <s v="PayPal"/>
    <n v="72.209999999999994"/>
    <n v="4"/>
    <x v="0"/>
  </r>
  <r>
    <x v="3139"/>
    <x v="606"/>
    <s v="CUST1319"/>
    <s v="Rina Santos"/>
    <x v="0"/>
    <x v="4"/>
    <x v="21"/>
    <n v="1"/>
    <n v="72.349999999999994"/>
    <s v="Completed"/>
    <s v="PayPal"/>
    <n v="72.349999999999994"/>
    <n v="5"/>
    <x v="0"/>
  </r>
  <r>
    <x v="3140"/>
    <x v="175"/>
    <s v="CUST1695"/>
    <s v="James Johnson"/>
    <x v="0"/>
    <x v="4"/>
    <x v="23"/>
    <n v="3"/>
    <n v="72.349999999999994"/>
    <s v="Completed"/>
    <s v="Debit Card"/>
    <n v="217.04999999999998"/>
    <n v="2"/>
    <x v="0"/>
  </r>
  <r>
    <x v="3141"/>
    <x v="602"/>
    <s v="CUST1233"/>
    <s v="Michael Lee"/>
    <x v="0"/>
    <x v="5"/>
    <x v="34"/>
    <n v="1"/>
    <n v="72.37"/>
    <s v="Completed"/>
    <s v="Debit Card"/>
    <n v="72.37"/>
    <n v="6"/>
    <x v="0"/>
  </r>
  <r>
    <x v="3142"/>
    <x v="206"/>
    <s v="CUST1541"/>
    <s v="Linda Johnson"/>
    <x v="1"/>
    <x v="4"/>
    <x v="22"/>
    <n v="2"/>
    <n v="72.38"/>
    <s v="Completed"/>
    <s v="Debit Card"/>
    <n v="144.76"/>
    <n v="7"/>
    <x v="0"/>
  </r>
  <r>
    <x v="3143"/>
    <x v="605"/>
    <s v="CUST1680"/>
    <s v="Putri Halim"/>
    <x v="0"/>
    <x v="1"/>
    <x v="18"/>
    <n v="1"/>
    <n v="72.430000000000007"/>
    <s v="Cancelled"/>
    <s v="PayPal"/>
    <n v="72.430000000000007"/>
    <n v="4"/>
    <x v="0"/>
  </r>
  <r>
    <x v="3144"/>
    <x v="447"/>
    <s v="CUST1292"/>
    <s v="Budi Halim"/>
    <x v="0"/>
    <x v="5"/>
    <x v="29"/>
    <n v="1"/>
    <n v="72.55"/>
    <s v="Completed"/>
    <s v="Debit Card"/>
    <n v="72.55"/>
    <n v="6"/>
    <x v="0"/>
  </r>
  <r>
    <x v="3145"/>
    <x v="517"/>
    <s v="CUST1521"/>
    <s v="John Smith"/>
    <x v="0"/>
    <x v="4"/>
    <x v="25"/>
    <n v="2"/>
    <n v="72.56"/>
    <s v="Completed"/>
    <s v="Unknown"/>
    <n v="145.12"/>
    <n v="4"/>
    <x v="0"/>
  </r>
  <r>
    <x v="3146"/>
    <x v="525"/>
    <s v="CUST1200"/>
    <s v="John Garcia"/>
    <x v="1"/>
    <x v="4"/>
    <x v="21"/>
    <n v="1"/>
    <n v="72.61"/>
    <s v="Completed"/>
    <s v="Credit Card"/>
    <n v="72.61"/>
    <n v="2"/>
    <x v="0"/>
  </r>
  <r>
    <x v="3147"/>
    <x v="663"/>
    <s v="CUST1546"/>
    <s v="John Garcia"/>
    <x v="0"/>
    <x v="6"/>
    <x v="42"/>
    <n v="1"/>
    <n v="72.72"/>
    <s v="Completed"/>
    <s v="Debit Card"/>
    <n v="72.72"/>
    <n v="5"/>
    <x v="0"/>
  </r>
  <r>
    <x v="3148"/>
    <x v="566"/>
    <s v="CUST1774"/>
    <s v="Maria Wijaya"/>
    <x v="0"/>
    <x v="4"/>
    <x v="25"/>
    <n v="1"/>
    <n v="72.75"/>
    <s v="Completed"/>
    <s v="Debit Card"/>
    <n v="72.75"/>
    <n v="3"/>
    <x v="0"/>
  </r>
  <r>
    <x v="3149"/>
    <x v="257"/>
    <s v="CUST1029"/>
    <s v="Unknown Customer"/>
    <x v="1"/>
    <x v="4"/>
    <x v="25"/>
    <n v="1"/>
    <n v="72.75"/>
    <s v="Completed"/>
    <s v="PayPal"/>
    <n v="72.75"/>
    <n v="8"/>
    <x v="0"/>
  </r>
  <r>
    <x v="3150"/>
    <x v="657"/>
    <s v="CUST1795"/>
    <s v="Michael Chen"/>
    <x v="1"/>
    <x v="4"/>
    <x v="23"/>
    <n v="1"/>
    <n v="72.92"/>
    <s v="Pending"/>
    <s v="Debit Card"/>
    <n v="72.92"/>
    <n v="3"/>
    <x v="0"/>
  </r>
  <r>
    <x v="3151"/>
    <x v="97"/>
    <s v="CUST1233"/>
    <s v="Michael Lee"/>
    <x v="0"/>
    <x v="1"/>
    <x v="9"/>
    <n v="1"/>
    <n v="72.97"/>
    <s v="Completed"/>
    <s v="PayPal"/>
    <n v="72.97"/>
    <n v="6"/>
    <x v="0"/>
  </r>
  <r>
    <x v="3152"/>
    <x v="363"/>
    <s v="CUST1019"/>
    <s v="Siti Sari"/>
    <x v="1"/>
    <x v="5"/>
    <x v="34"/>
    <n v="1"/>
    <n v="73"/>
    <s v="Completed"/>
    <s v="Gift Card"/>
    <n v="73"/>
    <n v="3"/>
    <x v="0"/>
  </r>
  <r>
    <x v="3153"/>
    <x v="287"/>
    <s v="CUST1812"/>
    <s v="Putri Hidayat"/>
    <x v="1"/>
    <x v="5"/>
    <x v="32"/>
    <n v="2"/>
    <n v="73"/>
    <s v="Completed"/>
    <s v="Credit Card"/>
    <n v="146"/>
    <n v="4"/>
    <x v="0"/>
  </r>
  <r>
    <x v="3154"/>
    <x v="617"/>
    <s v="CUST1332"/>
    <s v="Siti Johnson"/>
    <x v="1"/>
    <x v="5"/>
    <x v="33"/>
    <n v="1"/>
    <n v="73.040000000000006"/>
    <s v="Completed"/>
    <s v="Debit Card"/>
    <n v="73.040000000000006"/>
    <n v="5"/>
    <x v="0"/>
  </r>
  <r>
    <x v="3155"/>
    <x v="226"/>
    <s v="CUST1491"/>
    <s v="Rina Taylor"/>
    <x v="0"/>
    <x v="1"/>
    <x v="9"/>
    <n v="1"/>
    <n v="73.06"/>
    <s v="Completed"/>
    <s v="Credit Card"/>
    <n v="73.06"/>
    <n v="7"/>
    <x v="0"/>
  </r>
  <r>
    <x v="3156"/>
    <x v="284"/>
    <s v="CUST1198"/>
    <s v="Putri Anderson"/>
    <x v="0"/>
    <x v="5"/>
    <x v="31"/>
    <n v="1"/>
    <n v="73.08"/>
    <s v="Completed"/>
    <s v="Gift Card"/>
    <n v="73.08"/>
    <n v="4"/>
    <x v="0"/>
  </r>
  <r>
    <x v="3157"/>
    <x v="47"/>
    <s v="CUST1897"/>
    <s v="Linda Kurniawan"/>
    <x v="3"/>
    <x v="6"/>
    <x v="42"/>
    <n v="2"/>
    <n v="73.22"/>
    <s v="Completed"/>
    <s v="PayPal"/>
    <n v="146.44"/>
    <n v="3"/>
    <x v="0"/>
  </r>
  <r>
    <x v="3158"/>
    <x v="128"/>
    <s v="CUST1332"/>
    <s v="Siti Johnson"/>
    <x v="1"/>
    <x v="1"/>
    <x v="20"/>
    <n v="1"/>
    <n v="73.25"/>
    <s v="Completed"/>
    <s v="Credit Card"/>
    <n v="73.25"/>
    <n v="5"/>
    <x v="0"/>
  </r>
  <r>
    <x v="3159"/>
    <x v="258"/>
    <s v="CUST1190"/>
    <s v="Lisa Wijaya"/>
    <x v="1"/>
    <x v="6"/>
    <x v="35"/>
    <n v="1"/>
    <n v="73.319999999999993"/>
    <s v="Completed"/>
    <s v="Debit Card"/>
    <n v="73.319999999999993"/>
    <n v="4"/>
    <x v="0"/>
  </r>
  <r>
    <x v="3160"/>
    <x v="367"/>
    <s v="CUST1765"/>
    <s v="Ayu Brown"/>
    <x v="0"/>
    <x v="1"/>
    <x v="6"/>
    <n v="1"/>
    <n v="73.38"/>
    <s v="Completed"/>
    <s v="Debit Card"/>
    <n v="73.38"/>
    <n v="5"/>
    <x v="0"/>
  </r>
  <r>
    <x v="3161"/>
    <x v="652"/>
    <s v="CUST1746"/>
    <s v="Siti Garcia"/>
    <x v="0"/>
    <x v="6"/>
    <x v="42"/>
    <n v="1"/>
    <n v="73.42"/>
    <s v="Completed"/>
    <s v="PayPal"/>
    <n v="73.42"/>
    <n v="7"/>
    <x v="0"/>
  </r>
  <r>
    <x v="3162"/>
    <x v="134"/>
    <s v="CUST1786"/>
    <s v="Siti Brown"/>
    <x v="3"/>
    <x v="5"/>
    <x v="31"/>
    <n v="4"/>
    <n v="73.44"/>
    <s v="Returned"/>
    <s v="PayPal"/>
    <n v="293.76"/>
    <n v="4"/>
    <x v="0"/>
  </r>
  <r>
    <x v="3163"/>
    <x v="1"/>
    <s v="CUST1189"/>
    <s v="Unknown Customer"/>
    <x v="1"/>
    <x v="6"/>
    <x v="41"/>
    <n v="1"/>
    <n v="73.540000000000006"/>
    <s v="Completed"/>
    <s v="Gift Card"/>
    <n v="73.540000000000006"/>
    <n v="6"/>
    <x v="0"/>
  </r>
  <r>
    <x v="3164"/>
    <x v="660"/>
    <s v="CUST1813"/>
    <s v="Linda Pratama"/>
    <x v="0"/>
    <x v="6"/>
    <x v="35"/>
    <n v="1"/>
    <n v="73.55"/>
    <s v="Completed"/>
    <s v="Debit Card"/>
    <n v="73.55"/>
    <n v="4"/>
    <x v="0"/>
  </r>
  <r>
    <x v="3165"/>
    <x v="552"/>
    <s v="CUST1145"/>
    <s v="Linda Smith"/>
    <x v="0"/>
    <x v="4"/>
    <x v="25"/>
    <n v="2"/>
    <n v="73.55"/>
    <s v="Completed"/>
    <s v="PayPal"/>
    <n v="147.1"/>
    <n v="12"/>
    <x v="0"/>
  </r>
  <r>
    <x v="3166"/>
    <x v="522"/>
    <s v="CUST1133"/>
    <s v="Unknown Customer"/>
    <x v="0"/>
    <x v="5"/>
    <x v="33"/>
    <n v="1"/>
    <n v="73.64"/>
    <s v="Completed"/>
    <s v="Debit Card"/>
    <n v="73.64"/>
    <n v="7"/>
    <x v="0"/>
  </r>
  <r>
    <x v="3167"/>
    <x v="623"/>
    <s v="CUST1648"/>
    <s v="James Wijaya"/>
    <x v="0"/>
    <x v="4"/>
    <x v="26"/>
    <n v="1"/>
    <n v="73.650000000000006"/>
    <s v="Completed"/>
    <s v="Gift Card"/>
    <n v="73.650000000000006"/>
    <n v="7"/>
    <x v="0"/>
  </r>
  <r>
    <x v="3168"/>
    <x v="437"/>
    <s v="CUST1550"/>
    <s v="Nina Anderson"/>
    <x v="0"/>
    <x v="4"/>
    <x v="23"/>
    <n v="1"/>
    <n v="73.849999999999994"/>
    <s v="Completed"/>
    <s v="PayPal"/>
    <n v="73.849999999999994"/>
    <n v="2"/>
    <x v="0"/>
  </r>
  <r>
    <x v="3169"/>
    <x v="35"/>
    <s v="CUST1562"/>
    <s v="Robert Tan"/>
    <x v="0"/>
    <x v="1"/>
    <x v="5"/>
    <n v="2"/>
    <n v="73.89"/>
    <s v="Completed"/>
    <s v="Credit Card"/>
    <n v="147.78"/>
    <n v="5"/>
    <x v="0"/>
  </r>
  <r>
    <x v="3170"/>
    <x v="724"/>
    <s v="CUST1746"/>
    <s v="Siti Garcia"/>
    <x v="0"/>
    <x v="5"/>
    <x v="31"/>
    <n v="1"/>
    <n v="73.900000000000006"/>
    <s v="Completed"/>
    <s v="PayPal"/>
    <n v="73.900000000000006"/>
    <n v="7"/>
    <x v="0"/>
  </r>
  <r>
    <x v="3171"/>
    <x v="145"/>
    <s v="CUST1286"/>
    <s v="Sarah Wilson"/>
    <x v="3"/>
    <x v="1"/>
    <x v="6"/>
    <n v="1"/>
    <n v="73.900000000000006"/>
    <s v="Completed"/>
    <s v="PayPal"/>
    <n v="73.900000000000006"/>
    <n v="3"/>
    <x v="0"/>
  </r>
  <r>
    <x v="3172"/>
    <x v="163"/>
    <s v="CUST1673"/>
    <s v="Ahmad Smith"/>
    <x v="0"/>
    <x v="4"/>
    <x v="23"/>
    <n v="2"/>
    <n v="73.930000000000007"/>
    <s v="Completed"/>
    <s v="Gift Card"/>
    <n v="147.86000000000001"/>
    <n v="4"/>
    <x v="0"/>
  </r>
  <r>
    <x v="3173"/>
    <x v="280"/>
    <s v="CUST1660"/>
    <s v="Andi Salim"/>
    <x v="0"/>
    <x v="5"/>
    <x v="31"/>
    <n v="4"/>
    <n v="73.930000000000007"/>
    <s v="Completed"/>
    <s v="Gift Card"/>
    <n v="295.72000000000003"/>
    <n v="5"/>
    <x v="0"/>
  </r>
  <r>
    <x v="3174"/>
    <x v="352"/>
    <s v="CUST1583"/>
    <s v="Andi Smith"/>
    <x v="3"/>
    <x v="4"/>
    <x v="27"/>
    <n v="1"/>
    <n v="73.98"/>
    <s v="Completed"/>
    <s v="Gift Card"/>
    <n v="73.98"/>
    <n v="3"/>
    <x v="0"/>
  </r>
  <r>
    <x v="3175"/>
    <x v="14"/>
    <s v="CUST1453"/>
    <s v="James Tan"/>
    <x v="1"/>
    <x v="4"/>
    <x v="24"/>
    <n v="1"/>
    <n v="74.010000000000005"/>
    <s v="Completed"/>
    <s v="Credit Card"/>
    <n v="74.010000000000005"/>
    <n v="2"/>
    <x v="0"/>
  </r>
  <r>
    <x v="3176"/>
    <x v="108"/>
    <s v="CUST1883"/>
    <s v="Kevin Anderson"/>
    <x v="3"/>
    <x v="4"/>
    <x v="21"/>
    <n v="2"/>
    <n v="74.069999999999993"/>
    <s v="Completed"/>
    <s v="Unknown"/>
    <n v="148.13999999999999"/>
    <n v="4"/>
    <x v="0"/>
  </r>
  <r>
    <x v="3177"/>
    <x v="246"/>
    <s v="CUST1039"/>
    <s v="Robert Tan"/>
    <x v="0"/>
    <x v="1"/>
    <x v="6"/>
    <n v="5"/>
    <n v="74.099999999999994"/>
    <s v="Returned"/>
    <s v="Gift Card"/>
    <n v="370.5"/>
    <n v="7"/>
    <x v="0"/>
  </r>
  <r>
    <x v="3178"/>
    <x v="8"/>
    <s v="CUST1856"/>
    <s v="Siti Brown"/>
    <x v="0"/>
    <x v="1"/>
    <x v="6"/>
    <n v="1"/>
    <n v="74.12"/>
    <s v="Completed"/>
    <s v="Gift Card"/>
    <n v="74.12"/>
    <n v="6"/>
    <x v="0"/>
  </r>
  <r>
    <x v="3179"/>
    <x v="229"/>
    <s v="CUST1730"/>
    <s v="Linda Kurniawan"/>
    <x v="0"/>
    <x v="5"/>
    <x v="31"/>
    <n v="1"/>
    <n v="74.150000000000006"/>
    <s v="Completed"/>
    <s v="Credit Card"/>
    <n v="74.150000000000006"/>
    <n v="4"/>
    <x v="0"/>
  </r>
  <r>
    <x v="3180"/>
    <x v="584"/>
    <s v="CUST1129"/>
    <s v="Budi Wilson"/>
    <x v="0"/>
    <x v="4"/>
    <x v="21"/>
    <n v="1"/>
    <n v="74.16"/>
    <s v="Completed"/>
    <s v="Credit Card"/>
    <n v="74.16"/>
    <n v="5"/>
    <x v="0"/>
  </r>
  <r>
    <x v="3181"/>
    <x v="607"/>
    <s v="CUST1485"/>
    <s v="Dewi Smith"/>
    <x v="0"/>
    <x v="6"/>
    <x v="38"/>
    <n v="1"/>
    <n v="74.23"/>
    <s v="Completed"/>
    <s v="Debit Card"/>
    <n v="74.23"/>
    <n v="5"/>
    <x v="0"/>
  </r>
  <r>
    <x v="3182"/>
    <x v="236"/>
    <s v="CUST1135"/>
    <s v="Rina Kurniawan"/>
    <x v="1"/>
    <x v="6"/>
    <x v="38"/>
    <n v="1"/>
    <n v="74.31"/>
    <s v="Completed"/>
    <s v="Credit Card"/>
    <n v="74.31"/>
    <n v="5"/>
    <x v="0"/>
  </r>
  <r>
    <x v="3183"/>
    <x v="557"/>
    <s v="CUST1837"/>
    <s v="Dewi Johnson"/>
    <x v="0"/>
    <x v="5"/>
    <x v="30"/>
    <n v="1"/>
    <n v="74.31"/>
    <s v="Completed"/>
    <s v="PayPal"/>
    <n v="74.31"/>
    <n v="6"/>
    <x v="0"/>
  </r>
  <r>
    <x v="3184"/>
    <x v="521"/>
    <s v="CUST1842"/>
    <s v="Siti Salim"/>
    <x v="1"/>
    <x v="4"/>
    <x v="22"/>
    <n v="1"/>
    <n v="74.36"/>
    <s v="Completed"/>
    <s v="Gift Card"/>
    <n v="74.36"/>
    <n v="5"/>
    <x v="0"/>
  </r>
  <r>
    <x v="3185"/>
    <x v="256"/>
    <s v="CUST1799"/>
    <s v="Robert Hidayat"/>
    <x v="1"/>
    <x v="4"/>
    <x v="21"/>
    <n v="1"/>
    <n v="74.44"/>
    <s v="Completed"/>
    <s v="Gift Card"/>
    <n v="74.44"/>
    <n v="7"/>
    <x v="0"/>
  </r>
  <r>
    <x v="3186"/>
    <x v="14"/>
    <s v="CUST1448"/>
    <s v="Maria Halim"/>
    <x v="0"/>
    <x v="5"/>
    <x v="34"/>
    <n v="2"/>
    <n v="74.53"/>
    <s v="Completed"/>
    <s v="Gift Card"/>
    <n v="149.06"/>
    <n v="7"/>
    <x v="0"/>
  </r>
  <r>
    <x v="3187"/>
    <x v="158"/>
    <s v="CUST1230"/>
    <s v="Budi Sari"/>
    <x v="1"/>
    <x v="4"/>
    <x v="24"/>
    <n v="1"/>
    <n v="74.56"/>
    <s v="Completed"/>
    <s v="Credit Card"/>
    <n v="74.56"/>
    <n v="2"/>
    <x v="0"/>
  </r>
  <r>
    <x v="3188"/>
    <x v="1"/>
    <s v="CUST1591"/>
    <s v="Fajar Wilson"/>
    <x v="0"/>
    <x v="1"/>
    <x v="5"/>
    <n v="2"/>
    <n v="74.58"/>
    <s v="Completed"/>
    <s v="Gift Card"/>
    <n v="149.16"/>
    <n v="9"/>
    <x v="0"/>
  </r>
  <r>
    <x v="3189"/>
    <x v="6"/>
    <s v="CUST1768"/>
    <s v="Rina Nugroho"/>
    <x v="0"/>
    <x v="1"/>
    <x v="17"/>
    <n v="1"/>
    <n v="74.81"/>
    <s v="Returned"/>
    <s v="Credit Card"/>
    <n v="74.81"/>
    <n v="5"/>
    <x v="0"/>
  </r>
  <r>
    <x v="3190"/>
    <x v="71"/>
    <s v="CUST1302"/>
    <s v="Dewi Taylor"/>
    <x v="1"/>
    <x v="6"/>
    <x v="42"/>
    <n v="1"/>
    <n v="74.83"/>
    <s v="Completed"/>
    <s v="Unknown"/>
    <n v="74.83"/>
    <n v="6"/>
    <x v="0"/>
  </r>
  <r>
    <x v="3191"/>
    <x v="141"/>
    <s v="CUST1869"/>
    <s v="Maria Garcia"/>
    <x v="0"/>
    <x v="5"/>
    <x v="34"/>
    <n v="2"/>
    <n v="74.91"/>
    <s v="Completed"/>
    <s v="PayPal"/>
    <n v="149.82"/>
    <n v="4"/>
    <x v="0"/>
  </r>
  <r>
    <x v="3192"/>
    <x v="239"/>
    <s v="CUST1848"/>
    <s v="Sarah Nugroho"/>
    <x v="0"/>
    <x v="4"/>
    <x v="25"/>
    <n v="4"/>
    <n v="74.98"/>
    <s v="Completed"/>
    <s v="Debit Card"/>
    <n v="299.92"/>
    <n v="5"/>
    <x v="0"/>
  </r>
  <r>
    <x v="3193"/>
    <x v="542"/>
    <s v="CUST1106"/>
    <s v="Lisa Kurniawan"/>
    <x v="0"/>
    <x v="4"/>
    <x v="21"/>
    <n v="1"/>
    <n v="75.06"/>
    <s v="Completed"/>
    <s v="Debit Card"/>
    <n v="75.06"/>
    <n v="5"/>
    <x v="0"/>
  </r>
  <r>
    <x v="3194"/>
    <x v="108"/>
    <s v="CUST1435"/>
    <s v="Dewi Lee"/>
    <x v="0"/>
    <x v="4"/>
    <x v="26"/>
    <n v="3"/>
    <n v="75.08"/>
    <s v="Completed"/>
    <s v="Unknown"/>
    <n v="225.24"/>
    <n v="5"/>
    <x v="0"/>
  </r>
  <r>
    <x v="3195"/>
    <x v="638"/>
    <s v="CUST1553"/>
    <s v="Fajar Hidayat"/>
    <x v="0"/>
    <x v="5"/>
    <x v="29"/>
    <n v="1"/>
    <n v="75.09"/>
    <s v="Completed"/>
    <s v="PayPal"/>
    <n v="75.09"/>
    <n v="5"/>
    <x v="0"/>
  </r>
  <r>
    <x v="3196"/>
    <x v="628"/>
    <s v="CUST1741"/>
    <s v="Siti Wilson"/>
    <x v="0"/>
    <x v="1"/>
    <x v="17"/>
    <n v="1"/>
    <n v="75.14"/>
    <s v="Completed"/>
    <s v="Credit Card"/>
    <n v="75.14"/>
    <n v="7"/>
    <x v="0"/>
  </r>
  <r>
    <x v="3197"/>
    <x v="700"/>
    <s v="CUST1182"/>
    <s v="Dewi Tan"/>
    <x v="0"/>
    <x v="4"/>
    <x v="27"/>
    <n v="2"/>
    <n v="75.23"/>
    <s v="Completed"/>
    <s v="Unknown"/>
    <n v="150.46"/>
    <n v="4"/>
    <x v="0"/>
  </r>
  <r>
    <x v="3198"/>
    <x v="632"/>
    <s v="CUST1075"/>
    <s v="Linda Anderson"/>
    <x v="1"/>
    <x v="4"/>
    <x v="25"/>
    <n v="1"/>
    <n v="75.260000000000005"/>
    <s v="Completed"/>
    <s v="PayPal"/>
    <n v="75.260000000000005"/>
    <n v="5"/>
    <x v="0"/>
  </r>
  <r>
    <x v="3199"/>
    <x v="118"/>
    <s v="CUST1035"/>
    <s v="David Smith"/>
    <x v="0"/>
    <x v="4"/>
    <x v="24"/>
    <n v="1"/>
    <n v="75.31"/>
    <s v="Completed"/>
    <s v="Gift Card"/>
    <n v="75.31"/>
    <n v="3"/>
    <x v="0"/>
  </r>
  <r>
    <x v="3200"/>
    <x v="87"/>
    <s v="CUST1854"/>
    <s v="Putri Garcia"/>
    <x v="1"/>
    <x v="5"/>
    <x v="31"/>
    <n v="1"/>
    <n v="75.38"/>
    <s v="Completed"/>
    <s v="Debit Card"/>
    <n v="75.38"/>
    <n v="7"/>
    <x v="0"/>
  </r>
  <r>
    <x v="3201"/>
    <x v="698"/>
    <s v="CUST1654"/>
    <s v="John Smith"/>
    <x v="1"/>
    <x v="1"/>
    <x v="5"/>
    <n v="1"/>
    <n v="75.400000000000006"/>
    <s v="Pending"/>
    <s v="Debit Card"/>
    <n v="75.400000000000006"/>
    <n v="5"/>
    <x v="0"/>
  </r>
  <r>
    <x v="3202"/>
    <x v="18"/>
    <s v="CUST1102"/>
    <s v="Maria Brown"/>
    <x v="0"/>
    <x v="4"/>
    <x v="24"/>
    <n v="3"/>
    <n v="75.41"/>
    <s v="Completed"/>
    <s v="Credit Card"/>
    <n v="226.23"/>
    <n v="5"/>
    <x v="0"/>
  </r>
  <r>
    <x v="3203"/>
    <x v="584"/>
    <s v="CUST1611"/>
    <s v="Maria Sari"/>
    <x v="0"/>
    <x v="4"/>
    <x v="22"/>
    <n v="2"/>
    <n v="75.42"/>
    <s v="Completed"/>
    <s v="Debit Card"/>
    <n v="150.84"/>
    <n v="10"/>
    <x v="0"/>
  </r>
  <r>
    <x v="3204"/>
    <x v="418"/>
    <s v="CUST1400"/>
    <s v="James Yusuf"/>
    <x v="0"/>
    <x v="5"/>
    <x v="30"/>
    <n v="2"/>
    <n v="75.459999999999994"/>
    <s v="Completed"/>
    <s v="Credit Card"/>
    <n v="150.91999999999999"/>
    <n v="7"/>
    <x v="0"/>
  </r>
  <r>
    <x v="3205"/>
    <x v="319"/>
    <s v="CUST1668"/>
    <s v="Siti Brown"/>
    <x v="0"/>
    <x v="5"/>
    <x v="34"/>
    <n v="2"/>
    <n v="75.569999999999993"/>
    <s v="Completed"/>
    <s v="Credit Card"/>
    <n v="151.13999999999999"/>
    <n v="4"/>
    <x v="0"/>
  </r>
  <r>
    <x v="3206"/>
    <x v="339"/>
    <s v="CUST1187"/>
    <s v="Dewi Anderson"/>
    <x v="1"/>
    <x v="4"/>
    <x v="23"/>
    <n v="5"/>
    <n v="75.569999999999993"/>
    <s v="Completed"/>
    <s v="Credit Card"/>
    <n v="377.84999999999997"/>
    <n v="4"/>
    <x v="0"/>
  </r>
  <r>
    <x v="3207"/>
    <x v="598"/>
    <s v="CUST1762"/>
    <s v="Rina Nugroho"/>
    <x v="3"/>
    <x v="4"/>
    <x v="23"/>
    <n v="1"/>
    <n v="75.59"/>
    <s v="Completed"/>
    <s v="Debit Card"/>
    <n v="75.59"/>
    <n v="2"/>
    <x v="0"/>
  </r>
  <r>
    <x v="3208"/>
    <x v="360"/>
    <s v="CUST1644"/>
    <s v="Andi Salim"/>
    <x v="0"/>
    <x v="1"/>
    <x v="18"/>
    <n v="1"/>
    <n v="75.62"/>
    <s v="Completed"/>
    <s v="Debit Card"/>
    <n v="75.62"/>
    <n v="6"/>
    <x v="0"/>
  </r>
  <r>
    <x v="3209"/>
    <x v="131"/>
    <s v="CUST1418"/>
    <s v="Fajar Halim"/>
    <x v="0"/>
    <x v="1"/>
    <x v="17"/>
    <n v="1"/>
    <n v="75.66"/>
    <s v="Completed"/>
    <s v="Debit Card"/>
    <n v="75.66"/>
    <n v="4"/>
    <x v="0"/>
  </r>
  <r>
    <x v="3210"/>
    <x v="552"/>
    <s v="CUST1194"/>
    <s v="Maria Hidayat"/>
    <x v="0"/>
    <x v="1"/>
    <x v="9"/>
    <n v="1"/>
    <n v="75.67"/>
    <s v="Completed"/>
    <s v="PayPal"/>
    <n v="75.67"/>
    <n v="8"/>
    <x v="0"/>
  </r>
  <r>
    <x v="3211"/>
    <x v="298"/>
    <s v="CUST1379"/>
    <s v="Putri Halim"/>
    <x v="0"/>
    <x v="6"/>
    <x v="41"/>
    <n v="1"/>
    <n v="75.7"/>
    <s v="Completed"/>
    <s v="Gift Card"/>
    <n v="75.7"/>
    <n v="4"/>
    <x v="0"/>
  </r>
  <r>
    <x v="3212"/>
    <x v="66"/>
    <s v="CUST1834"/>
    <s v="Andi Nugroho"/>
    <x v="0"/>
    <x v="4"/>
    <x v="23"/>
    <n v="1"/>
    <n v="75.739999999999995"/>
    <s v="Completed"/>
    <s v="Gift Card"/>
    <n v="75.739999999999995"/>
    <n v="12"/>
    <x v="0"/>
  </r>
  <r>
    <x v="3213"/>
    <x v="95"/>
    <s v="CUST1205"/>
    <s v="David Johnson"/>
    <x v="0"/>
    <x v="1"/>
    <x v="18"/>
    <n v="1"/>
    <n v="75.760000000000005"/>
    <s v="Completed"/>
    <s v="Gift Card"/>
    <n v="75.760000000000005"/>
    <n v="5"/>
    <x v="0"/>
  </r>
  <r>
    <x v="3214"/>
    <x v="264"/>
    <s v="CUST1469"/>
    <s v="Michael Lee"/>
    <x v="1"/>
    <x v="5"/>
    <x v="34"/>
    <n v="1"/>
    <n v="75.790000000000006"/>
    <s v="Completed"/>
    <s v="PayPal"/>
    <n v="75.790000000000006"/>
    <n v="4"/>
    <x v="0"/>
  </r>
  <r>
    <x v="3215"/>
    <x v="328"/>
    <s v="CUST1137"/>
    <s v="Budi Wijaya"/>
    <x v="0"/>
    <x v="1"/>
    <x v="20"/>
    <n v="2"/>
    <n v="75.790000000000006"/>
    <s v="Completed"/>
    <s v="PayPal"/>
    <n v="151.58000000000001"/>
    <n v="6"/>
    <x v="0"/>
  </r>
  <r>
    <x v="3216"/>
    <x v="420"/>
    <s v="CUST1666"/>
    <s v="Michael Nugroho"/>
    <x v="1"/>
    <x v="5"/>
    <x v="28"/>
    <n v="1"/>
    <n v="75.88"/>
    <s v="Completed"/>
    <s v="Gift Card"/>
    <n v="75.88"/>
    <n v="3"/>
    <x v="0"/>
  </r>
  <r>
    <x v="3217"/>
    <x v="468"/>
    <s v="CUST1222"/>
    <s v="Dewi Sari"/>
    <x v="0"/>
    <x v="1"/>
    <x v="18"/>
    <n v="2"/>
    <n v="75.89"/>
    <s v="Completed"/>
    <s v="Debit Card"/>
    <n v="151.78"/>
    <n v="9"/>
    <x v="0"/>
  </r>
  <r>
    <x v="3218"/>
    <x v="561"/>
    <s v="CUST1887"/>
    <s v="Maria Wilson"/>
    <x v="0"/>
    <x v="6"/>
    <x v="37"/>
    <n v="2"/>
    <n v="75.91"/>
    <s v="Completed"/>
    <s v="PayPal"/>
    <n v="151.82"/>
    <n v="2"/>
    <x v="0"/>
  </r>
  <r>
    <x v="3219"/>
    <x v="206"/>
    <s v="CUST1790"/>
    <s v="Andi Salim"/>
    <x v="0"/>
    <x v="4"/>
    <x v="26"/>
    <n v="1"/>
    <n v="75.95"/>
    <s v="Completed"/>
    <s v="Gift Card"/>
    <n v="75.95"/>
    <n v="6"/>
    <x v="0"/>
  </r>
  <r>
    <x v="3220"/>
    <x v="177"/>
    <s v="CUST1179"/>
    <s v="Unknown Customer"/>
    <x v="1"/>
    <x v="1"/>
    <x v="6"/>
    <n v="2"/>
    <n v="75.97"/>
    <s v="Completed"/>
    <s v="Gift Card"/>
    <n v="151.94"/>
    <n v="2"/>
    <x v="0"/>
  </r>
  <r>
    <x v="3221"/>
    <x v="524"/>
    <s v="CUST1460"/>
    <s v="Rina Sari"/>
    <x v="0"/>
    <x v="1"/>
    <x v="5"/>
    <n v="1"/>
    <n v="76.02"/>
    <s v="Completed"/>
    <s v="Gift Card"/>
    <n v="76.02"/>
    <n v="9"/>
    <x v="0"/>
  </r>
  <r>
    <x v="3222"/>
    <x v="389"/>
    <s v="CUST1150"/>
    <s v="Ayu Wijaya"/>
    <x v="0"/>
    <x v="4"/>
    <x v="26"/>
    <n v="1"/>
    <n v="76.02"/>
    <s v="Completed"/>
    <s v="PayPal"/>
    <n v="76.02"/>
    <n v="7"/>
    <x v="0"/>
  </r>
  <r>
    <x v="3223"/>
    <x v="403"/>
    <s v="CUST1032"/>
    <s v="Andi Sari"/>
    <x v="0"/>
    <x v="4"/>
    <x v="27"/>
    <n v="1"/>
    <n v="76.05"/>
    <s v="Completed"/>
    <s v="Debit Card"/>
    <n v="76.05"/>
    <n v="6"/>
    <x v="0"/>
  </r>
  <r>
    <x v="3224"/>
    <x v="27"/>
    <s v="CUST1342"/>
    <s v="Putri Anderson"/>
    <x v="0"/>
    <x v="4"/>
    <x v="22"/>
    <n v="2"/>
    <n v="76.06"/>
    <s v="Cancelled"/>
    <s v="PayPal"/>
    <n v="152.12"/>
    <n v="4"/>
    <x v="0"/>
  </r>
  <r>
    <x v="3225"/>
    <x v="382"/>
    <s v="CUST1439"/>
    <s v="Maria Johnson"/>
    <x v="0"/>
    <x v="5"/>
    <x v="32"/>
    <n v="2"/>
    <n v="76.06"/>
    <s v="Completed"/>
    <s v="Credit Card"/>
    <n v="152.12"/>
    <n v="6"/>
    <x v="0"/>
  </r>
  <r>
    <x v="3226"/>
    <x v="385"/>
    <s v="CUST1778"/>
    <s v="Kevin Wilson"/>
    <x v="0"/>
    <x v="1"/>
    <x v="18"/>
    <n v="2"/>
    <n v="76.08"/>
    <s v="Completed"/>
    <s v="Debit Card"/>
    <n v="152.16"/>
    <n v="5"/>
    <x v="0"/>
  </r>
  <r>
    <x v="3227"/>
    <x v="266"/>
    <s v="CUST1271"/>
    <s v="Lisa Chen"/>
    <x v="0"/>
    <x v="5"/>
    <x v="33"/>
    <n v="2"/>
    <n v="76.09"/>
    <s v="Completed"/>
    <s v="Gift Card"/>
    <n v="152.18"/>
    <n v="6"/>
    <x v="0"/>
  </r>
  <r>
    <x v="3228"/>
    <x v="259"/>
    <s v="CUST1690"/>
    <s v="Fajar Garcia"/>
    <x v="0"/>
    <x v="5"/>
    <x v="33"/>
    <n v="1"/>
    <n v="76.099999999999994"/>
    <s v="Completed"/>
    <s v="Credit Card"/>
    <n v="76.099999999999994"/>
    <n v="4"/>
    <x v="0"/>
  </r>
  <r>
    <x v="3229"/>
    <x v="79"/>
    <s v="CUST1364"/>
    <s v="David Brown"/>
    <x v="0"/>
    <x v="6"/>
    <x v="41"/>
    <n v="1"/>
    <n v="76.12"/>
    <s v="Completed"/>
    <s v="Gift Card"/>
    <n v="76.12"/>
    <n v="8"/>
    <x v="0"/>
  </r>
  <r>
    <x v="3230"/>
    <x v="147"/>
    <s v="CUST1008"/>
    <s v="Kevin Chen"/>
    <x v="0"/>
    <x v="6"/>
    <x v="37"/>
    <n v="1"/>
    <n v="76.14"/>
    <s v="Completed"/>
    <s v="Credit Card"/>
    <n v="76.14"/>
    <n v="2"/>
    <x v="0"/>
  </r>
  <r>
    <x v="3231"/>
    <x v="401"/>
    <s v="CUST1581"/>
    <s v="Rina Hidayat"/>
    <x v="0"/>
    <x v="4"/>
    <x v="23"/>
    <n v="1"/>
    <n v="76.16"/>
    <s v="Completed"/>
    <s v="Credit Card"/>
    <n v="76.16"/>
    <n v="6"/>
    <x v="0"/>
  </r>
  <r>
    <x v="3232"/>
    <x v="643"/>
    <s v="CUST1132"/>
    <s v="Robert Tan"/>
    <x v="0"/>
    <x v="1"/>
    <x v="9"/>
    <n v="4"/>
    <n v="76.22"/>
    <s v="Completed"/>
    <s v="Gift Card"/>
    <n v="304.88"/>
    <n v="3"/>
    <x v="0"/>
  </r>
  <r>
    <x v="3233"/>
    <x v="284"/>
    <s v="CUST1046"/>
    <s v="Michael Pratama"/>
    <x v="1"/>
    <x v="5"/>
    <x v="30"/>
    <n v="2"/>
    <n v="76.3"/>
    <s v="Cancelled"/>
    <s v="PayPal"/>
    <n v="152.6"/>
    <n v="2"/>
    <x v="0"/>
  </r>
  <r>
    <x v="3234"/>
    <x v="299"/>
    <s v="CUST1118"/>
    <s v="Budi Anderson"/>
    <x v="0"/>
    <x v="6"/>
    <x v="36"/>
    <n v="4"/>
    <n v="76.3"/>
    <s v="Returned"/>
    <s v="Credit Card"/>
    <n v="305.2"/>
    <n v="4"/>
    <x v="0"/>
  </r>
  <r>
    <x v="3235"/>
    <x v="404"/>
    <s v="CUST1705"/>
    <s v="Michael Johnson"/>
    <x v="1"/>
    <x v="1"/>
    <x v="20"/>
    <n v="1"/>
    <n v="76.319999999999993"/>
    <s v="Completed"/>
    <s v="Debit Card"/>
    <n v="76.319999999999993"/>
    <n v="4"/>
    <x v="0"/>
  </r>
  <r>
    <x v="3236"/>
    <x v="210"/>
    <s v="CUST1467"/>
    <s v="Andi Smith"/>
    <x v="1"/>
    <x v="4"/>
    <x v="27"/>
    <n v="1"/>
    <n v="76.33"/>
    <s v="Completed"/>
    <s v="Credit Card"/>
    <n v="76.33"/>
    <n v="4"/>
    <x v="0"/>
  </r>
  <r>
    <x v="3237"/>
    <x v="209"/>
    <s v="CUST1896"/>
    <s v="Andi Taylor"/>
    <x v="0"/>
    <x v="4"/>
    <x v="26"/>
    <n v="5"/>
    <n v="76.34"/>
    <s v="Completed"/>
    <s v="PayPal"/>
    <n v="381.70000000000005"/>
    <n v="5"/>
    <x v="0"/>
  </r>
  <r>
    <x v="3238"/>
    <x v="212"/>
    <s v="CUST1537"/>
    <s v="Putri Sari"/>
    <x v="1"/>
    <x v="5"/>
    <x v="30"/>
    <n v="2"/>
    <n v="76.39"/>
    <s v="Completed"/>
    <s v="Credit Card"/>
    <n v="152.78"/>
    <n v="5"/>
    <x v="0"/>
  </r>
  <r>
    <x v="3239"/>
    <x v="704"/>
    <s v="CUST1247"/>
    <s v="Andi Nugroho"/>
    <x v="0"/>
    <x v="5"/>
    <x v="29"/>
    <n v="1"/>
    <n v="76.400000000000006"/>
    <s v="Completed"/>
    <s v="Debit Card"/>
    <n v="76.400000000000006"/>
    <n v="5"/>
    <x v="0"/>
  </r>
  <r>
    <x v="3240"/>
    <x v="540"/>
    <s v="CUST1217"/>
    <s v="Michael Santos"/>
    <x v="0"/>
    <x v="4"/>
    <x v="23"/>
    <n v="2"/>
    <n v="76.400000000000006"/>
    <s v="Completed"/>
    <s v="PayPal"/>
    <n v="152.80000000000001"/>
    <n v="7"/>
    <x v="0"/>
  </r>
  <r>
    <x v="3241"/>
    <x v="64"/>
    <s v="CUST1155"/>
    <s v="Budi Brown"/>
    <x v="0"/>
    <x v="4"/>
    <x v="23"/>
    <n v="2"/>
    <n v="76.42"/>
    <s v="Completed"/>
    <s v="Debit Card"/>
    <n v="152.84"/>
    <n v="5"/>
    <x v="0"/>
  </r>
  <r>
    <x v="3242"/>
    <x v="51"/>
    <s v="CUST1831"/>
    <s v="Sarah Hidayat"/>
    <x v="0"/>
    <x v="4"/>
    <x v="24"/>
    <n v="1"/>
    <n v="76.459999999999994"/>
    <s v="Cancelled"/>
    <s v="Gift Card"/>
    <n v="76.459999999999994"/>
    <n v="5"/>
    <x v="0"/>
  </r>
  <r>
    <x v="3243"/>
    <x v="469"/>
    <s v="CUST1870"/>
    <s v="Dewi Chen"/>
    <x v="0"/>
    <x v="4"/>
    <x v="26"/>
    <n v="5"/>
    <n v="76.569999999999993"/>
    <s v="Completed"/>
    <s v="PayPal"/>
    <n v="382.84999999999997"/>
    <n v="8"/>
    <x v="0"/>
  </r>
  <r>
    <x v="3244"/>
    <x v="414"/>
    <s v="CUST1790"/>
    <s v="Andi Salim"/>
    <x v="0"/>
    <x v="5"/>
    <x v="34"/>
    <n v="1"/>
    <n v="76.66"/>
    <s v="Completed"/>
    <s v="Credit Card"/>
    <n v="76.66"/>
    <n v="6"/>
    <x v="0"/>
  </r>
  <r>
    <x v="3245"/>
    <x v="235"/>
    <s v="CUST1788"/>
    <s v="Linda Wijaya"/>
    <x v="1"/>
    <x v="4"/>
    <x v="21"/>
    <n v="3"/>
    <n v="76.66"/>
    <s v="Completed"/>
    <s v="Debit Card"/>
    <n v="229.98"/>
    <n v="2"/>
    <x v="0"/>
  </r>
  <r>
    <x v="3246"/>
    <x v="643"/>
    <s v="CUST1173"/>
    <s v="John Tan"/>
    <x v="0"/>
    <x v="4"/>
    <x v="23"/>
    <n v="3"/>
    <n v="76.66"/>
    <s v="Completed"/>
    <s v="Gift Card"/>
    <n v="229.98"/>
    <n v="5"/>
    <x v="0"/>
  </r>
  <r>
    <x v="3247"/>
    <x v="666"/>
    <s v="CUST1614"/>
    <s v="Unknown Customer"/>
    <x v="0"/>
    <x v="4"/>
    <x v="26"/>
    <n v="1"/>
    <n v="76.69"/>
    <s v="Completed"/>
    <s v="Gift Card"/>
    <n v="76.69"/>
    <n v="4"/>
    <x v="0"/>
  </r>
  <r>
    <x v="3248"/>
    <x v="354"/>
    <s v="CUST1477"/>
    <s v="Budi Tan"/>
    <x v="3"/>
    <x v="4"/>
    <x v="21"/>
    <n v="1"/>
    <n v="76.78"/>
    <s v="Cancelled"/>
    <s v="Debit Card"/>
    <n v="76.78"/>
    <n v="5"/>
    <x v="0"/>
  </r>
  <r>
    <x v="3249"/>
    <x v="342"/>
    <s v="CUST1638"/>
    <s v="Maria Kurniawan"/>
    <x v="0"/>
    <x v="1"/>
    <x v="6"/>
    <n v="2"/>
    <n v="76.78"/>
    <s v="Completed"/>
    <s v="PayPal"/>
    <n v="153.56"/>
    <n v="8"/>
    <x v="0"/>
  </r>
  <r>
    <x v="3250"/>
    <x v="218"/>
    <s v="CUST1457"/>
    <s v="David Johnson"/>
    <x v="0"/>
    <x v="4"/>
    <x v="23"/>
    <n v="2"/>
    <n v="76.8"/>
    <s v="Completed"/>
    <s v="Unknown"/>
    <n v="153.6"/>
    <n v="4"/>
    <x v="0"/>
  </r>
  <r>
    <x v="3251"/>
    <x v="172"/>
    <s v="CUST1595"/>
    <s v="Lisa Brown"/>
    <x v="3"/>
    <x v="1"/>
    <x v="6"/>
    <n v="1"/>
    <n v="76.91"/>
    <s v="Completed"/>
    <s v="PayPal"/>
    <n v="76.91"/>
    <n v="3"/>
    <x v="0"/>
  </r>
  <r>
    <x v="3252"/>
    <x v="304"/>
    <s v="CUST1057"/>
    <s v="Unknown Customer"/>
    <x v="1"/>
    <x v="1"/>
    <x v="20"/>
    <n v="1"/>
    <n v="76.98"/>
    <s v="Completed"/>
    <s v="PayPal"/>
    <n v="76.98"/>
    <n v="5"/>
    <x v="0"/>
  </r>
  <r>
    <x v="3253"/>
    <x v="389"/>
    <s v="CUST1120"/>
    <s v="Dewi Johnson"/>
    <x v="1"/>
    <x v="4"/>
    <x v="25"/>
    <n v="1"/>
    <n v="77.05"/>
    <s v="Completed"/>
    <s v="PayPal"/>
    <n v="77.05"/>
    <n v="6"/>
    <x v="0"/>
  </r>
  <r>
    <x v="3254"/>
    <x v="594"/>
    <s v="CUST1008"/>
    <s v="Kevin Chen"/>
    <x v="0"/>
    <x v="4"/>
    <x v="27"/>
    <n v="2"/>
    <n v="77.069999999999993"/>
    <s v="Completed"/>
    <s v="Gift Card"/>
    <n v="154.13999999999999"/>
    <n v="2"/>
    <x v="0"/>
  </r>
  <r>
    <x v="3255"/>
    <x v="695"/>
    <s v="CUST1029"/>
    <s v="Nina Smith"/>
    <x v="1"/>
    <x v="6"/>
    <x v="35"/>
    <n v="2"/>
    <n v="77.17"/>
    <s v="Pending"/>
    <s v="Debit Card"/>
    <n v="154.34"/>
    <n v="8"/>
    <x v="0"/>
  </r>
  <r>
    <x v="3256"/>
    <x v="565"/>
    <s v="CUST1630"/>
    <s v="John Kurniawan"/>
    <x v="0"/>
    <x v="5"/>
    <x v="28"/>
    <n v="1"/>
    <n v="77.290000000000006"/>
    <s v="Completed"/>
    <s v="PayPal"/>
    <n v="77.290000000000006"/>
    <n v="6"/>
    <x v="0"/>
  </r>
  <r>
    <x v="3257"/>
    <x v="654"/>
    <s v="CUST1777"/>
    <s v="Ayu Chen"/>
    <x v="0"/>
    <x v="1"/>
    <x v="17"/>
    <n v="2"/>
    <n v="77.34"/>
    <s v="Returned"/>
    <s v="Gift Card"/>
    <n v="154.68"/>
    <n v="8"/>
    <x v="0"/>
  </r>
  <r>
    <x v="3258"/>
    <x v="518"/>
    <s v="CUST1289"/>
    <s v="Dewi Brown"/>
    <x v="0"/>
    <x v="4"/>
    <x v="27"/>
    <n v="2"/>
    <n v="77.39"/>
    <s v="Pending"/>
    <s v="Debit Card"/>
    <n v="154.78"/>
    <n v="6"/>
    <x v="0"/>
  </r>
  <r>
    <x v="3259"/>
    <x v="255"/>
    <s v="CUST1382"/>
    <s v="David Hidayat"/>
    <x v="0"/>
    <x v="4"/>
    <x v="21"/>
    <n v="5"/>
    <n v="77.39"/>
    <s v="Completed"/>
    <s v="PayPal"/>
    <n v="386.95"/>
    <n v="12"/>
    <x v="0"/>
  </r>
  <r>
    <x v="3260"/>
    <x v="224"/>
    <s v="CUST1829"/>
    <s v="Nina Nugroho"/>
    <x v="1"/>
    <x v="4"/>
    <x v="22"/>
    <n v="1"/>
    <n v="77.42"/>
    <s v="Completed"/>
    <s v="PayPal"/>
    <n v="77.42"/>
    <n v="4"/>
    <x v="0"/>
  </r>
  <r>
    <x v="3261"/>
    <x v="725"/>
    <s v="CUST1808"/>
    <s v="Michael Kurniawan"/>
    <x v="1"/>
    <x v="1"/>
    <x v="6"/>
    <n v="1"/>
    <n v="77.45"/>
    <s v="Completed"/>
    <s v="Debit Card"/>
    <n v="77.45"/>
    <n v="9"/>
    <x v="0"/>
  </r>
  <r>
    <x v="3262"/>
    <x v="594"/>
    <s v="CUST1004"/>
    <s v="Ahmad Yusuf"/>
    <x v="3"/>
    <x v="4"/>
    <x v="26"/>
    <n v="2"/>
    <n v="77.489999999999995"/>
    <s v="Completed"/>
    <s v="Credit Card"/>
    <n v="154.97999999999999"/>
    <n v="2"/>
    <x v="0"/>
  </r>
  <r>
    <x v="3263"/>
    <x v="288"/>
    <s v="CUST1505"/>
    <s v="Michael Anderson"/>
    <x v="3"/>
    <x v="5"/>
    <x v="34"/>
    <n v="1"/>
    <n v="77.56"/>
    <s v="Completed"/>
    <s v="PayPal"/>
    <n v="77.56"/>
    <n v="3"/>
    <x v="0"/>
  </r>
  <r>
    <x v="3264"/>
    <x v="627"/>
    <s v="CUST1645"/>
    <s v="Sarah Chen"/>
    <x v="1"/>
    <x v="1"/>
    <x v="20"/>
    <n v="1"/>
    <n v="77.599999999999994"/>
    <s v="Completed"/>
    <s v="PayPal"/>
    <n v="77.599999999999994"/>
    <n v="2"/>
    <x v="0"/>
  </r>
  <r>
    <x v="3265"/>
    <x v="62"/>
    <s v="CUST1519"/>
    <s v="Andi Santos"/>
    <x v="0"/>
    <x v="1"/>
    <x v="6"/>
    <n v="1"/>
    <n v="77.62"/>
    <s v="Completed"/>
    <s v="Credit Card"/>
    <n v="77.62"/>
    <n v="7"/>
    <x v="0"/>
  </r>
  <r>
    <x v="3266"/>
    <x v="144"/>
    <s v="CUST1173"/>
    <s v="John Tan"/>
    <x v="0"/>
    <x v="6"/>
    <x v="42"/>
    <n v="5"/>
    <n v="77.69"/>
    <s v="Completed"/>
    <s v="PayPal"/>
    <n v="388.45"/>
    <n v="5"/>
    <x v="0"/>
  </r>
  <r>
    <x v="3267"/>
    <x v="624"/>
    <s v="CUST1881"/>
    <s v="Ahmad Salim"/>
    <x v="0"/>
    <x v="4"/>
    <x v="25"/>
    <n v="1"/>
    <n v="77.81"/>
    <s v="Cancelled"/>
    <s v="PayPal"/>
    <n v="77.81"/>
    <n v="3"/>
    <x v="0"/>
  </r>
  <r>
    <x v="3268"/>
    <x v="464"/>
    <s v="CUST1753"/>
    <s v="Kevin Lee"/>
    <x v="0"/>
    <x v="4"/>
    <x v="21"/>
    <n v="1"/>
    <n v="77.87"/>
    <s v="Completed"/>
    <s v="Gift Card"/>
    <n v="77.87"/>
    <n v="6"/>
    <x v="0"/>
  </r>
  <r>
    <x v="3269"/>
    <x v="374"/>
    <s v="CUST1105"/>
    <s v="Rina Pratama"/>
    <x v="1"/>
    <x v="4"/>
    <x v="27"/>
    <n v="4"/>
    <n v="77.959999999999994"/>
    <s v="Returned"/>
    <s v="PayPal"/>
    <n v="311.83999999999997"/>
    <n v="4"/>
    <x v="0"/>
  </r>
  <r>
    <x v="3270"/>
    <x v="306"/>
    <s v="CUST1460"/>
    <s v="Rina Sari"/>
    <x v="0"/>
    <x v="1"/>
    <x v="5"/>
    <n v="2"/>
    <n v="77.98"/>
    <s v="Completed"/>
    <s v="PayPal"/>
    <n v="155.96"/>
    <n v="9"/>
    <x v="0"/>
  </r>
  <r>
    <x v="3271"/>
    <x v="10"/>
    <s v="CUST1733"/>
    <s v="Lisa Sari"/>
    <x v="0"/>
    <x v="1"/>
    <x v="6"/>
    <n v="2"/>
    <n v="78.08"/>
    <s v="Completed"/>
    <s v="Credit Card"/>
    <n v="156.16"/>
    <n v="5"/>
    <x v="0"/>
  </r>
  <r>
    <x v="3272"/>
    <x v="515"/>
    <s v="CUST1348"/>
    <s v="Putri Nugroho"/>
    <x v="0"/>
    <x v="6"/>
    <x v="40"/>
    <n v="1"/>
    <n v="78.099999999999994"/>
    <s v="Completed"/>
    <s v="Gift Card"/>
    <n v="78.099999999999994"/>
    <n v="6"/>
    <x v="0"/>
  </r>
  <r>
    <x v="3273"/>
    <x v="24"/>
    <s v="CUST1468"/>
    <s v="Michael Tan"/>
    <x v="0"/>
    <x v="4"/>
    <x v="21"/>
    <n v="2"/>
    <n v="78.099999999999994"/>
    <s v="Completed"/>
    <s v="Unknown"/>
    <n v="156.19999999999999"/>
    <n v="8"/>
    <x v="0"/>
  </r>
  <r>
    <x v="3274"/>
    <x v="682"/>
    <s v="CUST1611"/>
    <s v="Maria Sari"/>
    <x v="0"/>
    <x v="6"/>
    <x v="41"/>
    <n v="1"/>
    <n v="78.13"/>
    <s v="Completed"/>
    <s v="PayPal"/>
    <n v="78.13"/>
    <n v="10"/>
    <x v="0"/>
  </r>
  <r>
    <x v="3275"/>
    <x v="682"/>
    <s v="CUST1142"/>
    <s v="Kevin Salim"/>
    <x v="0"/>
    <x v="4"/>
    <x v="24"/>
    <n v="1"/>
    <n v="78.17"/>
    <s v="Returned"/>
    <s v="Credit Card"/>
    <n v="78.17"/>
    <n v="4"/>
    <x v="0"/>
  </r>
  <r>
    <x v="3276"/>
    <x v="392"/>
    <s v="CUST1886"/>
    <s v="Robert Taylor"/>
    <x v="0"/>
    <x v="5"/>
    <x v="29"/>
    <n v="2"/>
    <n v="78.22"/>
    <s v="Completed"/>
    <s v="PayPal"/>
    <n v="156.44"/>
    <n v="5"/>
    <x v="0"/>
  </r>
  <r>
    <x v="3277"/>
    <x v="344"/>
    <s v="CUST1219"/>
    <s v="Linda Yusuf"/>
    <x v="0"/>
    <x v="4"/>
    <x v="24"/>
    <n v="1"/>
    <n v="78.290000000000006"/>
    <s v="Completed"/>
    <s v="Gift Card"/>
    <n v="78.290000000000006"/>
    <n v="5"/>
    <x v="0"/>
  </r>
  <r>
    <x v="3278"/>
    <x v="282"/>
    <s v="CUST1275"/>
    <s v="Andi Johnson"/>
    <x v="0"/>
    <x v="4"/>
    <x v="25"/>
    <n v="1"/>
    <n v="78.31"/>
    <s v="Completed"/>
    <s v="Unknown"/>
    <n v="78.31"/>
    <n v="4"/>
    <x v="0"/>
  </r>
  <r>
    <x v="3279"/>
    <x v="515"/>
    <s v="CUST1172"/>
    <s v="Nina Lee"/>
    <x v="0"/>
    <x v="5"/>
    <x v="28"/>
    <n v="1"/>
    <n v="78.319999999999993"/>
    <s v="Completed"/>
    <s v="Gift Card"/>
    <n v="78.319999999999993"/>
    <n v="8"/>
    <x v="0"/>
  </r>
  <r>
    <x v="3280"/>
    <x v="327"/>
    <s v="CUST1488"/>
    <s v="John Taylor"/>
    <x v="0"/>
    <x v="1"/>
    <x v="5"/>
    <n v="1"/>
    <n v="78.319999999999993"/>
    <s v="Completed"/>
    <s v="Debit Card"/>
    <n v="78.319999999999993"/>
    <n v="5"/>
    <x v="0"/>
  </r>
  <r>
    <x v="3281"/>
    <x v="253"/>
    <s v="CUST1777"/>
    <s v="Ayu Chen"/>
    <x v="0"/>
    <x v="1"/>
    <x v="17"/>
    <n v="2"/>
    <n v="78.41"/>
    <s v="Completed"/>
    <s v="Credit Card"/>
    <n v="156.82"/>
    <n v="8"/>
    <x v="0"/>
  </r>
  <r>
    <x v="3282"/>
    <x v="123"/>
    <s v="CUST1825"/>
    <s v="Linda Nugroho"/>
    <x v="0"/>
    <x v="4"/>
    <x v="26"/>
    <n v="4"/>
    <n v="78.430000000000007"/>
    <s v="Pending"/>
    <s v="Credit Card"/>
    <n v="313.72000000000003"/>
    <n v="3"/>
    <x v="0"/>
  </r>
  <r>
    <x v="3283"/>
    <x v="391"/>
    <s v="CUST1812"/>
    <s v="Putri Hidayat"/>
    <x v="1"/>
    <x v="6"/>
    <x v="37"/>
    <n v="2"/>
    <n v="78.56"/>
    <s v="Completed"/>
    <s v="PayPal"/>
    <n v="157.12"/>
    <n v="4"/>
    <x v="0"/>
  </r>
  <r>
    <x v="3284"/>
    <x v="585"/>
    <s v="CUST1741"/>
    <s v="Siti Wilson"/>
    <x v="0"/>
    <x v="6"/>
    <x v="40"/>
    <n v="3"/>
    <n v="78.63"/>
    <s v="Completed"/>
    <s v="PayPal"/>
    <n v="235.89"/>
    <n v="7"/>
    <x v="0"/>
  </r>
  <r>
    <x v="3285"/>
    <x v="624"/>
    <s v="CUST1030"/>
    <s v="Sarah Lee"/>
    <x v="1"/>
    <x v="4"/>
    <x v="25"/>
    <n v="1"/>
    <n v="78.650000000000006"/>
    <s v="Completed"/>
    <s v="Debit Card"/>
    <n v="78.650000000000006"/>
    <n v="3"/>
    <x v="0"/>
  </r>
  <r>
    <x v="3286"/>
    <x v="133"/>
    <s v="CUST1064"/>
    <s v="Unknown Customer"/>
    <x v="0"/>
    <x v="6"/>
    <x v="41"/>
    <n v="1"/>
    <n v="78.69"/>
    <s v="Completed"/>
    <s v="PayPal"/>
    <n v="78.69"/>
    <n v="6"/>
    <x v="0"/>
  </r>
  <r>
    <x v="3287"/>
    <x v="681"/>
    <s v="CUST1176"/>
    <s v="David Hidayat"/>
    <x v="1"/>
    <x v="4"/>
    <x v="24"/>
    <n v="1"/>
    <n v="78.69"/>
    <s v="Completed"/>
    <s v="PayPal"/>
    <n v="78.69"/>
    <n v="4"/>
    <x v="0"/>
  </r>
  <r>
    <x v="3288"/>
    <x v="309"/>
    <s v="CUST1735"/>
    <s v="Maria Halim"/>
    <x v="0"/>
    <x v="5"/>
    <x v="28"/>
    <n v="1"/>
    <n v="78.73"/>
    <s v="Completed"/>
    <s v="Credit Card"/>
    <n v="78.73"/>
    <n v="5"/>
    <x v="0"/>
  </r>
  <r>
    <x v="3289"/>
    <x v="555"/>
    <s v="CUST1670"/>
    <s v="David Sari"/>
    <x v="1"/>
    <x v="1"/>
    <x v="18"/>
    <n v="1"/>
    <n v="78.790000000000006"/>
    <s v="Completed"/>
    <s v="PayPal"/>
    <n v="78.790000000000006"/>
    <n v="4"/>
    <x v="0"/>
  </r>
  <r>
    <x v="3290"/>
    <x v="565"/>
    <s v="CUST1637"/>
    <s v="Linda Tan"/>
    <x v="0"/>
    <x v="1"/>
    <x v="5"/>
    <n v="2"/>
    <n v="78.819999999999993"/>
    <s v="Completed"/>
    <s v="PayPal"/>
    <n v="157.63999999999999"/>
    <n v="6"/>
    <x v="0"/>
  </r>
  <r>
    <x v="3291"/>
    <x v="25"/>
    <s v="CUST1363"/>
    <s v="Budi Sari"/>
    <x v="3"/>
    <x v="4"/>
    <x v="21"/>
    <n v="1"/>
    <n v="78.83"/>
    <s v="Pending"/>
    <s v="Debit Card"/>
    <n v="78.83"/>
    <n v="1"/>
    <x v="1"/>
  </r>
  <r>
    <x v="3292"/>
    <x v="406"/>
    <s v="CUST1628"/>
    <s v="John Chen"/>
    <x v="3"/>
    <x v="1"/>
    <x v="20"/>
    <n v="1"/>
    <n v="78.89"/>
    <s v="Cancelled"/>
    <s v="PayPal"/>
    <n v="78.89"/>
    <n v="3"/>
    <x v="0"/>
  </r>
  <r>
    <x v="3293"/>
    <x v="242"/>
    <s v="CUST1465"/>
    <s v="Nina Wilson"/>
    <x v="1"/>
    <x v="5"/>
    <x v="28"/>
    <n v="3"/>
    <n v="78.900000000000006"/>
    <s v="Completed"/>
    <s v="Debit Card"/>
    <n v="236.70000000000002"/>
    <n v="7"/>
    <x v="0"/>
  </r>
  <r>
    <x v="3294"/>
    <x v="524"/>
    <s v="CUST1857"/>
    <s v="John Kurniawan"/>
    <x v="0"/>
    <x v="6"/>
    <x v="41"/>
    <n v="1"/>
    <n v="78.91"/>
    <s v="Completed"/>
    <s v="Credit Card"/>
    <n v="78.91"/>
    <n v="5"/>
    <x v="0"/>
  </r>
  <r>
    <x v="3295"/>
    <x v="719"/>
    <s v="CUST1704"/>
    <s v="Dewi Nugroho"/>
    <x v="0"/>
    <x v="4"/>
    <x v="27"/>
    <n v="1"/>
    <n v="78.959999999999994"/>
    <s v="Completed"/>
    <s v="Gift Card"/>
    <n v="78.959999999999994"/>
    <n v="3"/>
    <x v="0"/>
  </r>
  <r>
    <x v="3296"/>
    <x v="368"/>
    <s v="CUST1370"/>
    <s v="Rina Anderson"/>
    <x v="0"/>
    <x v="6"/>
    <x v="37"/>
    <n v="3"/>
    <n v="78.959999999999994"/>
    <s v="Completed"/>
    <s v="Gift Card"/>
    <n v="236.88"/>
    <n v="6"/>
    <x v="0"/>
  </r>
  <r>
    <x v="3297"/>
    <x v="373"/>
    <s v="CUST1391"/>
    <s v="Siti Pratama"/>
    <x v="0"/>
    <x v="5"/>
    <x v="28"/>
    <n v="4"/>
    <n v="79.09"/>
    <s v="Completed"/>
    <s v="Gift Card"/>
    <n v="316.36"/>
    <n v="7"/>
    <x v="0"/>
  </r>
  <r>
    <x v="3298"/>
    <x v="641"/>
    <s v="CUST1121"/>
    <s v="David Nugroho"/>
    <x v="0"/>
    <x v="1"/>
    <x v="20"/>
    <n v="1"/>
    <n v="79.099999999999994"/>
    <s v="Completed"/>
    <s v="PayPal"/>
    <n v="79.099999999999994"/>
    <n v="7"/>
    <x v="0"/>
  </r>
  <r>
    <x v="3299"/>
    <x v="224"/>
    <s v="CUST1151"/>
    <s v="Ayu Smith"/>
    <x v="0"/>
    <x v="4"/>
    <x v="24"/>
    <n v="3"/>
    <n v="79.14"/>
    <s v="Completed"/>
    <s v="Credit Card"/>
    <n v="237.42000000000002"/>
    <n v="3"/>
    <x v="0"/>
  </r>
  <r>
    <x v="3300"/>
    <x v="135"/>
    <s v="CUST1155"/>
    <s v="Budi Brown"/>
    <x v="0"/>
    <x v="5"/>
    <x v="33"/>
    <n v="2"/>
    <n v="79.150000000000006"/>
    <s v="Returned"/>
    <s v="Debit Card"/>
    <n v="158.30000000000001"/>
    <n v="5"/>
    <x v="0"/>
  </r>
  <r>
    <x v="3301"/>
    <x v="466"/>
    <s v="CUST1895"/>
    <s v="Michael Johnson"/>
    <x v="0"/>
    <x v="5"/>
    <x v="33"/>
    <n v="1"/>
    <n v="79.2"/>
    <s v="Returned"/>
    <s v="Gift Card"/>
    <n v="79.2"/>
    <n v="8"/>
    <x v="0"/>
  </r>
  <r>
    <x v="3302"/>
    <x v="111"/>
    <s v="CUST1715"/>
    <s v="Dewi Tan"/>
    <x v="0"/>
    <x v="1"/>
    <x v="9"/>
    <n v="4"/>
    <n v="79.22"/>
    <s v="Completed"/>
    <s v="Credit Card"/>
    <n v="316.88"/>
    <n v="4"/>
    <x v="0"/>
  </r>
  <r>
    <x v="3303"/>
    <x v="355"/>
    <s v="CUST1655"/>
    <s v="John Tan"/>
    <x v="0"/>
    <x v="5"/>
    <x v="34"/>
    <n v="1"/>
    <n v="79.239999999999995"/>
    <s v="Completed"/>
    <s v="Credit Card"/>
    <n v="79.239999999999995"/>
    <n v="9"/>
    <x v="0"/>
  </r>
  <r>
    <x v="3304"/>
    <x v="668"/>
    <s v="CUST1552"/>
    <s v="Andi Sari"/>
    <x v="1"/>
    <x v="1"/>
    <x v="20"/>
    <n v="1"/>
    <n v="79.290000000000006"/>
    <s v="Pending"/>
    <s v="PayPal"/>
    <n v="79.290000000000006"/>
    <n v="4"/>
    <x v="0"/>
  </r>
  <r>
    <x v="3305"/>
    <x v="39"/>
    <s v="CUST1579"/>
    <s v="Kevin Tan"/>
    <x v="0"/>
    <x v="1"/>
    <x v="18"/>
    <n v="5"/>
    <n v="79.33"/>
    <s v="Completed"/>
    <s v="Debit Card"/>
    <n v="396.65"/>
    <n v="6"/>
    <x v="0"/>
  </r>
  <r>
    <x v="3306"/>
    <x v="56"/>
    <s v="CUST1202"/>
    <s v="Dewi Santos"/>
    <x v="0"/>
    <x v="4"/>
    <x v="23"/>
    <n v="1"/>
    <n v="79.34"/>
    <s v="Completed"/>
    <s v="PayPal"/>
    <n v="79.34"/>
    <n v="3"/>
    <x v="0"/>
  </r>
  <r>
    <x v="3307"/>
    <x v="60"/>
    <s v="CUST1301"/>
    <s v="Sarah Tan"/>
    <x v="0"/>
    <x v="5"/>
    <x v="33"/>
    <n v="2"/>
    <n v="79.38"/>
    <s v="Completed"/>
    <s v="Gift Card"/>
    <n v="158.76"/>
    <n v="6"/>
    <x v="0"/>
  </r>
  <r>
    <x v="3308"/>
    <x v="474"/>
    <s v="CUST1833"/>
    <s v="Putri Yusuf"/>
    <x v="0"/>
    <x v="5"/>
    <x v="31"/>
    <n v="2"/>
    <n v="79.45"/>
    <s v="Completed"/>
    <s v="Debit Card"/>
    <n v="158.9"/>
    <n v="8"/>
    <x v="0"/>
  </r>
  <r>
    <x v="3309"/>
    <x v="296"/>
    <s v="CUST1317"/>
    <s v="David Halim"/>
    <x v="3"/>
    <x v="1"/>
    <x v="20"/>
    <n v="1"/>
    <n v="79.69"/>
    <s v="Completed"/>
    <s v="Credit Card"/>
    <n v="79.69"/>
    <n v="2"/>
    <x v="0"/>
  </r>
  <r>
    <x v="3310"/>
    <x v="181"/>
    <s v="CUST1280"/>
    <s v="David Nugroho"/>
    <x v="1"/>
    <x v="5"/>
    <x v="29"/>
    <n v="1"/>
    <n v="79.75"/>
    <s v="Completed"/>
    <s v="Credit Card"/>
    <n v="79.75"/>
    <n v="1"/>
    <x v="1"/>
  </r>
  <r>
    <x v="3311"/>
    <x v="250"/>
    <s v="CUST1503"/>
    <s v="Andi Anderson"/>
    <x v="0"/>
    <x v="6"/>
    <x v="41"/>
    <n v="1"/>
    <n v="80.03"/>
    <s v="Completed"/>
    <s v="Debit Card"/>
    <n v="80.03"/>
    <n v="6"/>
    <x v="0"/>
  </r>
  <r>
    <x v="3312"/>
    <x v="344"/>
    <s v="CUST1376"/>
    <s v="Nina Yusuf"/>
    <x v="1"/>
    <x v="1"/>
    <x v="17"/>
    <n v="1"/>
    <n v="80.209999999999994"/>
    <s v="Cancelled"/>
    <s v="Gift Card"/>
    <n v="80.209999999999994"/>
    <n v="5"/>
    <x v="0"/>
  </r>
  <r>
    <x v="3313"/>
    <x v="240"/>
    <s v="CUST1848"/>
    <s v="Sarah Nugroho"/>
    <x v="0"/>
    <x v="5"/>
    <x v="30"/>
    <n v="1"/>
    <n v="80.23"/>
    <s v="Pending"/>
    <s v="Credit Card"/>
    <n v="80.23"/>
    <n v="5"/>
    <x v="0"/>
  </r>
  <r>
    <x v="3314"/>
    <x v="202"/>
    <s v="CUST1821"/>
    <s v="Unknown Customer"/>
    <x v="1"/>
    <x v="6"/>
    <x v="38"/>
    <n v="2"/>
    <n v="80.233225806451628"/>
    <s v="Cancelled"/>
    <s v="Debit Card"/>
    <n v="160.46645161290326"/>
    <n v="4"/>
    <x v="0"/>
  </r>
  <r>
    <x v="3315"/>
    <x v="235"/>
    <s v="CUST1754"/>
    <s v="Kevin Salim"/>
    <x v="1"/>
    <x v="6"/>
    <x v="37"/>
    <n v="1"/>
    <n v="80.309565217391295"/>
    <s v="Returned"/>
    <s v="Debit Card"/>
    <n v="80.309565217391295"/>
    <n v="5"/>
    <x v="0"/>
  </r>
  <r>
    <x v="3316"/>
    <x v="279"/>
    <s v="CUST1451"/>
    <s v="Ahmad Garcia"/>
    <x v="0"/>
    <x v="1"/>
    <x v="18"/>
    <n v="1"/>
    <n v="80.44"/>
    <s v="Completed"/>
    <s v="Credit Card"/>
    <n v="80.44"/>
    <n v="12"/>
    <x v="0"/>
  </r>
  <r>
    <x v="3317"/>
    <x v="233"/>
    <s v="CUST1569"/>
    <s v="David Kurniawan"/>
    <x v="0"/>
    <x v="5"/>
    <x v="32"/>
    <n v="2"/>
    <n v="80.5"/>
    <s v="Completed"/>
    <s v="Debit Card"/>
    <n v="161"/>
    <n v="9"/>
    <x v="0"/>
  </r>
  <r>
    <x v="3318"/>
    <x v="678"/>
    <s v="CUST1700"/>
    <s v="Robert Smith"/>
    <x v="0"/>
    <x v="1"/>
    <x v="6"/>
    <n v="2"/>
    <n v="80.52"/>
    <s v="Completed"/>
    <s v="PayPal"/>
    <n v="161.04"/>
    <n v="6"/>
    <x v="0"/>
  </r>
  <r>
    <x v="3319"/>
    <x v="30"/>
    <s v="CUST1246"/>
    <s v="Ayu Brown"/>
    <x v="0"/>
    <x v="5"/>
    <x v="29"/>
    <n v="1"/>
    <n v="80.650000000000006"/>
    <s v="Returned"/>
    <s v="Unknown"/>
    <n v="80.650000000000006"/>
    <n v="7"/>
    <x v="0"/>
  </r>
  <r>
    <x v="3320"/>
    <x v="119"/>
    <s v="CUST1270"/>
    <s v="Andi Salim"/>
    <x v="0"/>
    <x v="6"/>
    <x v="36"/>
    <n v="2"/>
    <n v="80.67"/>
    <s v="Cancelled"/>
    <s v="Gift Card"/>
    <n v="161.34"/>
    <n v="9"/>
    <x v="0"/>
  </r>
  <r>
    <x v="3321"/>
    <x v="177"/>
    <s v="CUST1091"/>
    <s v="Nina Wilson"/>
    <x v="0"/>
    <x v="1"/>
    <x v="9"/>
    <n v="1"/>
    <n v="80.7"/>
    <s v="Completed"/>
    <s v="Debit Card"/>
    <n v="80.7"/>
    <n v="4"/>
    <x v="0"/>
  </r>
  <r>
    <x v="3322"/>
    <x v="661"/>
    <s v="CUST1117"/>
    <s v="Sarah Pratama"/>
    <x v="0"/>
    <x v="6"/>
    <x v="42"/>
    <n v="1"/>
    <n v="80.760000000000005"/>
    <s v="Completed"/>
    <s v="PayPal"/>
    <n v="80.760000000000005"/>
    <n v="5"/>
    <x v="0"/>
  </r>
  <r>
    <x v="3323"/>
    <x v="33"/>
    <s v="CUST1361"/>
    <s v="Rina Brown"/>
    <x v="0"/>
    <x v="6"/>
    <x v="37"/>
    <n v="2"/>
    <n v="80.760000000000005"/>
    <s v="Completed"/>
    <s v="PayPal"/>
    <n v="161.52000000000001"/>
    <n v="3"/>
    <x v="0"/>
  </r>
  <r>
    <x v="3324"/>
    <x v="31"/>
    <s v="CUST1688"/>
    <s v="Lisa Sari"/>
    <x v="0"/>
    <x v="1"/>
    <x v="17"/>
    <n v="1"/>
    <n v="80.88"/>
    <s v="Completed"/>
    <s v="Debit Card"/>
    <n v="80.88"/>
    <n v="3"/>
    <x v="0"/>
  </r>
  <r>
    <x v="3325"/>
    <x v="724"/>
    <s v="CUST1210"/>
    <s v="Nina Garcia"/>
    <x v="0"/>
    <x v="1"/>
    <x v="6"/>
    <n v="1"/>
    <n v="80.94"/>
    <s v="Completed"/>
    <s v="Debit Card"/>
    <n v="80.94"/>
    <n v="9"/>
    <x v="0"/>
  </r>
  <r>
    <x v="3326"/>
    <x v="36"/>
    <s v="CUST1320"/>
    <s v="Lisa Wijaya"/>
    <x v="2"/>
    <x v="6"/>
    <x v="42"/>
    <n v="4"/>
    <n v="81.040000000000006"/>
    <s v="Completed"/>
    <s v="Credit Card"/>
    <n v="324.16000000000003"/>
    <n v="2"/>
    <x v="0"/>
  </r>
  <r>
    <x v="3327"/>
    <x v="723"/>
    <s v="CUST1284"/>
    <s v="Lisa Smith"/>
    <x v="0"/>
    <x v="5"/>
    <x v="29"/>
    <n v="1"/>
    <n v="81.06"/>
    <s v="Completed"/>
    <s v="PayPal"/>
    <n v="81.06"/>
    <n v="7"/>
    <x v="0"/>
  </r>
  <r>
    <x v="3328"/>
    <x v="422"/>
    <s v="CUST1154"/>
    <s v="Michael Tan"/>
    <x v="0"/>
    <x v="6"/>
    <x v="35"/>
    <n v="1"/>
    <n v="81.266533333333314"/>
    <s v="Completed"/>
    <s v="PayPal"/>
    <n v="81.266533333333314"/>
    <n v="2"/>
    <x v="0"/>
  </r>
  <r>
    <x v="3329"/>
    <x v="714"/>
    <s v="CUST1562"/>
    <s v="Robert Tan"/>
    <x v="0"/>
    <x v="6"/>
    <x v="35"/>
    <n v="3"/>
    <n v="81.266533333333314"/>
    <s v="Completed"/>
    <s v="Gift Card"/>
    <n v="243.79959999999994"/>
    <n v="5"/>
    <x v="0"/>
  </r>
  <r>
    <x v="3330"/>
    <x v="175"/>
    <s v="CUST1512"/>
    <s v="Rina Wilson"/>
    <x v="1"/>
    <x v="5"/>
    <x v="34"/>
    <n v="2"/>
    <n v="81.31"/>
    <s v="Cancelled"/>
    <s v="PayPal"/>
    <n v="162.62"/>
    <n v="6"/>
    <x v="0"/>
  </r>
  <r>
    <x v="3331"/>
    <x v="67"/>
    <s v="CUST1814"/>
    <s v="Michael Taylor"/>
    <x v="0"/>
    <x v="1"/>
    <x v="9"/>
    <n v="1"/>
    <n v="81.34"/>
    <s v="Completed"/>
    <s v="Credit Card"/>
    <n v="81.34"/>
    <n v="7"/>
    <x v="0"/>
  </r>
  <r>
    <x v="3332"/>
    <x v="261"/>
    <s v="CUST1289"/>
    <s v="Dewi Brown"/>
    <x v="0"/>
    <x v="6"/>
    <x v="41"/>
    <n v="1"/>
    <n v="81.37"/>
    <s v="Completed"/>
    <s v="Debit Card"/>
    <n v="81.37"/>
    <n v="6"/>
    <x v="0"/>
  </r>
  <r>
    <x v="3333"/>
    <x v="605"/>
    <s v="CUST1884"/>
    <s v="Kevin Salim"/>
    <x v="0"/>
    <x v="5"/>
    <x v="28"/>
    <n v="1"/>
    <n v="81.650000000000006"/>
    <s v="Completed"/>
    <s v="Debit Card"/>
    <n v="81.650000000000006"/>
    <n v="7"/>
    <x v="0"/>
  </r>
  <r>
    <x v="3334"/>
    <x v="30"/>
    <s v="CUST1130"/>
    <s v="Maria Johnson"/>
    <x v="0"/>
    <x v="6"/>
    <x v="40"/>
    <n v="2"/>
    <n v="81.8"/>
    <s v="Completed"/>
    <s v="PayPal"/>
    <n v="163.6"/>
    <n v="5"/>
    <x v="0"/>
  </r>
  <r>
    <x v="3335"/>
    <x v="252"/>
    <s v="CUST1580"/>
    <s v="Linda Tan"/>
    <x v="1"/>
    <x v="6"/>
    <x v="42"/>
    <n v="1"/>
    <n v="81.849999999999994"/>
    <s v="Completed"/>
    <s v="Credit Card"/>
    <n v="81.849999999999994"/>
    <n v="4"/>
    <x v="0"/>
  </r>
  <r>
    <x v="3336"/>
    <x v="403"/>
    <s v="CUST1180"/>
    <s v="Rina Tan"/>
    <x v="0"/>
    <x v="1"/>
    <x v="18"/>
    <n v="1"/>
    <n v="82.03"/>
    <s v="Completed"/>
    <s v="PayPal"/>
    <n v="82.03"/>
    <n v="5"/>
    <x v="0"/>
  </r>
  <r>
    <x v="3337"/>
    <x v="499"/>
    <s v="CUST1736"/>
    <s v="James Nugroho"/>
    <x v="0"/>
    <x v="5"/>
    <x v="34"/>
    <n v="1"/>
    <n v="82.07"/>
    <s v="Completed"/>
    <s v="Gift Card"/>
    <n v="82.07"/>
    <n v="4"/>
    <x v="0"/>
  </r>
  <r>
    <x v="3338"/>
    <x v="119"/>
    <s v="CUST1383"/>
    <s v="Unknown Customer"/>
    <x v="0"/>
    <x v="5"/>
    <x v="28"/>
    <n v="1"/>
    <n v="82.13"/>
    <s v="Completed"/>
    <s v="Credit Card"/>
    <n v="82.13"/>
    <n v="4"/>
    <x v="0"/>
  </r>
  <r>
    <x v="3339"/>
    <x v="311"/>
    <s v="CUST1166"/>
    <s v="Ahmad Garcia"/>
    <x v="0"/>
    <x v="1"/>
    <x v="17"/>
    <n v="1"/>
    <n v="82.2"/>
    <s v="Completed"/>
    <s v="Credit Card"/>
    <n v="82.2"/>
    <n v="3"/>
    <x v="0"/>
  </r>
  <r>
    <x v="3340"/>
    <x v="557"/>
    <s v="CUST1200"/>
    <s v="John Garcia"/>
    <x v="1"/>
    <x v="5"/>
    <x v="28"/>
    <n v="1"/>
    <n v="82.29"/>
    <s v="Completed"/>
    <s v="Credit Card"/>
    <n v="82.29"/>
    <n v="2"/>
    <x v="0"/>
  </r>
  <r>
    <x v="3341"/>
    <x v="695"/>
    <s v="CUST1375"/>
    <s v="Robert Garcia"/>
    <x v="0"/>
    <x v="5"/>
    <x v="32"/>
    <n v="1"/>
    <n v="82.55"/>
    <s v="Completed"/>
    <s v="PayPal"/>
    <n v="82.55"/>
    <n v="5"/>
    <x v="0"/>
  </r>
  <r>
    <x v="3342"/>
    <x v="237"/>
    <s v="CUST1824"/>
    <s v="Linda Chen"/>
    <x v="0"/>
    <x v="1"/>
    <x v="18"/>
    <n v="1"/>
    <n v="82.7"/>
    <s v="Completed"/>
    <s v="Debit Card"/>
    <n v="82.7"/>
    <n v="6"/>
    <x v="0"/>
  </r>
  <r>
    <x v="3343"/>
    <x v="665"/>
    <s v="CUST1239"/>
    <s v="Dewi Wilson"/>
    <x v="0"/>
    <x v="5"/>
    <x v="32"/>
    <n v="1"/>
    <n v="82.72"/>
    <s v="Completed"/>
    <s v="PayPal"/>
    <n v="82.72"/>
    <n v="4"/>
    <x v="0"/>
  </r>
  <r>
    <x v="3344"/>
    <x v="84"/>
    <s v="CUST1422"/>
    <s v="Budi Pratama"/>
    <x v="0"/>
    <x v="1"/>
    <x v="20"/>
    <n v="1"/>
    <n v="82.86"/>
    <s v="Completed"/>
    <s v="Credit Card"/>
    <n v="82.86"/>
    <n v="7"/>
    <x v="0"/>
  </r>
  <r>
    <x v="3345"/>
    <x v="482"/>
    <s v="CUST1604"/>
    <s v="John Wilson"/>
    <x v="1"/>
    <x v="5"/>
    <x v="33"/>
    <n v="2"/>
    <n v="82.95"/>
    <s v="Completed"/>
    <s v="Credit Card"/>
    <n v="165.9"/>
    <n v="2"/>
    <x v="0"/>
  </r>
  <r>
    <x v="3346"/>
    <x v="659"/>
    <s v="CUST1816"/>
    <s v="John Kurniawan"/>
    <x v="0"/>
    <x v="5"/>
    <x v="32"/>
    <n v="2"/>
    <n v="83.04"/>
    <s v="Cancelled"/>
    <s v="Credit Card"/>
    <n v="166.08"/>
    <n v="6"/>
    <x v="0"/>
  </r>
  <r>
    <x v="3347"/>
    <x v="304"/>
    <s v="CUST1724"/>
    <s v="James Pratama"/>
    <x v="0"/>
    <x v="1"/>
    <x v="5"/>
    <n v="1"/>
    <n v="83.09"/>
    <s v="Cancelled"/>
    <s v="PayPal"/>
    <n v="83.09"/>
    <n v="4"/>
    <x v="0"/>
  </r>
  <r>
    <x v="3348"/>
    <x v="589"/>
    <s v="CUST1765"/>
    <s v="Ayu Brown"/>
    <x v="0"/>
    <x v="6"/>
    <x v="42"/>
    <n v="1"/>
    <n v="83.094659090909104"/>
    <s v="Completed"/>
    <s v="Credit Card"/>
    <n v="83.094659090909104"/>
    <n v="5"/>
    <x v="0"/>
  </r>
  <r>
    <x v="3349"/>
    <x v="189"/>
    <s v="CUST1571"/>
    <s v="Nina Nugroho"/>
    <x v="0"/>
    <x v="5"/>
    <x v="34"/>
    <n v="1"/>
    <n v="83.12"/>
    <s v="Completed"/>
    <s v="Debit Card"/>
    <n v="83.12"/>
    <n v="3"/>
    <x v="0"/>
  </r>
  <r>
    <x v="3350"/>
    <x v="316"/>
    <s v="CUST1333"/>
    <s v="Nina Lee"/>
    <x v="0"/>
    <x v="5"/>
    <x v="30"/>
    <n v="1"/>
    <n v="83.17"/>
    <s v="Completed"/>
    <s v="PayPal"/>
    <n v="83.17"/>
    <n v="3"/>
    <x v="0"/>
  </r>
  <r>
    <x v="3351"/>
    <x v="707"/>
    <s v="CUST1807"/>
    <s v="Lisa Wilson"/>
    <x v="1"/>
    <x v="5"/>
    <x v="29"/>
    <n v="1"/>
    <n v="83.22"/>
    <s v="Cancelled"/>
    <s v="Credit Card"/>
    <n v="83.22"/>
    <n v="4"/>
    <x v="0"/>
  </r>
  <r>
    <x v="3352"/>
    <x v="59"/>
    <s v="CUST1223"/>
    <s v="Michael Halim"/>
    <x v="0"/>
    <x v="6"/>
    <x v="42"/>
    <n v="2"/>
    <n v="83.34"/>
    <s v="Completed"/>
    <s v="Gift Card"/>
    <n v="166.68"/>
    <n v="7"/>
    <x v="0"/>
  </r>
  <r>
    <x v="3353"/>
    <x v="716"/>
    <s v="CUST1459"/>
    <s v="Rina Smith"/>
    <x v="0"/>
    <x v="6"/>
    <x v="42"/>
    <n v="3"/>
    <n v="83.36"/>
    <s v="Pending"/>
    <s v="Gift Card"/>
    <n v="250.07999999999998"/>
    <n v="4"/>
    <x v="0"/>
  </r>
  <r>
    <x v="3354"/>
    <x v="162"/>
    <s v="CUST1342"/>
    <s v="Putri Anderson"/>
    <x v="0"/>
    <x v="6"/>
    <x v="36"/>
    <n v="2"/>
    <n v="83.47"/>
    <s v="Completed"/>
    <s v="Credit Card"/>
    <n v="166.94"/>
    <n v="4"/>
    <x v="0"/>
  </r>
  <r>
    <x v="3355"/>
    <x v="632"/>
    <s v="CUST1390"/>
    <s v="Ayu Hidayat"/>
    <x v="0"/>
    <x v="5"/>
    <x v="31"/>
    <n v="2"/>
    <n v="83.61"/>
    <s v="Cancelled"/>
    <s v="Debit Card"/>
    <n v="167.22"/>
    <n v="5"/>
    <x v="0"/>
  </r>
  <r>
    <x v="3356"/>
    <x v="524"/>
    <s v="CUST1590"/>
    <s v="Putri Tan"/>
    <x v="0"/>
    <x v="5"/>
    <x v="32"/>
    <n v="1"/>
    <n v="83.69"/>
    <s v="Completed"/>
    <s v="PayPal"/>
    <n v="83.69"/>
    <n v="2"/>
    <x v="0"/>
  </r>
  <r>
    <x v="3357"/>
    <x v="173"/>
    <s v="CUST1688"/>
    <s v="Unknown Customer"/>
    <x v="0"/>
    <x v="1"/>
    <x v="18"/>
    <n v="3"/>
    <n v="83.79"/>
    <s v="Completed"/>
    <s v="Gift Card"/>
    <n v="251.37"/>
    <n v="3"/>
    <x v="0"/>
  </r>
  <r>
    <x v="3358"/>
    <x v="276"/>
    <s v="CUST1513"/>
    <s v="Robert Kurniawan"/>
    <x v="0"/>
    <x v="1"/>
    <x v="9"/>
    <n v="2"/>
    <n v="83.82"/>
    <s v="Completed"/>
    <s v="PayPal"/>
    <n v="167.64"/>
    <n v="5"/>
    <x v="0"/>
  </r>
  <r>
    <x v="3359"/>
    <x v="192"/>
    <s v="CUST1365"/>
    <s v="David Chen"/>
    <x v="1"/>
    <x v="6"/>
    <x v="42"/>
    <n v="1"/>
    <n v="83.85"/>
    <s v="Completed"/>
    <s v="Credit Card"/>
    <n v="83.85"/>
    <n v="4"/>
    <x v="0"/>
  </r>
  <r>
    <x v="3360"/>
    <x v="629"/>
    <s v="CUST1824"/>
    <s v="Linda Chen"/>
    <x v="0"/>
    <x v="1"/>
    <x v="17"/>
    <n v="1"/>
    <n v="83.86"/>
    <s v="Cancelled"/>
    <s v="Credit Card"/>
    <n v="83.86"/>
    <n v="6"/>
    <x v="0"/>
  </r>
  <r>
    <x v="3361"/>
    <x v="427"/>
    <s v="CUST1232"/>
    <s v="Michael Chen"/>
    <x v="0"/>
    <x v="1"/>
    <x v="5"/>
    <n v="1"/>
    <n v="83.99"/>
    <s v="Completed"/>
    <s v="Gift Card"/>
    <n v="83.99"/>
    <n v="6"/>
    <x v="0"/>
  </r>
  <r>
    <x v="3362"/>
    <x v="192"/>
    <s v="CUST1711"/>
    <s v="Maria Smith"/>
    <x v="0"/>
    <x v="6"/>
    <x v="40"/>
    <n v="2"/>
    <n v="84.037878787878753"/>
    <s v="Completed"/>
    <s v="PayPal"/>
    <n v="168.07575757575751"/>
    <n v="3"/>
    <x v="0"/>
  </r>
  <r>
    <x v="3363"/>
    <x v="662"/>
    <s v="CUST1197"/>
    <s v="Sarah Lee"/>
    <x v="1"/>
    <x v="1"/>
    <x v="6"/>
    <n v="2"/>
    <n v="84.04"/>
    <s v="Completed"/>
    <s v="PayPal"/>
    <n v="168.08"/>
    <n v="6"/>
    <x v="0"/>
  </r>
  <r>
    <x v="3364"/>
    <x v="468"/>
    <s v="CUST1674"/>
    <s v="Dewi Lee"/>
    <x v="0"/>
    <x v="1"/>
    <x v="20"/>
    <n v="3"/>
    <n v="84.06"/>
    <s v="Completed"/>
    <s v="Credit Card"/>
    <n v="252.18"/>
    <n v="11"/>
    <x v="0"/>
  </r>
  <r>
    <x v="3365"/>
    <x v="278"/>
    <s v="CUST1011"/>
    <s v="Dewi Garcia"/>
    <x v="0"/>
    <x v="5"/>
    <x v="34"/>
    <n v="1"/>
    <n v="84.09"/>
    <s v="Completed"/>
    <s v="PayPal"/>
    <n v="84.09"/>
    <n v="7"/>
    <x v="0"/>
  </r>
  <r>
    <x v="3366"/>
    <x v="665"/>
    <s v="CUST1407"/>
    <s v="Rina Smith"/>
    <x v="0"/>
    <x v="5"/>
    <x v="31"/>
    <n v="1"/>
    <n v="84.09"/>
    <s v="Completed"/>
    <s v="PayPal"/>
    <n v="84.09"/>
    <n v="5"/>
    <x v="0"/>
  </r>
  <r>
    <x v="3367"/>
    <x v="295"/>
    <s v="CUST1263"/>
    <s v="John Santos"/>
    <x v="0"/>
    <x v="1"/>
    <x v="20"/>
    <n v="1"/>
    <n v="84.25"/>
    <s v="Completed"/>
    <s v="Debit Card"/>
    <n v="84.25"/>
    <n v="5"/>
    <x v="0"/>
  </r>
  <r>
    <x v="3368"/>
    <x v="558"/>
    <s v="CUST1435"/>
    <s v="Dewi Lee"/>
    <x v="0"/>
    <x v="6"/>
    <x v="37"/>
    <n v="1"/>
    <n v="84.26"/>
    <s v="Completed"/>
    <s v="Credit Card"/>
    <n v="84.26"/>
    <n v="5"/>
    <x v="0"/>
  </r>
  <r>
    <x v="3369"/>
    <x v="343"/>
    <s v="CUST1846"/>
    <s v="Kevin Kurniawan"/>
    <x v="0"/>
    <x v="6"/>
    <x v="37"/>
    <n v="2"/>
    <n v="84.31"/>
    <s v="Cancelled"/>
    <s v="Debit Card"/>
    <n v="168.62"/>
    <n v="4"/>
    <x v="0"/>
  </r>
  <r>
    <x v="3370"/>
    <x v="681"/>
    <s v="CUST1516"/>
    <s v="Fajar Brown"/>
    <x v="0"/>
    <x v="6"/>
    <x v="36"/>
    <n v="1"/>
    <n v="84.394583333333316"/>
    <s v="Returned"/>
    <s v="Gift Card"/>
    <n v="84.394583333333316"/>
    <n v="2"/>
    <x v="0"/>
  </r>
  <r>
    <x v="3371"/>
    <x v="1"/>
    <s v="CUST1417"/>
    <s v="Unknown Customer"/>
    <x v="0"/>
    <x v="6"/>
    <x v="36"/>
    <n v="1"/>
    <n v="84.394583333333316"/>
    <s v="Completed"/>
    <s v="PayPal"/>
    <n v="84.394583333333316"/>
    <n v="6"/>
    <x v="0"/>
  </r>
  <r>
    <x v="3372"/>
    <x v="631"/>
    <s v="CUST1460"/>
    <s v="Rina Sari"/>
    <x v="0"/>
    <x v="1"/>
    <x v="9"/>
    <n v="2"/>
    <n v="84.4"/>
    <s v="Returned"/>
    <s v="PayPal"/>
    <n v="168.8"/>
    <n v="9"/>
    <x v="0"/>
  </r>
  <r>
    <x v="3373"/>
    <x v="232"/>
    <s v="CUST1652"/>
    <s v="Ahmad Smith"/>
    <x v="1"/>
    <x v="5"/>
    <x v="32"/>
    <n v="4"/>
    <n v="84.43"/>
    <s v="Completed"/>
    <s v="Credit Card"/>
    <n v="337.72"/>
    <n v="3"/>
    <x v="0"/>
  </r>
  <r>
    <x v="3374"/>
    <x v="562"/>
    <s v="CUST1710"/>
    <s v="Linda Chen"/>
    <x v="0"/>
    <x v="6"/>
    <x v="41"/>
    <n v="1"/>
    <n v="84.46"/>
    <s v="Completed"/>
    <s v="PayPal"/>
    <n v="84.46"/>
    <n v="6"/>
    <x v="0"/>
  </r>
  <r>
    <x v="3375"/>
    <x v="371"/>
    <s v="CUST1400"/>
    <s v="James Yusuf"/>
    <x v="0"/>
    <x v="1"/>
    <x v="5"/>
    <n v="4"/>
    <n v="84.69"/>
    <s v="Completed"/>
    <s v="Debit Card"/>
    <n v="338.76"/>
    <n v="7"/>
    <x v="0"/>
  </r>
  <r>
    <x v="3376"/>
    <x v="505"/>
    <s v="CUST1378"/>
    <s v="Lisa Salim"/>
    <x v="0"/>
    <x v="1"/>
    <x v="9"/>
    <n v="1"/>
    <n v="84.72"/>
    <s v="Completed"/>
    <s v="PayPal"/>
    <n v="84.72"/>
    <n v="2"/>
    <x v="0"/>
  </r>
  <r>
    <x v="3377"/>
    <x v="192"/>
    <s v="CUST1426"/>
    <s v="Ahmad Johnson"/>
    <x v="0"/>
    <x v="6"/>
    <x v="35"/>
    <n v="4"/>
    <n v="84.76"/>
    <s v="Completed"/>
    <s v="Debit Card"/>
    <n v="339.04"/>
    <n v="4"/>
    <x v="0"/>
  </r>
  <r>
    <x v="3378"/>
    <x v="678"/>
    <s v="CUST1240"/>
    <s v="Linda Chen"/>
    <x v="0"/>
    <x v="5"/>
    <x v="33"/>
    <n v="2"/>
    <n v="84.92"/>
    <s v="Completed"/>
    <s v="PayPal"/>
    <n v="169.84"/>
    <n v="7"/>
    <x v="0"/>
  </r>
  <r>
    <x v="3379"/>
    <x v="114"/>
    <s v="CUST1202"/>
    <s v="Unknown Customer"/>
    <x v="0"/>
    <x v="5"/>
    <x v="34"/>
    <n v="1"/>
    <n v="84.99"/>
    <s v="Completed"/>
    <s v="PayPal"/>
    <n v="84.99"/>
    <n v="3"/>
    <x v="0"/>
  </r>
  <r>
    <x v="3380"/>
    <x v="645"/>
    <s v="CUST1661"/>
    <s v="Ayu Halim"/>
    <x v="3"/>
    <x v="1"/>
    <x v="18"/>
    <n v="1"/>
    <n v="84.99"/>
    <s v="Completed"/>
    <s v="Debit Card"/>
    <n v="84.99"/>
    <n v="4"/>
    <x v="0"/>
  </r>
  <r>
    <x v="3381"/>
    <x v="109"/>
    <s v="CUST1889"/>
    <s v="James Sari"/>
    <x v="1"/>
    <x v="6"/>
    <x v="40"/>
    <n v="1"/>
    <n v="85"/>
    <s v="Cancelled"/>
    <s v="Credit Card"/>
    <n v="85"/>
    <n v="5"/>
    <x v="0"/>
  </r>
  <r>
    <x v="3382"/>
    <x v="476"/>
    <s v="CUST1649"/>
    <s v="Rina Wilson"/>
    <x v="0"/>
    <x v="1"/>
    <x v="18"/>
    <n v="2"/>
    <n v="85.02"/>
    <s v="Completed"/>
    <s v="Debit Card"/>
    <n v="170.04"/>
    <n v="7"/>
    <x v="0"/>
  </r>
  <r>
    <x v="3383"/>
    <x v="416"/>
    <s v="CUST1523"/>
    <s v="Michael Chen"/>
    <x v="0"/>
    <x v="6"/>
    <x v="38"/>
    <n v="1"/>
    <n v="85.14"/>
    <s v="Completed"/>
    <s v="Gift Card"/>
    <n v="85.14"/>
    <n v="7"/>
    <x v="0"/>
  </r>
  <r>
    <x v="3384"/>
    <x v="691"/>
    <s v="CUST1414"/>
    <s v="Ayu Chen"/>
    <x v="0"/>
    <x v="5"/>
    <x v="33"/>
    <n v="1"/>
    <n v="85.27"/>
    <s v="Completed"/>
    <s v="Credit Card"/>
    <n v="85.27"/>
    <n v="6"/>
    <x v="0"/>
  </r>
  <r>
    <x v="3385"/>
    <x v="631"/>
    <s v="CUST1127"/>
    <s v="Linda Halim"/>
    <x v="0"/>
    <x v="1"/>
    <x v="9"/>
    <n v="2"/>
    <n v="85.29"/>
    <s v="Pending"/>
    <s v="PayPal"/>
    <n v="170.58"/>
    <n v="5"/>
    <x v="0"/>
  </r>
  <r>
    <x v="3386"/>
    <x v="272"/>
    <s v="CUST1417"/>
    <s v="Andi Hidayat"/>
    <x v="0"/>
    <x v="5"/>
    <x v="34"/>
    <n v="2"/>
    <n v="85.39"/>
    <s v="Completed"/>
    <s v="PayPal"/>
    <n v="170.78"/>
    <n v="6"/>
    <x v="0"/>
  </r>
  <r>
    <x v="3387"/>
    <x v="582"/>
    <s v="CUST1129"/>
    <s v="Budi Wilson"/>
    <x v="0"/>
    <x v="1"/>
    <x v="9"/>
    <n v="2"/>
    <n v="85.43"/>
    <s v="Cancelled"/>
    <s v="Credit Card"/>
    <n v="170.86"/>
    <n v="5"/>
    <x v="0"/>
  </r>
  <r>
    <x v="3388"/>
    <x v="263"/>
    <s v="CUST1350"/>
    <s v="Linda Salim"/>
    <x v="0"/>
    <x v="6"/>
    <x v="37"/>
    <n v="5"/>
    <n v="85.45"/>
    <s v="Cancelled"/>
    <s v="Credit Card"/>
    <n v="427.25"/>
    <n v="5"/>
    <x v="0"/>
  </r>
  <r>
    <x v="3389"/>
    <x v="464"/>
    <s v="CUST1800"/>
    <s v="David Chen"/>
    <x v="1"/>
    <x v="6"/>
    <x v="40"/>
    <n v="1"/>
    <n v="85.56"/>
    <s v="Completed"/>
    <s v="Debit Card"/>
    <n v="85.56"/>
    <n v="3"/>
    <x v="0"/>
  </r>
  <r>
    <x v="3390"/>
    <x v="501"/>
    <s v="CUST1193"/>
    <s v="Dewi Kurniawan"/>
    <x v="0"/>
    <x v="1"/>
    <x v="6"/>
    <n v="2"/>
    <n v="85.59"/>
    <s v="Completed"/>
    <s v="Debit Card"/>
    <n v="171.18"/>
    <n v="4"/>
    <x v="0"/>
  </r>
  <r>
    <x v="3391"/>
    <x v="179"/>
    <s v="CUST1581"/>
    <s v="Unknown Customer"/>
    <x v="0"/>
    <x v="6"/>
    <x v="38"/>
    <n v="1"/>
    <n v="85.63"/>
    <s v="Completed"/>
    <s v="Credit Card"/>
    <n v="85.63"/>
    <n v="6"/>
    <x v="0"/>
  </r>
  <r>
    <x v="3392"/>
    <x v="198"/>
    <s v="CUST1817"/>
    <s v="Ahmad Hidayat"/>
    <x v="0"/>
    <x v="5"/>
    <x v="31"/>
    <n v="1"/>
    <n v="85.68"/>
    <s v="Completed"/>
    <s v="Unknown"/>
    <n v="85.68"/>
    <n v="7"/>
    <x v="0"/>
  </r>
  <r>
    <x v="3393"/>
    <x v="718"/>
    <s v="CUST1777"/>
    <s v="Ayu Chen"/>
    <x v="0"/>
    <x v="5"/>
    <x v="28"/>
    <n v="1"/>
    <n v="85.7"/>
    <s v="Completed"/>
    <s v="Credit Card"/>
    <n v="85.7"/>
    <n v="8"/>
    <x v="0"/>
  </r>
  <r>
    <x v="3394"/>
    <x v="195"/>
    <s v="CUST1214"/>
    <s v="Ahmad Tan"/>
    <x v="0"/>
    <x v="1"/>
    <x v="5"/>
    <n v="1"/>
    <n v="85.7"/>
    <s v="Completed"/>
    <s v="Gift Card"/>
    <n v="85.7"/>
    <n v="6"/>
    <x v="0"/>
  </r>
  <r>
    <x v="3395"/>
    <x v="587"/>
    <s v="CUST1188"/>
    <s v="James Lee"/>
    <x v="0"/>
    <x v="5"/>
    <x v="28"/>
    <n v="1"/>
    <n v="85.72"/>
    <s v="Completed"/>
    <s v="Debit Card"/>
    <n v="85.72"/>
    <n v="6"/>
    <x v="0"/>
  </r>
  <r>
    <x v="3396"/>
    <x v="295"/>
    <s v="CUST1421"/>
    <s v="Ayu Lee"/>
    <x v="0"/>
    <x v="6"/>
    <x v="37"/>
    <n v="1"/>
    <n v="85.81"/>
    <s v="Completed"/>
    <s v="Debit Card"/>
    <n v="85.81"/>
    <n v="6"/>
    <x v="0"/>
  </r>
  <r>
    <x v="3397"/>
    <x v="385"/>
    <s v="CUST1808"/>
    <s v="Michael Kurniawan"/>
    <x v="1"/>
    <x v="1"/>
    <x v="5"/>
    <n v="1"/>
    <n v="85.82"/>
    <s v="Completed"/>
    <s v="Credit Card"/>
    <n v="85.82"/>
    <n v="9"/>
    <x v="0"/>
  </r>
  <r>
    <x v="3398"/>
    <x v="168"/>
    <s v="CUST1464"/>
    <s v="Dewi Taylor"/>
    <x v="0"/>
    <x v="1"/>
    <x v="20"/>
    <n v="1"/>
    <n v="85.83"/>
    <s v="Completed"/>
    <s v="Credit Card"/>
    <n v="85.83"/>
    <n v="6"/>
    <x v="0"/>
  </r>
  <r>
    <x v="3399"/>
    <x v="347"/>
    <s v="CUST1367"/>
    <s v="James Salim"/>
    <x v="1"/>
    <x v="5"/>
    <x v="32"/>
    <n v="1"/>
    <n v="86.2"/>
    <s v="Completed"/>
    <s v="Credit Card"/>
    <n v="86.2"/>
    <n v="4"/>
    <x v="0"/>
  </r>
  <r>
    <x v="3400"/>
    <x v="63"/>
    <s v="CUST1033"/>
    <s v="Linda Sari"/>
    <x v="0"/>
    <x v="6"/>
    <x v="39"/>
    <n v="4"/>
    <n v="86.22"/>
    <s v="Cancelled"/>
    <s v="Debit Card"/>
    <n v="344.88"/>
    <n v="4"/>
    <x v="0"/>
  </r>
  <r>
    <x v="3401"/>
    <x v="233"/>
    <s v="CUST1755"/>
    <s v="Budi Sari"/>
    <x v="0"/>
    <x v="6"/>
    <x v="36"/>
    <n v="2"/>
    <n v="86.29"/>
    <s v="Completed"/>
    <s v="Debit Card"/>
    <n v="172.58"/>
    <n v="11"/>
    <x v="0"/>
  </r>
  <r>
    <x v="3402"/>
    <x v="101"/>
    <s v="CUST1713"/>
    <s v="Dewi Taylor"/>
    <x v="0"/>
    <x v="6"/>
    <x v="38"/>
    <n v="1"/>
    <n v="86.44"/>
    <s v="Pending"/>
    <s v="Debit Card"/>
    <n v="86.44"/>
    <n v="6"/>
    <x v="0"/>
  </r>
  <r>
    <x v="3403"/>
    <x v="67"/>
    <s v="CUST1215"/>
    <s v="Putri Salim"/>
    <x v="1"/>
    <x v="6"/>
    <x v="42"/>
    <n v="1"/>
    <n v="86.48"/>
    <s v="Completed"/>
    <s v="Debit Card"/>
    <n v="86.48"/>
    <n v="3"/>
    <x v="0"/>
  </r>
  <r>
    <x v="3404"/>
    <x v="648"/>
    <s v="CUST1213"/>
    <s v="Michael Tan"/>
    <x v="0"/>
    <x v="5"/>
    <x v="34"/>
    <n v="2"/>
    <n v="86.48"/>
    <s v="Pending"/>
    <s v="Gift Card"/>
    <n v="172.96"/>
    <n v="6"/>
    <x v="0"/>
  </r>
  <r>
    <x v="3405"/>
    <x v="675"/>
    <s v="CUST1681"/>
    <s v="Maria Hidayat"/>
    <x v="0"/>
    <x v="1"/>
    <x v="6"/>
    <n v="1"/>
    <n v="86.62"/>
    <s v="Cancelled"/>
    <s v="Debit Card"/>
    <n v="86.62"/>
    <n v="9"/>
    <x v="0"/>
  </r>
  <r>
    <x v="3406"/>
    <x v="302"/>
    <s v="CUST1757"/>
    <s v="Sarah Lee"/>
    <x v="0"/>
    <x v="5"/>
    <x v="34"/>
    <n v="2"/>
    <n v="86.68"/>
    <s v="Completed"/>
    <s v="Unknown"/>
    <n v="173.36"/>
    <n v="4"/>
    <x v="0"/>
  </r>
  <r>
    <x v="3407"/>
    <x v="559"/>
    <s v="CUST1163"/>
    <s v="Lisa Pratama"/>
    <x v="0"/>
    <x v="1"/>
    <x v="20"/>
    <n v="2"/>
    <n v="86.72"/>
    <s v="Returned"/>
    <s v="PayPal"/>
    <n v="173.44"/>
    <n v="6"/>
    <x v="0"/>
  </r>
  <r>
    <x v="3408"/>
    <x v="267"/>
    <s v="CUST1101"/>
    <s v="Sarah Smith"/>
    <x v="2"/>
    <x v="1"/>
    <x v="9"/>
    <n v="1"/>
    <n v="86.76"/>
    <s v="Completed"/>
    <s v="Credit Card"/>
    <n v="86.76"/>
    <n v="1"/>
    <x v="1"/>
  </r>
  <r>
    <x v="3409"/>
    <x v="595"/>
    <s v="CUST1163"/>
    <s v="Lisa Pratama"/>
    <x v="0"/>
    <x v="1"/>
    <x v="9"/>
    <n v="1"/>
    <n v="86.84"/>
    <s v="Completed"/>
    <s v="Debit Card"/>
    <n v="86.84"/>
    <n v="6"/>
    <x v="0"/>
  </r>
  <r>
    <x v="3410"/>
    <x v="410"/>
    <s v="CUST1764"/>
    <s v="Andi Yusuf"/>
    <x v="0"/>
    <x v="5"/>
    <x v="32"/>
    <n v="1"/>
    <n v="86.87"/>
    <s v="Completed"/>
    <s v="PayPal"/>
    <n v="86.87"/>
    <n v="7"/>
    <x v="0"/>
  </r>
  <r>
    <x v="3411"/>
    <x v="452"/>
    <s v="CUST1682"/>
    <s v="Ayu Hidayat"/>
    <x v="3"/>
    <x v="5"/>
    <x v="30"/>
    <n v="2"/>
    <n v="86.91"/>
    <s v="Completed"/>
    <s v="Credit Card"/>
    <n v="173.82"/>
    <n v="3"/>
    <x v="0"/>
  </r>
  <r>
    <x v="3412"/>
    <x v="71"/>
    <s v="CUST1756"/>
    <s v="Putri Kurniawan"/>
    <x v="1"/>
    <x v="5"/>
    <x v="32"/>
    <n v="1"/>
    <n v="87.02"/>
    <s v="Completed"/>
    <s v="Credit Card"/>
    <n v="87.02"/>
    <n v="3"/>
    <x v="0"/>
  </r>
  <r>
    <x v="3413"/>
    <x v="352"/>
    <s v="CUST1593"/>
    <s v="Unknown Customer"/>
    <x v="0"/>
    <x v="5"/>
    <x v="29"/>
    <n v="2"/>
    <n v="87.02"/>
    <s v="Completed"/>
    <s v="Debit Card"/>
    <n v="174.04"/>
    <n v="5"/>
    <x v="0"/>
  </r>
  <r>
    <x v="3414"/>
    <x v="302"/>
    <s v="CUST1220"/>
    <s v="David Wijaya"/>
    <x v="1"/>
    <x v="1"/>
    <x v="20"/>
    <n v="2"/>
    <n v="87.02"/>
    <s v="Completed"/>
    <s v="PayPal"/>
    <n v="174.04"/>
    <n v="3"/>
    <x v="0"/>
  </r>
  <r>
    <x v="3415"/>
    <x v="679"/>
    <s v="CUST1705"/>
    <s v="Michael Johnson"/>
    <x v="1"/>
    <x v="6"/>
    <x v="36"/>
    <n v="5"/>
    <n v="87.03"/>
    <s v="Completed"/>
    <s v="Credit Card"/>
    <n v="435.15"/>
    <n v="4"/>
    <x v="0"/>
  </r>
  <r>
    <x v="3416"/>
    <x v="197"/>
    <s v="CUST1562"/>
    <s v="Robert Tan"/>
    <x v="0"/>
    <x v="5"/>
    <x v="28"/>
    <n v="2"/>
    <n v="87.04"/>
    <s v="Completed"/>
    <s v="Debit Card"/>
    <n v="174.08"/>
    <n v="5"/>
    <x v="0"/>
  </r>
  <r>
    <x v="3417"/>
    <x v="349"/>
    <s v="CUST1783"/>
    <s v="Ayu Taylor"/>
    <x v="0"/>
    <x v="1"/>
    <x v="18"/>
    <n v="1"/>
    <n v="87.06"/>
    <s v="Completed"/>
    <s v="Gift Card"/>
    <n v="87.06"/>
    <n v="11"/>
    <x v="0"/>
  </r>
  <r>
    <x v="3418"/>
    <x v="639"/>
    <s v="CUST1414"/>
    <s v="Ayu Chen"/>
    <x v="0"/>
    <x v="1"/>
    <x v="6"/>
    <n v="1"/>
    <n v="87.11"/>
    <s v="Completed"/>
    <s v="Debit Card"/>
    <n v="87.11"/>
    <n v="6"/>
    <x v="0"/>
  </r>
  <r>
    <x v="3419"/>
    <x v="354"/>
    <s v="CUST1300"/>
    <s v="Sarah Taylor"/>
    <x v="0"/>
    <x v="1"/>
    <x v="17"/>
    <n v="4"/>
    <n v="87.15"/>
    <s v="Completed"/>
    <s v="PayPal"/>
    <n v="348.6"/>
    <n v="5"/>
    <x v="0"/>
  </r>
  <r>
    <x v="3420"/>
    <x v="110"/>
    <s v="CUST1676"/>
    <s v="Lisa Wijaya"/>
    <x v="1"/>
    <x v="5"/>
    <x v="33"/>
    <n v="1"/>
    <n v="87.2"/>
    <s v="Cancelled"/>
    <s v="Debit Card"/>
    <n v="87.2"/>
    <n v="7"/>
    <x v="0"/>
  </r>
  <r>
    <x v="3421"/>
    <x v="125"/>
    <s v="CUST1701"/>
    <s v="John Santos"/>
    <x v="1"/>
    <x v="1"/>
    <x v="17"/>
    <n v="1"/>
    <n v="87.22"/>
    <s v="Completed"/>
    <s v="Credit Card"/>
    <n v="87.22"/>
    <n v="7"/>
    <x v="0"/>
  </r>
  <r>
    <x v="3422"/>
    <x v="442"/>
    <s v="CUST1197"/>
    <s v="Sarah Lee"/>
    <x v="1"/>
    <x v="5"/>
    <x v="31"/>
    <n v="1"/>
    <n v="87.29"/>
    <s v="Completed"/>
    <s v="Credit Card"/>
    <n v="87.29"/>
    <n v="6"/>
    <x v="0"/>
  </r>
  <r>
    <x v="3423"/>
    <x v="18"/>
    <s v="CUST1697"/>
    <s v="Michael Sari"/>
    <x v="0"/>
    <x v="1"/>
    <x v="9"/>
    <n v="1"/>
    <n v="87.39"/>
    <s v="Completed"/>
    <s v="Credit Card"/>
    <n v="87.39"/>
    <n v="6"/>
    <x v="0"/>
  </r>
  <r>
    <x v="3424"/>
    <x v="53"/>
    <s v="CUST1123"/>
    <s v="Andi Anderson"/>
    <x v="0"/>
    <x v="6"/>
    <x v="36"/>
    <n v="2"/>
    <n v="87.41"/>
    <s v="Cancelled"/>
    <s v="PayPal"/>
    <n v="174.82"/>
    <n v="4"/>
    <x v="0"/>
  </r>
  <r>
    <x v="3425"/>
    <x v="158"/>
    <s v="CUST1745"/>
    <s v="Ahmad Halim"/>
    <x v="0"/>
    <x v="6"/>
    <x v="41"/>
    <n v="3"/>
    <n v="87.41"/>
    <s v="Completed"/>
    <s v="Credit Card"/>
    <n v="262.23"/>
    <n v="10"/>
    <x v="0"/>
  </r>
  <r>
    <x v="3426"/>
    <x v="220"/>
    <s v="CUST1016"/>
    <s v="John Pratama"/>
    <x v="1"/>
    <x v="6"/>
    <x v="38"/>
    <n v="1"/>
    <n v="87.44"/>
    <s v="Completed"/>
    <s v="Debit Card"/>
    <n v="87.44"/>
    <n v="4"/>
    <x v="0"/>
  </r>
  <r>
    <x v="3427"/>
    <x v="69"/>
    <s v="CUST1303"/>
    <s v="James Wilson"/>
    <x v="1"/>
    <x v="6"/>
    <x v="39"/>
    <n v="2"/>
    <n v="87.44"/>
    <s v="Completed"/>
    <s v="PayPal"/>
    <n v="174.88"/>
    <n v="4"/>
    <x v="0"/>
  </r>
  <r>
    <x v="3428"/>
    <x v="226"/>
    <s v="CUST1861"/>
    <s v="Ayu Santos"/>
    <x v="0"/>
    <x v="5"/>
    <x v="30"/>
    <n v="1"/>
    <n v="87.45"/>
    <s v="Cancelled"/>
    <s v="Credit Card"/>
    <n v="87.45"/>
    <n v="4"/>
    <x v="0"/>
  </r>
  <r>
    <x v="3429"/>
    <x v="91"/>
    <s v="CUST1174"/>
    <s v="Siti Lee"/>
    <x v="0"/>
    <x v="5"/>
    <x v="33"/>
    <n v="2"/>
    <n v="87.51"/>
    <s v="Pending"/>
    <s v="Debit Card"/>
    <n v="175.02"/>
    <n v="7"/>
    <x v="0"/>
  </r>
  <r>
    <x v="3430"/>
    <x v="190"/>
    <s v="CUST1679"/>
    <s v="Siti Halim"/>
    <x v="0"/>
    <x v="1"/>
    <x v="18"/>
    <n v="1"/>
    <n v="87.54"/>
    <s v="Completed"/>
    <s v="PayPal"/>
    <n v="87.54"/>
    <n v="8"/>
    <x v="0"/>
  </r>
  <r>
    <x v="3431"/>
    <x v="468"/>
    <s v="CUST1766"/>
    <s v="Michael Kurniawan"/>
    <x v="0"/>
    <x v="1"/>
    <x v="9"/>
    <n v="3"/>
    <n v="87.66"/>
    <s v="Completed"/>
    <s v="Debit Card"/>
    <n v="262.98"/>
    <n v="6"/>
    <x v="0"/>
  </r>
  <r>
    <x v="3432"/>
    <x v="686"/>
    <s v="CUST1631"/>
    <s v="Lisa Tan"/>
    <x v="0"/>
    <x v="1"/>
    <x v="18"/>
    <n v="4"/>
    <n v="87.68"/>
    <s v="Completed"/>
    <s v="Credit Card"/>
    <n v="350.72"/>
    <n v="3"/>
    <x v="0"/>
  </r>
  <r>
    <x v="3433"/>
    <x v="715"/>
    <s v="CUST1615"/>
    <s v="Putri Anderson"/>
    <x v="3"/>
    <x v="5"/>
    <x v="30"/>
    <n v="4"/>
    <n v="87.86"/>
    <s v="Pending"/>
    <s v="PayPal"/>
    <n v="351.44"/>
    <n v="3"/>
    <x v="0"/>
  </r>
  <r>
    <x v="3434"/>
    <x v="635"/>
    <s v="CUST1484"/>
    <s v="James Anderson"/>
    <x v="0"/>
    <x v="1"/>
    <x v="20"/>
    <n v="1"/>
    <n v="88.16"/>
    <s v="Completed"/>
    <s v="Debit Card"/>
    <n v="88.16"/>
    <n v="5"/>
    <x v="0"/>
  </r>
  <r>
    <x v="3435"/>
    <x v="351"/>
    <s v="CUST1076"/>
    <s v="Kevin Santos"/>
    <x v="0"/>
    <x v="5"/>
    <x v="31"/>
    <n v="1"/>
    <n v="88.3"/>
    <s v="Cancelled"/>
    <s v="Gift Card"/>
    <n v="88.3"/>
    <n v="9"/>
    <x v="0"/>
  </r>
  <r>
    <x v="3436"/>
    <x v="605"/>
    <s v="CUST1775"/>
    <s v="Putri Hidayat"/>
    <x v="0"/>
    <x v="1"/>
    <x v="6"/>
    <n v="2"/>
    <n v="88.38"/>
    <s v="Completed"/>
    <s v="Gift Card"/>
    <n v="176.76"/>
    <n v="4"/>
    <x v="0"/>
  </r>
  <r>
    <x v="3437"/>
    <x v="310"/>
    <s v="CUST1859"/>
    <s v="Rina Kurniawan"/>
    <x v="1"/>
    <x v="1"/>
    <x v="9"/>
    <n v="4"/>
    <n v="88.45"/>
    <s v="Completed"/>
    <s v="Gift Card"/>
    <n v="353.8"/>
    <n v="4"/>
    <x v="0"/>
  </r>
  <r>
    <x v="3438"/>
    <x v="723"/>
    <s v="CUST1747"/>
    <s v="Dewi Yusuf"/>
    <x v="0"/>
    <x v="6"/>
    <x v="38"/>
    <n v="1"/>
    <n v="88.47"/>
    <s v="Completed"/>
    <s v="Debit Card"/>
    <n v="88.47"/>
    <n v="2"/>
    <x v="0"/>
  </r>
  <r>
    <x v="3439"/>
    <x v="334"/>
    <s v="CUST1006"/>
    <s v="James Smith"/>
    <x v="0"/>
    <x v="1"/>
    <x v="17"/>
    <n v="2"/>
    <n v="88.48"/>
    <s v="Returned"/>
    <s v="Unknown"/>
    <n v="176.96"/>
    <n v="8"/>
    <x v="0"/>
  </r>
  <r>
    <x v="3440"/>
    <x v="216"/>
    <s v="CUST1146"/>
    <s v="Ayu Smith"/>
    <x v="0"/>
    <x v="6"/>
    <x v="39"/>
    <n v="2"/>
    <n v="88.66"/>
    <s v="Completed"/>
    <s v="Debit Card"/>
    <n v="177.32"/>
    <n v="6"/>
    <x v="0"/>
  </r>
  <r>
    <x v="3441"/>
    <x v="715"/>
    <s v="CUST1520"/>
    <s v="John Halim"/>
    <x v="0"/>
    <x v="1"/>
    <x v="17"/>
    <n v="1"/>
    <n v="88.72"/>
    <s v="Completed"/>
    <s v="PayPal"/>
    <n v="88.72"/>
    <n v="3"/>
    <x v="0"/>
  </r>
  <r>
    <x v="3442"/>
    <x v="406"/>
    <s v="CUST1696"/>
    <s v="David Hidayat"/>
    <x v="0"/>
    <x v="6"/>
    <x v="40"/>
    <n v="1"/>
    <n v="88.74"/>
    <s v="Completed"/>
    <s v="Debit Card"/>
    <n v="88.74"/>
    <n v="8"/>
    <x v="0"/>
  </r>
  <r>
    <x v="3443"/>
    <x v="652"/>
    <s v="CUST1814"/>
    <s v="Unknown Customer"/>
    <x v="0"/>
    <x v="6"/>
    <x v="39"/>
    <n v="2"/>
    <n v="88.75"/>
    <s v="Completed"/>
    <s v="Credit Card"/>
    <n v="177.5"/>
    <n v="7"/>
    <x v="0"/>
  </r>
  <r>
    <x v="3444"/>
    <x v="406"/>
    <s v="CUST1186"/>
    <s v="Andi Anderson"/>
    <x v="3"/>
    <x v="1"/>
    <x v="9"/>
    <n v="1"/>
    <n v="88.81"/>
    <s v="Completed"/>
    <s v="Debit Card"/>
    <n v="88.81"/>
    <n v="6"/>
    <x v="0"/>
  </r>
  <r>
    <x v="3445"/>
    <x v="186"/>
    <s v="CUST1859"/>
    <s v="Rina Kurniawan"/>
    <x v="1"/>
    <x v="1"/>
    <x v="17"/>
    <n v="1"/>
    <n v="88.9"/>
    <s v="Completed"/>
    <s v="PayPal"/>
    <n v="88.9"/>
    <n v="4"/>
    <x v="0"/>
  </r>
  <r>
    <x v="3446"/>
    <x v="588"/>
    <s v="CUST1211"/>
    <s v="Sarah Santos"/>
    <x v="0"/>
    <x v="1"/>
    <x v="17"/>
    <n v="1"/>
    <n v="88.93"/>
    <s v="Completed"/>
    <s v="Gift Card"/>
    <n v="88.93"/>
    <n v="8"/>
    <x v="0"/>
  </r>
  <r>
    <x v="3447"/>
    <x v="590"/>
    <s v="CUST1267"/>
    <s v="Maria Anderson"/>
    <x v="0"/>
    <x v="1"/>
    <x v="18"/>
    <n v="1"/>
    <n v="89.04"/>
    <s v="Completed"/>
    <s v="PayPal"/>
    <n v="89.04"/>
    <n v="4"/>
    <x v="0"/>
  </r>
  <r>
    <x v="3448"/>
    <x v="244"/>
    <s v="CUST1740"/>
    <s v="Dewi Hidayat"/>
    <x v="0"/>
    <x v="5"/>
    <x v="32"/>
    <n v="2"/>
    <n v="89.04"/>
    <s v="Completed"/>
    <s v="Debit Card"/>
    <n v="178.08"/>
    <n v="8"/>
    <x v="0"/>
  </r>
  <r>
    <x v="3449"/>
    <x v="256"/>
    <s v="CUST1353"/>
    <s v="Andi Halim"/>
    <x v="0"/>
    <x v="6"/>
    <x v="40"/>
    <n v="1"/>
    <n v="89.17"/>
    <s v="Completed"/>
    <s v="Gift Card"/>
    <n v="89.17"/>
    <n v="10"/>
    <x v="0"/>
  </r>
  <r>
    <x v="3450"/>
    <x v="704"/>
    <s v="CUST1003"/>
    <s v="Siti Anderson"/>
    <x v="0"/>
    <x v="6"/>
    <x v="42"/>
    <n v="1"/>
    <n v="89.21"/>
    <s v="Completed"/>
    <s v="Unknown"/>
    <n v="89.21"/>
    <n v="4"/>
    <x v="0"/>
  </r>
  <r>
    <x v="3451"/>
    <x v="63"/>
    <s v="CUST1681"/>
    <s v="Unknown Customer"/>
    <x v="0"/>
    <x v="6"/>
    <x v="35"/>
    <n v="2"/>
    <n v="89.27"/>
    <s v="Completed"/>
    <s v="Unknown"/>
    <n v="178.54"/>
    <n v="9"/>
    <x v="0"/>
  </r>
  <r>
    <x v="3452"/>
    <x v="229"/>
    <s v="CUST1379"/>
    <s v="Putri Halim"/>
    <x v="0"/>
    <x v="1"/>
    <x v="9"/>
    <n v="1"/>
    <n v="89.3"/>
    <s v="Completed"/>
    <s v="Unknown"/>
    <n v="89.3"/>
    <n v="4"/>
    <x v="0"/>
  </r>
  <r>
    <x v="3453"/>
    <x v="393"/>
    <s v="CUST1870"/>
    <s v="Dewi Chen"/>
    <x v="0"/>
    <x v="6"/>
    <x v="39"/>
    <n v="2"/>
    <n v="89.31"/>
    <s v="Completed"/>
    <s v="Gift Card"/>
    <n v="178.62"/>
    <n v="8"/>
    <x v="0"/>
  </r>
  <r>
    <x v="3454"/>
    <x v="653"/>
    <s v="CUST1884"/>
    <s v="Kevin Salim"/>
    <x v="0"/>
    <x v="5"/>
    <x v="29"/>
    <n v="2"/>
    <n v="89.41"/>
    <s v="Completed"/>
    <s v="Gift Card"/>
    <n v="178.82"/>
    <n v="7"/>
    <x v="0"/>
  </r>
  <r>
    <x v="3455"/>
    <x v="236"/>
    <s v="CUST1613"/>
    <s v="Andi Garcia"/>
    <x v="0"/>
    <x v="5"/>
    <x v="32"/>
    <n v="1"/>
    <n v="89.49"/>
    <s v="Returned"/>
    <s v="Credit Card"/>
    <n v="89.49"/>
    <n v="5"/>
    <x v="0"/>
  </r>
  <r>
    <x v="3456"/>
    <x v="482"/>
    <s v="CUST1064"/>
    <s v="James Lee"/>
    <x v="0"/>
    <x v="5"/>
    <x v="34"/>
    <n v="1"/>
    <n v="89.54"/>
    <s v="Completed"/>
    <s v="Debit Card"/>
    <n v="89.54"/>
    <n v="6"/>
    <x v="0"/>
  </r>
  <r>
    <x v="3457"/>
    <x v="76"/>
    <s v="CUST1835"/>
    <s v="Nina Wilson"/>
    <x v="1"/>
    <x v="1"/>
    <x v="18"/>
    <n v="1"/>
    <n v="89.54"/>
    <s v="Completed"/>
    <s v="Unknown"/>
    <n v="89.54"/>
    <n v="6"/>
    <x v="0"/>
  </r>
  <r>
    <x v="3458"/>
    <x v="225"/>
    <s v="CUST1666"/>
    <s v="Michael Nugroho"/>
    <x v="1"/>
    <x v="6"/>
    <x v="40"/>
    <n v="1"/>
    <n v="89.55"/>
    <s v="Completed"/>
    <s v="PayPal"/>
    <n v="89.55"/>
    <n v="3"/>
    <x v="0"/>
  </r>
  <r>
    <x v="3459"/>
    <x v="316"/>
    <s v="CUST1603"/>
    <s v="Sarah Anderson"/>
    <x v="1"/>
    <x v="1"/>
    <x v="9"/>
    <n v="1"/>
    <n v="89.64"/>
    <s v="Completed"/>
    <s v="Debit Card"/>
    <n v="89.64"/>
    <n v="3"/>
    <x v="0"/>
  </r>
  <r>
    <x v="3460"/>
    <x v="132"/>
    <s v="CUST1569"/>
    <s v="David Kurniawan"/>
    <x v="0"/>
    <x v="1"/>
    <x v="5"/>
    <n v="2"/>
    <n v="89.86"/>
    <s v="Completed"/>
    <s v="Gift Card"/>
    <n v="179.72"/>
    <n v="9"/>
    <x v="0"/>
  </r>
  <r>
    <x v="3461"/>
    <x v="50"/>
    <s v="CUST1832"/>
    <s v="Rina Pratama"/>
    <x v="3"/>
    <x v="6"/>
    <x v="37"/>
    <n v="2"/>
    <n v="90.02"/>
    <s v="Completed"/>
    <s v="PayPal"/>
    <n v="180.04"/>
    <n v="4"/>
    <x v="0"/>
  </r>
  <r>
    <x v="3462"/>
    <x v="410"/>
    <s v="CUST1122"/>
    <s v="Sarah Smith"/>
    <x v="0"/>
    <x v="6"/>
    <x v="41"/>
    <n v="3"/>
    <n v="90.31"/>
    <s v="Completed"/>
    <s v="PayPal"/>
    <n v="270.93"/>
    <n v="3"/>
    <x v="0"/>
  </r>
  <r>
    <x v="3463"/>
    <x v="613"/>
    <s v="CUST1386"/>
    <s v="Lisa Johnson"/>
    <x v="0"/>
    <x v="6"/>
    <x v="36"/>
    <n v="2"/>
    <n v="90.35"/>
    <s v="Returned"/>
    <s v="Debit Card"/>
    <n v="180.7"/>
    <n v="7"/>
    <x v="0"/>
  </r>
  <r>
    <x v="3464"/>
    <x v="600"/>
    <s v="CUST1804"/>
    <s v="Nina Wilson"/>
    <x v="0"/>
    <x v="6"/>
    <x v="36"/>
    <n v="2"/>
    <n v="90.52"/>
    <s v="Completed"/>
    <s v="Unknown"/>
    <n v="181.04"/>
    <n v="3"/>
    <x v="0"/>
  </r>
  <r>
    <x v="3465"/>
    <x v="135"/>
    <s v="CUST1199"/>
    <s v="Dewi Chen"/>
    <x v="1"/>
    <x v="5"/>
    <x v="31"/>
    <n v="1"/>
    <n v="90.55"/>
    <s v="Completed"/>
    <s v="Debit Card"/>
    <n v="90.55"/>
    <n v="1"/>
    <x v="1"/>
  </r>
  <r>
    <x v="3466"/>
    <x v="222"/>
    <s v="CUST1668"/>
    <s v="Siti Brown"/>
    <x v="0"/>
    <x v="1"/>
    <x v="18"/>
    <n v="1"/>
    <n v="90.64"/>
    <s v="Completed"/>
    <s v="Debit Card"/>
    <n v="90.64"/>
    <n v="4"/>
    <x v="0"/>
  </r>
  <r>
    <x v="3467"/>
    <x v="354"/>
    <s v="CUST1167"/>
    <s v="Putri Hidayat"/>
    <x v="0"/>
    <x v="6"/>
    <x v="41"/>
    <n v="2"/>
    <n v="90.65"/>
    <s v="Completed"/>
    <s v="Debit Card"/>
    <n v="181.3"/>
    <n v="6"/>
    <x v="0"/>
  </r>
  <r>
    <x v="3468"/>
    <x v="263"/>
    <s v="CUST1465"/>
    <s v="Nina Wilson"/>
    <x v="1"/>
    <x v="1"/>
    <x v="5"/>
    <n v="1"/>
    <n v="90.91"/>
    <s v="Pending"/>
    <s v="Credit Card"/>
    <n v="90.91"/>
    <n v="7"/>
    <x v="0"/>
  </r>
  <r>
    <x v="3469"/>
    <x v="372"/>
    <s v="CUST1302"/>
    <s v="Dewi Taylor"/>
    <x v="1"/>
    <x v="5"/>
    <x v="30"/>
    <n v="1"/>
    <n v="90.95"/>
    <s v="Completed"/>
    <s v="Debit Card"/>
    <n v="90.95"/>
    <n v="6"/>
    <x v="0"/>
  </r>
  <r>
    <x v="3470"/>
    <x v="342"/>
    <s v="CUST1011"/>
    <s v="Dewi Garcia"/>
    <x v="0"/>
    <x v="1"/>
    <x v="9"/>
    <n v="1"/>
    <n v="90.95"/>
    <s v="Returned"/>
    <s v="Unknown"/>
    <n v="90.95"/>
    <n v="7"/>
    <x v="0"/>
  </r>
  <r>
    <x v="3471"/>
    <x v="726"/>
    <s v="CUST1783"/>
    <s v="Ayu Taylor"/>
    <x v="0"/>
    <x v="6"/>
    <x v="37"/>
    <n v="2"/>
    <n v="90.96"/>
    <s v="Returned"/>
    <s v="PayPal"/>
    <n v="181.92"/>
    <n v="11"/>
    <x v="0"/>
  </r>
  <r>
    <x v="3472"/>
    <x v="286"/>
    <s v="CUST1032"/>
    <s v="Andi Sari"/>
    <x v="0"/>
    <x v="1"/>
    <x v="9"/>
    <n v="1"/>
    <n v="90.98"/>
    <s v="Completed"/>
    <s v="Gift Card"/>
    <n v="90.98"/>
    <n v="6"/>
    <x v="0"/>
  </r>
  <r>
    <x v="3473"/>
    <x v="102"/>
    <s v="CUST1372"/>
    <s v="Rina Nugroho"/>
    <x v="0"/>
    <x v="1"/>
    <x v="18"/>
    <n v="1"/>
    <n v="91.11"/>
    <s v="Completed"/>
    <s v="Debit Card"/>
    <n v="91.11"/>
    <n v="4"/>
    <x v="0"/>
  </r>
  <r>
    <x v="3474"/>
    <x v="368"/>
    <s v="CUST1265"/>
    <s v="Sarah Johnson"/>
    <x v="1"/>
    <x v="6"/>
    <x v="38"/>
    <n v="1"/>
    <n v="91.13"/>
    <s v="Cancelled"/>
    <s v="Credit Card"/>
    <n v="91.13"/>
    <n v="4"/>
    <x v="0"/>
  </r>
  <r>
    <x v="3475"/>
    <x v="704"/>
    <s v="CUST1624"/>
    <s v="Budi Smith"/>
    <x v="0"/>
    <x v="6"/>
    <x v="42"/>
    <n v="2"/>
    <n v="91.19"/>
    <s v="Completed"/>
    <s v="Debit Card"/>
    <n v="182.38"/>
    <n v="5"/>
    <x v="0"/>
  </r>
  <r>
    <x v="3476"/>
    <x v="236"/>
    <s v="CUST1406"/>
    <s v="Ahmad Wilson"/>
    <x v="0"/>
    <x v="5"/>
    <x v="29"/>
    <n v="3"/>
    <n v="91.21"/>
    <s v="Completed"/>
    <s v="Credit Card"/>
    <n v="273.63"/>
    <n v="4"/>
    <x v="0"/>
  </r>
  <r>
    <x v="3477"/>
    <x v="257"/>
    <s v="CUST1175"/>
    <s v="Lisa Kurniawan"/>
    <x v="0"/>
    <x v="6"/>
    <x v="39"/>
    <n v="1"/>
    <n v="91.47"/>
    <s v="Pending"/>
    <s v="Unknown"/>
    <n v="91.47"/>
    <n v="6"/>
    <x v="0"/>
  </r>
  <r>
    <x v="3478"/>
    <x v="333"/>
    <s v="CUST1574"/>
    <s v="Ahmad Hidayat"/>
    <x v="0"/>
    <x v="6"/>
    <x v="40"/>
    <n v="3"/>
    <n v="91.57"/>
    <s v="Completed"/>
    <s v="Gift Card"/>
    <n v="274.70999999999998"/>
    <n v="4"/>
    <x v="0"/>
  </r>
  <r>
    <x v="3479"/>
    <x v="115"/>
    <s v="CUST1376"/>
    <s v="Nina Yusuf"/>
    <x v="1"/>
    <x v="5"/>
    <x v="30"/>
    <n v="2"/>
    <n v="91.59"/>
    <s v="Completed"/>
    <s v="Gift Card"/>
    <n v="183.18"/>
    <n v="5"/>
    <x v="0"/>
  </r>
  <r>
    <x v="3480"/>
    <x v="103"/>
    <s v="CUST1852"/>
    <s v="Putri Garcia"/>
    <x v="0"/>
    <x v="6"/>
    <x v="41"/>
    <n v="1"/>
    <n v="91.69"/>
    <s v="Completed"/>
    <s v="Credit Card"/>
    <n v="91.69"/>
    <n v="5"/>
    <x v="0"/>
  </r>
  <r>
    <x v="3481"/>
    <x v="686"/>
    <s v="CUST1854"/>
    <s v="Putri Garcia"/>
    <x v="1"/>
    <x v="5"/>
    <x v="31"/>
    <n v="1"/>
    <n v="91.73"/>
    <s v="Completed"/>
    <s v="Gift Card"/>
    <n v="91.73"/>
    <n v="7"/>
    <x v="0"/>
  </r>
  <r>
    <x v="3482"/>
    <x v="312"/>
    <s v="CUST1050"/>
    <s v="Sarah Anderson"/>
    <x v="0"/>
    <x v="5"/>
    <x v="31"/>
    <n v="3"/>
    <n v="91.98"/>
    <s v="Completed"/>
    <s v="PayPal"/>
    <n v="275.94"/>
    <n v="4"/>
    <x v="0"/>
  </r>
  <r>
    <x v="3483"/>
    <x v="383"/>
    <s v="CUST1484"/>
    <s v="James Anderson"/>
    <x v="0"/>
    <x v="6"/>
    <x v="42"/>
    <n v="1"/>
    <n v="92.07"/>
    <s v="Cancelled"/>
    <s v="Credit Card"/>
    <n v="92.07"/>
    <n v="5"/>
    <x v="0"/>
  </r>
  <r>
    <x v="3484"/>
    <x v="123"/>
    <s v="CUST1128"/>
    <s v="Rina Taylor"/>
    <x v="0"/>
    <x v="1"/>
    <x v="20"/>
    <n v="2"/>
    <n v="92.13"/>
    <s v="Returned"/>
    <s v="PayPal"/>
    <n v="184.26"/>
    <n v="6"/>
    <x v="0"/>
  </r>
  <r>
    <x v="3485"/>
    <x v="647"/>
    <s v="CUST1601"/>
    <s v="Nina Taylor"/>
    <x v="0"/>
    <x v="1"/>
    <x v="18"/>
    <n v="1"/>
    <n v="92.15"/>
    <s v="Completed"/>
    <s v="Debit Card"/>
    <n v="92.15"/>
    <n v="4"/>
    <x v="0"/>
  </r>
  <r>
    <x v="3486"/>
    <x v="186"/>
    <s v="CUST1535"/>
    <s v="Maria Brown"/>
    <x v="0"/>
    <x v="5"/>
    <x v="31"/>
    <n v="1"/>
    <n v="92.16"/>
    <s v="Completed"/>
    <s v="Gift Card"/>
    <n v="92.16"/>
    <n v="5"/>
    <x v="0"/>
  </r>
  <r>
    <x v="3487"/>
    <x v="516"/>
    <s v="CUST1048"/>
    <s v="Andi Kurniawan"/>
    <x v="0"/>
    <x v="6"/>
    <x v="35"/>
    <n v="1"/>
    <n v="92.3"/>
    <s v="Completed"/>
    <s v="Credit Card"/>
    <n v="92.3"/>
    <n v="4"/>
    <x v="0"/>
  </r>
  <r>
    <x v="3488"/>
    <x v="259"/>
    <s v="CUST1369"/>
    <s v="Sarah Halim"/>
    <x v="0"/>
    <x v="5"/>
    <x v="34"/>
    <n v="1"/>
    <n v="92.35"/>
    <s v="Completed"/>
    <s v="PayPal"/>
    <n v="92.35"/>
    <n v="3"/>
    <x v="0"/>
  </r>
  <r>
    <x v="3489"/>
    <x v="106"/>
    <s v="CUST1750"/>
    <s v="Nina Brown"/>
    <x v="3"/>
    <x v="1"/>
    <x v="6"/>
    <n v="1"/>
    <n v="92.39"/>
    <s v="Completed"/>
    <s v="Gift Card"/>
    <n v="92.39"/>
    <n v="3"/>
    <x v="0"/>
  </r>
  <r>
    <x v="3490"/>
    <x v="87"/>
    <s v="CUST1630"/>
    <s v="John Kurniawan"/>
    <x v="0"/>
    <x v="5"/>
    <x v="29"/>
    <n v="2"/>
    <n v="92.51"/>
    <s v="Completed"/>
    <s v="Gift Card"/>
    <n v="185.02"/>
    <n v="6"/>
    <x v="0"/>
  </r>
  <r>
    <x v="3491"/>
    <x v="621"/>
    <s v="CUST1431"/>
    <s v="Nina Hidayat"/>
    <x v="0"/>
    <x v="1"/>
    <x v="17"/>
    <n v="1"/>
    <n v="92.53"/>
    <s v="Completed"/>
    <s v="Credit Card"/>
    <n v="92.53"/>
    <n v="2"/>
    <x v="0"/>
  </r>
  <r>
    <x v="3492"/>
    <x v="652"/>
    <s v="CUST1178"/>
    <s v="Michael Pratama"/>
    <x v="1"/>
    <x v="1"/>
    <x v="6"/>
    <n v="1"/>
    <n v="92.66"/>
    <s v="Completed"/>
    <s v="Gift Card"/>
    <n v="92.66"/>
    <n v="6"/>
    <x v="0"/>
  </r>
  <r>
    <x v="3493"/>
    <x v="194"/>
    <s v="CUST1203"/>
    <s v="Linda Brown"/>
    <x v="3"/>
    <x v="5"/>
    <x v="30"/>
    <n v="1"/>
    <n v="92.89"/>
    <s v="Completed"/>
    <s v="Unknown"/>
    <n v="92.89"/>
    <n v="2"/>
    <x v="0"/>
  </r>
  <r>
    <x v="3494"/>
    <x v="164"/>
    <s v="CUST1605"/>
    <s v="Andi Sari"/>
    <x v="0"/>
    <x v="5"/>
    <x v="33"/>
    <n v="1"/>
    <n v="92.9"/>
    <s v="Completed"/>
    <s v="PayPal"/>
    <n v="92.9"/>
    <n v="5"/>
    <x v="0"/>
  </r>
  <r>
    <x v="3495"/>
    <x v="400"/>
    <s v="CUST1778"/>
    <s v="Kevin Wilson"/>
    <x v="0"/>
    <x v="6"/>
    <x v="37"/>
    <n v="1"/>
    <n v="92.93"/>
    <s v="Completed"/>
    <s v="Debit Card"/>
    <n v="92.93"/>
    <n v="5"/>
    <x v="0"/>
  </r>
  <r>
    <x v="3496"/>
    <x v="338"/>
    <s v="CUST1678"/>
    <s v="Lisa Brown"/>
    <x v="1"/>
    <x v="1"/>
    <x v="9"/>
    <n v="1"/>
    <n v="93.07"/>
    <s v="Completed"/>
    <s v="Debit Card"/>
    <n v="93.07"/>
    <n v="8"/>
    <x v="0"/>
  </r>
  <r>
    <x v="3497"/>
    <x v="518"/>
    <s v="CUST1163"/>
    <s v="Lisa Pratama"/>
    <x v="0"/>
    <x v="6"/>
    <x v="36"/>
    <n v="1"/>
    <n v="93.11"/>
    <s v="Completed"/>
    <s v="Gift Card"/>
    <n v="93.11"/>
    <n v="6"/>
    <x v="0"/>
  </r>
  <r>
    <x v="3498"/>
    <x v="164"/>
    <s v="CUST1850"/>
    <s v="Dewi Wijaya"/>
    <x v="0"/>
    <x v="5"/>
    <x v="33"/>
    <n v="1"/>
    <n v="93.14"/>
    <s v="Completed"/>
    <s v="Debit Card"/>
    <n v="93.14"/>
    <n v="6"/>
    <x v="0"/>
  </r>
  <r>
    <x v="3499"/>
    <x v="246"/>
    <s v="CUST1422"/>
    <s v="Budi Pratama"/>
    <x v="0"/>
    <x v="6"/>
    <x v="39"/>
    <n v="2"/>
    <n v="93.17"/>
    <s v="Completed"/>
    <s v="PayPal"/>
    <n v="186.34"/>
    <n v="7"/>
    <x v="0"/>
  </r>
  <r>
    <x v="3500"/>
    <x v="590"/>
    <s v="CUST1464"/>
    <s v="Dewi Taylor"/>
    <x v="0"/>
    <x v="1"/>
    <x v="18"/>
    <n v="1"/>
    <n v="93.21"/>
    <s v="Completed"/>
    <s v="Credit Card"/>
    <n v="93.21"/>
    <n v="6"/>
    <x v="0"/>
  </r>
  <r>
    <x v="3501"/>
    <x v="38"/>
    <s v="CUST1642"/>
    <s v="Putri Salim"/>
    <x v="3"/>
    <x v="1"/>
    <x v="6"/>
    <n v="2"/>
    <n v="93.26"/>
    <s v="Pending"/>
    <s v="Debit Card"/>
    <n v="186.52"/>
    <n v="2"/>
    <x v="0"/>
  </r>
  <r>
    <x v="3502"/>
    <x v="136"/>
    <s v="CUST1833"/>
    <s v="Putri Yusuf"/>
    <x v="0"/>
    <x v="6"/>
    <x v="40"/>
    <n v="1"/>
    <n v="93.27"/>
    <s v="Completed"/>
    <s v="PayPal"/>
    <n v="93.27"/>
    <n v="8"/>
    <x v="0"/>
  </r>
  <r>
    <x v="3503"/>
    <x v="401"/>
    <s v="CUST1352"/>
    <s v="Lisa Taylor"/>
    <x v="0"/>
    <x v="5"/>
    <x v="31"/>
    <n v="1"/>
    <n v="93.35"/>
    <s v="Cancelled"/>
    <s v="Gift Card"/>
    <n v="93.35"/>
    <n v="7"/>
    <x v="0"/>
  </r>
  <r>
    <x v="3504"/>
    <x v="500"/>
    <s v="CUST1510"/>
    <s v="Sarah Halim"/>
    <x v="3"/>
    <x v="5"/>
    <x v="28"/>
    <n v="1"/>
    <n v="93.36"/>
    <s v="Completed"/>
    <s v="Credit Card"/>
    <n v="93.36"/>
    <n v="1"/>
    <x v="1"/>
  </r>
  <r>
    <x v="3505"/>
    <x v="309"/>
    <s v="CUST1676"/>
    <s v="Lisa Wijaya"/>
    <x v="1"/>
    <x v="6"/>
    <x v="35"/>
    <n v="1"/>
    <n v="93.4"/>
    <s v="Cancelled"/>
    <s v="Gift Card"/>
    <n v="93.4"/>
    <n v="7"/>
    <x v="0"/>
  </r>
  <r>
    <x v="3506"/>
    <x v="440"/>
    <s v="CUST1836"/>
    <s v="Kevin Salim"/>
    <x v="0"/>
    <x v="5"/>
    <x v="34"/>
    <n v="3"/>
    <n v="93.41"/>
    <s v="Completed"/>
    <s v="Gift Card"/>
    <n v="280.23"/>
    <n v="6"/>
    <x v="0"/>
  </r>
  <r>
    <x v="3507"/>
    <x v="285"/>
    <s v="CUST1838"/>
    <s v="Budi Chen"/>
    <x v="1"/>
    <x v="6"/>
    <x v="41"/>
    <n v="2"/>
    <n v="93.44"/>
    <s v="Completed"/>
    <s v="PayPal"/>
    <n v="186.88"/>
    <n v="6"/>
    <x v="0"/>
  </r>
  <r>
    <x v="3508"/>
    <x v="488"/>
    <s v="CUST1862"/>
    <s v="Ahmad Santos"/>
    <x v="0"/>
    <x v="6"/>
    <x v="40"/>
    <n v="1"/>
    <n v="93.45"/>
    <s v="Completed"/>
    <s v="Credit Card"/>
    <n v="93.45"/>
    <n v="7"/>
    <x v="0"/>
  </r>
  <r>
    <x v="3509"/>
    <x v="409"/>
    <s v="CUST1454"/>
    <s v="Fajar Wijaya"/>
    <x v="0"/>
    <x v="5"/>
    <x v="32"/>
    <n v="3"/>
    <n v="93.45"/>
    <s v="Completed"/>
    <s v="Credit Card"/>
    <n v="280.35000000000002"/>
    <n v="5"/>
    <x v="0"/>
  </r>
  <r>
    <x v="3510"/>
    <x v="580"/>
    <s v="CUST1814"/>
    <s v="Michael Taylor"/>
    <x v="0"/>
    <x v="6"/>
    <x v="39"/>
    <n v="2"/>
    <n v="93.48"/>
    <s v="Completed"/>
    <s v="Debit Card"/>
    <n v="186.96"/>
    <n v="7"/>
    <x v="0"/>
  </r>
  <r>
    <x v="3511"/>
    <x v="706"/>
    <s v="CUST1172"/>
    <s v="Nina Lee"/>
    <x v="0"/>
    <x v="5"/>
    <x v="34"/>
    <n v="5"/>
    <n v="93.48"/>
    <s v="Completed"/>
    <s v="Debit Card"/>
    <n v="467.40000000000003"/>
    <n v="8"/>
    <x v="0"/>
  </r>
  <r>
    <x v="3512"/>
    <x v="535"/>
    <s v="CUST1424"/>
    <s v="Linda Garcia"/>
    <x v="0"/>
    <x v="1"/>
    <x v="18"/>
    <n v="2"/>
    <n v="93.5"/>
    <s v="Completed"/>
    <s v="Debit Card"/>
    <n v="187"/>
    <n v="6"/>
    <x v="0"/>
  </r>
  <r>
    <x v="3513"/>
    <x v="313"/>
    <s v="CUST1061"/>
    <s v="Robert Chen"/>
    <x v="0"/>
    <x v="5"/>
    <x v="28"/>
    <n v="4"/>
    <n v="93.5"/>
    <s v="Completed"/>
    <s v="PayPal"/>
    <n v="374"/>
    <n v="4"/>
    <x v="0"/>
  </r>
  <r>
    <x v="3514"/>
    <x v="711"/>
    <s v="CUST1102"/>
    <s v="Maria Brown"/>
    <x v="0"/>
    <x v="5"/>
    <x v="28"/>
    <n v="1"/>
    <n v="93.53"/>
    <s v="Completed"/>
    <s v="Gift Card"/>
    <n v="93.53"/>
    <n v="5"/>
    <x v="0"/>
  </r>
  <r>
    <x v="3515"/>
    <x v="194"/>
    <s v="CUST1519"/>
    <s v="Unknown Customer"/>
    <x v="0"/>
    <x v="5"/>
    <x v="33"/>
    <n v="1"/>
    <n v="93.58"/>
    <s v="Completed"/>
    <s v="Gift Card"/>
    <n v="93.58"/>
    <n v="7"/>
    <x v="0"/>
  </r>
  <r>
    <x v="3516"/>
    <x v="412"/>
    <s v="CUST1831"/>
    <s v="Sarah Hidayat"/>
    <x v="0"/>
    <x v="1"/>
    <x v="18"/>
    <n v="1"/>
    <n v="93.63"/>
    <s v="Completed"/>
    <s v="Debit Card"/>
    <n v="93.63"/>
    <n v="5"/>
    <x v="0"/>
  </r>
  <r>
    <x v="3517"/>
    <x v="424"/>
    <s v="CUST1092"/>
    <s v="Putri Nugroho"/>
    <x v="0"/>
    <x v="5"/>
    <x v="29"/>
    <n v="1"/>
    <n v="93.68"/>
    <s v="Completed"/>
    <s v="Gift Card"/>
    <n v="93.68"/>
    <n v="8"/>
    <x v="0"/>
  </r>
  <r>
    <x v="3518"/>
    <x v="470"/>
    <s v="CUST1209"/>
    <s v="Andi Sari"/>
    <x v="0"/>
    <x v="6"/>
    <x v="38"/>
    <n v="3"/>
    <n v="93.72"/>
    <s v="Completed"/>
    <s v="Credit Card"/>
    <n v="281.15999999999997"/>
    <n v="6"/>
    <x v="0"/>
  </r>
  <r>
    <x v="3519"/>
    <x v="315"/>
    <s v="CUST1133"/>
    <s v="Andi Hidayat"/>
    <x v="0"/>
    <x v="1"/>
    <x v="5"/>
    <n v="1"/>
    <n v="93.74"/>
    <s v="Completed"/>
    <s v="Debit Card"/>
    <n v="93.74"/>
    <n v="7"/>
    <x v="0"/>
  </r>
  <r>
    <x v="3520"/>
    <x v="628"/>
    <s v="CUST1423"/>
    <s v="David Smith"/>
    <x v="0"/>
    <x v="1"/>
    <x v="9"/>
    <n v="2"/>
    <n v="93.8"/>
    <s v="Completed"/>
    <s v="Gift Card"/>
    <n v="187.6"/>
    <n v="5"/>
    <x v="0"/>
  </r>
  <r>
    <x v="3521"/>
    <x v="407"/>
    <s v="CUST1238"/>
    <s v="John Pratama"/>
    <x v="0"/>
    <x v="5"/>
    <x v="34"/>
    <n v="2"/>
    <n v="93.81"/>
    <s v="Completed"/>
    <s v="PayPal"/>
    <n v="187.62"/>
    <n v="8"/>
    <x v="0"/>
  </r>
  <r>
    <x v="3522"/>
    <x v="2"/>
    <s v="CUST1158"/>
    <s v="Nina Nugroho"/>
    <x v="0"/>
    <x v="5"/>
    <x v="34"/>
    <n v="1"/>
    <n v="93.85"/>
    <s v="Completed"/>
    <s v="Credit Card"/>
    <n v="93.85"/>
    <n v="3"/>
    <x v="0"/>
  </r>
  <r>
    <x v="3523"/>
    <x v="165"/>
    <s v="CUST1282"/>
    <s v="Sarah Tan"/>
    <x v="0"/>
    <x v="1"/>
    <x v="5"/>
    <n v="1"/>
    <n v="93.88"/>
    <s v="Completed"/>
    <s v="PayPal"/>
    <n v="93.88"/>
    <n v="4"/>
    <x v="0"/>
  </r>
  <r>
    <x v="3524"/>
    <x v="576"/>
    <s v="CUST1103"/>
    <s v="Ahmad Salim"/>
    <x v="3"/>
    <x v="1"/>
    <x v="5"/>
    <n v="4"/>
    <n v="93.88"/>
    <s v="Completed"/>
    <s v="PayPal"/>
    <n v="375.52"/>
    <n v="6"/>
    <x v="0"/>
  </r>
  <r>
    <x v="3525"/>
    <x v="140"/>
    <s v="CUST1777"/>
    <s v="Ayu Chen"/>
    <x v="0"/>
    <x v="1"/>
    <x v="17"/>
    <n v="1"/>
    <n v="93.89"/>
    <s v="Completed"/>
    <s v="Debit Card"/>
    <n v="93.89"/>
    <n v="8"/>
    <x v="0"/>
  </r>
  <r>
    <x v="3526"/>
    <x v="131"/>
    <s v="CUST1387"/>
    <s v="Budi Pratama"/>
    <x v="0"/>
    <x v="5"/>
    <x v="28"/>
    <n v="3"/>
    <n v="93.95"/>
    <s v="Completed"/>
    <s v="Credit Card"/>
    <n v="281.85000000000002"/>
    <n v="4"/>
    <x v="0"/>
  </r>
  <r>
    <x v="3527"/>
    <x v="80"/>
    <s v="CUST1258"/>
    <s v="Ayu Smith"/>
    <x v="0"/>
    <x v="1"/>
    <x v="5"/>
    <n v="1"/>
    <n v="93.96"/>
    <s v="Completed"/>
    <s v="Gift Card"/>
    <n v="93.96"/>
    <n v="7"/>
    <x v="0"/>
  </r>
  <r>
    <x v="3528"/>
    <x v="129"/>
    <s v="CUST1444"/>
    <s v="Robert Tan"/>
    <x v="0"/>
    <x v="1"/>
    <x v="9"/>
    <n v="1"/>
    <n v="93.98"/>
    <s v="Completed"/>
    <s v="PayPal"/>
    <n v="93.98"/>
    <n v="3"/>
    <x v="0"/>
  </r>
  <r>
    <x v="3529"/>
    <x v="645"/>
    <s v="CUST1655"/>
    <s v="John Tan"/>
    <x v="0"/>
    <x v="6"/>
    <x v="37"/>
    <n v="1"/>
    <n v="94.01"/>
    <s v="Completed"/>
    <s v="Gift Card"/>
    <n v="94.01"/>
    <n v="9"/>
    <x v="0"/>
  </r>
  <r>
    <x v="3530"/>
    <x v="404"/>
    <s v="CUST1817"/>
    <s v="Unknown Customer"/>
    <x v="0"/>
    <x v="1"/>
    <x v="5"/>
    <n v="1"/>
    <n v="94.08"/>
    <s v="Completed"/>
    <s v="Credit Card"/>
    <n v="94.08"/>
    <n v="7"/>
    <x v="0"/>
  </r>
  <r>
    <x v="3531"/>
    <x v="653"/>
    <s v="CUST1738"/>
    <s v="Fajar Halim"/>
    <x v="0"/>
    <x v="1"/>
    <x v="9"/>
    <n v="1"/>
    <n v="94.24"/>
    <s v="Completed"/>
    <s v="PayPal"/>
    <n v="94.24"/>
    <n v="8"/>
    <x v="0"/>
  </r>
  <r>
    <x v="3532"/>
    <x v="704"/>
    <s v="CUST1012"/>
    <s v="Andi Yusuf"/>
    <x v="0"/>
    <x v="5"/>
    <x v="33"/>
    <n v="2"/>
    <n v="94.43"/>
    <s v="Cancelled"/>
    <s v="Credit Card"/>
    <n v="188.86"/>
    <n v="6"/>
    <x v="0"/>
  </r>
  <r>
    <x v="3533"/>
    <x v="170"/>
    <s v="CUST1071"/>
    <s v="Kevin Lee"/>
    <x v="1"/>
    <x v="5"/>
    <x v="30"/>
    <n v="2"/>
    <n v="94.45"/>
    <s v="Completed"/>
    <s v="PayPal"/>
    <n v="188.9"/>
    <n v="6"/>
    <x v="0"/>
  </r>
  <r>
    <x v="3534"/>
    <x v="422"/>
    <s v="CUST1150"/>
    <s v="Ayu Wijaya"/>
    <x v="0"/>
    <x v="6"/>
    <x v="35"/>
    <n v="1"/>
    <n v="94.47"/>
    <s v="Completed"/>
    <s v="Gift Card"/>
    <n v="94.47"/>
    <n v="7"/>
    <x v="0"/>
  </r>
  <r>
    <x v="3535"/>
    <x v="423"/>
    <s v="CUST1380"/>
    <s v="Lisa Brown"/>
    <x v="1"/>
    <x v="6"/>
    <x v="37"/>
    <n v="1"/>
    <n v="94.55"/>
    <s v="Completed"/>
    <s v="Credit Card"/>
    <n v="94.55"/>
    <n v="6"/>
    <x v="0"/>
  </r>
  <r>
    <x v="3536"/>
    <x v="613"/>
    <s v="CUST1332"/>
    <s v="Siti Johnson"/>
    <x v="1"/>
    <x v="6"/>
    <x v="36"/>
    <n v="5"/>
    <n v="94.62"/>
    <s v="Completed"/>
    <s v="Debit Card"/>
    <n v="473.1"/>
    <n v="5"/>
    <x v="0"/>
  </r>
  <r>
    <x v="3537"/>
    <x v="670"/>
    <s v="CUST1196"/>
    <s v="Putri Pratama"/>
    <x v="0"/>
    <x v="1"/>
    <x v="6"/>
    <n v="2"/>
    <n v="94.77"/>
    <s v="Completed"/>
    <s v="Debit Card"/>
    <n v="189.54"/>
    <n v="6"/>
    <x v="0"/>
  </r>
  <r>
    <x v="3538"/>
    <x v="415"/>
    <s v="CUST1789"/>
    <s v="Sarah Nugroho"/>
    <x v="0"/>
    <x v="5"/>
    <x v="29"/>
    <n v="1"/>
    <n v="94.81"/>
    <s v="Returned"/>
    <s v="Debit Card"/>
    <n v="94.81"/>
    <n v="2"/>
    <x v="0"/>
  </r>
  <r>
    <x v="3539"/>
    <x v="534"/>
    <s v="CUST1407"/>
    <s v="Rina Smith"/>
    <x v="0"/>
    <x v="6"/>
    <x v="36"/>
    <n v="4"/>
    <n v="94.94"/>
    <s v="Cancelled"/>
    <s v="Gift Card"/>
    <n v="379.76"/>
    <n v="5"/>
    <x v="0"/>
  </r>
  <r>
    <x v="3540"/>
    <x v="711"/>
    <s v="CUST1854"/>
    <s v="Putri Garcia"/>
    <x v="1"/>
    <x v="5"/>
    <x v="32"/>
    <n v="3"/>
    <n v="94.98"/>
    <s v="Completed"/>
    <s v="Gift Card"/>
    <n v="284.94"/>
    <n v="7"/>
    <x v="0"/>
  </r>
  <r>
    <x v="3541"/>
    <x v="210"/>
    <s v="CUST1333"/>
    <s v="Nina Lee"/>
    <x v="0"/>
    <x v="6"/>
    <x v="37"/>
    <n v="1"/>
    <n v="95.02"/>
    <s v="Returned"/>
    <s v="Debit Card"/>
    <n v="95.02"/>
    <n v="3"/>
    <x v="0"/>
  </r>
  <r>
    <x v="3542"/>
    <x v="415"/>
    <s v="CUST1377"/>
    <s v="Putri Taylor"/>
    <x v="1"/>
    <x v="1"/>
    <x v="18"/>
    <n v="4"/>
    <n v="95.03"/>
    <s v="Completed"/>
    <s v="PayPal"/>
    <n v="380.12"/>
    <n v="3"/>
    <x v="0"/>
  </r>
  <r>
    <x v="3543"/>
    <x v="125"/>
    <s v="CUST1503"/>
    <s v="Andi Anderson"/>
    <x v="0"/>
    <x v="1"/>
    <x v="6"/>
    <n v="1"/>
    <n v="95.1"/>
    <s v="Completed"/>
    <s v="Gift Card"/>
    <n v="95.1"/>
    <n v="6"/>
    <x v="0"/>
  </r>
  <r>
    <x v="3544"/>
    <x v="304"/>
    <s v="CUST1476"/>
    <s v="Andi Wijaya"/>
    <x v="0"/>
    <x v="5"/>
    <x v="34"/>
    <n v="1"/>
    <n v="95.35"/>
    <s v="Cancelled"/>
    <s v="Credit Card"/>
    <n v="95.35"/>
    <n v="3"/>
    <x v="0"/>
  </r>
  <r>
    <x v="3545"/>
    <x v="478"/>
    <s v="CUST1746"/>
    <s v="Siti Garcia"/>
    <x v="0"/>
    <x v="5"/>
    <x v="28"/>
    <n v="1"/>
    <n v="95.36"/>
    <s v="Completed"/>
    <s v="PayPal"/>
    <n v="95.36"/>
    <n v="7"/>
    <x v="0"/>
  </r>
  <r>
    <x v="3546"/>
    <x v="413"/>
    <s v="CUST1884"/>
    <s v="Kevin Salim"/>
    <x v="0"/>
    <x v="1"/>
    <x v="17"/>
    <n v="2"/>
    <n v="95.38"/>
    <s v="Completed"/>
    <s v="PayPal"/>
    <n v="190.76"/>
    <n v="7"/>
    <x v="0"/>
  </r>
  <r>
    <x v="3547"/>
    <x v="340"/>
    <s v="CUST1175"/>
    <s v="Lisa Kurniawan"/>
    <x v="0"/>
    <x v="6"/>
    <x v="37"/>
    <n v="1"/>
    <n v="95.44"/>
    <s v="Completed"/>
    <s v="Debit Card"/>
    <n v="95.44"/>
    <n v="6"/>
    <x v="0"/>
  </r>
  <r>
    <x v="3548"/>
    <x v="463"/>
    <s v="CUST1144"/>
    <s v="Unknown Customer"/>
    <x v="0"/>
    <x v="6"/>
    <x v="42"/>
    <n v="3"/>
    <n v="95.49"/>
    <s v="Completed"/>
    <s v="Debit Card"/>
    <n v="286.46999999999997"/>
    <n v="5"/>
    <x v="0"/>
  </r>
  <r>
    <x v="3549"/>
    <x v="425"/>
    <s v="CUST1215"/>
    <s v="Putri Salim"/>
    <x v="1"/>
    <x v="6"/>
    <x v="35"/>
    <n v="5"/>
    <n v="95.63"/>
    <s v="Completed"/>
    <s v="PayPal"/>
    <n v="478.15"/>
    <n v="3"/>
    <x v="0"/>
  </r>
  <r>
    <x v="3550"/>
    <x v="660"/>
    <s v="CUST1244"/>
    <s v="Nina Pratama"/>
    <x v="0"/>
    <x v="5"/>
    <x v="29"/>
    <n v="1"/>
    <n v="95.68"/>
    <s v="Completed"/>
    <s v="Debit Card"/>
    <n v="95.68"/>
    <n v="6"/>
    <x v="0"/>
  </r>
  <r>
    <x v="3551"/>
    <x v="664"/>
    <s v="CUST1602"/>
    <s v="Siti Lee"/>
    <x v="1"/>
    <x v="5"/>
    <x v="28"/>
    <n v="1"/>
    <n v="95.79"/>
    <s v="Returned"/>
    <s v="Debit Card"/>
    <n v="95.79"/>
    <n v="5"/>
    <x v="0"/>
  </r>
  <r>
    <x v="3552"/>
    <x v="420"/>
    <s v="CUST1430"/>
    <s v="Maria Garcia"/>
    <x v="1"/>
    <x v="1"/>
    <x v="9"/>
    <n v="1"/>
    <n v="95.85"/>
    <s v="Completed"/>
    <s v="Credit Card"/>
    <n v="95.85"/>
    <n v="6"/>
    <x v="0"/>
  </r>
  <r>
    <x v="3553"/>
    <x v="688"/>
    <s v="CUST1367"/>
    <s v="James Salim"/>
    <x v="1"/>
    <x v="1"/>
    <x v="18"/>
    <n v="1"/>
    <n v="96"/>
    <s v="Completed"/>
    <s v="Credit Card"/>
    <n v="96"/>
    <n v="4"/>
    <x v="0"/>
  </r>
  <r>
    <x v="3554"/>
    <x v="211"/>
    <s v="CUST1729"/>
    <s v="Rina Halim"/>
    <x v="0"/>
    <x v="1"/>
    <x v="6"/>
    <n v="4"/>
    <n v="96"/>
    <s v="Completed"/>
    <s v="Gift Card"/>
    <n v="384"/>
    <n v="2"/>
    <x v="0"/>
  </r>
  <r>
    <x v="3555"/>
    <x v="397"/>
    <s v="CUST1758"/>
    <s v="John Tan"/>
    <x v="1"/>
    <x v="5"/>
    <x v="29"/>
    <n v="1"/>
    <n v="96.02"/>
    <s v="Completed"/>
    <s v="Gift Card"/>
    <n v="96.02"/>
    <n v="4"/>
    <x v="0"/>
  </r>
  <r>
    <x v="3556"/>
    <x v="527"/>
    <s v="CUST1394"/>
    <s v="Nina Santos"/>
    <x v="1"/>
    <x v="5"/>
    <x v="29"/>
    <n v="2"/>
    <n v="96.03"/>
    <s v="Cancelled"/>
    <s v="PayPal"/>
    <n v="192.06"/>
    <n v="4"/>
    <x v="0"/>
  </r>
  <r>
    <x v="3557"/>
    <x v="377"/>
    <s v="CUST1111"/>
    <s v="Siti Halim"/>
    <x v="0"/>
    <x v="6"/>
    <x v="40"/>
    <n v="1"/>
    <n v="96.13"/>
    <s v="Completed"/>
    <s v="Credit Card"/>
    <n v="96.13"/>
    <n v="6"/>
    <x v="0"/>
  </r>
  <r>
    <x v="3558"/>
    <x v="567"/>
    <s v="CUST1099"/>
    <s v="Sarah Santos"/>
    <x v="0"/>
    <x v="5"/>
    <x v="28"/>
    <n v="1"/>
    <n v="96.15"/>
    <s v="Cancelled"/>
    <s v="Gift Card"/>
    <n v="96.15"/>
    <n v="5"/>
    <x v="0"/>
  </r>
  <r>
    <x v="3559"/>
    <x v="538"/>
    <s v="CUST1060"/>
    <s v="Ahmad Wilson"/>
    <x v="0"/>
    <x v="1"/>
    <x v="17"/>
    <n v="3"/>
    <n v="96.17"/>
    <s v="Completed"/>
    <s v="PayPal"/>
    <n v="288.51"/>
    <n v="7"/>
    <x v="0"/>
  </r>
  <r>
    <x v="3560"/>
    <x v="459"/>
    <s v="CUST1303"/>
    <s v="James Wilson"/>
    <x v="1"/>
    <x v="6"/>
    <x v="42"/>
    <n v="1"/>
    <n v="96.19"/>
    <s v="Completed"/>
    <s v="Gift Card"/>
    <n v="96.19"/>
    <n v="4"/>
    <x v="0"/>
  </r>
  <r>
    <x v="3561"/>
    <x v="251"/>
    <s v="CUST1548"/>
    <s v="Andi Tan"/>
    <x v="1"/>
    <x v="1"/>
    <x v="17"/>
    <n v="1"/>
    <n v="96.21"/>
    <s v="Completed"/>
    <s v="Credit Card"/>
    <n v="96.21"/>
    <n v="2"/>
    <x v="0"/>
  </r>
  <r>
    <x v="3562"/>
    <x v="312"/>
    <s v="CUST1448"/>
    <s v="Maria Halim"/>
    <x v="0"/>
    <x v="6"/>
    <x v="36"/>
    <n v="1"/>
    <n v="96.24"/>
    <s v="Completed"/>
    <s v="Credit Card"/>
    <n v="96.24"/>
    <n v="7"/>
    <x v="0"/>
  </r>
  <r>
    <x v="3563"/>
    <x v="433"/>
    <s v="CUST1618"/>
    <s v="Budi Lee"/>
    <x v="0"/>
    <x v="1"/>
    <x v="6"/>
    <n v="2"/>
    <n v="96.46"/>
    <s v="Completed"/>
    <s v="PayPal"/>
    <n v="192.92"/>
    <n v="5"/>
    <x v="0"/>
  </r>
  <r>
    <x v="3564"/>
    <x v="400"/>
    <s v="CUST1223"/>
    <s v="Michael Halim"/>
    <x v="0"/>
    <x v="6"/>
    <x v="42"/>
    <n v="1"/>
    <n v="96.64"/>
    <s v="Completed"/>
    <s v="PayPal"/>
    <n v="96.64"/>
    <n v="7"/>
    <x v="0"/>
  </r>
  <r>
    <x v="3565"/>
    <x v="652"/>
    <s v="CUST1674"/>
    <s v="Dewi Lee"/>
    <x v="0"/>
    <x v="6"/>
    <x v="39"/>
    <n v="2"/>
    <n v="96.85"/>
    <s v="Cancelled"/>
    <s v="PayPal"/>
    <n v="193.7"/>
    <n v="11"/>
    <x v="0"/>
  </r>
  <r>
    <x v="3566"/>
    <x v="163"/>
    <s v="CUST1771"/>
    <s v="Putri Salim"/>
    <x v="0"/>
    <x v="6"/>
    <x v="41"/>
    <n v="1"/>
    <n v="96.87"/>
    <s v="Completed"/>
    <s v="Gift Card"/>
    <n v="96.87"/>
    <n v="7"/>
    <x v="0"/>
  </r>
  <r>
    <x v="3567"/>
    <x v="593"/>
    <s v="CUST1586"/>
    <s v="Putri Smith"/>
    <x v="1"/>
    <x v="1"/>
    <x v="18"/>
    <n v="1"/>
    <n v="96.97"/>
    <s v="Completed"/>
    <s v="Credit Card"/>
    <n v="96.97"/>
    <n v="5"/>
    <x v="0"/>
  </r>
  <r>
    <x v="3568"/>
    <x v="542"/>
    <s v="CUST1359"/>
    <s v="Ayu Wilson"/>
    <x v="3"/>
    <x v="1"/>
    <x v="5"/>
    <n v="1"/>
    <n v="96.97"/>
    <s v="Completed"/>
    <s v="Unknown"/>
    <n v="96.97"/>
    <n v="3"/>
    <x v="0"/>
  </r>
  <r>
    <x v="3569"/>
    <x v="727"/>
    <s v="CUST1266"/>
    <s v="Kevin Nugroho"/>
    <x v="0"/>
    <x v="1"/>
    <x v="6"/>
    <n v="1"/>
    <n v="97.11"/>
    <s v="Cancelled"/>
    <s v="PayPal"/>
    <n v="97.11"/>
    <n v="5"/>
    <x v="0"/>
  </r>
  <r>
    <x v="3570"/>
    <x v="88"/>
    <s v="CUST1519"/>
    <s v="Andi Santos"/>
    <x v="0"/>
    <x v="1"/>
    <x v="5"/>
    <n v="1"/>
    <n v="97.15"/>
    <s v="Completed"/>
    <s v="Credit Card"/>
    <n v="97.15"/>
    <n v="7"/>
    <x v="0"/>
  </r>
  <r>
    <x v="3571"/>
    <x v="405"/>
    <s v="CUST1596"/>
    <s v="Ayu Garcia"/>
    <x v="0"/>
    <x v="1"/>
    <x v="5"/>
    <n v="2"/>
    <n v="97.16"/>
    <s v="Cancelled"/>
    <s v="Unknown"/>
    <n v="194.32"/>
    <n v="8"/>
    <x v="0"/>
  </r>
  <r>
    <x v="3572"/>
    <x v="627"/>
    <s v="CUST1177"/>
    <s v="Ayu Pratama"/>
    <x v="0"/>
    <x v="5"/>
    <x v="34"/>
    <n v="2"/>
    <n v="97.27"/>
    <s v="Completed"/>
    <s v="Credit Card"/>
    <n v="194.54"/>
    <n v="5"/>
    <x v="0"/>
  </r>
  <r>
    <x v="3573"/>
    <x v="476"/>
    <s v="CUST1057"/>
    <s v="Maria Lee"/>
    <x v="1"/>
    <x v="5"/>
    <x v="30"/>
    <n v="1"/>
    <n v="97.36"/>
    <s v="Completed"/>
    <s v="Credit Card"/>
    <n v="97.36"/>
    <n v="5"/>
    <x v="0"/>
  </r>
  <r>
    <x v="3574"/>
    <x v="452"/>
    <s v="CUST1487"/>
    <s v="Andi Lee"/>
    <x v="0"/>
    <x v="1"/>
    <x v="9"/>
    <n v="2"/>
    <n v="97.36"/>
    <s v="Completed"/>
    <s v="Credit Card"/>
    <n v="194.72"/>
    <n v="7"/>
    <x v="0"/>
  </r>
  <r>
    <x v="3575"/>
    <x v="218"/>
    <s v="CUST1733"/>
    <s v="Lisa Sari"/>
    <x v="0"/>
    <x v="5"/>
    <x v="34"/>
    <n v="2"/>
    <n v="97.46"/>
    <s v="Cancelled"/>
    <s v="PayPal"/>
    <n v="194.92"/>
    <n v="5"/>
    <x v="0"/>
  </r>
  <r>
    <x v="3576"/>
    <x v="477"/>
    <s v="CUST1423"/>
    <s v="David Smith"/>
    <x v="0"/>
    <x v="1"/>
    <x v="18"/>
    <n v="1"/>
    <n v="97.5"/>
    <s v="Cancelled"/>
    <s v="Debit Card"/>
    <n v="97.5"/>
    <n v="5"/>
    <x v="0"/>
  </r>
  <r>
    <x v="3577"/>
    <x v="390"/>
    <s v="CUST1450"/>
    <s v="David Santos"/>
    <x v="0"/>
    <x v="6"/>
    <x v="38"/>
    <n v="1"/>
    <n v="97.51"/>
    <s v="Completed"/>
    <s v="Debit Card"/>
    <n v="97.51"/>
    <n v="5"/>
    <x v="0"/>
  </r>
  <r>
    <x v="3578"/>
    <x v="461"/>
    <s v="CUST1257"/>
    <s v="Sarah Taylor"/>
    <x v="0"/>
    <x v="1"/>
    <x v="6"/>
    <n v="1"/>
    <n v="97.51"/>
    <s v="Completed"/>
    <s v="PayPal"/>
    <n v="97.51"/>
    <n v="7"/>
    <x v="0"/>
  </r>
  <r>
    <x v="3579"/>
    <x v="49"/>
    <s v="CUST1873"/>
    <s v="Ayu Anderson"/>
    <x v="0"/>
    <x v="1"/>
    <x v="5"/>
    <n v="1"/>
    <n v="97.51"/>
    <s v="Completed"/>
    <s v="Gift Card"/>
    <n v="97.51"/>
    <n v="5"/>
    <x v="0"/>
  </r>
  <r>
    <x v="3580"/>
    <x v="207"/>
    <s v="CUST1621"/>
    <s v="James Wijaya"/>
    <x v="0"/>
    <x v="1"/>
    <x v="18"/>
    <n v="1"/>
    <n v="97.59"/>
    <s v="Completed"/>
    <s v="Gift Card"/>
    <n v="97.59"/>
    <n v="4"/>
    <x v="0"/>
  </r>
  <r>
    <x v="3581"/>
    <x v="196"/>
    <s v="CUST1435"/>
    <s v="Dewi Lee"/>
    <x v="0"/>
    <x v="1"/>
    <x v="5"/>
    <n v="1"/>
    <n v="97.69"/>
    <s v="Completed"/>
    <s v="PayPal"/>
    <n v="97.69"/>
    <n v="5"/>
    <x v="0"/>
  </r>
  <r>
    <x v="3582"/>
    <x v="116"/>
    <s v="CUST1316"/>
    <s v="Unknown Customer"/>
    <x v="3"/>
    <x v="5"/>
    <x v="29"/>
    <n v="1"/>
    <n v="97.7"/>
    <s v="Completed"/>
    <s v="Debit Card"/>
    <n v="97.7"/>
    <n v="4"/>
    <x v="0"/>
  </r>
  <r>
    <x v="3583"/>
    <x v="419"/>
    <s v="CUST1264"/>
    <s v="Siti Halim"/>
    <x v="0"/>
    <x v="1"/>
    <x v="5"/>
    <n v="1"/>
    <n v="97.73"/>
    <s v="Completed"/>
    <s v="PayPal"/>
    <n v="97.73"/>
    <n v="7"/>
    <x v="0"/>
  </r>
  <r>
    <x v="3584"/>
    <x v="467"/>
    <s v="CUST1508"/>
    <s v="Budi Garcia"/>
    <x v="1"/>
    <x v="5"/>
    <x v="34"/>
    <n v="4"/>
    <n v="97.87"/>
    <s v="Cancelled"/>
    <s v="PayPal"/>
    <n v="391.48"/>
    <n v="5"/>
    <x v="0"/>
  </r>
  <r>
    <x v="3585"/>
    <x v="295"/>
    <s v="CUST1673"/>
    <s v="Ahmad Smith"/>
    <x v="0"/>
    <x v="1"/>
    <x v="17"/>
    <n v="1"/>
    <n v="97.9"/>
    <s v="Completed"/>
    <s v="Credit Card"/>
    <n v="97.9"/>
    <n v="4"/>
    <x v="0"/>
  </r>
  <r>
    <x v="3586"/>
    <x v="530"/>
    <s v="CUST1672"/>
    <s v="Ahmad Smith"/>
    <x v="0"/>
    <x v="5"/>
    <x v="28"/>
    <n v="2"/>
    <n v="97.92"/>
    <s v="Completed"/>
    <s v="Debit Card"/>
    <n v="195.84"/>
    <n v="3"/>
    <x v="0"/>
  </r>
  <r>
    <x v="3587"/>
    <x v="690"/>
    <s v="CUST1468"/>
    <s v="Michael Tan"/>
    <x v="0"/>
    <x v="5"/>
    <x v="31"/>
    <n v="2"/>
    <n v="97.95"/>
    <s v="Completed"/>
    <s v="Gift Card"/>
    <n v="195.9"/>
    <n v="8"/>
    <x v="0"/>
  </r>
  <r>
    <x v="3588"/>
    <x v="73"/>
    <s v="CUST1829"/>
    <s v="Nina Nugroho"/>
    <x v="1"/>
    <x v="5"/>
    <x v="32"/>
    <n v="2"/>
    <n v="97.98"/>
    <s v="Completed"/>
    <s v="Gift Card"/>
    <n v="195.96"/>
    <n v="4"/>
    <x v="0"/>
  </r>
  <r>
    <x v="3589"/>
    <x v="683"/>
    <s v="CUST1870"/>
    <s v="Dewi Chen"/>
    <x v="0"/>
    <x v="1"/>
    <x v="6"/>
    <n v="2"/>
    <n v="98.11"/>
    <s v="Cancelled"/>
    <s v="Gift Card"/>
    <n v="196.22"/>
    <n v="8"/>
    <x v="0"/>
  </r>
  <r>
    <x v="3590"/>
    <x v="219"/>
    <s v="CUST1346"/>
    <s v="Dewi Taylor"/>
    <x v="0"/>
    <x v="5"/>
    <x v="30"/>
    <n v="4"/>
    <n v="98.22"/>
    <s v="Completed"/>
    <s v="Credit Card"/>
    <n v="392.88"/>
    <n v="3"/>
    <x v="0"/>
  </r>
  <r>
    <x v="3591"/>
    <x v="242"/>
    <s v="CUST1334"/>
    <s v="Unknown Customer"/>
    <x v="0"/>
    <x v="6"/>
    <x v="39"/>
    <n v="1"/>
    <n v="98.27"/>
    <s v="Completed"/>
    <s v="PayPal"/>
    <n v="98.27"/>
    <n v="5"/>
    <x v="0"/>
  </r>
  <r>
    <x v="3592"/>
    <x v="345"/>
    <s v="CUST1835"/>
    <s v="Nina Wilson"/>
    <x v="1"/>
    <x v="1"/>
    <x v="9"/>
    <n v="1"/>
    <n v="98.3"/>
    <s v="Completed"/>
    <s v="Unknown"/>
    <n v="98.3"/>
    <n v="6"/>
    <x v="0"/>
  </r>
  <r>
    <x v="3593"/>
    <x v="275"/>
    <s v="CUST1116"/>
    <s v="Michael Lee"/>
    <x v="0"/>
    <x v="5"/>
    <x v="28"/>
    <n v="1"/>
    <n v="98.34"/>
    <s v="Completed"/>
    <s v="Debit Card"/>
    <n v="98.34"/>
    <n v="4"/>
    <x v="0"/>
  </r>
  <r>
    <x v="3594"/>
    <x v="546"/>
    <s v="CUST1321"/>
    <s v="Putri Garcia"/>
    <x v="1"/>
    <x v="6"/>
    <x v="36"/>
    <n v="1"/>
    <n v="98.39"/>
    <s v="Completed"/>
    <s v="Credit Card"/>
    <n v="98.39"/>
    <n v="8"/>
    <x v="0"/>
  </r>
  <r>
    <x v="3595"/>
    <x v="261"/>
    <s v="CUST1596"/>
    <s v="Ayu Garcia"/>
    <x v="0"/>
    <x v="6"/>
    <x v="42"/>
    <n v="1"/>
    <n v="98.43"/>
    <s v="Completed"/>
    <s v="Gift Card"/>
    <n v="98.43"/>
    <n v="8"/>
    <x v="0"/>
  </r>
  <r>
    <x v="3596"/>
    <x v="384"/>
    <s v="CUST1826"/>
    <s v="Maria Halim"/>
    <x v="0"/>
    <x v="6"/>
    <x v="35"/>
    <n v="1"/>
    <n v="98.55"/>
    <s v="Completed"/>
    <s v="Credit Card"/>
    <n v="98.55"/>
    <n v="6"/>
    <x v="0"/>
  </r>
  <r>
    <x v="3597"/>
    <x v="43"/>
    <s v="CUST1585"/>
    <s v="Robert Anderson"/>
    <x v="0"/>
    <x v="5"/>
    <x v="30"/>
    <n v="1"/>
    <n v="98.59"/>
    <s v="Completed"/>
    <s v="Credit Card"/>
    <n v="98.59"/>
    <n v="6"/>
    <x v="0"/>
  </r>
  <r>
    <x v="3598"/>
    <x v="73"/>
    <s v="CUST1239"/>
    <s v="Dewi Wilson"/>
    <x v="0"/>
    <x v="1"/>
    <x v="9"/>
    <n v="1"/>
    <n v="98.62"/>
    <s v="Completed"/>
    <s v="Unknown"/>
    <n v="98.62"/>
    <n v="4"/>
    <x v="0"/>
  </r>
  <r>
    <x v="3599"/>
    <x v="677"/>
    <s v="CUST1195"/>
    <s v="Unknown Customer"/>
    <x v="1"/>
    <x v="6"/>
    <x v="39"/>
    <n v="2"/>
    <n v="98.64"/>
    <s v="Completed"/>
    <s v="PayPal"/>
    <n v="197.28"/>
    <n v="5"/>
    <x v="0"/>
  </r>
  <r>
    <x v="3600"/>
    <x v="372"/>
    <s v="CUST1493"/>
    <s v="Lisa Kurniawan"/>
    <x v="0"/>
    <x v="5"/>
    <x v="30"/>
    <n v="1"/>
    <n v="98.7"/>
    <s v="Returned"/>
    <s v="Gift Card"/>
    <n v="98.7"/>
    <n v="8"/>
    <x v="0"/>
  </r>
  <r>
    <x v="3601"/>
    <x v="5"/>
    <s v="CUST1191"/>
    <s v="Putri Yusuf"/>
    <x v="1"/>
    <x v="6"/>
    <x v="41"/>
    <n v="1"/>
    <n v="98.77"/>
    <s v="Pending"/>
    <s v="PayPal"/>
    <n v="98.77"/>
    <n v="3"/>
    <x v="0"/>
  </r>
  <r>
    <x v="3602"/>
    <x v="518"/>
    <s v="CUST1340"/>
    <s v="Ayu Lee"/>
    <x v="0"/>
    <x v="6"/>
    <x v="38"/>
    <n v="1"/>
    <n v="98.8"/>
    <s v="Completed"/>
    <s v="PayPal"/>
    <n v="98.8"/>
    <n v="3"/>
    <x v="0"/>
  </r>
  <r>
    <x v="3603"/>
    <x v="401"/>
    <s v="CUST1158"/>
    <s v="Nina Nugroho"/>
    <x v="0"/>
    <x v="6"/>
    <x v="41"/>
    <n v="1"/>
    <n v="98.82"/>
    <s v="Completed"/>
    <s v="Unknown"/>
    <n v="98.82"/>
    <n v="3"/>
    <x v="0"/>
  </r>
  <r>
    <x v="3604"/>
    <x v="50"/>
    <s v="CUST1512"/>
    <s v="Rina Wilson"/>
    <x v="1"/>
    <x v="6"/>
    <x v="36"/>
    <n v="1"/>
    <n v="98.82"/>
    <s v="Cancelled"/>
    <s v="PayPal"/>
    <n v="98.82"/>
    <n v="6"/>
    <x v="0"/>
  </r>
  <r>
    <x v="3605"/>
    <x v="593"/>
    <s v="CUST1737"/>
    <s v="Ahmad Brown"/>
    <x v="0"/>
    <x v="5"/>
    <x v="30"/>
    <n v="1"/>
    <n v="98.93"/>
    <s v="Completed"/>
    <s v="Credit Card"/>
    <n v="98.93"/>
    <n v="3"/>
    <x v="0"/>
  </r>
  <r>
    <x v="3606"/>
    <x v="5"/>
    <s v="CUST1611"/>
    <s v="Maria Sari"/>
    <x v="0"/>
    <x v="5"/>
    <x v="28"/>
    <n v="1"/>
    <n v="99.01"/>
    <s v="Completed"/>
    <s v="Credit Card"/>
    <n v="99.01"/>
    <n v="10"/>
    <x v="0"/>
  </r>
  <r>
    <x v="3607"/>
    <x v="499"/>
    <s v="CUST1894"/>
    <s v="Putri Anderson"/>
    <x v="0"/>
    <x v="1"/>
    <x v="17"/>
    <n v="1"/>
    <n v="99.07"/>
    <s v="Completed"/>
    <s v="Debit Card"/>
    <n v="99.07"/>
    <n v="4"/>
    <x v="0"/>
  </r>
  <r>
    <x v="3608"/>
    <x v="512"/>
    <s v="CUST1144"/>
    <s v="Kevin Smith"/>
    <x v="0"/>
    <x v="5"/>
    <x v="32"/>
    <n v="1"/>
    <n v="99.12"/>
    <s v="Completed"/>
    <s v="Credit Card"/>
    <n v="99.12"/>
    <n v="5"/>
    <x v="0"/>
  </r>
  <r>
    <x v="3609"/>
    <x v="662"/>
    <s v="CUST1123"/>
    <s v="Andi Anderson"/>
    <x v="0"/>
    <x v="1"/>
    <x v="9"/>
    <n v="5"/>
    <n v="99.19"/>
    <s v="Completed"/>
    <s v="Credit Card"/>
    <n v="495.95"/>
    <n v="4"/>
    <x v="0"/>
  </r>
  <r>
    <x v="3610"/>
    <x v="487"/>
    <s v="CUST1415"/>
    <s v="Sarah Salim"/>
    <x v="0"/>
    <x v="5"/>
    <x v="31"/>
    <n v="1"/>
    <n v="99.31"/>
    <s v="Cancelled"/>
    <s v="Gift Card"/>
    <n v="99.31"/>
    <n v="5"/>
    <x v="0"/>
  </r>
  <r>
    <x v="3611"/>
    <x v="726"/>
    <s v="CUST1465"/>
    <s v="Nina Wilson"/>
    <x v="1"/>
    <x v="1"/>
    <x v="20"/>
    <n v="2"/>
    <n v="99.46"/>
    <s v="Completed"/>
    <s v="Debit Card"/>
    <n v="198.92"/>
    <n v="7"/>
    <x v="0"/>
  </r>
  <r>
    <x v="3612"/>
    <x v="128"/>
    <s v="CUST1623"/>
    <s v="John Yusuf"/>
    <x v="0"/>
    <x v="6"/>
    <x v="38"/>
    <n v="1"/>
    <n v="99.47"/>
    <s v="Completed"/>
    <s v="PayPal"/>
    <n v="99.47"/>
    <n v="7"/>
    <x v="0"/>
  </r>
  <r>
    <x v="3613"/>
    <x v="295"/>
    <s v="CUST1710"/>
    <s v="Linda Chen"/>
    <x v="0"/>
    <x v="1"/>
    <x v="18"/>
    <n v="2"/>
    <n v="99.56"/>
    <s v="Cancelled"/>
    <s v="Credit Card"/>
    <n v="199.12"/>
    <n v="6"/>
    <x v="0"/>
  </r>
  <r>
    <x v="3614"/>
    <x v="245"/>
    <s v="CUST1491"/>
    <s v="Rina Taylor"/>
    <x v="0"/>
    <x v="5"/>
    <x v="30"/>
    <n v="2"/>
    <n v="99.59"/>
    <s v="Completed"/>
    <s v="Debit Card"/>
    <n v="199.18"/>
    <n v="7"/>
    <x v="0"/>
  </r>
  <r>
    <x v="3615"/>
    <x v="542"/>
    <s v="CUST1439"/>
    <s v="Maria Johnson"/>
    <x v="0"/>
    <x v="6"/>
    <x v="40"/>
    <n v="1"/>
    <n v="99.62"/>
    <s v="Completed"/>
    <s v="PayPal"/>
    <n v="99.62"/>
    <n v="6"/>
    <x v="0"/>
  </r>
  <r>
    <x v="3616"/>
    <x v="164"/>
    <s v="CUST1178"/>
    <s v="Michael Pratama"/>
    <x v="1"/>
    <x v="6"/>
    <x v="42"/>
    <n v="2"/>
    <n v="99.62"/>
    <s v="Completed"/>
    <s v="Credit Card"/>
    <n v="199.24"/>
    <n v="6"/>
    <x v="0"/>
  </r>
  <r>
    <x v="3617"/>
    <x v="687"/>
    <s v="CUST1097"/>
    <s v="Fajar Anderson"/>
    <x v="0"/>
    <x v="5"/>
    <x v="34"/>
    <n v="1"/>
    <n v="99.63"/>
    <s v="Pending"/>
    <s v="Gift Card"/>
    <n v="99.63"/>
    <n v="6"/>
    <x v="0"/>
  </r>
  <r>
    <x v="3618"/>
    <x v="312"/>
    <s v="CUST1602"/>
    <s v="Siti Lee"/>
    <x v="1"/>
    <x v="1"/>
    <x v="18"/>
    <n v="2"/>
    <n v="99.71"/>
    <s v="Cancelled"/>
    <s v="Gift Card"/>
    <n v="199.42"/>
    <n v="5"/>
    <x v="0"/>
  </r>
  <r>
    <x v="3619"/>
    <x v="201"/>
    <s v="CUST1112"/>
    <s v="Putri Halim"/>
    <x v="1"/>
    <x v="1"/>
    <x v="6"/>
    <n v="1"/>
    <n v="99.79"/>
    <s v="Completed"/>
    <s v="PayPal"/>
    <n v="99.79"/>
    <n v="5"/>
    <x v="0"/>
  </r>
  <r>
    <x v="3620"/>
    <x v="430"/>
    <s v="CUST1514"/>
    <s v="Rina Wijaya"/>
    <x v="1"/>
    <x v="5"/>
    <x v="33"/>
    <n v="2"/>
    <n v="99.79"/>
    <s v="Completed"/>
    <s v="PayPal"/>
    <n v="199.58"/>
    <n v="9"/>
    <x v="0"/>
  </r>
  <r>
    <x v="3621"/>
    <x v="526"/>
    <s v="CUST1469"/>
    <s v="Michael Lee"/>
    <x v="1"/>
    <x v="6"/>
    <x v="41"/>
    <n v="1"/>
    <n v="99.81"/>
    <s v="Completed"/>
    <s v="Credit Card"/>
    <n v="99.81"/>
    <n v="4"/>
    <x v="0"/>
  </r>
  <r>
    <x v="3622"/>
    <x v="629"/>
    <s v="CUST1233"/>
    <s v="Michael Lee"/>
    <x v="0"/>
    <x v="6"/>
    <x v="40"/>
    <n v="1"/>
    <n v="99.85"/>
    <s v="Completed"/>
    <s v="Debit Card"/>
    <n v="99.85"/>
    <n v="6"/>
    <x v="0"/>
  </r>
  <r>
    <x v="3623"/>
    <x v="641"/>
    <s v="CUST1838"/>
    <s v="Budi Chen"/>
    <x v="1"/>
    <x v="1"/>
    <x v="9"/>
    <n v="4"/>
    <n v="99.85"/>
    <s v="Completed"/>
    <s v="PayPal"/>
    <n v="399.4"/>
    <n v="6"/>
    <x v="0"/>
  </r>
  <r>
    <x v="3624"/>
    <x v="644"/>
    <s v="CUST1260"/>
    <s v="Fajar Pratama"/>
    <x v="0"/>
    <x v="1"/>
    <x v="18"/>
    <n v="5"/>
    <n v="99.89"/>
    <s v="Completed"/>
    <s v="Gift Card"/>
    <n v="499.45"/>
    <n v="5"/>
    <x v="0"/>
  </r>
  <r>
    <x v="3625"/>
    <x v="364"/>
    <s v="CUST1755"/>
    <s v="Budi Sari"/>
    <x v="0"/>
    <x v="6"/>
    <x v="41"/>
    <n v="2"/>
    <n v="99.92"/>
    <s v="Completed"/>
    <s v="Credit Card"/>
    <n v="199.84"/>
    <n v="11"/>
    <x v="0"/>
  </r>
  <r>
    <x v="3626"/>
    <x v="410"/>
    <s v="CUST1376"/>
    <s v="Nina Yusuf"/>
    <x v="1"/>
    <x v="5"/>
    <x v="34"/>
    <n v="1"/>
    <n v="99.97"/>
    <s v="Pending"/>
    <s v="PayPal"/>
    <n v="99.97"/>
    <n v="5"/>
    <x v="0"/>
  </r>
  <r>
    <x v="3627"/>
    <x v="78"/>
    <s v="CUST1432"/>
    <s v="Andi Smith"/>
    <x v="0"/>
    <x v="6"/>
    <x v="41"/>
    <n v="1"/>
    <n v="100.08"/>
    <s v="Returned"/>
    <s v="Credit Card"/>
    <n v="100.08"/>
    <n v="7"/>
    <x v="0"/>
  </r>
  <r>
    <x v="3628"/>
    <x v="4"/>
    <s v="CUST1106"/>
    <s v="Lisa Kurniawan"/>
    <x v="0"/>
    <x v="5"/>
    <x v="31"/>
    <n v="3"/>
    <n v="100.12"/>
    <s v="Returned"/>
    <s v="Gift Card"/>
    <n v="300.36"/>
    <n v="5"/>
    <x v="0"/>
  </r>
  <r>
    <x v="3629"/>
    <x v="205"/>
    <s v="CUST1151"/>
    <s v="Ayu Smith"/>
    <x v="0"/>
    <x v="6"/>
    <x v="35"/>
    <n v="2"/>
    <n v="100.23"/>
    <s v="Completed"/>
    <s v="Debit Card"/>
    <n v="200.46"/>
    <n v="3"/>
    <x v="0"/>
  </r>
  <r>
    <x v="3630"/>
    <x v="357"/>
    <s v="CUST1744"/>
    <s v="Andi Sari"/>
    <x v="0"/>
    <x v="6"/>
    <x v="42"/>
    <n v="3"/>
    <n v="100.47"/>
    <s v="Completed"/>
    <s v="Gift Card"/>
    <n v="301.40999999999997"/>
    <n v="6"/>
    <x v="0"/>
  </r>
  <r>
    <x v="3631"/>
    <x v="720"/>
    <s v="CUST1588"/>
    <s v="David Anderson"/>
    <x v="0"/>
    <x v="6"/>
    <x v="36"/>
    <n v="1"/>
    <n v="100.5"/>
    <s v="Completed"/>
    <s v="Gift Card"/>
    <n v="100.5"/>
    <n v="5"/>
    <x v="0"/>
  </r>
  <r>
    <x v="3632"/>
    <x v="81"/>
    <s v="CUST1015"/>
    <s v="Michael Tan"/>
    <x v="0"/>
    <x v="6"/>
    <x v="37"/>
    <n v="1"/>
    <n v="100.6"/>
    <s v="Completed"/>
    <s v="Debit Card"/>
    <n v="100.6"/>
    <n v="3"/>
    <x v="0"/>
  </r>
  <r>
    <x v="3633"/>
    <x v="318"/>
    <s v="CUST1671"/>
    <s v="John Taylor"/>
    <x v="3"/>
    <x v="6"/>
    <x v="37"/>
    <n v="1"/>
    <n v="100.67"/>
    <s v="Cancelled"/>
    <s v="Gift Card"/>
    <n v="100.67"/>
    <n v="4"/>
    <x v="0"/>
  </r>
  <r>
    <x v="3634"/>
    <x v="398"/>
    <s v="CUST1153"/>
    <s v="Fajar Salim"/>
    <x v="0"/>
    <x v="6"/>
    <x v="36"/>
    <n v="1"/>
    <n v="100.81"/>
    <s v="Completed"/>
    <s v="Gift Card"/>
    <n v="100.81"/>
    <n v="6"/>
    <x v="0"/>
  </r>
  <r>
    <x v="3635"/>
    <x v="43"/>
    <s v="CUST1436"/>
    <s v="Lisa Garcia"/>
    <x v="0"/>
    <x v="6"/>
    <x v="36"/>
    <n v="1"/>
    <n v="100.89"/>
    <s v="Completed"/>
    <s v="PayPal"/>
    <n v="100.89"/>
    <n v="8"/>
    <x v="0"/>
  </r>
  <r>
    <x v="3636"/>
    <x v="73"/>
    <s v="CUST1117"/>
    <s v="Sarah Pratama"/>
    <x v="0"/>
    <x v="6"/>
    <x v="35"/>
    <n v="3"/>
    <n v="100.93"/>
    <s v="Completed"/>
    <s v="PayPal"/>
    <n v="302.79000000000002"/>
    <n v="5"/>
    <x v="0"/>
  </r>
  <r>
    <x v="3637"/>
    <x v="386"/>
    <s v="CUST1427"/>
    <s v="James Halim"/>
    <x v="1"/>
    <x v="5"/>
    <x v="34"/>
    <n v="1"/>
    <n v="101.26"/>
    <s v="Completed"/>
    <s v="PayPal"/>
    <n v="101.26"/>
    <n v="3"/>
    <x v="0"/>
  </r>
  <r>
    <x v="3638"/>
    <x v="457"/>
    <s v="CUST1543"/>
    <s v="Ayu Wilson"/>
    <x v="0"/>
    <x v="5"/>
    <x v="28"/>
    <n v="2"/>
    <n v="101.48"/>
    <s v="Completed"/>
    <s v="PayPal"/>
    <n v="202.96"/>
    <n v="12"/>
    <x v="0"/>
  </r>
  <r>
    <x v="3639"/>
    <x v="158"/>
    <s v="CUST1273"/>
    <s v="Ayu Salim"/>
    <x v="0"/>
    <x v="5"/>
    <x v="29"/>
    <n v="1"/>
    <n v="101.52"/>
    <s v="Completed"/>
    <s v="Debit Card"/>
    <n v="101.52"/>
    <n v="6"/>
    <x v="0"/>
  </r>
  <r>
    <x v="3640"/>
    <x v="483"/>
    <s v="CUST1169"/>
    <s v="Lisa Hidayat"/>
    <x v="1"/>
    <x v="6"/>
    <x v="41"/>
    <n v="3"/>
    <n v="101.77"/>
    <s v="Completed"/>
    <s v="Debit Card"/>
    <n v="305.31"/>
    <n v="5"/>
    <x v="0"/>
  </r>
  <r>
    <x v="3641"/>
    <x v="572"/>
    <s v="CUST1839"/>
    <s v="John Tan"/>
    <x v="0"/>
    <x v="5"/>
    <x v="31"/>
    <n v="1"/>
    <n v="101.82"/>
    <s v="Completed"/>
    <s v="Gift Card"/>
    <n v="101.82"/>
    <n v="10"/>
    <x v="0"/>
  </r>
  <r>
    <x v="3642"/>
    <x v="462"/>
    <s v="CUST1763"/>
    <s v="Fajar Yusuf"/>
    <x v="0"/>
    <x v="6"/>
    <x v="35"/>
    <n v="5"/>
    <n v="101.98"/>
    <s v="Cancelled"/>
    <s v="Credit Card"/>
    <n v="509.90000000000003"/>
    <n v="4"/>
    <x v="0"/>
  </r>
  <r>
    <x v="3643"/>
    <x v="91"/>
    <s v="CUST1836"/>
    <s v="Kevin Salim"/>
    <x v="0"/>
    <x v="6"/>
    <x v="39"/>
    <n v="2"/>
    <n v="101.99"/>
    <s v="Completed"/>
    <s v="Debit Card"/>
    <n v="203.98"/>
    <n v="6"/>
    <x v="0"/>
  </r>
  <r>
    <x v="3644"/>
    <x v="558"/>
    <s v="CUST1388"/>
    <s v="Rina Tan"/>
    <x v="0"/>
    <x v="5"/>
    <x v="30"/>
    <n v="1"/>
    <n v="102.03"/>
    <s v="Completed"/>
    <s v="Credit Card"/>
    <n v="102.03"/>
    <n v="7"/>
    <x v="0"/>
  </r>
  <r>
    <x v="3645"/>
    <x v="389"/>
    <s v="CUST1006"/>
    <s v="James Smith"/>
    <x v="0"/>
    <x v="5"/>
    <x v="33"/>
    <n v="1"/>
    <n v="102.03"/>
    <s v="Completed"/>
    <s v="PayPal"/>
    <n v="102.03"/>
    <n v="8"/>
    <x v="0"/>
  </r>
  <r>
    <x v="3646"/>
    <x v="674"/>
    <s v="CUST1452"/>
    <s v="Fajar Yusuf"/>
    <x v="0"/>
    <x v="5"/>
    <x v="30"/>
    <n v="2"/>
    <n v="102.18"/>
    <s v="Completed"/>
    <s v="Gift Card"/>
    <n v="204.36"/>
    <n v="3"/>
    <x v="0"/>
  </r>
  <r>
    <x v="3647"/>
    <x v="238"/>
    <s v="CUST1172"/>
    <s v="Nina Lee"/>
    <x v="0"/>
    <x v="6"/>
    <x v="42"/>
    <n v="1"/>
    <n v="102.63"/>
    <s v="Completed"/>
    <s v="Gift Card"/>
    <n v="102.63"/>
    <n v="8"/>
    <x v="0"/>
  </r>
  <r>
    <x v="3648"/>
    <x v="151"/>
    <s v="CUST1699"/>
    <s v="John Yusuf"/>
    <x v="0"/>
    <x v="5"/>
    <x v="30"/>
    <n v="1"/>
    <n v="102.66"/>
    <s v="Completed"/>
    <s v="PayPal"/>
    <n v="102.66"/>
    <n v="6"/>
    <x v="0"/>
  </r>
  <r>
    <x v="3649"/>
    <x v="67"/>
    <s v="CUST1394"/>
    <s v="Nina Santos"/>
    <x v="1"/>
    <x v="5"/>
    <x v="28"/>
    <n v="2"/>
    <n v="102.73"/>
    <s v="Completed"/>
    <s v="Debit Card"/>
    <n v="205.46"/>
    <n v="4"/>
    <x v="0"/>
  </r>
  <r>
    <x v="3650"/>
    <x v="106"/>
    <s v="CUST1070"/>
    <s v="Kevin Johnson"/>
    <x v="1"/>
    <x v="6"/>
    <x v="35"/>
    <n v="1"/>
    <n v="102.77"/>
    <s v="Completed"/>
    <s v="PayPal"/>
    <n v="102.77"/>
    <n v="3"/>
    <x v="0"/>
  </r>
  <r>
    <x v="3651"/>
    <x v="318"/>
    <s v="CUST1643"/>
    <s v="Fajar Lee"/>
    <x v="2"/>
    <x v="5"/>
    <x v="29"/>
    <n v="1"/>
    <n v="102.81"/>
    <s v="Completed"/>
    <s v="Debit Card"/>
    <n v="102.81"/>
    <n v="2"/>
    <x v="0"/>
  </r>
  <r>
    <x v="3652"/>
    <x v="163"/>
    <s v="CUST1012"/>
    <s v="Andi Yusuf"/>
    <x v="0"/>
    <x v="5"/>
    <x v="31"/>
    <n v="2"/>
    <n v="102.93"/>
    <s v="Completed"/>
    <s v="Gift Card"/>
    <n v="205.86"/>
    <n v="6"/>
    <x v="0"/>
  </r>
  <r>
    <x v="3653"/>
    <x v="641"/>
    <s v="CUST1138"/>
    <s v="Fajar Anderson"/>
    <x v="0"/>
    <x v="5"/>
    <x v="33"/>
    <n v="1"/>
    <n v="102.95"/>
    <s v="Completed"/>
    <s v="Debit Card"/>
    <n v="102.95"/>
    <n v="7"/>
    <x v="0"/>
  </r>
  <r>
    <x v="3654"/>
    <x v="242"/>
    <s v="CUST1776"/>
    <s v="Ahmad Smith"/>
    <x v="0"/>
    <x v="5"/>
    <x v="32"/>
    <n v="1"/>
    <n v="103.33"/>
    <s v="Completed"/>
    <s v="Debit Card"/>
    <n v="103.33"/>
    <n v="3"/>
    <x v="0"/>
  </r>
  <r>
    <x v="3655"/>
    <x v="705"/>
    <s v="CUST1322"/>
    <s v="Ahmad Wijaya"/>
    <x v="1"/>
    <x v="5"/>
    <x v="34"/>
    <n v="1"/>
    <n v="103.34"/>
    <s v="Completed"/>
    <s v="PayPal"/>
    <n v="103.34"/>
    <n v="7"/>
    <x v="0"/>
  </r>
  <r>
    <x v="3656"/>
    <x v="345"/>
    <s v="CUST1085"/>
    <s v="John Kurniawan"/>
    <x v="0"/>
    <x v="5"/>
    <x v="31"/>
    <n v="1"/>
    <n v="103.41"/>
    <s v="Completed"/>
    <s v="Debit Card"/>
    <n v="103.41"/>
    <n v="7"/>
    <x v="0"/>
  </r>
  <r>
    <x v="3657"/>
    <x v="173"/>
    <s v="CUST1278"/>
    <s v="David Salim"/>
    <x v="0"/>
    <x v="5"/>
    <x v="34"/>
    <n v="1"/>
    <n v="103.58"/>
    <s v="Completed"/>
    <s v="PayPal"/>
    <n v="103.58"/>
    <n v="3"/>
    <x v="0"/>
  </r>
  <r>
    <x v="3658"/>
    <x v="639"/>
    <s v="CUST1726"/>
    <s v="John Tan"/>
    <x v="0"/>
    <x v="5"/>
    <x v="33"/>
    <n v="1"/>
    <n v="103.8"/>
    <s v="Completed"/>
    <s v="Debit Card"/>
    <n v="103.8"/>
    <n v="8"/>
    <x v="0"/>
  </r>
  <r>
    <x v="3659"/>
    <x v="408"/>
    <s v="CUST1189"/>
    <s v="Ahmad Kurniawan"/>
    <x v="1"/>
    <x v="6"/>
    <x v="37"/>
    <n v="1"/>
    <n v="103.86"/>
    <s v="Completed"/>
    <s v="Debit Card"/>
    <n v="103.86"/>
    <n v="6"/>
    <x v="0"/>
  </r>
  <r>
    <x v="3660"/>
    <x v="630"/>
    <s v="CUST1348"/>
    <s v="Putri Nugroho"/>
    <x v="0"/>
    <x v="5"/>
    <x v="31"/>
    <n v="1"/>
    <n v="104.35"/>
    <s v="Completed"/>
    <s v="Credit Card"/>
    <n v="104.35"/>
    <n v="6"/>
    <x v="0"/>
  </r>
  <r>
    <x v="3661"/>
    <x v="607"/>
    <s v="CUST1891"/>
    <s v="Sarah Lee"/>
    <x v="0"/>
    <x v="6"/>
    <x v="41"/>
    <n v="1"/>
    <n v="104.51"/>
    <s v="Completed"/>
    <s v="PayPal"/>
    <n v="104.51"/>
    <n v="6"/>
    <x v="0"/>
  </r>
  <r>
    <x v="3662"/>
    <x v="586"/>
    <s v="CUST1345"/>
    <s v="Michael Santos"/>
    <x v="0"/>
    <x v="6"/>
    <x v="41"/>
    <n v="5"/>
    <n v="104.55"/>
    <s v="Completed"/>
    <s v="Debit Card"/>
    <n v="522.75"/>
    <n v="7"/>
    <x v="0"/>
  </r>
  <r>
    <x v="3663"/>
    <x v="357"/>
    <s v="CUST1084"/>
    <s v="Ahmad Anderson"/>
    <x v="0"/>
    <x v="6"/>
    <x v="41"/>
    <n v="2"/>
    <n v="104.61"/>
    <s v="Completed"/>
    <s v="Debit Card"/>
    <n v="209.22"/>
    <n v="4"/>
    <x v="0"/>
  </r>
  <r>
    <x v="3664"/>
    <x v="21"/>
    <s v="CUST1168"/>
    <s v="Linda Nugroho"/>
    <x v="0"/>
    <x v="6"/>
    <x v="35"/>
    <n v="2"/>
    <n v="104.61"/>
    <s v="Completed"/>
    <s v="PayPal"/>
    <n v="209.22"/>
    <n v="4"/>
    <x v="0"/>
  </r>
  <r>
    <x v="3665"/>
    <x v="558"/>
    <s v="CUST1462"/>
    <s v="Michael Lee"/>
    <x v="1"/>
    <x v="6"/>
    <x v="36"/>
    <n v="4"/>
    <n v="104.67"/>
    <s v="Completed"/>
    <s v="PayPal"/>
    <n v="418.68"/>
    <n v="3"/>
    <x v="0"/>
  </r>
  <r>
    <x v="3666"/>
    <x v="604"/>
    <s v="CUST1372"/>
    <s v="Rina Nugroho"/>
    <x v="0"/>
    <x v="5"/>
    <x v="28"/>
    <n v="2"/>
    <n v="104.74"/>
    <s v="Completed"/>
    <s v="PayPal"/>
    <n v="209.48"/>
    <n v="4"/>
    <x v="0"/>
  </r>
  <r>
    <x v="3667"/>
    <x v="319"/>
    <s v="CUST1584"/>
    <s v="John Garcia"/>
    <x v="0"/>
    <x v="5"/>
    <x v="34"/>
    <n v="5"/>
    <n v="104.78"/>
    <s v="Completed"/>
    <s v="PayPal"/>
    <n v="523.9"/>
    <n v="5"/>
    <x v="0"/>
  </r>
  <r>
    <x v="3668"/>
    <x v="8"/>
    <s v="CUST1784"/>
    <s v="Kevin Kurniawan"/>
    <x v="2"/>
    <x v="5"/>
    <x v="29"/>
    <n v="2"/>
    <n v="104.86"/>
    <s v="Completed"/>
    <s v="Debit Card"/>
    <n v="209.72"/>
    <n v="2"/>
    <x v="0"/>
  </r>
  <r>
    <x v="3669"/>
    <x v="217"/>
    <s v="CUST1671"/>
    <s v="John Taylor"/>
    <x v="3"/>
    <x v="6"/>
    <x v="38"/>
    <n v="2"/>
    <n v="104.9"/>
    <s v="Completed"/>
    <s v="Debit Card"/>
    <n v="209.8"/>
    <n v="4"/>
    <x v="0"/>
  </r>
  <r>
    <x v="3670"/>
    <x v="309"/>
    <s v="CUST1818"/>
    <s v="Siti Salim"/>
    <x v="0"/>
    <x v="5"/>
    <x v="30"/>
    <n v="1"/>
    <n v="104.96"/>
    <s v="Completed"/>
    <s v="Credit Card"/>
    <n v="104.96"/>
    <n v="8"/>
    <x v="0"/>
  </r>
  <r>
    <x v="3671"/>
    <x v="273"/>
    <s v="CUST1386"/>
    <s v="Lisa Johnson"/>
    <x v="0"/>
    <x v="5"/>
    <x v="30"/>
    <n v="1"/>
    <n v="105.13"/>
    <s v="Cancelled"/>
    <s v="Credit Card"/>
    <n v="105.13"/>
    <n v="7"/>
    <x v="0"/>
  </r>
  <r>
    <x v="3672"/>
    <x v="90"/>
    <s v="CUST1754"/>
    <s v="Kevin Salim"/>
    <x v="1"/>
    <x v="6"/>
    <x v="36"/>
    <n v="2"/>
    <n v="105.51"/>
    <s v="Completed"/>
    <s v="Credit Card"/>
    <n v="211.02"/>
    <n v="5"/>
    <x v="0"/>
  </r>
  <r>
    <x v="3673"/>
    <x v="273"/>
    <s v="CUST1803"/>
    <s v="John Sari"/>
    <x v="1"/>
    <x v="5"/>
    <x v="33"/>
    <n v="2"/>
    <n v="105.52"/>
    <s v="Completed"/>
    <s v="Gift Card"/>
    <n v="211.04"/>
    <n v="2"/>
    <x v="0"/>
  </r>
  <r>
    <x v="3674"/>
    <x v="499"/>
    <s v="CUST1623"/>
    <s v="John Yusuf"/>
    <x v="0"/>
    <x v="6"/>
    <x v="40"/>
    <n v="2"/>
    <n v="105.66"/>
    <s v="Completed"/>
    <s v="Debit Card"/>
    <n v="211.32"/>
    <n v="7"/>
    <x v="0"/>
  </r>
  <r>
    <x v="3675"/>
    <x v="239"/>
    <s v="CUST1159"/>
    <s v="Michael Smith"/>
    <x v="0"/>
    <x v="5"/>
    <x v="31"/>
    <n v="1"/>
    <n v="105.72"/>
    <s v="Completed"/>
    <s v="Debit Card"/>
    <n v="105.72"/>
    <n v="4"/>
    <x v="0"/>
  </r>
  <r>
    <x v="3676"/>
    <x v="672"/>
    <s v="CUST1194"/>
    <s v="Maria Hidayat"/>
    <x v="0"/>
    <x v="6"/>
    <x v="35"/>
    <n v="1"/>
    <n v="105.79"/>
    <s v="Completed"/>
    <s v="Credit Card"/>
    <n v="105.79"/>
    <n v="8"/>
    <x v="0"/>
  </r>
  <r>
    <x v="3677"/>
    <x v="54"/>
    <s v="CUST1250"/>
    <s v="Linda Smith"/>
    <x v="0"/>
    <x v="6"/>
    <x v="36"/>
    <n v="2"/>
    <n v="105.86"/>
    <s v="Completed"/>
    <s v="Debit Card"/>
    <n v="211.72"/>
    <n v="6"/>
    <x v="0"/>
  </r>
  <r>
    <x v="3678"/>
    <x v="190"/>
    <s v="CUST1157"/>
    <s v="Robert Kurniawan"/>
    <x v="0"/>
    <x v="5"/>
    <x v="29"/>
    <n v="3"/>
    <n v="105.96"/>
    <s v="Completed"/>
    <s v="Credit Card"/>
    <n v="317.88"/>
    <n v="4"/>
    <x v="0"/>
  </r>
  <r>
    <x v="3679"/>
    <x v="240"/>
    <s v="CUST1415"/>
    <s v="Sarah Salim"/>
    <x v="0"/>
    <x v="5"/>
    <x v="30"/>
    <n v="4"/>
    <n v="106.12"/>
    <s v="Completed"/>
    <s v="Gift Card"/>
    <n v="424.48"/>
    <n v="5"/>
    <x v="0"/>
  </r>
  <r>
    <x v="3680"/>
    <x v="234"/>
    <s v="CUST1757"/>
    <s v="Sarah Lee"/>
    <x v="0"/>
    <x v="5"/>
    <x v="30"/>
    <n v="2"/>
    <n v="106.14"/>
    <s v="Completed"/>
    <s v="Credit Card"/>
    <n v="212.28"/>
    <n v="4"/>
    <x v="0"/>
  </r>
  <r>
    <x v="3681"/>
    <x v="373"/>
    <s v="CUST1066"/>
    <s v="Michael Lee"/>
    <x v="1"/>
    <x v="5"/>
    <x v="34"/>
    <n v="2"/>
    <n v="106.32"/>
    <s v="Completed"/>
    <s v="Credit Card"/>
    <n v="212.64"/>
    <n v="5"/>
    <x v="0"/>
  </r>
  <r>
    <x v="3682"/>
    <x v="547"/>
    <s v="CUST1675"/>
    <s v="Putri Kurniawan"/>
    <x v="0"/>
    <x v="5"/>
    <x v="32"/>
    <n v="1"/>
    <n v="106.63"/>
    <s v="Completed"/>
    <s v="Debit Card"/>
    <n v="106.63"/>
    <n v="6"/>
    <x v="0"/>
  </r>
  <r>
    <x v="3683"/>
    <x v="441"/>
    <s v="CUST1587"/>
    <s v="Robert Santos"/>
    <x v="0"/>
    <x v="5"/>
    <x v="30"/>
    <n v="1"/>
    <n v="106.64"/>
    <s v="Completed"/>
    <s v="Debit Card"/>
    <n v="106.64"/>
    <n v="3"/>
    <x v="0"/>
  </r>
  <r>
    <x v="3684"/>
    <x v="618"/>
    <s v="CUST1460"/>
    <s v="Rina Sari"/>
    <x v="0"/>
    <x v="5"/>
    <x v="28"/>
    <n v="1"/>
    <n v="106.78"/>
    <s v="Completed"/>
    <s v="Gift Card"/>
    <n v="106.78"/>
    <n v="9"/>
    <x v="0"/>
  </r>
  <r>
    <x v="3685"/>
    <x v="399"/>
    <s v="CUST1669"/>
    <s v="Dewi Brown"/>
    <x v="0"/>
    <x v="6"/>
    <x v="41"/>
    <n v="1"/>
    <n v="106.83"/>
    <s v="Completed"/>
    <s v="Credit Card"/>
    <n v="106.83"/>
    <n v="5"/>
    <x v="0"/>
  </r>
  <r>
    <x v="3686"/>
    <x v="476"/>
    <s v="CUST1264"/>
    <s v="Siti Halim"/>
    <x v="0"/>
    <x v="6"/>
    <x v="42"/>
    <n v="1"/>
    <n v="106.83"/>
    <s v="Completed"/>
    <s v="PayPal"/>
    <n v="106.83"/>
    <n v="7"/>
    <x v="0"/>
  </r>
  <r>
    <x v="3687"/>
    <x v="41"/>
    <s v="CUST1420"/>
    <s v="Ayu Wijaya"/>
    <x v="1"/>
    <x v="5"/>
    <x v="30"/>
    <n v="2"/>
    <n v="106.94"/>
    <s v="Completed"/>
    <s v="Gift Card"/>
    <n v="213.88"/>
    <n v="3"/>
    <x v="0"/>
  </r>
  <r>
    <x v="3688"/>
    <x v="402"/>
    <s v="CUST1169"/>
    <s v="Lisa Hidayat"/>
    <x v="1"/>
    <x v="5"/>
    <x v="30"/>
    <n v="1"/>
    <n v="106.98"/>
    <s v="Completed"/>
    <s v="Debit Card"/>
    <n v="106.98"/>
    <n v="5"/>
    <x v="0"/>
  </r>
  <r>
    <x v="3689"/>
    <x v="721"/>
    <s v="CUST1463"/>
    <s v="Linda Brown"/>
    <x v="0"/>
    <x v="6"/>
    <x v="40"/>
    <n v="1"/>
    <n v="107.18"/>
    <s v="Completed"/>
    <s v="Debit Card"/>
    <n v="107.18"/>
    <n v="7"/>
    <x v="0"/>
  </r>
  <r>
    <x v="3690"/>
    <x v="332"/>
    <s v="CUST1663"/>
    <s v="Lisa Pratama"/>
    <x v="0"/>
    <x v="6"/>
    <x v="37"/>
    <n v="4"/>
    <n v="107.24"/>
    <s v="Completed"/>
    <s v="Credit Card"/>
    <n v="428.96"/>
    <n v="2"/>
    <x v="0"/>
  </r>
  <r>
    <x v="3691"/>
    <x v="667"/>
    <s v="CUST1646"/>
    <s v="Unknown Customer"/>
    <x v="0"/>
    <x v="5"/>
    <x v="28"/>
    <n v="1"/>
    <n v="107.46"/>
    <s v="Cancelled"/>
    <s v="Gift Card"/>
    <n v="107.46"/>
    <n v="3"/>
    <x v="0"/>
  </r>
  <r>
    <x v="3692"/>
    <x v="545"/>
    <s v="CUST1696"/>
    <s v="David Hidayat"/>
    <x v="0"/>
    <x v="6"/>
    <x v="42"/>
    <n v="5"/>
    <n v="107.57"/>
    <s v="Returned"/>
    <s v="PayPal"/>
    <n v="537.84999999999991"/>
    <n v="8"/>
    <x v="0"/>
  </r>
  <r>
    <x v="3693"/>
    <x v="66"/>
    <s v="CUST1037"/>
    <s v="Lisa Garcia"/>
    <x v="0"/>
    <x v="6"/>
    <x v="39"/>
    <n v="2"/>
    <n v="107.59"/>
    <s v="Pending"/>
    <s v="PayPal"/>
    <n v="215.18"/>
    <n v="3"/>
    <x v="0"/>
  </r>
  <r>
    <x v="3694"/>
    <x v="439"/>
    <s v="CUST1026"/>
    <s v="Putri Yusuf"/>
    <x v="0"/>
    <x v="5"/>
    <x v="32"/>
    <n v="1"/>
    <n v="107.68"/>
    <s v="Completed"/>
    <s v="Debit Card"/>
    <n v="107.68"/>
    <n v="6"/>
    <x v="0"/>
  </r>
  <r>
    <x v="3695"/>
    <x v="8"/>
    <s v="CUST1875"/>
    <s v="Fajar Garcia"/>
    <x v="0"/>
    <x v="5"/>
    <x v="31"/>
    <n v="1"/>
    <n v="108.04"/>
    <s v="Completed"/>
    <s v="Credit Card"/>
    <n v="108.04"/>
    <n v="4"/>
    <x v="0"/>
  </r>
  <r>
    <x v="3696"/>
    <x v="503"/>
    <s v="CUST1219"/>
    <s v="Unknown Customer"/>
    <x v="0"/>
    <x v="6"/>
    <x v="42"/>
    <n v="1"/>
    <n v="108.09"/>
    <s v="Completed"/>
    <s v="PayPal"/>
    <n v="108.09"/>
    <n v="5"/>
    <x v="0"/>
  </r>
  <r>
    <x v="3697"/>
    <x v="89"/>
    <s v="CUST1298"/>
    <s v="Dewi Anderson"/>
    <x v="0"/>
    <x v="5"/>
    <x v="32"/>
    <n v="2"/>
    <n v="108.1"/>
    <s v="Completed"/>
    <s v="Debit Card"/>
    <n v="216.2"/>
    <n v="7"/>
    <x v="0"/>
  </r>
  <r>
    <x v="3698"/>
    <x v="283"/>
    <s v="CUST1585"/>
    <s v="Robert Anderson"/>
    <x v="0"/>
    <x v="5"/>
    <x v="32"/>
    <n v="2"/>
    <n v="108.14"/>
    <s v="Completed"/>
    <s v="Debit Card"/>
    <n v="216.28"/>
    <n v="6"/>
    <x v="0"/>
  </r>
  <r>
    <x v="3699"/>
    <x v="710"/>
    <s v="CUST1553"/>
    <s v="Fajar Hidayat"/>
    <x v="0"/>
    <x v="5"/>
    <x v="33"/>
    <n v="1"/>
    <n v="108.21"/>
    <s v="Pending"/>
    <s v="Gift Card"/>
    <n v="108.21"/>
    <n v="5"/>
    <x v="0"/>
  </r>
  <r>
    <x v="3700"/>
    <x v="621"/>
    <s v="CUST1498"/>
    <s v="Unknown Customer"/>
    <x v="0"/>
    <x v="5"/>
    <x v="28"/>
    <n v="5"/>
    <n v="108.24"/>
    <s v="Completed"/>
    <s v="Debit Card"/>
    <n v="541.19999999999993"/>
    <n v="4"/>
    <x v="0"/>
  </r>
  <r>
    <x v="3701"/>
    <x v="422"/>
    <s v="CUST1878"/>
    <s v="Ayu Sari"/>
    <x v="0"/>
    <x v="6"/>
    <x v="42"/>
    <n v="1"/>
    <n v="108.32"/>
    <s v="Completed"/>
    <s v="PayPal"/>
    <n v="108.32"/>
    <n v="5"/>
    <x v="0"/>
  </r>
  <r>
    <x v="3702"/>
    <x v="341"/>
    <s v="CUST1545"/>
    <s v="Rina Yusuf"/>
    <x v="3"/>
    <x v="5"/>
    <x v="30"/>
    <n v="1"/>
    <n v="108.34"/>
    <s v="Completed"/>
    <s v="PayPal"/>
    <n v="108.34"/>
    <n v="1"/>
    <x v="1"/>
  </r>
  <r>
    <x v="3703"/>
    <x v="581"/>
    <s v="CUST1052"/>
    <s v="Fajar Halim"/>
    <x v="0"/>
    <x v="6"/>
    <x v="37"/>
    <n v="1"/>
    <n v="108.41"/>
    <s v="Completed"/>
    <s v="PayPal"/>
    <n v="108.41"/>
    <n v="8"/>
    <x v="0"/>
  </r>
  <r>
    <x v="3704"/>
    <x v="140"/>
    <s v="CUST1602"/>
    <s v="Siti Lee"/>
    <x v="1"/>
    <x v="5"/>
    <x v="30"/>
    <n v="2"/>
    <n v="108.42"/>
    <s v="Completed"/>
    <s v="Gift Card"/>
    <n v="216.84"/>
    <n v="5"/>
    <x v="0"/>
  </r>
  <r>
    <x v="3705"/>
    <x v="691"/>
    <s v="CUST1811"/>
    <s v="Putri Santos"/>
    <x v="1"/>
    <x v="6"/>
    <x v="42"/>
    <n v="1"/>
    <n v="108.5"/>
    <s v="Completed"/>
    <s v="PayPal"/>
    <n v="108.5"/>
    <n v="3"/>
    <x v="0"/>
  </r>
  <r>
    <x v="3706"/>
    <x v="193"/>
    <s v="CUST1375"/>
    <s v="Robert Garcia"/>
    <x v="0"/>
    <x v="6"/>
    <x v="42"/>
    <n v="1"/>
    <n v="108.69"/>
    <s v="Completed"/>
    <s v="PayPal"/>
    <n v="108.69"/>
    <n v="5"/>
    <x v="0"/>
  </r>
  <r>
    <x v="3707"/>
    <x v="477"/>
    <s v="CUST1310"/>
    <s v="Ahmad Halim"/>
    <x v="1"/>
    <x v="6"/>
    <x v="36"/>
    <n v="4"/>
    <n v="109.05"/>
    <s v="Completed"/>
    <s v="Debit Card"/>
    <n v="436.2"/>
    <n v="1"/>
    <x v="1"/>
  </r>
  <r>
    <x v="3708"/>
    <x v="425"/>
    <s v="CUST1836"/>
    <s v="Kevin Salim"/>
    <x v="0"/>
    <x v="5"/>
    <x v="32"/>
    <n v="1"/>
    <n v="109.38"/>
    <s v="Cancelled"/>
    <s v="Debit Card"/>
    <n v="109.38"/>
    <n v="6"/>
    <x v="0"/>
  </r>
  <r>
    <x v="3709"/>
    <x v="196"/>
    <s v="CUST1058"/>
    <s v="John Johnson"/>
    <x v="0"/>
    <x v="5"/>
    <x v="29"/>
    <n v="1"/>
    <n v="109.52"/>
    <s v="Completed"/>
    <s v="PayPal"/>
    <n v="109.52"/>
    <n v="6"/>
    <x v="0"/>
  </r>
  <r>
    <x v="3710"/>
    <x v="445"/>
    <s v="CUST1054"/>
    <s v="Putri Garcia"/>
    <x v="0"/>
    <x v="6"/>
    <x v="40"/>
    <n v="5"/>
    <n v="109.68"/>
    <s v="Completed"/>
    <s v="Credit Card"/>
    <n v="548.40000000000009"/>
    <n v="3"/>
    <x v="0"/>
  </r>
  <r>
    <x v="3711"/>
    <x v="462"/>
    <s v="CUST1423"/>
    <s v="David Smith"/>
    <x v="0"/>
    <x v="6"/>
    <x v="40"/>
    <n v="5"/>
    <n v="109.85"/>
    <s v="Completed"/>
    <s v="PayPal"/>
    <n v="549.25"/>
    <n v="5"/>
    <x v="0"/>
  </r>
  <r>
    <x v="3712"/>
    <x v="428"/>
    <s v="CUST1679"/>
    <s v="Siti Halim"/>
    <x v="0"/>
    <x v="6"/>
    <x v="41"/>
    <n v="1"/>
    <n v="109.86"/>
    <s v="Completed"/>
    <s v="Gift Card"/>
    <n v="109.86"/>
    <n v="8"/>
    <x v="0"/>
  </r>
  <r>
    <x v="3713"/>
    <x v="678"/>
    <s v="CUST1893"/>
    <s v="John Wijaya"/>
    <x v="0"/>
    <x v="5"/>
    <x v="30"/>
    <n v="1"/>
    <n v="109.93"/>
    <s v="Completed"/>
    <s v="Unknown"/>
    <n v="109.93"/>
    <n v="6"/>
    <x v="0"/>
  </r>
  <r>
    <x v="3714"/>
    <x v="347"/>
    <s v="CUST1481"/>
    <s v="James Chen"/>
    <x v="0"/>
    <x v="5"/>
    <x v="33"/>
    <n v="1"/>
    <n v="110.02"/>
    <s v="Completed"/>
    <s v="PayPal"/>
    <n v="110.02"/>
    <n v="6"/>
    <x v="0"/>
  </r>
  <r>
    <x v="3715"/>
    <x v="90"/>
    <s v="CUST1699"/>
    <s v="John Yusuf"/>
    <x v="0"/>
    <x v="5"/>
    <x v="32"/>
    <n v="1"/>
    <n v="110.05"/>
    <s v="Completed"/>
    <s v="Gift Card"/>
    <n v="110.05"/>
    <n v="6"/>
    <x v="0"/>
  </r>
  <r>
    <x v="3716"/>
    <x v="267"/>
    <s v="CUST1456"/>
    <s v="Kevin Nugroho"/>
    <x v="0"/>
    <x v="5"/>
    <x v="32"/>
    <n v="1"/>
    <n v="110.24"/>
    <s v="Pending"/>
    <s v="Credit Card"/>
    <n v="110.24"/>
    <n v="5"/>
    <x v="0"/>
  </r>
  <r>
    <x v="3717"/>
    <x v="497"/>
    <s v="CUST1540"/>
    <s v="Dewi Yusuf"/>
    <x v="0"/>
    <x v="5"/>
    <x v="30"/>
    <n v="1"/>
    <n v="110.35"/>
    <s v="Pending"/>
    <s v="PayPal"/>
    <n v="110.35"/>
    <n v="4"/>
    <x v="0"/>
  </r>
  <r>
    <x v="3718"/>
    <x v="175"/>
    <s v="CUST1020"/>
    <s v="Putri Chen"/>
    <x v="0"/>
    <x v="6"/>
    <x v="38"/>
    <n v="4"/>
    <n v="110.46"/>
    <s v="Completed"/>
    <s v="Credit Card"/>
    <n v="441.84"/>
    <n v="4"/>
    <x v="0"/>
  </r>
  <r>
    <x v="3719"/>
    <x v="714"/>
    <s v="CUST1443"/>
    <s v="Andi Hidayat"/>
    <x v="0"/>
    <x v="5"/>
    <x v="33"/>
    <n v="1"/>
    <n v="110.52"/>
    <s v="Completed"/>
    <s v="Credit Card"/>
    <n v="110.52"/>
    <n v="5"/>
    <x v="0"/>
  </r>
  <r>
    <x v="3720"/>
    <x v="441"/>
    <s v="CUST1486"/>
    <s v="Sarah Lee"/>
    <x v="1"/>
    <x v="5"/>
    <x v="32"/>
    <n v="3"/>
    <n v="110.55"/>
    <s v="Completed"/>
    <s v="Debit Card"/>
    <n v="331.65"/>
    <n v="3"/>
    <x v="0"/>
  </r>
  <r>
    <x v="3721"/>
    <x v="367"/>
    <s v="CUST1060"/>
    <s v="Ahmad Wilson"/>
    <x v="0"/>
    <x v="5"/>
    <x v="31"/>
    <n v="1"/>
    <n v="110.64"/>
    <s v="Completed"/>
    <s v="Debit Card"/>
    <n v="110.64"/>
    <n v="7"/>
    <x v="0"/>
  </r>
  <r>
    <x v="3722"/>
    <x v="328"/>
    <s v="CUST1343"/>
    <s v="Dewi Sari"/>
    <x v="0"/>
    <x v="6"/>
    <x v="39"/>
    <n v="2"/>
    <n v="110.66"/>
    <s v="Completed"/>
    <s v="Gift Card"/>
    <n v="221.32"/>
    <n v="4"/>
    <x v="0"/>
  </r>
  <r>
    <x v="3723"/>
    <x v="530"/>
    <s v="CUST1826"/>
    <s v="Maria Halim"/>
    <x v="0"/>
    <x v="5"/>
    <x v="29"/>
    <n v="1"/>
    <n v="110.75"/>
    <s v="Completed"/>
    <s v="Gift Card"/>
    <n v="110.75"/>
    <n v="6"/>
    <x v="0"/>
  </r>
  <r>
    <x v="3724"/>
    <x v="173"/>
    <s v="CUST1167"/>
    <s v="Putri Hidayat"/>
    <x v="0"/>
    <x v="5"/>
    <x v="34"/>
    <n v="1"/>
    <n v="110.78"/>
    <s v="Completed"/>
    <s v="Debit Card"/>
    <n v="110.78"/>
    <n v="6"/>
    <x v="0"/>
  </r>
  <r>
    <x v="3725"/>
    <x v="139"/>
    <s v="CUST1090"/>
    <s v="Lisa Pratama"/>
    <x v="0"/>
    <x v="5"/>
    <x v="28"/>
    <n v="2"/>
    <n v="110.94"/>
    <s v="Completed"/>
    <s v="Gift Card"/>
    <n v="221.88"/>
    <n v="4"/>
    <x v="0"/>
  </r>
  <r>
    <x v="3726"/>
    <x v="574"/>
    <s v="CUST1354"/>
    <s v="Fajar Tan"/>
    <x v="0"/>
    <x v="6"/>
    <x v="35"/>
    <n v="2"/>
    <n v="110.97"/>
    <s v="Cancelled"/>
    <s v="Gift Card"/>
    <n v="221.94"/>
    <n v="4"/>
    <x v="0"/>
  </r>
  <r>
    <x v="3727"/>
    <x v="317"/>
    <s v="CUST1688"/>
    <s v="Lisa Sari"/>
    <x v="0"/>
    <x v="5"/>
    <x v="34"/>
    <n v="3"/>
    <n v="111.11"/>
    <s v="Pending"/>
    <s v="Gift Card"/>
    <n v="333.33"/>
    <n v="3"/>
    <x v="0"/>
  </r>
  <r>
    <x v="3728"/>
    <x v="115"/>
    <s v="CUST1493"/>
    <s v="Lisa Kurniawan"/>
    <x v="0"/>
    <x v="5"/>
    <x v="29"/>
    <n v="2"/>
    <n v="111.2"/>
    <s v="Completed"/>
    <s v="Gift Card"/>
    <n v="222.4"/>
    <n v="8"/>
    <x v="0"/>
  </r>
  <r>
    <x v="3729"/>
    <x v="428"/>
    <s v="CUST1236"/>
    <s v="Michael Wilson"/>
    <x v="0"/>
    <x v="6"/>
    <x v="41"/>
    <n v="1"/>
    <n v="111.43"/>
    <s v="Pending"/>
    <s v="PayPal"/>
    <n v="111.43"/>
    <n v="6"/>
    <x v="0"/>
  </r>
  <r>
    <x v="3730"/>
    <x v="25"/>
    <s v="CUST1098"/>
    <s v="Sarah Yusuf"/>
    <x v="3"/>
    <x v="5"/>
    <x v="28"/>
    <n v="1"/>
    <n v="111.53"/>
    <s v="Completed"/>
    <s v="PayPal"/>
    <n v="111.53"/>
    <n v="4"/>
    <x v="0"/>
  </r>
  <r>
    <x v="3731"/>
    <x v="610"/>
    <s v="CUST1540"/>
    <s v="Unknown Customer"/>
    <x v="0"/>
    <x v="6"/>
    <x v="37"/>
    <n v="1"/>
    <n v="111.75"/>
    <s v="Completed"/>
    <s v="Debit Card"/>
    <n v="111.75"/>
    <n v="4"/>
    <x v="0"/>
  </r>
  <r>
    <x v="3732"/>
    <x v="41"/>
    <s v="CUST1775"/>
    <s v="Unknown Customer"/>
    <x v="0"/>
    <x v="6"/>
    <x v="40"/>
    <n v="2"/>
    <n v="111.83"/>
    <s v="Pending"/>
    <s v="Gift Card"/>
    <n v="223.66"/>
    <n v="4"/>
    <x v="0"/>
  </r>
  <r>
    <x v="3733"/>
    <x v="137"/>
    <s v="CUST1055"/>
    <s v="John Salim"/>
    <x v="0"/>
    <x v="6"/>
    <x v="35"/>
    <n v="1"/>
    <n v="111.97"/>
    <s v="Completed"/>
    <s v="Unknown"/>
    <n v="111.97"/>
    <n v="2"/>
    <x v="0"/>
  </r>
  <r>
    <x v="3734"/>
    <x v="451"/>
    <s v="CUST1225"/>
    <s v="Unknown Customer"/>
    <x v="1"/>
    <x v="6"/>
    <x v="40"/>
    <n v="1"/>
    <n v="111.99"/>
    <s v="Cancelled"/>
    <s v="Debit Card"/>
    <n v="111.99"/>
    <n v="6"/>
    <x v="0"/>
  </r>
  <r>
    <x v="3735"/>
    <x v="523"/>
    <s v="CUST1301"/>
    <s v="Sarah Tan"/>
    <x v="0"/>
    <x v="5"/>
    <x v="34"/>
    <n v="1"/>
    <n v="112.05"/>
    <s v="Completed"/>
    <s v="Gift Card"/>
    <n v="112.05"/>
    <n v="6"/>
    <x v="0"/>
  </r>
  <r>
    <x v="3736"/>
    <x v="446"/>
    <s v="CUST1179"/>
    <s v="David Salim"/>
    <x v="1"/>
    <x v="5"/>
    <x v="33"/>
    <n v="2"/>
    <n v="112.14"/>
    <s v="Completed"/>
    <s v="Debit Card"/>
    <n v="224.28"/>
    <n v="2"/>
    <x v="0"/>
  </r>
  <r>
    <x v="3737"/>
    <x v="428"/>
    <s v="CUST1097"/>
    <s v="Fajar Anderson"/>
    <x v="0"/>
    <x v="6"/>
    <x v="39"/>
    <n v="1"/>
    <n v="112.31"/>
    <s v="Cancelled"/>
    <s v="Gift Card"/>
    <n v="112.31"/>
    <n v="6"/>
    <x v="0"/>
  </r>
  <r>
    <x v="3738"/>
    <x v="308"/>
    <s v="CUST1334"/>
    <s v="Fajar Santos"/>
    <x v="0"/>
    <x v="5"/>
    <x v="31"/>
    <n v="1"/>
    <n v="112.68"/>
    <s v="Completed"/>
    <s v="Gift Card"/>
    <n v="112.68"/>
    <n v="5"/>
    <x v="0"/>
  </r>
  <r>
    <x v="3739"/>
    <x v="293"/>
    <s v="CUST1502"/>
    <s v="Rina Kurniawan"/>
    <x v="0"/>
    <x v="5"/>
    <x v="30"/>
    <n v="2"/>
    <n v="112.71"/>
    <s v="Completed"/>
    <s v="Gift Card"/>
    <n v="225.42"/>
    <n v="3"/>
    <x v="0"/>
  </r>
  <r>
    <x v="3740"/>
    <x v="551"/>
    <s v="CUST1349"/>
    <s v="John Halim"/>
    <x v="0"/>
    <x v="5"/>
    <x v="31"/>
    <n v="5"/>
    <n v="113.3"/>
    <s v="Completed"/>
    <s v="Gift Card"/>
    <n v="566.5"/>
    <n v="7"/>
    <x v="0"/>
  </r>
  <r>
    <x v="3741"/>
    <x v="477"/>
    <s v="CUST1493"/>
    <s v="Lisa Kurniawan"/>
    <x v="0"/>
    <x v="6"/>
    <x v="36"/>
    <n v="2"/>
    <n v="113.39"/>
    <s v="Completed"/>
    <s v="Gift Card"/>
    <n v="226.78"/>
    <n v="8"/>
    <x v="0"/>
  </r>
  <r>
    <x v="3742"/>
    <x v="630"/>
    <s v="CUST1830"/>
    <s v="Sarah Anderson"/>
    <x v="0"/>
    <x v="6"/>
    <x v="38"/>
    <n v="2"/>
    <n v="113.46"/>
    <s v="Cancelled"/>
    <s v="Credit Card"/>
    <n v="226.92"/>
    <n v="3"/>
    <x v="0"/>
  </r>
  <r>
    <x v="3743"/>
    <x v="288"/>
    <s v="CUST1862"/>
    <s v="Ahmad Santos"/>
    <x v="0"/>
    <x v="5"/>
    <x v="32"/>
    <n v="3"/>
    <n v="113.46"/>
    <s v="Completed"/>
    <s v="Gift Card"/>
    <n v="340.38"/>
    <n v="7"/>
    <x v="0"/>
  </r>
  <r>
    <x v="3744"/>
    <x v="478"/>
    <s v="CUST1544"/>
    <s v="Ayu Garcia"/>
    <x v="3"/>
    <x v="6"/>
    <x v="42"/>
    <n v="1"/>
    <n v="113.75"/>
    <s v="Returned"/>
    <s v="Credit Card"/>
    <n v="113.75"/>
    <n v="3"/>
    <x v="0"/>
  </r>
  <r>
    <x v="3745"/>
    <x v="713"/>
    <s v="CUST1212"/>
    <s v="Budi Wilson"/>
    <x v="0"/>
    <x v="6"/>
    <x v="36"/>
    <n v="3"/>
    <n v="113.88"/>
    <s v="Completed"/>
    <s v="Credit Card"/>
    <n v="341.64"/>
    <n v="6"/>
    <x v="0"/>
  </r>
  <r>
    <x v="3746"/>
    <x v="612"/>
    <s v="CUST1885"/>
    <s v="Lisa Santos"/>
    <x v="0"/>
    <x v="5"/>
    <x v="29"/>
    <n v="1"/>
    <n v="113.92"/>
    <s v="Returned"/>
    <s v="Debit Card"/>
    <n v="113.92"/>
    <n v="6"/>
    <x v="0"/>
  </r>
  <r>
    <x v="3747"/>
    <x v="130"/>
    <s v="CUST1565"/>
    <s v="Rina Hidayat"/>
    <x v="0"/>
    <x v="5"/>
    <x v="34"/>
    <n v="1"/>
    <n v="114.07"/>
    <s v="Completed"/>
    <s v="Credit Card"/>
    <n v="114.07"/>
    <n v="5"/>
    <x v="0"/>
  </r>
  <r>
    <x v="3748"/>
    <x v="210"/>
    <s v="CUST1523"/>
    <s v="Michael Chen"/>
    <x v="0"/>
    <x v="6"/>
    <x v="41"/>
    <n v="1"/>
    <n v="114.08"/>
    <s v="Cancelled"/>
    <s v="Gift Card"/>
    <n v="114.08"/>
    <n v="7"/>
    <x v="0"/>
  </r>
  <r>
    <x v="3749"/>
    <x v="353"/>
    <s v="CUST1396"/>
    <s v="David Wijaya"/>
    <x v="0"/>
    <x v="5"/>
    <x v="33"/>
    <n v="1"/>
    <n v="114.34"/>
    <s v="Completed"/>
    <s v="Credit Card"/>
    <n v="114.34"/>
    <n v="5"/>
    <x v="0"/>
  </r>
  <r>
    <x v="3750"/>
    <x v="73"/>
    <s v="CUST1768"/>
    <s v="Rina Nugroho"/>
    <x v="0"/>
    <x v="5"/>
    <x v="34"/>
    <n v="1"/>
    <n v="114.51"/>
    <s v="Completed"/>
    <s v="Credit Card"/>
    <n v="114.51"/>
    <n v="5"/>
    <x v="0"/>
  </r>
  <r>
    <x v="3751"/>
    <x v="6"/>
    <s v="CUST1490"/>
    <s v="David Halim"/>
    <x v="0"/>
    <x v="5"/>
    <x v="33"/>
    <n v="2"/>
    <n v="114.64"/>
    <s v="Completed"/>
    <s v="Gift Card"/>
    <n v="229.28"/>
    <n v="6"/>
    <x v="0"/>
  </r>
  <r>
    <x v="3752"/>
    <x v="652"/>
    <s v="CUST1808"/>
    <s v="Michael Kurniawan"/>
    <x v="1"/>
    <x v="5"/>
    <x v="34"/>
    <n v="1"/>
    <n v="114.7"/>
    <s v="Completed"/>
    <s v="Debit Card"/>
    <n v="114.7"/>
    <n v="9"/>
    <x v="0"/>
  </r>
  <r>
    <x v="3753"/>
    <x v="252"/>
    <s v="CUST1060"/>
    <s v="Ahmad Wilson"/>
    <x v="0"/>
    <x v="6"/>
    <x v="36"/>
    <n v="1"/>
    <n v="114.9"/>
    <s v="Completed"/>
    <s v="PayPal"/>
    <n v="114.9"/>
    <n v="7"/>
    <x v="0"/>
  </r>
  <r>
    <x v="3754"/>
    <x v="168"/>
    <s v="CUST1005"/>
    <s v="Unknown Customer"/>
    <x v="0"/>
    <x v="6"/>
    <x v="36"/>
    <n v="1"/>
    <n v="114.97"/>
    <s v="Completed"/>
    <s v="PayPal"/>
    <n v="114.97"/>
    <n v="10"/>
    <x v="0"/>
  </r>
  <r>
    <x v="3755"/>
    <x v="346"/>
    <s v="CUST1076"/>
    <s v="Kevin Santos"/>
    <x v="0"/>
    <x v="5"/>
    <x v="33"/>
    <n v="1"/>
    <n v="115.09"/>
    <s v="Completed"/>
    <s v="Gift Card"/>
    <n v="115.09"/>
    <n v="9"/>
    <x v="0"/>
  </r>
  <r>
    <x v="3756"/>
    <x v="16"/>
    <s v="CUST1638"/>
    <s v="Maria Kurniawan"/>
    <x v="0"/>
    <x v="6"/>
    <x v="35"/>
    <n v="2"/>
    <n v="115.1"/>
    <s v="Completed"/>
    <s v="Credit Card"/>
    <n v="230.2"/>
    <n v="8"/>
    <x v="0"/>
  </r>
  <r>
    <x v="3757"/>
    <x v="617"/>
    <s v="CUST1766"/>
    <s v="Michael Kurniawan"/>
    <x v="0"/>
    <x v="5"/>
    <x v="33"/>
    <n v="2"/>
    <n v="115.34"/>
    <s v="Completed"/>
    <s v="PayPal"/>
    <n v="230.68"/>
    <n v="6"/>
    <x v="0"/>
  </r>
  <r>
    <x v="3758"/>
    <x v="355"/>
    <s v="CUST1640"/>
    <s v="Siti Smith"/>
    <x v="0"/>
    <x v="5"/>
    <x v="30"/>
    <n v="1"/>
    <n v="115.42"/>
    <s v="Pending"/>
    <s v="Gift Card"/>
    <n v="115.42"/>
    <n v="9"/>
    <x v="0"/>
  </r>
  <r>
    <x v="3759"/>
    <x v="563"/>
    <s v="CUST1240"/>
    <s v="Linda Chen"/>
    <x v="0"/>
    <x v="5"/>
    <x v="29"/>
    <n v="3"/>
    <n v="115.54"/>
    <s v="Completed"/>
    <s v="Gift Card"/>
    <n v="346.62"/>
    <n v="7"/>
    <x v="0"/>
  </r>
  <r>
    <x v="3760"/>
    <x v="300"/>
    <s v="CUST1227"/>
    <s v="David Wijaya"/>
    <x v="0"/>
    <x v="5"/>
    <x v="28"/>
    <n v="4"/>
    <n v="115.54"/>
    <s v="Completed"/>
    <s v="Debit Card"/>
    <n v="462.16"/>
    <n v="2"/>
    <x v="0"/>
  </r>
  <r>
    <x v="3761"/>
    <x v="351"/>
    <s v="CUST1194"/>
    <s v="Maria Hidayat"/>
    <x v="0"/>
    <x v="5"/>
    <x v="31"/>
    <n v="1"/>
    <n v="115.62"/>
    <s v="Completed"/>
    <s v="Gift Card"/>
    <n v="115.62"/>
    <n v="8"/>
    <x v="0"/>
  </r>
  <r>
    <x v="3762"/>
    <x v="99"/>
    <s v="CUST1255"/>
    <s v="Budi Kurniawan"/>
    <x v="0"/>
    <x v="6"/>
    <x v="35"/>
    <n v="2"/>
    <n v="115.73"/>
    <s v="Cancelled"/>
    <s v="Credit Card"/>
    <n v="231.46"/>
    <n v="4"/>
    <x v="0"/>
  </r>
  <r>
    <x v="3763"/>
    <x v="623"/>
    <s v="CUST1731"/>
    <s v="Robert Anderson"/>
    <x v="3"/>
    <x v="6"/>
    <x v="35"/>
    <n v="1"/>
    <n v="115.78"/>
    <s v="Completed"/>
    <s v="Debit Card"/>
    <n v="115.78"/>
    <n v="3"/>
    <x v="0"/>
  </r>
  <r>
    <x v="3764"/>
    <x v="524"/>
    <s v="CUST1009"/>
    <s v="James Anderson"/>
    <x v="1"/>
    <x v="5"/>
    <x v="33"/>
    <n v="1"/>
    <n v="115.8"/>
    <s v="Completed"/>
    <s v="PayPal"/>
    <n v="115.8"/>
    <n v="4"/>
    <x v="0"/>
  </r>
  <r>
    <x v="3765"/>
    <x v="520"/>
    <s v="CUST1403"/>
    <s v="Michael Johnson"/>
    <x v="3"/>
    <x v="5"/>
    <x v="31"/>
    <n v="2"/>
    <n v="115.8"/>
    <s v="Completed"/>
    <s v="Gift Card"/>
    <n v="231.6"/>
    <n v="3"/>
    <x v="0"/>
  </r>
  <r>
    <x v="3766"/>
    <x v="219"/>
    <s v="CUST1169"/>
    <s v="Lisa Hidayat"/>
    <x v="1"/>
    <x v="5"/>
    <x v="29"/>
    <n v="1"/>
    <n v="115.87"/>
    <s v="Completed"/>
    <s v="Gift Card"/>
    <n v="115.87"/>
    <n v="5"/>
    <x v="0"/>
  </r>
  <r>
    <x v="3767"/>
    <x v="494"/>
    <s v="CUST1633"/>
    <s v="James Kurniawan"/>
    <x v="0"/>
    <x v="5"/>
    <x v="31"/>
    <n v="1"/>
    <n v="115.88"/>
    <s v="Completed"/>
    <s v="Gift Card"/>
    <n v="115.88"/>
    <n v="6"/>
    <x v="0"/>
  </r>
  <r>
    <x v="3768"/>
    <x v="245"/>
    <s v="CUST1407"/>
    <s v="Rina Smith"/>
    <x v="0"/>
    <x v="6"/>
    <x v="38"/>
    <n v="2"/>
    <n v="115.95"/>
    <s v="Completed"/>
    <s v="PayPal"/>
    <n v="231.9"/>
    <n v="5"/>
    <x v="0"/>
  </r>
  <r>
    <x v="3769"/>
    <x v="184"/>
    <s v="CUST1076"/>
    <s v="Kevin Santos"/>
    <x v="0"/>
    <x v="6"/>
    <x v="42"/>
    <n v="1"/>
    <n v="115.99"/>
    <s v="Completed"/>
    <s v="Credit Card"/>
    <n v="115.99"/>
    <n v="9"/>
    <x v="0"/>
  </r>
  <r>
    <x v="3770"/>
    <x v="496"/>
    <s v="CUST1600"/>
    <s v="Maria Wijaya"/>
    <x v="0"/>
    <x v="5"/>
    <x v="32"/>
    <n v="2"/>
    <n v="116.06"/>
    <s v="Completed"/>
    <s v="Unknown"/>
    <n v="232.12"/>
    <n v="3"/>
    <x v="0"/>
  </r>
  <r>
    <x v="3771"/>
    <x v="406"/>
    <s v="CUST1073"/>
    <s v="Ayu Pratama"/>
    <x v="0"/>
    <x v="5"/>
    <x v="29"/>
    <n v="2"/>
    <n v="116.16"/>
    <s v="Returned"/>
    <s v="Credit Card"/>
    <n v="232.32"/>
    <n v="6"/>
    <x v="0"/>
  </r>
  <r>
    <x v="3772"/>
    <x v="435"/>
    <s v="CUST1350"/>
    <s v="Linda Salim"/>
    <x v="0"/>
    <x v="5"/>
    <x v="33"/>
    <n v="1"/>
    <n v="116.23"/>
    <s v="Completed"/>
    <s v="Gift Card"/>
    <n v="116.23"/>
    <n v="5"/>
    <x v="0"/>
  </r>
  <r>
    <x v="3773"/>
    <x v="219"/>
    <s v="CUST1621"/>
    <s v="James Wijaya"/>
    <x v="0"/>
    <x v="5"/>
    <x v="31"/>
    <n v="1"/>
    <n v="116.26"/>
    <s v="Completed"/>
    <s v="Gift Card"/>
    <n v="116.26"/>
    <n v="4"/>
    <x v="0"/>
  </r>
  <r>
    <x v="3774"/>
    <x v="363"/>
    <s v="CUST1263"/>
    <s v="John Santos"/>
    <x v="0"/>
    <x v="5"/>
    <x v="30"/>
    <n v="2"/>
    <n v="116.26"/>
    <s v="Cancelled"/>
    <s v="Unknown"/>
    <n v="232.52"/>
    <n v="5"/>
    <x v="0"/>
  </r>
  <r>
    <x v="3775"/>
    <x v="270"/>
    <s v="CUST1266"/>
    <s v="Kevin Nugroho"/>
    <x v="0"/>
    <x v="5"/>
    <x v="28"/>
    <n v="2"/>
    <n v="116.28"/>
    <s v="Completed"/>
    <s v="Debit Card"/>
    <n v="232.56"/>
    <n v="5"/>
    <x v="0"/>
  </r>
  <r>
    <x v="3776"/>
    <x v="476"/>
    <s v="CUST1103"/>
    <s v="Ahmad Salim"/>
    <x v="3"/>
    <x v="5"/>
    <x v="34"/>
    <n v="1"/>
    <n v="116.4"/>
    <s v="Completed"/>
    <s v="Debit Card"/>
    <n v="116.4"/>
    <n v="6"/>
    <x v="0"/>
  </r>
  <r>
    <x v="3777"/>
    <x v="438"/>
    <s v="CUST1079"/>
    <s v="Siti Sari"/>
    <x v="0"/>
    <x v="6"/>
    <x v="41"/>
    <n v="1"/>
    <n v="116.42"/>
    <s v="Cancelled"/>
    <s v="Debit Card"/>
    <n v="116.42"/>
    <n v="6"/>
    <x v="0"/>
  </r>
  <r>
    <x v="3778"/>
    <x v="471"/>
    <s v="CUST1423"/>
    <s v="David Smith"/>
    <x v="0"/>
    <x v="5"/>
    <x v="33"/>
    <n v="1"/>
    <n v="116.52"/>
    <s v="Completed"/>
    <s v="Gift Card"/>
    <n v="116.52"/>
    <n v="5"/>
    <x v="0"/>
  </r>
  <r>
    <x v="3779"/>
    <x v="647"/>
    <s v="CUST1412"/>
    <s v="Siti Anderson"/>
    <x v="0"/>
    <x v="6"/>
    <x v="42"/>
    <n v="1"/>
    <n v="116.54"/>
    <s v="Completed"/>
    <s v="Credit Card"/>
    <n v="116.54"/>
    <n v="10"/>
    <x v="0"/>
  </r>
  <r>
    <x v="3780"/>
    <x v="185"/>
    <s v="CUST1615"/>
    <s v="Putri Anderson"/>
    <x v="3"/>
    <x v="5"/>
    <x v="30"/>
    <n v="1"/>
    <n v="116.55"/>
    <s v="Completed"/>
    <s v="PayPal"/>
    <n v="116.55"/>
    <n v="3"/>
    <x v="0"/>
  </r>
  <r>
    <x v="3781"/>
    <x v="538"/>
    <s v="CUST1808"/>
    <s v="Michael Kurniawan"/>
    <x v="1"/>
    <x v="5"/>
    <x v="33"/>
    <n v="1"/>
    <n v="116.58"/>
    <s v="Completed"/>
    <s v="Credit Card"/>
    <n v="116.58"/>
    <n v="9"/>
    <x v="0"/>
  </r>
  <r>
    <x v="3782"/>
    <x v="170"/>
    <s v="CUST1340"/>
    <s v="Ayu Lee"/>
    <x v="0"/>
    <x v="6"/>
    <x v="42"/>
    <n v="1"/>
    <n v="116.66"/>
    <s v="Completed"/>
    <s v="Credit Card"/>
    <n v="116.66"/>
    <n v="3"/>
    <x v="0"/>
  </r>
  <r>
    <x v="3783"/>
    <x v="461"/>
    <s v="CUST1564"/>
    <s v="Maria Chen"/>
    <x v="2"/>
    <x v="6"/>
    <x v="40"/>
    <n v="3"/>
    <n v="116.66"/>
    <s v="Completed"/>
    <s v="Unknown"/>
    <n v="349.98"/>
    <n v="1"/>
    <x v="1"/>
  </r>
  <r>
    <x v="3784"/>
    <x v="414"/>
    <s v="CUST1548"/>
    <s v="Andi Tan"/>
    <x v="1"/>
    <x v="5"/>
    <x v="31"/>
    <n v="2"/>
    <n v="116.71"/>
    <s v="Completed"/>
    <s v="Credit Card"/>
    <n v="233.42"/>
    <n v="2"/>
    <x v="0"/>
  </r>
  <r>
    <x v="3785"/>
    <x v="502"/>
    <s v="CUST1339"/>
    <s v="Siti Hidayat"/>
    <x v="0"/>
    <x v="5"/>
    <x v="33"/>
    <n v="2"/>
    <n v="116.75"/>
    <s v="Completed"/>
    <s v="Gift Card"/>
    <n v="233.5"/>
    <n v="4"/>
    <x v="0"/>
  </r>
  <r>
    <x v="3786"/>
    <x v="222"/>
    <s v="CUST1267"/>
    <s v="Maria Anderson"/>
    <x v="0"/>
    <x v="6"/>
    <x v="36"/>
    <n v="2"/>
    <n v="117.03"/>
    <s v="Completed"/>
    <s v="Gift Card"/>
    <n v="234.06"/>
    <n v="4"/>
    <x v="0"/>
  </r>
  <r>
    <x v="3787"/>
    <x v="195"/>
    <s v="CUST1006"/>
    <s v="James Smith"/>
    <x v="0"/>
    <x v="5"/>
    <x v="30"/>
    <n v="1"/>
    <n v="117.08"/>
    <s v="Completed"/>
    <s v="Credit Card"/>
    <n v="117.08"/>
    <n v="8"/>
    <x v="0"/>
  </r>
  <r>
    <x v="3788"/>
    <x v="686"/>
    <s v="CUST1253"/>
    <s v="Ahmad Garcia"/>
    <x v="0"/>
    <x v="5"/>
    <x v="29"/>
    <n v="1"/>
    <n v="117.23"/>
    <s v="Completed"/>
    <s v="Debit Card"/>
    <n v="117.23"/>
    <n v="5"/>
    <x v="0"/>
  </r>
  <r>
    <x v="3789"/>
    <x v="67"/>
    <s v="CUST1734"/>
    <s v="Ahmad Wilson"/>
    <x v="0"/>
    <x v="5"/>
    <x v="28"/>
    <n v="2"/>
    <n v="117.42"/>
    <s v="Completed"/>
    <s v="PayPal"/>
    <n v="234.84"/>
    <n v="8"/>
    <x v="0"/>
  </r>
  <r>
    <x v="3790"/>
    <x v="683"/>
    <s v="CUST1761"/>
    <s v="Ahmad Johnson"/>
    <x v="0"/>
    <x v="6"/>
    <x v="38"/>
    <n v="1"/>
    <n v="118.07"/>
    <s v="Completed"/>
    <s v="Debit Card"/>
    <n v="118.07"/>
    <n v="7"/>
    <x v="0"/>
  </r>
  <r>
    <x v="3791"/>
    <x v="230"/>
    <s v="CUST1211"/>
    <s v="Sarah Santos"/>
    <x v="0"/>
    <x v="6"/>
    <x v="42"/>
    <n v="1"/>
    <n v="118.36"/>
    <s v="Completed"/>
    <s v="Unknown"/>
    <n v="118.36"/>
    <n v="8"/>
    <x v="0"/>
  </r>
  <r>
    <x v="3792"/>
    <x v="63"/>
    <s v="CUST1068"/>
    <s v="Linda Nugroho"/>
    <x v="0"/>
    <x v="5"/>
    <x v="32"/>
    <n v="3"/>
    <n v="118.45"/>
    <s v="Completed"/>
    <s v="Credit Card"/>
    <n v="355.35"/>
    <n v="5"/>
    <x v="0"/>
  </r>
  <r>
    <x v="3793"/>
    <x v="259"/>
    <s v="CUST1465"/>
    <s v="Nina Wilson"/>
    <x v="1"/>
    <x v="5"/>
    <x v="28"/>
    <n v="1"/>
    <n v="118.49"/>
    <s v="Completed"/>
    <s v="Unknown"/>
    <n v="118.49"/>
    <n v="7"/>
    <x v="0"/>
  </r>
  <r>
    <x v="3794"/>
    <x v="458"/>
    <s v="CUST1612"/>
    <s v="Budi Nugroho"/>
    <x v="0"/>
    <x v="5"/>
    <x v="31"/>
    <n v="2"/>
    <n v="118.51"/>
    <s v="Completed"/>
    <s v="Debit Card"/>
    <n v="237.02"/>
    <n v="3"/>
    <x v="0"/>
  </r>
  <r>
    <x v="3795"/>
    <x v="127"/>
    <s v="CUST1095"/>
    <s v="Sarah Smith"/>
    <x v="0"/>
    <x v="5"/>
    <x v="31"/>
    <n v="1"/>
    <n v="118.67"/>
    <s v="Returned"/>
    <s v="PayPal"/>
    <n v="118.67"/>
    <n v="9"/>
    <x v="0"/>
  </r>
  <r>
    <x v="3796"/>
    <x v="296"/>
    <s v="CUST1829"/>
    <s v="Nina Nugroho"/>
    <x v="1"/>
    <x v="6"/>
    <x v="36"/>
    <n v="1"/>
    <n v="118.74"/>
    <s v="Completed"/>
    <s v="PayPal"/>
    <n v="118.74"/>
    <n v="4"/>
    <x v="0"/>
  </r>
  <r>
    <x v="3797"/>
    <x v="88"/>
    <s v="CUST1448"/>
    <s v="Maria Halim"/>
    <x v="0"/>
    <x v="6"/>
    <x v="42"/>
    <n v="1"/>
    <n v="118.8"/>
    <s v="Returned"/>
    <s v="Gift Card"/>
    <n v="118.8"/>
    <n v="7"/>
    <x v="0"/>
  </r>
  <r>
    <x v="3798"/>
    <x v="444"/>
    <s v="CUST1229"/>
    <s v="Kevin Anderson"/>
    <x v="0"/>
    <x v="6"/>
    <x v="39"/>
    <n v="1"/>
    <n v="118.82"/>
    <s v="Cancelled"/>
    <s v="Gift Card"/>
    <n v="118.82"/>
    <n v="4"/>
    <x v="0"/>
  </r>
  <r>
    <x v="3799"/>
    <x v="419"/>
    <s v="CUST1452"/>
    <s v="Fajar Yusuf"/>
    <x v="0"/>
    <x v="5"/>
    <x v="29"/>
    <n v="1"/>
    <n v="118.83"/>
    <s v="Cancelled"/>
    <s v="Gift Card"/>
    <n v="118.83"/>
    <n v="3"/>
    <x v="0"/>
  </r>
  <r>
    <x v="3800"/>
    <x v="443"/>
    <s v="CUST1261"/>
    <s v="Robert Taylor"/>
    <x v="0"/>
    <x v="5"/>
    <x v="29"/>
    <n v="5"/>
    <n v="118.89"/>
    <s v="Completed"/>
    <s v="Debit Card"/>
    <n v="594.45000000000005"/>
    <n v="3"/>
    <x v="0"/>
  </r>
  <r>
    <x v="3801"/>
    <x v="569"/>
    <s v="CUST1281"/>
    <s v="Ahmad Hidayat"/>
    <x v="0"/>
    <x v="5"/>
    <x v="33"/>
    <n v="1"/>
    <n v="119.14"/>
    <s v="Completed"/>
    <s v="Credit Card"/>
    <n v="119.14"/>
    <n v="3"/>
    <x v="0"/>
  </r>
  <r>
    <x v="3802"/>
    <x v="402"/>
    <s v="CUST1809"/>
    <s v="Kevin Smith"/>
    <x v="0"/>
    <x v="5"/>
    <x v="29"/>
    <n v="1"/>
    <n v="119.15"/>
    <s v="Completed"/>
    <s v="Debit Card"/>
    <n v="119.15"/>
    <n v="4"/>
    <x v="0"/>
  </r>
  <r>
    <x v="3803"/>
    <x v="510"/>
    <s v="CUST1196"/>
    <s v="Putri Pratama"/>
    <x v="0"/>
    <x v="6"/>
    <x v="36"/>
    <n v="3"/>
    <n v="119.29"/>
    <s v="Completed"/>
    <s v="Credit Card"/>
    <n v="357.87"/>
    <n v="6"/>
    <x v="0"/>
  </r>
  <r>
    <x v="3804"/>
    <x v="421"/>
    <s v="CUST1297"/>
    <s v="Nina Wilson"/>
    <x v="0"/>
    <x v="6"/>
    <x v="35"/>
    <n v="2"/>
    <n v="119.49"/>
    <s v="Completed"/>
    <s v="PayPal"/>
    <n v="238.98"/>
    <n v="5"/>
    <x v="0"/>
  </r>
  <r>
    <x v="3805"/>
    <x v="338"/>
    <s v="CUST1560"/>
    <s v="Fajar Hidayat"/>
    <x v="0"/>
    <x v="5"/>
    <x v="32"/>
    <n v="2"/>
    <n v="119.54"/>
    <s v="Completed"/>
    <s v="PayPal"/>
    <n v="239.08"/>
    <n v="6"/>
    <x v="0"/>
  </r>
  <r>
    <x v="3806"/>
    <x v="496"/>
    <s v="CUST1554"/>
    <s v="Dewi Tan"/>
    <x v="0"/>
    <x v="6"/>
    <x v="40"/>
    <n v="1"/>
    <n v="119.61"/>
    <s v="Completed"/>
    <s v="Debit Card"/>
    <n v="119.61"/>
    <n v="4"/>
    <x v="0"/>
  </r>
  <r>
    <x v="3807"/>
    <x v="336"/>
    <s v="CUST1150"/>
    <s v="Ayu Wijaya"/>
    <x v="0"/>
    <x v="6"/>
    <x v="35"/>
    <n v="1"/>
    <n v="119.65"/>
    <s v="Completed"/>
    <s v="Gift Card"/>
    <n v="119.65"/>
    <n v="7"/>
    <x v="0"/>
  </r>
  <r>
    <x v="3808"/>
    <x v="406"/>
    <s v="CUST1703"/>
    <s v="Budi Wilson"/>
    <x v="0"/>
    <x v="5"/>
    <x v="29"/>
    <n v="1"/>
    <n v="119.79"/>
    <s v="Completed"/>
    <s v="Gift Card"/>
    <n v="119.79"/>
    <n v="4"/>
    <x v="0"/>
  </r>
  <r>
    <x v="3809"/>
    <x v="247"/>
    <s v="CUST1417"/>
    <s v="Andi Hidayat"/>
    <x v="0"/>
    <x v="5"/>
    <x v="29"/>
    <n v="2"/>
    <n v="119.99"/>
    <s v="Completed"/>
    <s v="Debit Card"/>
    <n v="239.98"/>
    <n v="6"/>
    <x v="0"/>
  </r>
  <r>
    <x v="3810"/>
    <x v="319"/>
    <s v="CUST1838"/>
    <s v="Budi Chen"/>
    <x v="1"/>
    <x v="6"/>
    <x v="37"/>
    <n v="1"/>
    <n v="120.31"/>
    <s v="Completed"/>
    <s v="Credit Card"/>
    <n v="120.31"/>
    <n v="6"/>
    <x v="0"/>
  </r>
  <r>
    <x v="3811"/>
    <x v="359"/>
    <s v="CUST1605"/>
    <s v="Andi Sari"/>
    <x v="0"/>
    <x v="6"/>
    <x v="41"/>
    <n v="2"/>
    <n v="120.5"/>
    <s v="Completed"/>
    <s v="Debit Card"/>
    <n v="241"/>
    <n v="5"/>
    <x v="0"/>
  </r>
  <r>
    <x v="3812"/>
    <x v="250"/>
    <s v="CUST1896"/>
    <s v="Andi Taylor"/>
    <x v="0"/>
    <x v="6"/>
    <x v="41"/>
    <n v="2"/>
    <n v="120.6"/>
    <s v="Cancelled"/>
    <s v="Credit Card"/>
    <n v="241.2"/>
    <n v="5"/>
    <x v="0"/>
  </r>
  <r>
    <x v="3813"/>
    <x v="218"/>
    <s v="CUST1462"/>
    <s v="Michael Lee"/>
    <x v="1"/>
    <x v="6"/>
    <x v="38"/>
    <n v="2"/>
    <n v="121.54"/>
    <s v="Completed"/>
    <s v="Gift Card"/>
    <n v="243.08"/>
    <n v="3"/>
    <x v="0"/>
  </r>
  <r>
    <x v="3814"/>
    <x v="638"/>
    <s v="CUST1876"/>
    <s v="John Hidayat"/>
    <x v="0"/>
    <x v="6"/>
    <x v="42"/>
    <n v="1"/>
    <n v="121.86"/>
    <s v="Completed"/>
    <s v="Credit Card"/>
    <n v="121.86"/>
    <n v="5"/>
    <x v="0"/>
  </r>
  <r>
    <x v="3815"/>
    <x v="272"/>
    <s v="CUST1629"/>
    <s v="James Tan"/>
    <x v="1"/>
    <x v="6"/>
    <x v="35"/>
    <n v="1"/>
    <n v="121.87"/>
    <s v="Completed"/>
    <s v="Debit Card"/>
    <n v="121.87"/>
    <n v="5"/>
    <x v="0"/>
  </r>
  <r>
    <x v="3816"/>
    <x v="2"/>
    <s v="CUST1819"/>
    <s v="Lisa Salim"/>
    <x v="0"/>
    <x v="6"/>
    <x v="38"/>
    <n v="5"/>
    <n v="121.92"/>
    <s v="Completed"/>
    <s v="PayPal"/>
    <n v="609.6"/>
    <n v="5"/>
    <x v="0"/>
  </r>
  <r>
    <x v="3817"/>
    <x v="148"/>
    <s v="CUST1006"/>
    <s v="James Smith"/>
    <x v="0"/>
    <x v="6"/>
    <x v="42"/>
    <n v="1"/>
    <n v="122.04"/>
    <s v="Returned"/>
    <s v="PayPal"/>
    <n v="122.04"/>
    <n v="8"/>
    <x v="0"/>
  </r>
  <r>
    <x v="3818"/>
    <x v="560"/>
    <s v="CUST1373"/>
    <s v="James Smith"/>
    <x v="0"/>
    <x v="6"/>
    <x v="42"/>
    <n v="2"/>
    <n v="122.21"/>
    <s v="Completed"/>
    <s v="Debit Card"/>
    <n v="244.42"/>
    <n v="8"/>
    <x v="0"/>
  </r>
  <r>
    <x v="3819"/>
    <x v="653"/>
    <s v="CUST1094"/>
    <s v="Siti Garcia"/>
    <x v="0"/>
    <x v="6"/>
    <x v="42"/>
    <n v="1"/>
    <n v="122.24"/>
    <s v="Completed"/>
    <s v="Gift Card"/>
    <n v="122.24"/>
    <n v="4"/>
    <x v="0"/>
  </r>
  <r>
    <x v="3820"/>
    <x v="71"/>
    <s v="CUST1304"/>
    <s v="Michael Wilson"/>
    <x v="0"/>
    <x v="6"/>
    <x v="36"/>
    <n v="1"/>
    <n v="122.7"/>
    <s v="Completed"/>
    <s v="Debit Card"/>
    <n v="122.7"/>
    <n v="3"/>
    <x v="0"/>
  </r>
  <r>
    <x v="3821"/>
    <x v="582"/>
    <s v="CUST1030"/>
    <s v="Sarah Lee"/>
    <x v="1"/>
    <x v="6"/>
    <x v="36"/>
    <n v="2"/>
    <n v="123.09"/>
    <s v="Completed"/>
    <s v="PayPal"/>
    <n v="246.18"/>
    <n v="3"/>
    <x v="0"/>
  </r>
  <r>
    <x v="3822"/>
    <x v="481"/>
    <s v="CUST1764"/>
    <s v="Andi Yusuf"/>
    <x v="0"/>
    <x v="6"/>
    <x v="37"/>
    <n v="3"/>
    <n v="123.3"/>
    <s v="Completed"/>
    <s v="PayPal"/>
    <n v="369.9"/>
    <n v="7"/>
    <x v="0"/>
  </r>
  <r>
    <x v="3823"/>
    <x v="584"/>
    <s v="CUST1276"/>
    <s v="Rina Nugroho"/>
    <x v="0"/>
    <x v="6"/>
    <x v="41"/>
    <n v="2"/>
    <n v="123.6"/>
    <s v="Completed"/>
    <s v="Credit Card"/>
    <n v="247.2"/>
    <n v="4"/>
    <x v="0"/>
  </r>
  <r>
    <x v="3824"/>
    <x v="545"/>
    <s v="CUST1206"/>
    <s v="Siti Wilson"/>
    <x v="0"/>
    <x v="6"/>
    <x v="42"/>
    <n v="1"/>
    <n v="123.73"/>
    <s v="Completed"/>
    <s v="PayPal"/>
    <n v="123.73"/>
    <n v="6"/>
    <x v="0"/>
  </r>
  <r>
    <x v="3825"/>
    <x v="131"/>
    <s v="CUST1109"/>
    <s v="Rina Halim"/>
    <x v="1"/>
    <x v="6"/>
    <x v="40"/>
    <n v="1"/>
    <n v="124.03"/>
    <s v="Returned"/>
    <s v="Gift Card"/>
    <n v="124.03"/>
    <n v="5"/>
    <x v="0"/>
  </r>
  <r>
    <x v="3826"/>
    <x v="521"/>
    <s v="CUST1243"/>
    <s v="James Hidayat"/>
    <x v="1"/>
    <x v="6"/>
    <x v="35"/>
    <n v="1"/>
    <n v="124.25"/>
    <s v="Completed"/>
    <s v="Credit Card"/>
    <n v="124.25"/>
    <n v="5"/>
    <x v="0"/>
  </r>
  <r>
    <x v="3827"/>
    <x v="236"/>
    <s v="CUST1113"/>
    <s v="Dewi Nugroho"/>
    <x v="1"/>
    <x v="6"/>
    <x v="37"/>
    <n v="1"/>
    <n v="124.62"/>
    <s v="Completed"/>
    <s v="Credit Card"/>
    <n v="124.62"/>
    <n v="3"/>
    <x v="0"/>
  </r>
  <r>
    <x v="3828"/>
    <x v="710"/>
    <s v="CUST1345"/>
    <s v="Michael Santos"/>
    <x v="0"/>
    <x v="6"/>
    <x v="40"/>
    <n v="1"/>
    <n v="124.62"/>
    <s v="Returned"/>
    <s v="PayPal"/>
    <n v="124.62"/>
    <n v="7"/>
    <x v="0"/>
  </r>
  <r>
    <x v="3829"/>
    <x v="28"/>
    <s v="CUST1145"/>
    <s v="Linda Smith"/>
    <x v="0"/>
    <x v="6"/>
    <x v="38"/>
    <n v="1"/>
    <n v="124.8"/>
    <s v="Completed"/>
    <s v="Debit Card"/>
    <n v="124.8"/>
    <n v="12"/>
    <x v="0"/>
  </r>
  <r>
    <x v="3830"/>
    <x v="314"/>
    <s v="CUST1075"/>
    <s v="Linda Anderson"/>
    <x v="1"/>
    <x v="6"/>
    <x v="35"/>
    <n v="1"/>
    <n v="125.01"/>
    <s v="Completed"/>
    <s v="Credit Card"/>
    <n v="125.01"/>
    <n v="5"/>
    <x v="0"/>
  </r>
  <r>
    <x v="3831"/>
    <x v="433"/>
    <s v="CUST1356"/>
    <s v="Ahmad Tan"/>
    <x v="0"/>
    <x v="6"/>
    <x v="35"/>
    <n v="2"/>
    <n v="125.41"/>
    <s v="Returned"/>
    <s v="Gift Card"/>
    <n v="250.82"/>
    <n v="5"/>
    <x v="0"/>
  </r>
  <r>
    <x v="3832"/>
    <x v="259"/>
    <s v="CUST1679"/>
    <s v="Siti Halim"/>
    <x v="0"/>
    <x v="6"/>
    <x v="35"/>
    <n v="1"/>
    <n v="125.43"/>
    <s v="Completed"/>
    <s v="Credit Card"/>
    <n v="125.43"/>
    <n v="8"/>
    <x v="0"/>
  </r>
  <r>
    <x v="3833"/>
    <x v="145"/>
    <s v="CUST1614"/>
    <s v="Putri Lee"/>
    <x v="0"/>
    <x v="6"/>
    <x v="40"/>
    <n v="1"/>
    <n v="125.53"/>
    <s v="Completed"/>
    <s v="Gift Card"/>
    <n v="125.53"/>
    <n v="4"/>
    <x v="0"/>
  </r>
  <r>
    <x v="3834"/>
    <x v="154"/>
    <s v="CUST1040"/>
    <s v="Lisa Garcia"/>
    <x v="0"/>
    <x v="6"/>
    <x v="36"/>
    <n v="1"/>
    <n v="125.87"/>
    <s v="Completed"/>
    <s v="Credit Card"/>
    <n v="125.87"/>
    <n v="3"/>
    <x v="0"/>
  </r>
  <r>
    <x v="3835"/>
    <x v="702"/>
    <s v="CUST1105"/>
    <s v="Rina Pratama"/>
    <x v="1"/>
    <x v="6"/>
    <x v="41"/>
    <n v="1"/>
    <n v="126.18"/>
    <s v="Completed"/>
    <s v="Debit Card"/>
    <n v="126.18"/>
    <n v="4"/>
    <x v="0"/>
  </r>
  <r>
    <x v="3836"/>
    <x v="728"/>
    <s v="CUST1691"/>
    <s v="Dewi Anderson"/>
    <x v="0"/>
    <x v="6"/>
    <x v="40"/>
    <n v="1"/>
    <n v="126.55"/>
    <s v="Completed"/>
    <s v="PayPal"/>
    <n v="126.55"/>
    <n v="5"/>
    <x v="0"/>
  </r>
  <r>
    <x v="3837"/>
    <x v="457"/>
    <s v="CUST1167"/>
    <s v="Putri Hidayat"/>
    <x v="0"/>
    <x v="6"/>
    <x v="36"/>
    <n v="1"/>
    <n v="126.58"/>
    <s v="Pending"/>
    <s v="Debit Card"/>
    <n v="126.58"/>
    <n v="6"/>
    <x v="0"/>
  </r>
  <r>
    <x v="3838"/>
    <x v="256"/>
    <s v="CUST1856"/>
    <s v="Unknown Customer"/>
    <x v="0"/>
    <x v="6"/>
    <x v="37"/>
    <n v="5"/>
    <n v="126.65"/>
    <s v="Completed"/>
    <s v="Gift Card"/>
    <n v="633.25"/>
    <n v="6"/>
    <x v="0"/>
  </r>
  <r>
    <x v="3839"/>
    <x v="412"/>
    <s v="CUST1553"/>
    <s v="Fajar Hidayat"/>
    <x v="0"/>
    <x v="6"/>
    <x v="35"/>
    <n v="1"/>
    <n v="127.07"/>
    <s v="Completed"/>
    <s v="Unknown"/>
    <n v="127.07"/>
    <n v="5"/>
    <x v="0"/>
  </r>
  <r>
    <x v="3840"/>
    <x v="255"/>
    <s v="CUST1445"/>
    <s v="Kevin Anderson"/>
    <x v="0"/>
    <x v="6"/>
    <x v="40"/>
    <n v="1"/>
    <n v="127.19"/>
    <s v="Completed"/>
    <s v="Gift Card"/>
    <n v="127.19"/>
    <n v="9"/>
    <x v="0"/>
  </r>
  <r>
    <x v="3841"/>
    <x v="728"/>
    <s v="CUST1248"/>
    <s v="Andi Pratama"/>
    <x v="0"/>
    <x v="6"/>
    <x v="36"/>
    <n v="3"/>
    <n v="127.33"/>
    <s v="Completed"/>
    <s v="Debit Card"/>
    <n v="381.99"/>
    <n v="8"/>
    <x v="0"/>
  </r>
  <r>
    <x v="3842"/>
    <x v="140"/>
    <s v="CUST1736"/>
    <s v="James Nugroho"/>
    <x v="0"/>
    <x v="6"/>
    <x v="36"/>
    <n v="2"/>
    <n v="127.39"/>
    <s v="Completed"/>
    <s v="Debit Card"/>
    <n v="254.78"/>
    <n v="4"/>
    <x v="0"/>
  </r>
  <r>
    <x v="3843"/>
    <x v="692"/>
    <s v="CUST1744"/>
    <s v="Andi Sari"/>
    <x v="0"/>
    <x v="6"/>
    <x v="38"/>
    <n v="1"/>
    <n v="127.45"/>
    <s v="Completed"/>
    <s v="Debit Card"/>
    <n v="127.45"/>
    <n v="6"/>
    <x v="0"/>
  </r>
  <r>
    <x v="3844"/>
    <x v="504"/>
    <s v="CUST1089"/>
    <s v="Dewi Pratama"/>
    <x v="1"/>
    <x v="6"/>
    <x v="35"/>
    <n v="1"/>
    <n v="127.49"/>
    <s v="Completed"/>
    <s v="Credit Card"/>
    <n v="127.49"/>
    <n v="5"/>
    <x v="0"/>
  </r>
  <r>
    <x v="3845"/>
    <x v="17"/>
    <s v="CUST1156"/>
    <s v="Sarah Tan"/>
    <x v="0"/>
    <x v="6"/>
    <x v="36"/>
    <n v="2"/>
    <n v="127.56"/>
    <s v="Returned"/>
    <s v="Credit Card"/>
    <n v="255.12"/>
    <n v="2"/>
    <x v="0"/>
  </r>
  <r>
    <x v="3846"/>
    <x v="327"/>
    <s v="CUST1807"/>
    <s v="Lisa Wilson"/>
    <x v="1"/>
    <x v="6"/>
    <x v="41"/>
    <n v="1"/>
    <n v="128.11000000000001"/>
    <s v="Cancelled"/>
    <s v="PayPal"/>
    <n v="128.11000000000001"/>
    <n v="4"/>
    <x v="0"/>
  </r>
  <r>
    <x v="3847"/>
    <x v="169"/>
    <s v="CUST1591"/>
    <s v="Fajar Wilson"/>
    <x v="0"/>
    <x v="6"/>
    <x v="37"/>
    <n v="1"/>
    <n v="128.69999999999999"/>
    <s v="Pending"/>
    <s v="Gift Card"/>
    <n v="128.69999999999999"/>
    <n v="9"/>
    <x v="0"/>
  </r>
  <r>
    <x v="3848"/>
    <x v="149"/>
    <s v="CUST1662"/>
    <s v="Siti Lee"/>
    <x v="1"/>
    <x v="6"/>
    <x v="37"/>
    <n v="2"/>
    <n v="128.88999999999999"/>
    <s v="Completed"/>
    <s v="Debit Card"/>
    <n v="257.77999999999997"/>
    <n v="5"/>
    <x v="0"/>
  </r>
  <r>
    <x v="3849"/>
    <x v="405"/>
    <s v="CUST1109"/>
    <s v="Rina Halim"/>
    <x v="1"/>
    <x v="6"/>
    <x v="41"/>
    <n v="1"/>
    <n v="128.99"/>
    <s v="Returned"/>
    <s v="Unknown"/>
    <n v="128.99"/>
    <n v="5"/>
    <x v="0"/>
  </r>
  <r>
    <x v="3850"/>
    <x v="338"/>
    <s v="CUST1500"/>
    <s v="Nina Hidayat"/>
    <x v="1"/>
    <x v="6"/>
    <x v="41"/>
    <n v="1"/>
    <n v="129.09"/>
    <s v="Completed"/>
    <s v="Debit Card"/>
    <n v="129.09"/>
    <n v="5"/>
    <x v="0"/>
  </r>
  <r>
    <x v="3851"/>
    <x v="111"/>
    <s v="CUST1137"/>
    <s v="Budi Wijaya"/>
    <x v="0"/>
    <x v="6"/>
    <x v="41"/>
    <n v="1"/>
    <n v="129.41999999999999"/>
    <s v="Completed"/>
    <s v="Credit Card"/>
    <n v="129.41999999999999"/>
    <n v="6"/>
    <x v="0"/>
  </r>
  <r>
    <x v="3852"/>
    <x v="396"/>
    <s v="CUST1771"/>
    <s v="Putri Salim"/>
    <x v="0"/>
    <x v="6"/>
    <x v="38"/>
    <n v="1"/>
    <n v="129.57"/>
    <s v="Completed"/>
    <s v="Debit Card"/>
    <n v="129.57"/>
    <n v="7"/>
    <x v="0"/>
  </r>
  <r>
    <x v="3853"/>
    <x v="343"/>
    <s v="CUST1860"/>
    <s v="Unknown Customer"/>
    <x v="0"/>
    <x v="6"/>
    <x v="41"/>
    <n v="1"/>
    <n v="129.57"/>
    <s v="Completed"/>
    <s v="Unknown"/>
    <n v="129.57"/>
    <n v="7"/>
    <x v="0"/>
  </r>
  <r>
    <x v="3854"/>
    <x v="513"/>
    <s v="CUST1232"/>
    <s v="Michael Chen"/>
    <x v="0"/>
    <x v="6"/>
    <x v="42"/>
    <n v="2"/>
    <n v="129.86000000000001"/>
    <s v="Completed"/>
    <s v="PayPal"/>
    <n v="259.72000000000003"/>
    <n v="6"/>
    <x v="0"/>
  </r>
  <r>
    <x v="3855"/>
    <x v="553"/>
    <s v="CUST1321"/>
    <s v="Putri Garcia"/>
    <x v="1"/>
    <x v="6"/>
    <x v="39"/>
    <n v="1"/>
    <n v="130.03"/>
    <s v="Completed"/>
    <s v="Debit Card"/>
    <n v="130.03"/>
    <n v="8"/>
    <x v="0"/>
  </r>
  <r>
    <x v="3856"/>
    <x v="39"/>
    <s v="CUST1465"/>
    <s v="Nina Wilson"/>
    <x v="1"/>
    <x v="6"/>
    <x v="37"/>
    <n v="3"/>
    <n v="130.06"/>
    <s v="Completed"/>
    <s v="Gift Card"/>
    <n v="390.18"/>
    <n v="7"/>
    <x v="0"/>
  </r>
  <r>
    <x v="3857"/>
    <x v="673"/>
    <s v="CUST1514"/>
    <s v="Rina Wijaya"/>
    <x v="1"/>
    <x v="6"/>
    <x v="37"/>
    <n v="1"/>
    <n v="130.75"/>
    <s v="Completed"/>
    <s v="Credit Card"/>
    <n v="130.75"/>
    <n v="9"/>
    <x v="0"/>
  </r>
  <r>
    <x v="3858"/>
    <x v="243"/>
    <s v="CUST1134"/>
    <s v="Dewi Anderson"/>
    <x v="0"/>
    <x v="6"/>
    <x v="41"/>
    <n v="1"/>
    <n v="130.97999999999999"/>
    <s v="Completed"/>
    <s v="Credit Card"/>
    <n v="130.97999999999999"/>
    <n v="1"/>
    <x v="1"/>
  </r>
  <r>
    <x v="3859"/>
    <x v="407"/>
    <s v="CUST1456"/>
    <s v="Kevin Nugroho"/>
    <x v="0"/>
    <x v="6"/>
    <x v="41"/>
    <n v="2"/>
    <n v="131.29"/>
    <s v="Pending"/>
    <s v="PayPal"/>
    <n v="262.58"/>
    <n v="5"/>
    <x v="0"/>
  </r>
  <r>
    <x v="3860"/>
    <x v="218"/>
    <s v="CUST1012"/>
    <s v="Andi Yusuf"/>
    <x v="0"/>
    <x v="6"/>
    <x v="38"/>
    <n v="1"/>
    <n v="131.34"/>
    <s v="Completed"/>
    <s v="Unknown"/>
    <n v="131.34"/>
    <n v="6"/>
    <x v="0"/>
  </r>
  <r>
    <x v="3861"/>
    <x v="532"/>
    <s v="CUST1216"/>
    <s v="Robert Anderson"/>
    <x v="0"/>
    <x v="6"/>
    <x v="42"/>
    <n v="1"/>
    <n v="131.43"/>
    <s v="Completed"/>
    <s v="PayPal"/>
    <n v="131.43"/>
    <n v="6"/>
    <x v="0"/>
  </r>
  <r>
    <x v="3862"/>
    <x v="63"/>
    <s v="CUST1779"/>
    <s v="Andi Yusuf"/>
    <x v="0"/>
    <x v="6"/>
    <x v="38"/>
    <n v="2"/>
    <n v="132.28"/>
    <s v="Completed"/>
    <s v="Debit Card"/>
    <n v="264.56"/>
    <n v="8"/>
    <x v="0"/>
  </r>
  <r>
    <x v="3863"/>
    <x v="498"/>
    <s v="CUST1283"/>
    <s v="Michael Brown"/>
    <x v="1"/>
    <x v="6"/>
    <x v="42"/>
    <n v="2"/>
    <n v="132.61000000000001"/>
    <s v="Completed"/>
    <s v="Credit Card"/>
    <n v="265.22000000000003"/>
    <n v="6"/>
    <x v="0"/>
  </r>
  <r>
    <x v="3864"/>
    <x v="632"/>
    <s v="CUST1128"/>
    <s v="Rina Taylor"/>
    <x v="0"/>
    <x v="6"/>
    <x v="40"/>
    <n v="4"/>
    <n v="133.03"/>
    <s v="Completed"/>
    <s v="Gift Card"/>
    <n v="532.12"/>
    <n v="6"/>
    <x v="0"/>
  </r>
  <r>
    <x v="3865"/>
    <x v="304"/>
    <s v="CUST1720"/>
    <s v="Rina Salim"/>
    <x v="0"/>
    <x v="6"/>
    <x v="36"/>
    <n v="1"/>
    <n v="133.34"/>
    <s v="Completed"/>
    <s v="Debit Card"/>
    <n v="133.34"/>
    <n v="5"/>
    <x v="0"/>
  </r>
  <r>
    <x v="3866"/>
    <x v="544"/>
    <s v="CUST1122"/>
    <s v="Sarah Smith"/>
    <x v="0"/>
    <x v="6"/>
    <x v="38"/>
    <n v="1"/>
    <n v="133.78"/>
    <s v="Completed"/>
    <s v="Credit Card"/>
    <n v="133.78"/>
    <n v="3"/>
    <x v="0"/>
  </r>
  <r>
    <x v="3867"/>
    <x v="678"/>
    <s v="CUST1765"/>
    <s v="Ayu Brown"/>
    <x v="0"/>
    <x v="6"/>
    <x v="42"/>
    <n v="3"/>
    <n v="134.08000000000001"/>
    <s v="Completed"/>
    <s v="Debit Card"/>
    <n v="402.24"/>
    <n v="5"/>
    <x v="0"/>
  </r>
  <r>
    <x v="3868"/>
    <x v="278"/>
    <s v="CUST1569"/>
    <s v="Unknown Customer"/>
    <x v="0"/>
    <x v="6"/>
    <x v="38"/>
    <n v="3"/>
    <n v="134.16999999999999"/>
    <s v="Pending"/>
    <s v="Gift Card"/>
    <n v="402.51"/>
    <n v="9"/>
    <x v="0"/>
  </r>
  <r>
    <x v="3869"/>
    <x v="112"/>
    <s v="CUST1819"/>
    <s v="Lisa Salim"/>
    <x v="0"/>
    <x v="6"/>
    <x v="40"/>
    <n v="2"/>
    <n v="134.29"/>
    <s v="Completed"/>
    <s v="Gift Card"/>
    <n v="268.58"/>
    <n v="5"/>
    <x v="0"/>
  </r>
  <r>
    <x v="3870"/>
    <x v="61"/>
    <s v="CUST1067"/>
    <s v="Nina Halim"/>
    <x v="0"/>
    <x v="6"/>
    <x v="39"/>
    <n v="1"/>
    <n v="134.37"/>
    <s v="Completed"/>
    <s v="Gift Card"/>
    <n v="134.37"/>
    <n v="6"/>
    <x v="0"/>
  </r>
  <r>
    <x v="3871"/>
    <x v="388"/>
    <s v="CUST1428"/>
    <s v="Andi Chen"/>
    <x v="0"/>
    <x v="6"/>
    <x v="42"/>
    <n v="2"/>
    <n v="134.43"/>
    <s v="Completed"/>
    <s v="Gift Card"/>
    <n v="268.86"/>
    <n v="7"/>
    <x v="0"/>
  </r>
  <r>
    <x v="3872"/>
    <x v="249"/>
    <s v="CUST1885"/>
    <s v="Lisa Santos"/>
    <x v="0"/>
    <x v="6"/>
    <x v="40"/>
    <n v="1"/>
    <n v="134.47999999999999"/>
    <s v="Completed"/>
    <s v="PayPal"/>
    <n v="134.47999999999999"/>
    <n v="6"/>
    <x v="0"/>
  </r>
  <r>
    <x v="3873"/>
    <x v="575"/>
    <s v="CUST1247"/>
    <s v="Andi Nugroho"/>
    <x v="0"/>
    <x v="6"/>
    <x v="39"/>
    <n v="2"/>
    <n v="134.74"/>
    <s v="Completed"/>
    <s v="PayPal"/>
    <n v="269.48"/>
    <n v="5"/>
    <x v="0"/>
  </r>
  <r>
    <x v="3874"/>
    <x v="610"/>
    <s v="CUST1003"/>
    <s v="Siti Anderson"/>
    <x v="0"/>
    <x v="6"/>
    <x v="37"/>
    <n v="3"/>
    <n v="134.85"/>
    <s v="Completed"/>
    <s v="PayPal"/>
    <n v="404.54999999999995"/>
    <n v="4"/>
    <x v="0"/>
  </r>
  <r>
    <x v="3875"/>
    <x v="204"/>
    <s v="CUST1730"/>
    <s v="Linda Kurniawan"/>
    <x v="0"/>
    <x v="6"/>
    <x v="41"/>
    <n v="4"/>
    <n v="135.19"/>
    <s v="Completed"/>
    <s v="PayPal"/>
    <n v="540.76"/>
    <n v="4"/>
    <x v="0"/>
  </r>
  <r>
    <x v="3876"/>
    <x v="729"/>
    <s v="CUST1303"/>
    <s v="James Wilson"/>
    <x v="1"/>
    <x v="6"/>
    <x v="36"/>
    <n v="2"/>
    <n v="135.47999999999999"/>
    <s v="Completed"/>
    <s v="Debit Card"/>
    <n v="270.95999999999998"/>
    <n v="4"/>
    <x v="0"/>
  </r>
  <r>
    <x v="3877"/>
    <x v="40"/>
    <s v="CUST1201"/>
    <s v="Linda Johnson"/>
    <x v="0"/>
    <x v="6"/>
    <x v="36"/>
    <n v="1"/>
    <n v="135.84"/>
    <s v="Completed"/>
    <s v="Debit Card"/>
    <n v="135.84"/>
    <n v="5"/>
    <x v="0"/>
  </r>
  <r>
    <x v="3878"/>
    <x v="267"/>
    <s v="CUST1054"/>
    <s v="Putri Garcia"/>
    <x v="0"/>
    <x v="6"/>
    <x v="37"/>
    <n v="3"/>
    <n v="135.85"/>
    <s v="Completed"/>
    <s v="Debit Card"/>
    <n v="407.54999999999995"/>
    <n v="3"/>
    <x v="0"/>
  </r>
  <r>
    <x v="3879"/>
    <x v="101"/>
    <s v="CUST1251"/>
    <s v="Nina Salim"/>
    <x v="0"/>
    <x v="6"/>
    <x v="35"/>
    <n v="2"/>
    <n v="136.03"/>
    <s v="Completed"/>
    <s v="Debit Card"/>
    <n v="272.06"/>
    <n v="8"/>
    <x v="0"/>
  </r>
  <r>
    <x v="3880"/>
    <x v="49"/>
    <s v="CUST1385"/>
    <s v="Michael Lee"/>
    <x v="0"/>
    <x v="6"/>
    <x v="35"/>
    <n v="1"/>
    <n v="136.82"/>
    <s v="Completed"/>
    <s v="Credit Card"/>
    <n v="136.82"/>
    <n v="7"/>
    <x v="0"/>
  </r>
  <r>
    <x v="3881"/>
    <x v="31"/>
    <s v="CUST1893"/>
    <s v="John Wijaya"/>
    <x v="0"/>
    <x v="6"/>
    <x v="42"/>
    <n v="3"/>
    <n v="137.03"/>
    <s v="Cancelled"/>
    <s v="Credit Card"/>
    <n v="411.09000000000003"/>
    <n v="6"/>
    <x v="0"/>
  </r>
  <r>
    <x v="3882"/>
    <x v="133"/>
    <s v="CUST1116"/>
    <s v="Michael Lee"/>
    <x v="0"/>
    <x v="6"/>
    <x v="42"/>
    <n v="2"/>
    <n v="137.25"/>
    <s v="Completed"/>
    <s v="Credit Card"/>
    <n v="274.5"/>
    <n v="4"/>
    <x v="0"/>
  </r>
  <r>
    <x v="3883"/>
    <x v="719"/>
    <s v="CUST1321"/>
    <s v="Putri Garcia"/>
    <x v="1"/>
    <x v="6"/>
    <x v="37"/>
    <n v="1"/>
    <n v="137.6"/>
    <s v="Completed"/>
    <s v="Gift Card"/>
    <n v="137.6"/>
    <n v="8"/>
    <x v="0"/>
  </r>
  <r>
    <x v="3884"/>
    <x v="547"/>
    <s v="CUST1508"/>
    <s v="Budi Garcia"/>
    <x v="1"/>
    <x v="6"/>
    <x v="36"/>
    <n v="1"/>
    <n v="137.63"/>
    <s v="Returned"/>
    <s v="PayPal"/>
    <n v="137.63"/>
    <n v="5"/>
    <x v="0"/>
  </r>
  <r>
    <x v="3885"/>
    <x v="583"/>
    <s v="CUST1572"/>
    <s v="Maria Yusuf"/>
    <x v="0"/>
    <x v="6"/>
    <x v="40"/>
    <n v="1"/>
    <n v="137.63999999999999"/>
    <s v="Completed"/>
    <s v="Credit Card"/>
    <n v="137.63999999999999"/>
    <n v="9"/>
    <x v="0"/>
  </r>
  <r>
    <x v="3886"/>
    <x v="147"/>
    <s v="CUST1517"/>
    <s v="Siti Nugroho"/>
    <x v="0"/>
    <x v="6"/>
    <x v="39"/>
    <n v="3"/>
    <n v="137.94"/>
    <s v="Returned"/>
    <s v="Gift Card"/>
    <n v="413.82"/>
    <n v="5"/>
    <x v="0"/>
  </r>
  <r>
    <x v="3887"/>
    <x v="644"/>
    <s v="CUST1778"/>
    <s v="Kevin Wilson"/>
    <x v="0"/>
    <x v="6"/>
    <x v="39"/>
    <n v="1"/>
    <n v="138.03"/>
    <s v="Completed"/>
    <s v="Credit Card"/>
    <n v="138.03"/>
    <n v="5"/>
    <x v="0"/>
  </r>
  <r>
    <x v="3888"/>
    <x v="56"/>
    <s v="CUST1865"/>
    <s v="Ayu Salim"/>
    <x v="0"/>
    <x v="6"/>
    <x v="38"/>
    <n v="1"/>
    <n v="138.15"/>
    <s v="Completed"/>
    <s v="PayPal"/>
    <n v="138.15"/>
    <n v="9"/>
    <x v="0"/>
  </r>
  <r>
    <x v="3889"/>
    <x v="97"/>
    <s v="CUST1174"/>
    <s v="Unknown Customer"/>
    <x v="0"/>
    <x v="6"/>
    <x v="35"/>
    <n v="1"/>
    <n v="138.35"/>
    <s v="Completed"/>
    <s v="Gift Card"/>
    <n v="138.35"/>
    <n v="7"/>
    <x v="0"/>
  </r>
  <r>
    <x v="3890"/>
    <x v="340"/>
    <s v="CUST1779"/>
    <s v="Andi Yusuf"/>
    <x v="0"/>
    <x v="6"/>
    <x v="38"/>
    <n v="1"/>
    <n v="138.80000000000001"/>
    <s v="Completed"/>
    <s v="Gift Card"/>
    <n v="138.80000000000001"/>
    <n v="8"/>
    <x v="0"/>
  </r>
  <r>
    <x v="3891"/>
    <x v="187"/>
    <s v="CUST1351"/>
    <s v="David Chen"/>
    <x v="1"/>
    <x v="6"/>
    <x v="42"/>
    <n v="2"/>
    <n v="139.18"/>
    <s v="Completed"/>
    <s v="Credit Card"/>
    <n v="278.36"/>
    <n v="5"/>
    <x v="0"/>
  </r>
  <r>
    <x v="3892"/>
    <x v="144"/>
    <s v="CUST1490"/>
    <s v="David Halim"/>
    <x v="0"/>
    <x v="6"/>
    <x v="35"/>
    <n v="1"/>
    <n v="139.49"/>
    <s v="Completed"/>
    <s v="Credit Card"/>
    <n v="139.49"/>
    <n v="6"/>
    <x v="0"/>
  </r>
  <r>
    <x v="3893"/>
    <x v="64"/>
    <s v="CUST1521"/>
    <s v="John Smith"/>
    <x v="0"/>
    <x v="6"/>
    <x v="42"/>
    <n v="1"/>
    <n v="139.69999999999999"/>
    <s v="Completed"/>
    <s v="Gift Card"/>
    <n v="139.69999999999999"/>
    <n v="4"/>
    <x v="0"/>
  </r>
  <r>
    <x v="3894"/>
    <x v="165"/>
    <s v="CUST1155"/>
    <s v="Budi Brown"/>
    <x v="0"/>
    <x v="6"/>
    <x v="40"/>
    <n v="3"/>
    <n v="140.19"/>
    <s v="Returned"/>
    <s v="Gift Card"/>
    <n v="420.57"/>
    <n v="5"/>
    <x v="0"/>
  </r>
  <r>
    <x v="3895"/>
    <x v="406"/>
    <s v="CUST1069"/>
    <s v="James Tan"/>
    <x v="0"/>
    <x v="6"/>
    <x v="36"/>
    <n v="2"/>
    <n v="140.44999999999999"/>
    <s v="Completed"/>
    <s v="Unknown"/>
    <n v="280.89999999999998"/>
    <n v="1"/>
    <x v="1"/>
  </r>
  <r>
    <x v="3896"/>
    <x v="410"/>
    <s v="CUST1432"/>
    <s v="Andi Smith"/>
    <x v="0"/>
    <x v="6"/>
    <x v="36"/>
    <n v="2"/>
    <n v="140.59"/>
    <s v="Completed"/>
    <s v="PayPal"/>
    <n v="281.18"/>
    <n v="7"/>
    <x v="0"/>
  </r>
  <r>
    <x v="3897"/>
    <x v="713"/>
    <s v="CUST1546"/>
    <s v="John Garcia"/>
    <x v="0"/>
    <x v="6"/>
    <x v="36"/>
    <n v="2"/>
    <n v="140.72"/>
    <s v="Completed"/>
    <s v="Credit Card"/>
    <n v="281.44"/>
    <n v="5"/>
    <x v="0"/>
  </r>
  <r>
    <x v="3898"/>
    <x v="322"/>
    <s v="CUST1685"/>
    <s v="Budi Kurniawan"/>
    <x v="3"/>
    <x v="6"/>
    <x v="40"/>
    <n v="1"/>
    <n v="140.88999999999999"/>
    <s v="Returned"/>
    <s v="Credit Card"/>
    <n v="140.88999999999999"/>
    <n v="5"/>
    <x v="0"/>
  </r>
  <r>
    <x v="3899"/>
    <x v="375"/>
    <s v="CUST1344"/>
    <s v="Ahmad Salim"/>
    <x v="3"/>
    <x v="6"/>
    <x v="42"/>
    <n v="1"/>
    <n v="141.27000000000001"/>
    <s v="Completed"/>
    <s v="Gift Card"/>
    <n v="141.27000000000001"/>
    <n v="3"/>
    <x v="0"/>
  </r>
  <r>
    <x v="3900"/>
    <x v="278"/>
    <s v="CUST1752"/>
    <s v="Linda Smith"/>
    <x v="1"/>
    <x v="6"/>
    <x v="40"/>
    <n v="5"/>
    <n v="141.43"/>
    <s v="Completed"/>
    <s v="Debit Card"/>
    <n v="707.15000000000009"/>
    <n v="4"/>
    <x v="0"/>
  </r>
  <r>
    <x v="3901"/>
    <x v="456"/>
    <s v="CUST1308"/>
    <s v="Robert Yusuf"/>
    <x v="0"/>
    <x v="6"/>
    <x v="42"/>
    <n v="1"/>
    <n v="141.75"/>
    <s v="Completed"/>
    <s v="Credit Card"/>
    <n v="141.75"/>
    <n v="4"/>
    <x v="0"/>
  </r>
  <r>
    <x v="3902"/>
    <x v="713"/>
    <s v="CUST1346"/>
    <s v="Dewi Taylor"/>
    <x v="0"/>
    <x v="6"/>
    <x v="35"/>
    <n v="1"/>
    <n v="141.84"/>
    <s v="Completed"/>
    <s v="Credit Card"/>
    <n v="141.84"/>
    <n v="3"/>
    <x v="0"/>
  </r>
  <r>
    <x v="3903"/>
    <x v="238"/>
    <s v="CUST1414"/>
    <s v="Ayu Chen"/>
    <x v="0"/>
    <x v="6"/>
    <x v="37"/>
    <n v="2"/>
    <n v="142.03"/>
    <s v="Completed"/>
    <s v="Debit Card"/>
    <n v="284.06"/>
    <n v="6"/>
    <x v="0"/>
  </r>
  <r>
    <x v="3904"/>
    <x v="694"/>
    <s v="CUST1397"/>
    <s v="Maria Anderson"/>
    <x v="0"/>
    <x v="6"/>
    <x v="39"/>
    <n v="1"/>
    <n v="142.72999999999999"/>
    <s v="Completed"/>
    <s v="PayPal"/>
    <n v="142.72999999999999"/>
    <n v="4"/>
    <x v="0"/>
  </r>
  <r>
    <x v="3905"/>
    <x v="81"/>
    <s v="CUST1641"/>
    <s v="Rina Nugroho"/>
    <x v="1"/>
    <x v="6"/>
    <x v="36"/>
    <n v="2"/>
    <n v="143.1"/>
    <s v="Completed"/>
    <s v="PayPal"/>
    <n v="286.2"/>
    <n v="8"/>
    <x v="0"/>
  </r>
  <r>
    <x v="3906"/>
    <x v="634"/>
    <s v="CUST1206"/>
    <s v="Siti Wilson"/>
    <x v="0"/>
    <x v="6"/>
    <x v="40"/>
    <n v="1"/>
    <n v="143.35"/>
    <s v="Completed"/>
    <s v="Gift Card"/>
    <n v="143.35"/>
    <n v="6"/>
    <x v="0"/>
  </r>
  <r>
    <x v="3907"/>
    <x v="706"/>
    <s v="CUST1650"/>
    <s v="Dewi Lee"/>
    <x v="0"/>
    <x v="6"/>
    <x v="37"/>
    <n v="2"/>
    <n v="143.88"/>
    <s v="Completed"/>
    <s v="Debit Card"/>
    <n v="287.76"/>
    <n v="6"/>
    <x v="0"/>
  </r>
  <r>
    <x v="3908"/>
    <x v="32"/>
    <s v="CUST1790"/>
    <s v="Andi Salim"/>
    <x v="0"/>
    <x v="6"/>
    <x v="35"/>
    <n v="2"/>
    <n v="144.61000000000001"/>
    <s v="Completed"/>
    <s v="Credit Card"/>
    <n v="289.22000000000003"/>
    <n v="6"/>
    <x v="0"/>
  </r>
  <r>
    <x v="3909"/>
    <x v="464"/>
    <s v="CUST1217"/>
    <s v="Michael Santos"/>
    <x v="0"/>
    <x v="6"/>
    <x v="39"/>
    <n v="1"/>
    <n v="144.77000000000001"/>
    <s v="Completed"/>
    <s v="Debit Card"/>
    <n v="144.77000000000001"/>
    <n v="7"/>
    <x v="0"/>
  </r>
  <r>
    <x v="3910"/>
    <x v="211"/>
    <s v="CUST1112"/>
    <s v="Putri Halim"/>
    <x v="1"/>
    <x v="6"/>
    <x v="38"/>
    <n v="4"/>
    <n v="144.88"/>
    <s v="Completed"/>
    <s v="Debit Card"/>
    <n v="579.52"/>
    <n v="5"/>
    <x v="0"/>
  </r>
  <r>
    <x v="3911"/>
    <x v="373"/>
    <s v="CUST1307"/>
    <s v="Lisa Santos"/>
    <x v="3"/>
    <x v="6"/>
    <x v="39"/>
    <n v="1"/>
    <n v="145.1"/>
    <s v="Completed"/>
    <s v="Gift Card"/>
    <n v="145.1"/>
    <n v="3"/>
    <x v="0"/>
  </r>
  <r>
    <x v="3912"/>
    <x v="360"/>
    <s v="CUST1565"/>
    <s v="Rina Hidayat"/>
    <x v="0"/>
    <x v="6"/>
    <x v="35"/>
    <n v="2"/>
    <n v="145.47"/>
    <s v="Completed"/>
    <s v="Debit Card"/>
    <n v="290.94"/>
    <n v="5"/>
    <x v="0"/>
  </r>
  <r>
    <x v="3913"/>
    <x v="53"/>
    <s v="CUST1625"/>
    <s v="Lisa Pratama"/>
    <x v="0"/>
    <x v="6"/>
    <x v="35"/>
    <n v="1"/>
    <n v="145.86000000000001"/>
    <s v="Completed"/>
    <s v="Gift Card"/>
    <n v="145.86000000000001"/>
    <n v="5"/>
    <x v="0"/>
  </r>
  <r>
    <x v="3914"/>
    <x v="161"/>
    <s v="CUST1420"/>
    <s v="Ayu Wijaya"/>
    <x v="1"/>
    <x v="6"/>
    <x v="39"/>
    <n v="1"/>
    <n v="145.96"/>
    <s v="Completed"/>
    <s v="Gift Card"/>
    <n v="145.96"/>
    <n v="3"/>
    <x v="0"/>
  </r>
  <r>
    <x v="3915"/>
    <x v="165"/>
    <s v="CUST1845"/>
    <s v="David Nugroho"/>
    <x v="2"/>
    <x v="6"/>
    <x v="40"/>
    <n v="2"/>
    <n v="145.97999999999999"/>
    <s v="Completed"/>
    <s v="Credit Card"/>
    <n v="291.95999999999998"/>
    <n v="2"/>
    <x v="0"/>
  </r>
  <r>
    <x v="3916"/>
    <x v="551"/>
    <s v="CUST1078"/>
    <s v="Rina Santos"/>
    <x v="0"/>
    <x v="6"/>
    <x v="40"/>
    <n v="2"/>
    <n v="146.05000000000001"/>
    <s v="Completed"/>
    <s v="PayPal"/>
    <n v="292.10000000000002"/>
    <n v="7"/>
    <x v="0"/>
  </r>
  <r>
    <x v="3917"/>
    <x v="184"/>
    <s v="CUST1236"/>
    <s v="Michael Wilson"/>
    <x v="0"/>
    <x v="6"/>
    <x v="39"/>
    <n v="2"/>
    <n v="146.05000000000001"/>
    <s v="Completed"/>
    <s v="PayPal"/>
    <n v="292.10000000000002"/>
    <n v="6"/>
    <x v="0"/>
  </r>
  <r>
    <x v="3918"/>
    <x v="163"/>
    <s v="CUST1891"/>
    <s v="Sarah Lee"/>
    <x v="0"/>
    <x v="6"/>
    <x v="39"/>
    <n v="1"/>
    <n v="146.13999999999999"/>
    <s v="Completed"/>
    <s v="Debit Card"/>
    <n v="146.13999999999999"/>
    <n v="6"/>
    <x v="0"/>
  </r>
  <r>
    <x v="3919"/>
    <x v="350"/>
    <s v="CUST1122"/>
    <s v="Sarah Smith"/>
    <x v="0"/>
    <x v="6"/>
    <x v="36"/>
    <n v="2"/>
    <n v="146.24"/>
    <s v="Completed"/>
    <s v="Debit Card"/>
    <n v="292.48"/>
    <n v="3"/>
    <x v="0"/>
  </r>
  <r>
    <x v="3920"/>
    <x v="303"/>
    <s v="CUST1286"/>
    <s v="Sarah Wilson"/>
    <x v="3"/>
    <x v="6"/>
    <x v="40"/>
    <n v="2"/>
    <n v="146.55000000000001"/>
    <s v="Completed"/>
    <s v="PayPal"/>
    <n v="293.10000000000002"/>
    <n v="3"/>
    <x v="0"/>
  </r>
  <r>
    <x v="3921"/>
    <x v="621"/>
    <s v="CUST1519"/>
    <s v="Andi Santos"/>
    <x v="0"/>
    <x v="6"/>
    <x v="42"/>
    <n v="1"/>
    <n v="146.62"/>
    <s v="Completed"/>
    <s v="Debit Card"/>
    <n v="146.62"/>
    <n v="7"/>
    <x v="0"/>
  </r>
  <r>
    <x v="3922"/>
    <x v="246"/>
    <s v="CUST1043"/>
    <s v="Michael Wilson"/>
    <x v="0"/>
    <x v="6"/>
    <x v="41"/>
    <n v="1"/>
    <n v="146.69"/>
    <s v="Completed"/>
    <s v="Gift Card"/>
    <n v="146.69"/>
    <n v="3"/>
    <x v="0"/>
  </r>
  <r>
    <x v="3923"/>
    <x v="154"/>
    <s v="CUST1836"/>
    <s v="Kevin Salim"/>
    <x v="0"/>
    <x v="6"/>
    <x v="40"/>
    <n v="2"/>
    <n v="146.74"/>
    <s v="Completed"/>
    <s v="Credit Card"/>
    <n v="293.48"/>
    <n v="6"/>
    <x v="0"/>
  </r>
  <r>
    <x v="3924"/>
    <x v="124"/>
    <s v="CUST1252"/>
    <s v="Ayu Brown"/>
    <x v="0"/>
    <x v="6"/>
    <x v="38"/>
    <n v="2"/>
    <n v="146.76"/>
    <s v="Pending"/>
    <s v="Unknown"/>
    <n v="293.52"/>
    <n v="4"/>
    <x v="0"/>
  </r>
  <r>
    <x v="3925"/>
    <x v="340"/>
    <s v="CUST1051"/>
    <s v="Lisa Tan"/>
    <x v="0"/>
    <x v="6"/>
    <x v="41"/>
    <n v="2"/>
    <n v="146.88999999999999"/>
    <s v="Completed"/>
    <s v="Debit Card"/>
    <n v="293.77999999999997"/>
    <n v="5"/>
    <x v="0"/>
  </r>
  <r>
    <x v="3926"/>
    <x v="659"/>
    <s v="CUST1644"/>
    <s v="Andi Salim"/>
    <x v="0"/>
    <x v="6"/>
    <x v="39"/>
    <n v="5"/>
    <n v="147.11000000000001"/>
    <s v="Completed"/>
    <s v="Credit Card"/>
    <n v="735.55000000000007"/>
    <n v="6"/>
    <x v="0"/>
  </r>
  <r>
    <x v="3927"/>
    <x v="564"/>
    <s v="CUST1392"/>
    <s v="Nina Garcia"/>
    <x v="0"/>
    <x v="6"/>
    <x v="36"/>
    <n v="1"/>
    <n v="147.37"/>
    <s v="Completed"/>
    <s v="Credit Card"/>
    <n v="147.37"/>
    <n v="5"/>
    <x v="0"/>
  </r>
  <r>
    <x v="3928"/>
    <x v="405"/>
    <s v="CUST1488"/>
    <s v="John Taylor"/>
    <x v="0"/>
    <x v="6"/>
    <x v="38"/>
    <n v="1"/>
    <n v="147.44"/>
    <s v="Completed"/>
    <s v="PayPal"/>
    <n v="147.44"/>
    <n v="5"/>
    <x v="0"/>
  </r>
  <r>
    <x v="3929"/>
    <x v="396"/>
    <s v="CUST1065"/>
    <s v="Lisa Tan"/>
    <x v="0"/>
    <x v="6"/>
    <x v="37"/>
    <n v="2"/>
    <n v="148"/>
    <s v="Completed"/>
    <s v="PayPal"/>
    <n v="296"/>
    <n v="5"/>
    <x v="0"/>
  </r>
  <r>
    <x v="3930"/>
    <x v="145"/>
    <s v="CUST1475"/>
    <s v="Ayu Taylor"/>
    <x v="3"/>
    <x v="6"/>
    <x v="35"/>
    <n v="2"/>
    <n v="148.37"/>
    <s v="Completed"/>
    <s v="PayPal"/>
    <n v="296.74"/>
    <n v="3"/>
    <x v="0"/>
  </r>
  <r>
    <x v="3931"/>
    <x v="230"/>
    <s v="CUST1876"/>
    <s v="John Hidayat"/>
    <x v="0"/>
    <x v="6"/>
    <x v="37"/>
    <n v="4"/>
    <n v="148.55000000000001"/>
    <s v="Completed"/>
    <s v="Unknown"/>
    <n v="594.20000000000005"/>
    <n v="5"/>
    <x v="0"/>
  </r>
  <r>
    <x v="3932"/>
    <x v="142"/>
    <s v="CUST1634"/>
    <s v="James Sari"/>
    <x v="0"/>
    <x v="6"/>
    <x v="37"/>
    <n v="2"/>
    <n v="149.71"/>
    <s v="Pending"/>
    <s v="Debit Card"/>
    <n v="299.42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06BC1-898F-4F53-B541-A8AB914B1E6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3:C14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44">
        <item x="13"/>
        <item x="23"/>
        <item x="28"/>
        <item x="41"/>
        <item x="16"/>
        <item x="12"/>
        <item x="10"/>
        <item x="18"/>
        <item x="11"/>
        <item x="33"/>
        <item x="8"/>
        <item x="27"/>
        <item x="30"/>
        <item x="26"/>
        <item x="4"/>
        <item x="7"/>
        <item x="20"/>
        <item x="24"/>
        <item x="5"/>
        <item x="35"/>
        <item x="32"/>
        <item x="0"/>
        <item x="2"/>
        <item x="34"/>
        <item x="37"/>
        <item x="19"/>
        <item x="14"/>
        <item x="9"/>
        <item x="21"/>
        <item x="15"/>
        <item x="1"/>
        <item x="42"/>
        <item x="31"/>
        <item x="3"/>
        <item x="29"/>
        <item x="40"/>
        <item x="6"/>
        <item x="36"/>
        <item x="22"/>
        <item x="39"/>
        <item x="38"/>
        <item x="2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1">
    <i>
      <x v="37"/>
    </i>
    <i>
      <x v="31"/>
    </i>
    <i>
      <x v="24"/>
    </i>
    <i>
      <x v="7"/>
    </i>
    <i>
      <x v="35"/>
    </i>
    <i>
      <x v="23"/>
    </i>
    <i>
      <x v="19"/>
    </i>
    <i>
      <x v="27"/>
    </i>
    <i>
      <x v="3"/>
    </i>
    <i>
      <x v="20"/>
    </i>
    <i t="grand">
      <x/>
    </i>
  </rowItems>
  <colItems count="1">
    <i/>
  </colItems>
  <dataFields count="1">
    <dataField name="Sum of revenue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67288-CA46-418B-B90F-6663529DF478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28:G31" firstHeaderRow="0" firstDataRow="1" firstDataCol="1"/>
  <pivotFields count="16">
    <pivotField dataField="1" showAll="0">
      <items count="3934">
        <item x="3906"/>
        <item x="3785"/>
        <item x="566"/>
        <item x="1033"/>
        <item x="3610"/>
        <item x="3335"/>
        <item x="3268"/>
        <item x="2247"/>
        <item x="1858"/>
        <item x="102"/>
        <item x="1880"/>
        <item x="632"/>
        <item x="3147"/>
        <item x="3679"/>
        <item x="1402"/>
        <item x="1142"/>
        <item x="1834"/>
        <item x="3077"/>
        <item x="1369"/>
        <item x="2632"/>
        <item x="352"/>
        <item x="3019"/>
        <item x="87"/>
        <item x="3630"/>
        <item x="98"/>
        <item x="2660"/>
        <item x="3763"/>
        <item x="1108"/>
        <item x="1554"/>
        <item x="518"/>
        <item x="1830"/>
        <item x="2798"/>
        <item x="1714"/>
        <item x="1866"/>
        <item x="264"/>
        <item x="3923"/>
        <item x="881"/>
        <item x="1335"/>
        <item x="3522"/>
        <item x="265"/>
        <item x="1095"/>
        <item x="127"/>
        <item x="2167"/>
        <item x="342"/>
        <item x="2615"/>
        <item x="2741"/>
        <item x="2398"/>
        <item x="3637"/>
        <item x="1511"/>
        <item x="1761"/>
        <item x="190"/>
        <item x="1136"/>
        <item x="120"/>
        <item x="1814"/>
        <item x="1468"/>
        <item x="2248"/>
        <item x="983"/>
        <item x="3875"/>
        <item x="1144"/>
        <item x="3546"/>
        <item x="290"/>
        <item x="3653"/>
        <item x="1220"/>
        <item x="2220"/>
        <item x="2564"/>
        <item x="767"/>
        <item x="850"/>
        <item x="2754"/>
        <item x="1171"/>
        <item x="2147"/>
        <item x="309"/>
        <item x="777"/>
        <item x="3593"/>
        <item x="780"/>
        <item x="176"/>
        <item x="2736"/>
        <item x="1086"/>
        <item x="1347"/>
        <item x="835"/>
        <item x="460"/>
        <item x="3396"/>
        <item x="3512"/>
        <item x="129"/>
        <item x="810"/>
        <item x="1575"/>
        <item x="1768"/>
        <item x="2873"/>
        <item x="3626"/>
        <item x="1818"/>
        <item x="1897"/>
        <item x="733"/>
        <item x="3488"/>
        <item x="3834"/>
        <item x="2860"/>
        <item x="2507"/>
        <item x="979"/>
        <item x="2179"/>
        <item x="1489"/>
        <item x="669"/>
        <item x="760"/>
        <item x="2294"/>
        <item x="3764"/>
        <item x="658"/>
        <item x="2475"/>
        <item x="948"/>
        <item x="3091"/>
        <item x="1577"/>
        <item x="709"/>
        <item x="2002"/>
        <item x="1406"/>
        <item x="1730"/>
        <item x="1881"/>
        <item x="951"/>
        <item x="2530"/>
        <item x="721"/>
        <item x="69"/>
        <item x="3201"/>
        <item x="896"/>
        <item x="2781"/>
        <item x="3489"/>
        <item x="3339"/>
        <item x="3795"/>
        <item x="2164"/>
        <item x="20"/>
        <item x="3420"/>
        <item x="113"/>
        <item x="1441"/>
        <item x="3436"/>
        <item x="1031"/>
        <item x="2224"/>
        <item x="3687"/>
        <item x="401"/>
        <item x="2962"/>
        <item x="783"/>
        <item x="2534"/>
        <item x="3098"/>
        <item x="2490"/>
        <item x="1896"/>
        <item x="2542"/>
        <item x="1606"/>
        <item x="1479"/>
        <item x="402"/>
        <item x="3099"/>
        <item x="1997"/>
        <item x="3604"/>
        <item x="185"/>
        <item x="964"/>
        <item x="2740"/>
        <item x="804"/>
        <item x="1751"/>
        <item x="167"/>
        <item x="2983"/>
        <item x="3332"/>
        <item x="1694"/>
        <item x="188"/>
        <item x="283"/>
        <item x="1219"/>
        <item x="2640"/>
        <item x="2645"/>
        <item x="65"/>
        <item x="829"/>
        <item x="1801"/>
        <item x="3685"/>
        <item x="2059"/>
        <item x="2026"/>
        <item x="1747"/>
        <item x="2377"/>
        <item x="907"/>
        <item x="1208"/>
        <item x="387"/>
        <item x="2011"/>
        <item x="1041"/>
        <item x="877"/>
        <item x="121"/>
        <item x="337"/>
        <item x="2738"/>
        <item x="991"/>
        <item x="1155"/>
        <item x="862"/>
        <item x="3067"/>
        <item x="1943"/>
        <item x="1243"/>
        <item x="821"/>
        <item x="1378"/>
        <item x="1639"/>
        <item x="552"/>
        <item x="3169"/>
        <item x="155"/>
        <item x="3000"/>
        <item x="1193"/>
        <item x="336"/>
        <item x="3215"/>
        <item x="650"/>
        <item x="2393"/>
        <item x="2643"/>
        <item x="1177"/>
        <item x="668"/>
        <item x="86"/>
        <item x="1039"/>
        <item x="2286"/>
        <item x="1362"/>
        <item x="77"/>
        <item x="1765"/>
        <item x="2297"/>
        <item x="2163"/>
        <item x="768"/>
        <item x="1704"/>
        <item x="1152"/>
        <item x="840"/>
        <item x="2937"/>
        <item x="3307"/>
        <item x="83"/>
        <item x="2075"/>
        <item x="3278"/>
        <item x="3849"/>
        <item x="1113"/>
        <item x="2142"/>
        <item x="2642"/>
        <item x="3171"/>
        <item x="1792"/>
        <item x="2713"/>
        <item x="2445"/>
        <item x="273"/>
        <item x="554"/>
        <item x="147"/>
        <item x="3628"/>
        <item x="3255"/>
        <item x="1948"/>
        <item x="1937"/>
        <item x="785"/>
        <item x="310"/>
        <item x="1843"/>
        <item x="3254"/>
        <item x="1472"/>
        <item x="2601"/>
        <item x="1649"/>
        <item x="2293"/>
        <item x="2107"/>
        <item x="1527"/>
        <item x="3053"/>
        <item x="3641"/>
        <item x="1024"/>
        <item x="2874"/>
        <item x="3345"/>
        <item x="2013"/>
        <item x="1253"/>
        <item x="3356"/>
        <item x="1163"/>
        <item x="640"/>
        <item x="42"/>
        <item x="1722"/>
        <item x="1918"/>
        <item x="1837"/>
        <item x="1466"/>
        <item x="1021"/>
        <item x="3771"/>
        <item x="3633"/>
        <item x="689"/>
        <item x="1201"/>
        <item x="1753"/>
        <item x="3744"/>
        <item x="2512"/>
        <item x="1951"/>
        <item x="1789"/>
        <item x="2771"/>
        <item x="3021"/>
        <item x="3107"/>
        <item x="2502"/>
        <item x="2048"/>
        <item x="3605"/>
        <item x="91"/>
        <item x="1825"/>
        <item x="3856"/>
        <item x="3407"/>
        <item x="3716"/>
        <item x="1633"/>
        <item x="3629"/>
        <item x="1519"/>
        <item x="1183"/>
        <item x="897"/>
        <item x="1195"/>
        <item x="563"/>
        <item x="654"/>
        <item x="3357"/>
        <item x="1235"/>
        <item x="63"/>
        <item x="1104"/>
        <item x="1923"/>
        <item x="3654"/>
        <item x="1553"/>
        <item x="1238"/>
        <item x="1558"/>
        <item x="1078"/>
        <item x="1272"/>
        <item x="227"/>
        <item x="1898"/>
        <item x="556"/>
        <item x="3644"/>
        <item x="1377"/>
        <item x="2679"/>
        <item x="494"/>
        <item x="3678"/>
        <item x="1092"/>
        <item x="1191"/>
        <item x="1360"/>
        <item x="2819"/>
        <item x="3735"/>
        <item x="1697"/>
        <item x="2086"/>
        <item x="2319"/>
        <item x="2705"/>
        <item x="740"/>
        <item x="3895"/>
        <item x="1810"/>
        <item x="3395"/>
        <item x="469"/>
        <item x="21"/>
        <item x="247"/>
        <item x="957"/>
        <item x="3399"/>
        <item x="2843"/>
        <item x="1416"/>
        <item x="1894"/>
        <item x="1090"/>
        <item x="718"/>
        <item x="164"/>
        <item x="790"/>
        <item x="156"/>
        <item x="635"/>
        <item x="2273"/>
        <item x="487"/>
        <item x="2195"/>
        <item x="3259"/>
        <item x="2506"/>
        <item x="1621"/>
        <item x="771"/>
        <item x="1287"/>
        <item x="1913"/>
        <item x="2408"/>
        <item x="3228"/>
        <item x="3224"/>
        <item x="3733"/>
        <item x="1522"/>
        <item x="2876"/>
        <item x="1940"/>
        <item x="3752"/>
        <item x="1681"/>
        <item x="453"/>
        <item x="2348"/>
        <item x="2965"/>
        <item x="727"/>
        <item x="3411"/>
        <item x="0"/>
        <item x="491"/>
        <item x="3355"/>
        <item x="2812"/>
        <item x="942"/>
        <item x="2282"/>
        <item x="3413"/>
        <item x="1720"/>
        <item x="1330"/>
        <item x="2432"/>
        <item x="3003"/>
        <item x="683"/>
        <item x="1304"/>
        <item x="1862"/>
        <item x="1676"/>
        <item x="3072"/>
        <item x="2411"/>
        <item x="1244"/>
        <item x="1590"/>
        <item x="2108"/>
        <item x="1548"/>
        <item x="3543"/>
        <item x="3204"/>
        <item x="3758"/>
        <item x="1552"/>
        <item x="1532"/>
        <item x="459"/>
        <item x="2892"/>
        <item x="2998"/>
        <item x="2361"/>
        <item x="1507"/>
        <item x="2119"/>
        <item x="289"/>
        <item x="3096"/>
        <item x="617"/>
        <item x="1423"/>
        <item x="1598"/>
        <item x="2040"/>
        <item x="1068"/>
        <item x="101"/>
        <item x="587"/>
        <item x="1909"/>
        <item x="2414"/>
        <item x="2933"/>
        <item x="879"/>
        <item x="1056"/>
        <item x="3390"/>
        <item x="3076"/>
        <item x="2251"/>
        <item x="1865"/>
        <item x="703"/>
        <item x="2437"/>
        <item x="1032"/>
        <item x="2383"/>
        <item x="1514"/>
        <item x="372"/>
        <item x="2191"/>
        <item x="944"/>
        <item x="1178"/>
        <item x="726"/>
        <item x="1196"/>
        <item x="2805"/>
        <item x="1328"/>
        <item x="1204"/>
        <item x="3280"/>
        <item x="3599"/>
        <item x="2824"/>
        <item x="1150"/>
        <item x="3097"/>
        <item x="1525"/>
        <item x="2456"/>
        <item x="3046"/>
        <item x="3487"/>
        <item x="734"/>
        <item x="133"/>
        <item x="249"/>
        <item x="3740"/>
        <item x="989"/>
        <item x="3590"/>
        <item x="1456"/>
        <item x="1911"/>
        <item x="838"/>
        <item x="1313"/>
        <item x="3385"/>
        <item x="750"/>
        <item x="722"/>
        <item x="789"/>
        <item x="3483"/>
        <item x="1295"/>
        <item x="3850"/>
        <item x="106"/>
        <item x="60"/>
        <item x="3885"/>
        <item x="706"/>
        <item x="3717"/>
        <item x="752"/>
        <item x="1477"/>
        <item x="2942"/>
        <item x="360"/>
        <item x="2101"/>
        <item x="5"/>
        <item x="2327"/>
        <item x="35"/>
        <item x="3780"/>
        <item x="205"/>
        <item x="2115"/>
        <item x="946"/>
        <item x="2596"/>
        <item x="1521"/>
        <item x="2698"/>
        <item x="2903"/>
        <item x="261"/>
        <item x="1758"/>
        <item x="1071"/>
        <item x="3835"/>
        <item x="343"/>
        <item x="2176"/>
        <item x="949"/>
        <item x="1050"/>
        <item x="3645"/>
        <item x="3379"/>
        <item x="1322"/>
        <item x="2152"/>
        <item x="720"/>
        <item x="3843"/>
        <item x="2869"/>
        <item x="2647"/>
        <item x="2189"/>
        <item x="1561"/>
        <item x="2743"/>
        <item x="10"/>
        <item x="1708"/>
        <item x="51"/>
        <item x="3275"/>
        <item x="312"/>
        <item x="2021"/>
        <item x="2279"/>
        <item x="3824"/>
        <item x="1544"/>
        <item x="370"/>
        <item x="3217"/>
        <item x="1600"/>
        <item x="2332"/>
        <item x="3202"/>
        <item x="1809"/>
        <item x="663"/>
        <item x="1856"/>
        <item x="2616"/>
        <item x="2460"/>
        <item x="714"/>
        <item x="1337"/>
        <item x="2548"/>
        <item x="1661"/>
        <item x="93"/>
        <item x="2723"/>
        <item x="139"/>
        <item x="1941"/>
        <item x="642"/>
        <item x="2459"/>
        <item x="2302"/>
        <item x="1827"/>
        <item x="981"/>
        <item x="3770"/>
        <item x="2518"/>
        <item x="1868"/>
        <item x="1712"/>
        <item x="3887"/>
        <item x="2877"/>
        <item x="3913"/>
        <item x="653"/>
        <item x="1895"/>
        <item x="629"/>
        <item x="861"/>
        <item x="1833"/>
        <item x="2735"/>
        <item x="3023"/>
        <item x="2809"/>
        <item x="1444"/>
        <item x="3880"/>
        <item x="2988"/>
        <item x="1094"/>
        <item x="2927"/>
        <item x="2063"/>
        <item x="3008"/>
        <item x="3462"/>
        <item x="107"/>
        <item x="2204"/>
        <item x="1129"/>
        <item x="1549"/>
        <item x="1439"/>
        <item x="412"/>
        <item x="2667"/>
        <item x="2035"/>
        <item x="1744"/>
        <item x="692"/>
        <item x="1976"/>
        <item x="14"/>
        <item x="1356"/>
        <item x="889"/>
        <item x="2887"/>
        <item x="3612"/>
        <item x="3140"/>
        <item x="495"/>
        <item x="1022"/>
        <item x="3338"/>
        <item x="2174"/>
        <item x="2617"/>
        <item x="3858"/>
        <item x="3528"/>
        <item x="1927"/>
        <item x="2742"/>
        <item x="3167"/>
        <item x="2986"/>
        <item x="3666"/>
        <item x="2990"/>
        <item x="3859"/>
        <item x="891"/>
        <item x="3455"/>
        <item x="1257"/>
        <item x="1989"/>
        <item x="181"/>
        <item x="2622"/>
        <item x="1540"/>
        <item x="918"/>
        <item x="3779"/>
        <item x="2148"/>
        <item x="690"/>
        <item x="3178"/>
        <item x="1595"/>
        <item x="3095"/>
        <item x="2038"/>
        <item x="2893"/>
        <item x="1318"/>
        <item x="543"/>
        <item x="2135"/>
        <item x="52"/>
        <item x="884"/>
        <item x="801"/>
        <item x="2789"/>
        <item x="963"/>
        <item x="2949"/>
        <item x="1447"/>
        <item x="2980"/>
        <item x="3634"/>
        <item x="755"/>
        <item x="2992"/>
        <item x="286"/>
        <item x="40"/>
        <item x="3232"/>
        <item x="1842"/>
        <item x="1046"/>
        <item x="3563"/>
        <item x="1305"/>
        <item x="3903"/>
        <item x="3493"/>
        <item x="1498"/>
        <item x="470"/>
        <item x="373"/>
        <item x="1971"/>
        <item x="393"/>
        <item x="3294"/>
        <item x="2746"/>
        <item x="2792"/>
        <item x="3400"/>
        <item x="2967"/>
        <item x="1114"/>
        <item x="116"/>
        <item x="1167"/>
        <item x="2427"/>
        <item x="1232"/>
        <item x="1424"/>
        <item x="1568"/>
        <item x="500"/>
        <item x="1754"/>
        <item x="2484"/>
        <item x="1067"/>
        <item x="3855"/>
        <item x="1380"/>
        <item x="3866"/>
        <item x="1096"/>
        <item x="781"/>
        <item x="3798"/>
        <item x="170"/>
        <item x="2749"/>
        <item x="1059"/>
        <item x="1908"/>
        <item x="1363"/>
        <item x="809"/>
        <item x="2519"/>
        <item x="1176"/>
        <item x="1014"/>
        <item x="3776"/>
        <item x="3450"/>
        <item x="2912"/>
        <item x="3810"/>
        <item x="3700"/>
        <item x="41"/>
        <item x="2069"/>
        <item x="3459"/>
        <item x="3910"/>
        <item x="1975"/>
        <item x="2241"/>
        <item x="84"/>
        <item x="160"/>
        <item x="1767"/>
        <item x="2326"/>
        <item x="2473"/>
        <item x="1935"/>
        <item x="1955"/>
        <item x="3518"/>
        <item x="2240"/>
        <item x="3213"/>
        <item x="2761"/>
        <item x="3291"/>
        <item x="16"/>
        <item x="385"/>
        <item x="1615"/>
        <item x="3031"/>
        <item x="1854"/>
        <item x="392"/>
        <item x="2855"/>
        <item x="3313"/>
        <item x="169"/>
        <item x="2154"/>
        <item x="2671"/>
        <item x="2635"/>
        <item x="1117"/>
        <item x="2598"/>
        <item x="2342"/>
        <item x="3920"/>
        <item x="1968"/>
        <item x="924"/>
        <item x="1224"/>
        <item x="2066"/>
        <item x="922"/>
        <item x="1666"/>
        <item x="1998"/>
        <item x="621"/>
        <item x="431"/>
        <item x="3378"/>
        <item x="3258"/>
        <item x="3811"/>
        <item x="2753"/>
        <item x="1799"/>
        <item x="1398"/>
        <item x="1340"/>
        <item x="3043"/>
        <item x="490"/>
        <item x="3136"/>
        <item x="3893"/>
        <item x="2880"/>
        <item x="1234"/>
        <item x="1089"/>
        <item x="3439"/>
        <item x="3888"/>
        <item x="1791"/>
        <item x="1392"/>
        <item x="3584"/>
        <item x="695"/>
        <item x="3794"/>
        <item x="3505"/>
        <item x="2934"/>
        <item x="3233"/>
        <item x="1772"/>
        <item x="888"/>
        <item x="2483"/>
        <item x="2882"/>
        <item x="1743"/>
        <item x="3615"/>
        <item x="2857"/>
        <item x="3246"/>
        <item x="3555"/>
        <item x="2352"/>
        <item x="910"/>
        <item x="3876"/>
        <item x="361"/>
        <item x="266"/>
        <item x="603"/>
        <item x="3545"/>
        <item x="2975"/>
        <item x="2406"/>
        <item x="3738"/>
        <item x="405"/>
        <item x="3276"/>
        <item x="866"/>
        <item x="873"/>
        <item x="146"/>
        <item x="2649"/>
        <item x="3143"/>
        <item x="2022"/>
        <item x="1120"/>
        <item x="2936"/>
        <item x="466"/>
        <item x="772"/>
        <item x="2031"/>
        <item x="1302"/>
        <item x="1200"/>
        <item x="3433"/>
        <item x="1419"/>
        <item x="3517"/>
        <item x="2612"/>
        <item x="2978"/>
        <item x="174"/>
        <item x="839"/>
        <item x="1192"/>
        <item x="2909"/>
        <item x="2259"/>
        <item x="1497"/>
        <item x="1213"/>
        <item x="2295"/>
        <item x="1859"/>
        <item x="3621"/>
        <item x="1876"/>
        <item x="3482"/>
        <item x="2181"/>
        <item x="221"/>
        <item x="725"/>
        <item x="3449"/>
        <item x="3471"/>
        <item x="747"/>
        <item x="2453"/>
        <item x="2541"/>
        <item x="1004"/>
        <item x="2209"/>
        <item x="880"/>
        <item x="2170"/>
        <item x="1269"/>
        <item x="2201"/>
        <item x="1256"/>
        <item x="162"/>
        <item x="3697"/>
        <item x="3622"/>
        <item x="973"/>
        <item x="3681"/>
        <item x="1512"/>
        <item x="920"/>
        <item x="3236"/>
        <item x="2801"/>
        <item x="441"/>
        <item x="2402"/>
        <item x="1229"/>
        <item x="2523"/>
        <item x="2847"/>
        <item x="848"/>
        <item x="2330"/>
        <item x="1069"/>
        <item x="3825"/>
        <item x="1905"/>
        <item x="2538"/>
        <item x="3708"/>
        <item x="1131"/>
        <item x="1841"/>
        <item x="1831"/>
        <item x="3183"/>
        <item x="419"/>
        <item x="3162"/>
        <item x="2138"/>
        <item x="2708"/>
        <item x="100"/>
        <item x="636"/>
        <item x="1613"/>
        <item x="3818"/>
        <item x="427"/>
        <item x="2867"/>
        <item x="1185"/>
        <item x="397"/>
        <item x="3101"/>
        <item x="1088"/>
        <item x="2863"/>
        <item x="3832"/>
        <item x="3081"/>
        <item x="314"/>
        <item x="2169"/>
        <item x="442"/>
        <item x="2759"/>
        <item x="3380"/>
        <item x="3325"/>
        <item x="945"/>
        <item x="823"/>
        <item x="1966"/>
        <item x="2200"/>
        <item x="1442"/>
        <item x="455"/>
        <item x="3898"/>
        <item x="1811"/>
        <item x="232"/>
        <item x="913"/>
        <item x="1164"/>
        <item x="2552"/>
        <item x="1157"/>
        <item x="3079"/>
        <item x="3537"/>
        <item x="3359"/>
        <item x="1652"/>
        <item x="825"/>
        <item x="1664"/>
        <item x="1083"/>
        <item x="3342"/>
        <item x="1885"/>
        <item x="477"/>
        <item x="3056"/>
        <item x="3283"/>
        <item x="928"/>
        <item x="926"/>
        <item x="3063"/>
        <item x="3538"/>
        <item x="2210"/>
        <item x="2226"/>
        <item x="267"/>
        <item x="751"/>
        <item x="3520"/>
        <item x="3322"/>
        <item x="2454"/>
        <item x="3557"/>
        <item x="2366"/>
        <item x="3029"/>
        <item x="180"/>
        <item x="818"/>
        <item x="2693"/>
        <item x="2351"/>
        <item x="2392"/>
        <item x="1099"/>
        <item x="1861"/>
        <item x="359"/>
        <item x="627"/>
        <item x="1648"/>
        <item x="2249"/>
        <item x="2341"/>
        <item x="1331"/>
        <item x="1379"/>
        <item x="2357"/>
        <item x="2082"/>
        <item x="3719"/>
        <item x="3088"/>
        <item x="2425"/>
        <item x="3882"/>
        <item x="3723"/>
        <item x="820"/>
        <item x="2570"/>
        <item x="2079"/>
        <item x="3303"/>
        <item x="239"/>
        <item x="527"/>
        <item x="3889"/>
        <item x="2750"/>
        <item x="2246"/>
        <item x="2447"/>
        <item x="3068"/>
        <item x="2155"/>
        <item x="320"/>
        <item x="1054"/>
        <item x="1929"/>
        <item x="707"/>
        <item x="3427"/>
        <item x="2689"/>
        <item x="1572"/>
        <item x="2045"/>
        <item x="2317"/>
        <item x="440"/>
        <item x="702"/>
        <item x="1517"/>
        <item x="2551"/>
        <item x="3340"/>
        <item x="1607"/>
        <item x="2103"/>
        <item x="2016"/>
        <item x="1502"/>
        <item x="2388"/>
        <item x="1486"/>
        <item x="1389"/>
        <item x="2004"/>
        <item x="1408"/>
        <item x="1188"/>
        <item x="1241"/>
        <item x="3664"/>
        <item x="870"/>
        <item x="655"/>
        <item x="2027"/>
        <item x="623"/>
        <item x="1920"/>
        <item x="3472"/>
        <item x="3421"/>
        <item x="3468"/>
        <item x="2726"/>
        <item x="1205"/>
        <item x="408"/>
        <item x="1870"/>
        <item x="560"/>
        <item x="2354"/>
        <item x="1817"/>
        <item x="3846"/>
        <item x="3696"/>
        <item x="2755"/>
        <item x="1368"/>
        <item x="202"/>
        <item x="1279"/>
        <item x="250"/>
        <item x="1179"/>
        <item x="2104"/>
        <item x="3448"/>
        <item x="1536"/>
        <item x="3036"/>
        <item x="3326"/>
        <item x="413"/>
        <item x="154"/>
        <item x="596"/>
        <item x="900"/>
        <item x="2826"/>
        <item x="3865"/>
        <item x="1982"/>
        <item x="3321"/>
        <item x="2353"/>
        <item x="1000"/>
        <item x="173"/>
        <item x="1409"/>
        <item x="2558"/>
        <item x="2879"/>
        <item x="1476"/>
        <item x="171"/>
        <item x="927"/>
        <item x="1936"/>
        <item x="3529"/>
        <item x="234"/>
        <item x="3145"/>
        <item x="2920"/>
        <item x="3877"/>
        <item x="1226"/>
        <item x="3324"/>
        <item x="2139"/>
        <item x="2856"/>
        <item x="344"/>
        <item x="3594"/>
        <item x="1452"/>
        <item x="1449"/>
        <item x="137"/>
        <item x="1422"/>
        <item x="2233"/>
        <item x="990"/>
        <item x="3693"/>
        <item x="3105"/>
        <item x="3870"/>
        <item x="3347"/>
        <item x="1388"/>
        <item x="3662"/>
        <item x="2724"/>
        <item x="237"/>
        <item x="2659"/>
        <item x="1926"/>
        <item x="1589"/>
        <item x="2939"/>
        <item x="2132"/>
        <item x="224"/>
        <item x="2074"/>
        <item x="245"/>
        <item x="3207"/>
        <item x="808"/>
        <item x="3434"/>
        <item x="1819"/>
        <item x="3118"/>
        <item x="1206"/>
        <item x="3820"/>
        <item x="3928"/>
        <item x="697"/>
        <item x="3486"/>
        <item x="2901"/>
        <item x="3410"/>
        <item x="3318"/>
        <item x="1074"/>
        <item x="2039"/>
        <item x="1488"/>
        <item x="3293"/>
        <item x="2175"/>
        <item x="1139"/>
        <item x="917"/>
        <item x="995"/>
        <item x="822"/>
        <item x="2500"/>
        <item x="3277"/>
        <item x="2969"/>
        <item x="852"/>
        <item x="2136"/>
        <item x="2864"/>
        <item x="622"/>
        <item x="3861"/>
        <item x="2734"/>
        <item x="1065"/>
        <item x="1645"/>
        <item x="3039"/>
        <item x="1579"/>
        <item x="2442"/>
        <item x="293"/>
        <item x="505"/>
        <item x="462"/>
        <item x="1688"/>
        <item x="2772"/>
        <item x="340"/>
        <item x="1912"/>
        <item x="2242"/>
        <item x="3386"/>
        <item x="2573"/>
        <item x="2047"/>
        <item x="832"/>
        <item x="2020"/>
        <item x="567"/>
        <item x="671"/>
        <item x="411"/>
        <item x="165"/>
        <item x="3671"/>
        <item x="2060"/>
        <item x="2747"/>
        <item x="1400"/>
        <item x="2182"/>
        <item x="476"/>
        <item x="844"/>
        <item x="2017"/>
        <item x="32"/>
        <item x="3173"/>
        <item x="1019"/>
        <item x="2717"/>
        <item x="1310"/>
        <item x="2600"/>
        <item x="498"/>
        <item x="786"/>
        <item x="3253"/>
        <item x="969"/>
        <item x="435"/>
        <item x="611"/>
        <item x="3286"/>
        <item x="3731"/>
        <item x="3117"/>
        <item x="1585"/>
        <item x="2923"/>
        <item x="2401"/>
        <item x="2157"/>
        <item x="3683"/>
        <item x="142"/>
        <item x="2639"/>
        <item x="3156"/>
        <item x="1242"/>
        <item x="486"/>
        <item x="3497"/>
        <item x="3616"/>
        <item x="1496"/>
        <item x="1413"/>
        <item x="1199"/>
        <item x="2051"/>
        <item x="1003"/>
        <item x="1539"/>
        <item x="2814"/>
        <item x="110"/>
        <item x="3261"/>
        <item x="1869"/>
        <item x="3370"/>
        <item x="1987"/>
        <item x="461"/>
        <item x="3350"/>
        <item x="3006"/>
        <item x="3844"/>
        <item x="2055"/>
        <item x="3377"/>
        <item x="1545"/>
        <item x="3004"/>
        <item x="705"/>
        <item x="3514"/>
        <item x="2607"/>
        <item x="1426"/>
        <item x="2630"/>
        <item x="2926"/>
        <item x="2700"/>
        <item x="2585"/>
        <item x="2794"/>
        <item x="3100"/>
        <item x="1159"/>
        <item x="2546"/>
        <item x="157"/>
        <item x="670"/>
        <item x="2875"/>
        <item x="903"/>
        <item x="2925"/>
        <item x="664"/>
        <item x="1027"/>
        <item x="3894"/>
        <item x="3234"/>
        <item x="1616"/>
        <item x="275"/>
        <item x="2131"/>
        <item x="615"/>
        <item x="3002"/>
        <item x="1454"/>
        <item x="978"/>
        <item x="937"/>
        <item x="574"/>
        <item x="947"/>
        <item x="2591"/>
        <item x="827"/>
        <item x="3924"/>
        <item x="2911"/>
        <item x="439"/>
        <item x="871"/>
        <item x="3510"/>
        <item x="3093"/>
        <item x="2845"/>
        <item x="779"/>
        <item x="2466"/>
        <item x="824"/>
        <item x="1384"/>
        <item x="1495"/>
        <item x="2321"/>
        <item x="2545"/>
        <item x="2137"/>
        <item x="1739"/>
        <item x="3907"/>
        <item x="547"/>
        <item x="1"/>
        <item x="2076"/>
        <item x="2718"/>
        <item x="489"/>
        <item x="1415"/>
        <item x="3212"/>
        <item x="1528"/>
        <item x="3225"/>
        <item x="3348"/>
        <item x="2012"/>
        <item x="812"/>
        <item x="196"/>
        <item x="2102"/>
        <item x="434"/>
        <item x="1757"/>
        <item x="3473"/>
        <item x="2370"/>
        <item x="2540"/>
        <item x="965"/>
        <item x="1211"/>
        <item x="1481"/>
        <item x="161"/>
        <item x="3151"/>
        <item x="1944"/>
        <item x="2808"/>
        <item x="2381"/>
        <item x="2578"/>
        <item x="2235"/>
        <item x="802"/>
        <item x="2529"/>
        <item x="2028"/>
        <item x="367"/>
        <item x="3796"/>
        <item x="3269"/>
        <item x="701"/>
        <item x="2146"/>
        <item x="1796"/>
        <item x="908"/>
        <item x="2111"/>
        <item x="3415"/>
        <item x="1658"/>
        <item x="3815"/>
        <item x="2503"/>
        <item x="1325"/>
        <item x="288"/>
        <item x="1382"/>
        <item x="1710"/>
        <item x="610"/>
        <item x="282"/>
        <item x="2654"/>
        <item x="614"/>
        <item x="3033"/>
        <item x="3566"/>
        <item x="984"/>
        <item x="970"/>
        <item x="2193"/>
        <item x="2664"/>
        <item x="2228"/>
        <item x="3124"/>
        <item x="3789"/>
        <item x="3839"/>
        <item x="2125"/>
        <item x="3833"/>
        <item x="18"/>
        <item x="1160"/>
        <item x="1053"/>
        <item x="3704"/>
        <item x="2468"/>
        <item x="55"/>
        <item x="3929"/>
        <item x="3807"/>
        <item x="1627"/>
        <item x="28"/>
        <item x="3078"/>
        <item x="1429"/>
        <item x="3737"/>
        <item x="254"/>
        <item x="88"/>
        <item x="3139"/>
        <item x="2976"/>
        <item x="3647"/>
        <item x="651"/>
        <item x="2535"/>
        <item x="2215"/>
        <item x="375"/>
        <item x="2621"/>
        <item x="3334"/>
        <item x="1182"/>
        <item x="1889"/>
        <item x="988"/>
        <item x="2417"/>
        <item x="3573"/>
        <item x="3296"/>
        <item x="1662"/>
        <item x="2807"/>
        <item x="1624"/>
        <item x="2657"/>
        <item x="3187"/>
        <item x="3639"/>
        <item x="2803"/>
        <item x="2928"/>
        <item x="1917"/>
        <item x="2830"/>
        <item x="374"/>
        <item x="252"/>
        <item x="3121"/>
        <item x="2262"/>
        <item x="96"/>
        <item x="3874"/>
        <item x="3565"/>
        <item x="3368"/>
        <item x="680"/>
        <item x="3490"/>
        <item x="3579"/>
        <item x="1851"/>
        <item x="1431"/>
        <item x="578"/>
        <item x="3165"/>
        <item x="856"/>
        <item x="179"/>
        <item x="905"/>
        <item x="72"/>
        <item x="1537"/>
        <item x="1281"/>
        <item x="1531"/>
        <item x="2151"/>
        <item x="2973"/>
        <item x="1381"/>
        <item x="3526"/>
        <item x="2421"/>
        <item x="3094"/>
        <item x="1555"/>
        <item x="241"/>
        <item x="581"/>
        <item x="1066"/>
        <item x="2114"/>
        <item x="2605"/>
        <item x="3862"/>
        <item x="3864"/>
        <item x="3047"/>
        <item x="3761"/>
        <item x="3747"/>
        <item x="3206"/>
        <item x="3152"/>
        <item x="2140"/>
        <item x="3544"/>
        <item x="481"/>
        <item x="2499"/>
        <item x="1097"/>
        <item x="1006"/>
        <item x="855"/>
        <item x="1184"/>
        <item x="759"/>
        <item x="3320"/>
        <item x="3675"/>
        <item x="1085"/>
        <item x="1105"/>
        <item x="304"/>
        <item x="867"/>
        <item x="562"/>
        <item x="568"/>
        <item x="124"/>
        <item x="3521"/>
        <item x="1042"/>
        <item x="3352"/>
        <item x="1573"/>
        <item x="3284"/>
        <item x="2305"/>
        <item x="1698"/>
        <item x="258"/>
        <item x="2470"/>
        <item x="1186"/>
        <item x="591"/>
        <item x="1892"/>
        <item x="2"/>
        <item x="3087"/>
        <item x="661"/>
        <item x="2971"/>
        <item x="347"/>
        <item x="2568"/>
        <item x="251"/>
        <item x="1516"/>
        <item x="1275"/>
        <item x="525"/>
        <item x="3501"/>
        <item x="2614"/>
        <item x="2707"/>
        <item x="3897"/>
        <item x="3477"/>
        <item x="2449"/>
        <item x="1280"/>
        <item x="195"/>
        <item x="125"/>
        <item x="513"/>
        <item x="1543"/>
        <item x="3177"/>
        <item x="549"/>
        <item x="1299"/>
        <item x="1407"/>
        <item x="3163"/>
        <item x="3317"/>
        <item x="2211"/>
        <item x="3793"/>
        <item x="2078"/>
        <item x="3113"/>
        <item x="1973"/>
        <item x="3456"/>
        <item x="3925"/>
        <item x="540"/>
        <item x="2099"/>
        <item x="3027"/>
        <item x="1995"/>
        <item x="1852"/>
        <item x="741"/>
        <item x="977"/>
        <item x="1752"/>
        <item x="2760"/>
        <item x="417"/>
        <item x="1745"/>
        <item x="3446"/>
        <item x="1324"/>
        <item x="1682"/>
        <item x="892"/>
        <item x="764"/>
        <item x="3499"/>
        <item x="659"/>
        <item x="2606"/>
        <item x="67"/>
        <item x="1223"/>
        <item x="2553"/>
        <item x="3199"/>
        <item x="2378"/>
        <item x="3607"/>
        <item x="631"/>
        <item x="2982"/>
        <item x="2956"/>
        <item x="3266"/>
        <item x="1499"/>
        <item x="3860"/>
        <item x="112"/>
        <item x="1308"/>
        <item x="2811"/>
        <item x="1433"/>
        <item x="1286"/>
        <item x="1399"/>
        <item x="2043"/>
        <item x="1732"/>
        <item x="2544"/>
        <item x="2563"/>
        <item x="3353"/>
        <item x="281"/>
        <item x="3153"/>
        <item x="2469"/>
        <item x="1874"/>
        <item x="3614"/>
        <item x="3663"/>
        <item x="3112"/>
        <item x="3606"/>
        <item x="13"/>
        <item x="1266"/>
        <item x="2958"/>
        <item x="3871"/>
        <item x="1684"/>
        <item x="260"/>
        <item x="2476"/>
        <item x="507"/>
        <item x="1848"/>
        <item x="2310"/>
        <item x="3166"/>
        <item x="878"/>
        <item x="3242"/>
        <item x="472"/>
        <item x="2375"/>
        <item x="813"/>
        <item x="3643"/>
        <item x="1255"/>
        <item x="1513"/>
        <item x="1480"/>
        <item x="2280"/>
        <item x="1742"/>
        <item x="3186"/>
        <item x="1414"/>
        <item x="1860"/>
        <item x="1417"/>
        <item x="2316"/>
        <item x="64"/>
        <item x="594"/>
        <item x="3134"/>
        <item x="3695"/>
        <item x="2922"/>
        <item x="458"/>
        <item x="2574"/>
        <item x="215"/>
        <item x="1778"/>
        <item x="1490"/>
        <item x="2058"/>
        <item x="3799"/>
        <item x="1583"/>
        <item x="2786"/>
        <item x="516"/>
        <item x="2287"/>
        <item x="3656"/>
        <item x="2790"/>
        <item x="524"/>
        <item x="3890"/>
        <item x="3535"/>
        <item x="3282"/>
        <item x="1173"/>
        <item x="356"/>
        <item x="2797"/>
        <item x="3154"/>
        <item x="716"/>
        <item x="3059"/>
        <item x="2404"/>
        <item x="657"/>
        <item x="1700"/>
        <item x="1974"/>
        <item x="1946"/>
        <item x="1411"/>
        <item x="3351"/>
        <item x="3851"/>
        <item x="2412"/>
        <item x="1961"/>
        <item x="1249"/>
        <item x="600"/>
        <item x="1741"/>
        <item x="109"/>
        <item x="2050"/>
        <item x="3688"/>
        <item x="1478"/>
        <item x="3279"/>
        <item x="570"/>
        <item x="2339"/>
        <item x="2359"/>
        <item x="318"/>
        <item x="2796"/>
        <item x="2582"/>
        <item x="501"/>
        <item x="3914"/>
        <item x="1849"/>
        <item x="277"/>
        <item x="3718"/>
        <item x="1098"/>
        <item x="2716"/>
        <item x="2599"/>
        <item x="3759"/>
        <item x="3315"/>
        <item x="389"/>
        <item x="3792"/>
        <item x="533"/>
        <item x="3828"/>
        <item x="1672"/>
        <item x="223"/>
        <item x="2144"/>
        <item x="1749"/>
        <item x="2914"/>
        <item x="1261"/>
        <item x="3401"/>
        <item x="189"/>
        <item x="730"/>
        <item x="2278"/>
        <item x="284"/>
        <item x="3172"/>
        <item x="78"/>
        <item x="1372"/>
        <item x="1060"/>
        <item x="308"/>
        <item x="3220"/>
        <item x="3817"/>
        <item x="2931"/>
        <item x="1233"/>
        <item x="1787"/>
        <item x="57"/>
        <item x="274"/>
        <item x="2202"/>
        <item x="1560"/>
        <item x="1122"/>
        <item x="2584"/>
        <item x="3617"/>
        <item x="1838"/>
        <item x="2510"/>
        <item x="1306"/>
        <item x="2624"/>
        <item x="443"/>
        <item x="3209"/>
        <item x="3724"/>
        <item x="1823"/>
        <item x="676"/>
        <item x="765"/>
        <item x="1660"/>
        <item x="3044"/>
        <item x="3503"/>
        <item x="3768"/>
        <item x="2089"/>
        <item x="400"/>
        <item x="2488"/>
        <item x="3453"/>
        <item x="1225"/>
        <item x="1125"/>
        <item x="3534"/>
        <item x="609"/>
        <item x="1156"/>
        <item x="1501"/>
        <item x="2929"/>
        <item x="2940"/>
        <item x="2015"/>
        <item x="422"/>
        <item x="1482"/>
        <item x="3022"/>
        <item x="2185"/>
        <item x="3491"/>
        <item x="2196"/>
        <item x="912"/>
        <item x="1746"/>
        <item x="2626"/>
        <item x="2972"/>
        <item x="2455"/>
        <item x="798"/>
        <item x="3457"/>
        <item x="3548"/>
        <item x="2989"/>
        <item x="3743"/>
        <item x="3821"/>
        <item x="1750"/>
        <item x="117"/>
        <item x="2633"/>
        <item x="316"/>
        <item x="532"/>
        <item x="883"/>
        <item x="3883"/>
        <item x="1462"/>
        <item x="3237"/>
        <item x="272"/>
        <item x="436"/>
        <item x="278"/>
        <item x="2380"/>
        <item x="3624"/>
        <item x="700"/>
        <item x="3560"/>
        <item x="3438"/>
        <item x="699"/>
        <item x="152"/>
        <item x="2897"/>
        <item x="386"/>
        <item x="2225"/>
        <item x="380"/>
        <item x="1582"/>
        <item x="447"/>
        <item x="175"/>
        <item x="75"/>
        <item x="1520"/>
        <item x="649"/>
        <item x="3552"/>
        <item x="1503"/>
        <item x="19"/>
        <item x="2386"/>
        <item x="613"/>
        <item x="3739"/>
        <item x="678"/>
        <item x="2024"/>
        <item x="2896"/>
        <item x="3561"/>
        <item x="1445"/>
        <item x="1058"/>
        <item x="2539"/>
        <item x="3736"/>
        <item x="1947"/>
        <item x="1124"/>
        <item x="1564"/>
        <item x="1925"/>
        <item x="915"/>
        <item x="172"/>
        <item x="1805"/>
        <item x="1081"/>
        <item x="1542"/>
        <item x="1617"/>
        <item x="2791"/>
        <item x="1840"/>
        <item x="2153"/>
        <item x="3523"/>
        <item x="1630"/>
        <item x="1914"/>
        <item x="1395"/>
        <item x="3238"/>
        <item x="3306"/>
        <item x="2034"/>
        <item x="2851"/>
        <item x="1794"/>
        <item x="3080"/>
        <item x="1855"/>
        <item x="2521"/>
        <item x="1978"/>
        <item x="2687"/>
        <item x="2290"/>
        <item x="3417"/>
        <item x="2994"/>
        <item x="2549"/>
        <item x="3524"/>
        <item x="3267"/>
        <item x="46"/>
        <item x="377"/>
        <item x="2252"/>
        <item x="193"/>
        <item x="2014"/>
        <item x="3657"/>
        <item x="3138"/>
        <item x="967"/>
        <item x="3298"/>
        <item x="2194"/>
        <item x="1618"/>
        <item x="2810"/>
        <item x="3819"/>
        <item x="3542"/>
        <item x="3585"/>
        <item x="2815"/>
        <item x="3769"/>
        <item x="3553"/>
        <item x="860"/>
        <item x="3384"/>
        <item x="1674"/>
        <item x="845"/>
        <item x="2729"/>
        <item x="3422"/>
        <item x="464"/>
        <item x="3122"/>
        <item x="519"/>
        <item x="1401"/>
        <item x="383"/>
        <item x="478"/>
        <item x="3308"/>
        <item x="184"/>
        <item x="3598"/>
        <item x="480"/>
        <item x="2057"/>
        <item x="1963"/>
        <item x="972"/>
        <item x="3689"/>
        <item x="3260"/>
        <item x="3408"/>
        <item x="3336"/>
        <item x="1297"/>
        <item x="1771"/>
        <item x="2073"/>
        <item x="1641"/>
        <item x="428"/>
        <item x="463"/>
        <item x="3281"/>
        <item x="2839"/>
        <item x="144"/>
        <item x="858"/>
        <item x="2684"/>
        <item x="1391"/>
        <item x="584"/>
        <item x="339"/>
        <item x="3540"/>
        <item x="744"/>
        <item x="2556"/>
        <item x="3292"/>
        <item x="3262"/>
        <item x="1934"/>
        <item x="985"/>
        <item x="2365"/>
        <item x="2782"/>
        <item x="2056"/>
        <item x="2577"/>
        <item x="2775"/>
        <item x="2710"/>
        <item x="1061"/>
        <item x="1301"/>
        <item x="1470"/>
        <item x="1246"/>
        <item x="2168"/>
        <item x="3829"/>
        <item x="2590"/>
        <item x="3760"/>
        <item x="2299"/>
        <item x="1180"/>
        <item x="2799"/>
        <item x="2554"/>
        <item x="2409"/>
        <item x="3241"/>
        <item x="1953"/>
        <item x="3636"/>
        <item x="298"/>
        <item x="451"/>
        <item x="396"/>
        <item x="71"/>
        <item x="1614"/>
        <item x="643"/>
        <item x="2744"/>
        <item x="826"/>
        <item x="2081"/>
        <item x="2431"/>
        <item x="2526"/>
        <item x="3677"/>
        <item x="3014"/>
        <item x="2314"/>
        <item x="2727"/>
        <item x="2947"/>
        <item x="931"/>
        <item x="502"/>
        <item x="3184"/>
        <item x="2110"/>
        <item x="2536"/>
        <item x="3570"/>
        <item x="330"/>
        <item x="739"/>
        <item x="390"/>
        <item x="1397"/>
        <item x="1847"/>
        <item x="1106"/>
        <item x="803"/>
        <item x="2611"/>
        <item x="2367"/>
        <item x="1972"/>
        <item x="1162"/>
        <item x="3854"/>
        <item x="2277"/>
        <item x="3388"/>
        <item x="1584"/>
        <item x="3646"/>
        <item x="492"/>
        <item x="1259"/>
        <item x="3001"/>
        <item x="2457"/>
        <item x="3706"/>
        <item x="3288"/>
        <item x="3443"/>
        <item x="3387"/>
        <item x="647"/>
        <item x="2608"/>
        <item x="1028"/>
        <item x="1170"/>
        <item x="1051"/>
        <item x="2418"/>
        <item x="2390"/>
        <item x="1797"/>
        <item x="1267"/>
        <item x="3164"/>
        <item x="1763"/>
        <item x="3500"/>
        <item x="2533"/>
        <item x="1994"/>
        <item x="3086"/>
        <item x="887"/>
        <item x="1274"/>
        <item x="3917"/>
        <item x="974"/>
        <item x="2325"/>
        <item x="1367"/>
        <item x="2820"/>
        <item x="3055"/>
        <item x="2264"/>
        <item x="694"/>
        <item x="3263"/>
        <item x="1620"/>
        <item x="2769"/>
        <item x="711"/>
        <item x="1888"/>
        <item x="1646"/>
        <item x="3161"/>
        <item x="1844"/>
        <item x="2829"/>
        <item x="2842"/>
        <item x="975"/>
        <item x="2970"/>
        <item x="1608"/>
        <item x="2188"/>
        <item x="1671"/>
        <item x="1939"/>
        <item x="388"/>
        <item x="1500"/>
        <item x="837"/>
        <item x="1016"/>
        <item x="3551"/>
        <item x="219"/>
        <item x="3703"/>
        <item x="213"/>
        <item x="1924"/>
        <item x="3327"/>
        <item x="82"/>
        <item x="1853"/>
        <item x="29"/>
        <item x="1687"/>
        <item x="1857"/>
        <item x="3160"/>
        <item x="1721"/>
        <item x="2230"/>
        <item x="3402"/>
        <item x="493"/>
        <item x="1821"/>
        <item x="2263"/>
        <item x="1292"/>
        <item x="2586"/>
        <item x="1230"/>
        <item x="3431"/>
        <item x="859"/>
        <item x="1005"/>
        <item x="919"/>
        <item x="243"/>
        <item x="3330"/>
        <item x="2072"/>
        <item x="2779"/>
        <item x="2748"/>
        <item x="3932"/>
        <item x="2618"/>
        <item x="2938"/>
        <item x="2008"/>
        <item x="3762"/>
        <item x="1228"/>
        <item x="763"/>
        <item x="3845"/>
        <item x="865"/>
        <item x="717"/>
        <item x="966"/>
        <item x="1731"/>
        <item x="1638"/>
        <item x="2780"/>
        <item x="3060"/>
        <item x="2730"/>
        <item x="1231"/>
        <item x="2806"/>
        <item x="111"/>
        <item x="2870"/>
        <item x="1933"/>
        <item x="776"/>
        <item x="1508"/>
        <item x="1062"/>
        <item x="1469"/>
        <item x="842"/>
        <item x="346"/>
        <item x="2588"/>
        <item x="854"/>
        <item x="1836"/>
        <item x="3374"/>
        <item x="3239"/>
        <item x="1457"/>
        <item x="1634"/>
        <item x="2284"/>
        <item x="3444"/>
        <item x="3498"/>
        <item x="2080"/>
        <item x="1523"/>
        <item x="1877"/>
        <item x="1084"/>
        <item x="3712"/>
        <item x="3682"/>
        <item x="1990"/>
        <item x="2213"/>
        <item x="886"/>
        <item x="2571"/>
        <item x="438"/>
        <item x="1132"/>
        <item x="2171"/>
        <item x="3392"/>
        <item x="898"/>
        <item x="536"/>
        <item x="105"/>
        <item x="2334"/>
        <item x="1303"/>
        <item x="1278"/>
        <item x="2527"/>
        <item x="136"/>
        <item x="271"/>
        <item x="2458"/>
        <item x="3640"/>
        <item x="1309"/>
        <item x="1605"/>
        <item x="2559"/>
        <item x="792"/>
        <item x="1900"/>
        <item x="1774"/>
        <item x="3470"/>
        <item x="2440"/>
        <item x="921"/>
        <item x="902"/>
        <item x="1135"/>
        <item x="775"/>
        <item x="1580"/>
        <item x="1025"/>
        <item x="1950"/>
        <item x="1829"/>
        <item x="2587"/>
        <item x="138"/>
        <item x="3684"/>
        <item x="3442"/>
        <item x="1264"/>
        <item x="592"/>
        <item x="3525"/>
        <item x="1578"/>
        <item x="2836"/>
        <item x="1290"/>
        <item x="418"/>
        <item x="3816"/>
        <item x="1567"/>
        <item x="1396"/>
        <item x="2122"/>
        <item x="2006"/>
        <item x="2134"/>
        <item x="517"/>
        <item x="255"/>
        <item x="3265"/>
        <item x="3125"/>
        <item x="95"/>
        <item x="2208"/>
        <item x="3691"/>
        <item x="2644"/>
        <item x="2906"/>
        <item x="1045"/>
        <item x="2098"/>
        <item x="674"/>
        <item x="1504"/>
        <item x="311"/>
        <item x="998"/>
        <item x="3071"/>
        <item x="3084"/>
        <item x="3613"/>
        <item x="2620"/>
        <item x="1826"/>
        <item x="208"/>
        <item x="2849"/>
        <item x="843"/>
        <item x="1734"/>
        <item x="2046"/>
        <item x="3104"/>
        <item x="1506"/>
        <item x="3814"/>
        <item x="564"/>
        <item x="3884"/>
        <item x="2685"/>
        <item x="1319"/>
        <item x="3886"/>
        <item x="1693"/>
        <item x="1326"/>
        <item x="2400"/>
        <item x="723"/>
        <item x="3083"/>
        <item x="938"/>
        <item x="3311"/>
        <item x="38"/>
        <item x="2010"/>
        <item x="3445"/>
        <item x="2964"/>
        <item x="2320"/>
        <item x="3244"/>
        <item x="1670"/>
        <item x="2471"/>
        <item x="3089"/>
        <item x="2283"/>
        <item x="365"/>
        <item x="1884"/>
        <item x="2238"/>
        <item x="226"/>
        <item x="1524"/>
        <item x="1327"/>
        <item x="1689"/>
        <item x="1110"/>
        <item x="3909"/>
        <item x="126"/>
        <item x="2593"/>
        <item x="3911"/>
        <item x="2907"/>
        <item x="2678"/>
        <item x="3005"/>
        <item x="3852"/>
        <item x="1072"/>
        <item x="953"/>
        <item x="3391"/>
        <item x="2890"/>
        <item x="2852"/>
        <item x="3028"/>
        <item x="3061"/>
        <item x="1716"/>
        <item x="384"/>
        <item x="2623"/>
        <item x="558"/>
        <item x="582"/>
        <item x="262"/>
        <item x="1980"/>
        <item x="1802"/>
        <item x="1629"/>
        <item x="3210"/>
        <item x="2505"/>
        <item x="2597"/>
        <item x="1036"/>
        <item x="1642"/>
        <item x="3892"/>
        <item x="3475"/>
        <item x="2245"/>
        <item x="1737"/>
        <item x="2658"/>
        <item x="968"/>
        <item x="2765"/>
        <item x="341"/>
        <item x="595"/>
        <item x="1210"/>
        <item x="1919"/>
        <item x="1735"/>
        <item x="3034"/>
        <item x="3631"/>
        <item x="510"/>
        <item x="715"/>
        <item x="2576"/>
        <item x="235"/>
        <item x="3912"/>
        <item x="269"/>
        <item x="936"/>
        <item x="2345"/>
        <item x="3120"/>
        <item x="569"/>
        <item x="962"/>
        <item x="828"/>
        <item x="2216"/>
        <item x="44"/>
        <item x="1717"/>
        <item x="2862"/>
        <item x="3192"/>
        <item x="1316"/>
        <item x="1599"/>
        <item x="586"/>
        <item x="465"/>
        <item x="2492"/>
        <item x="2338"/>
        <item x="3249"/>
        <item x="2485"/>
        <item x="557"/>
        <item x="2049"/>
        <item x="1515"/>
        <item x="3782"/>
        <item x="1276"/>
        <item x="997"/>
        <item x="2966"/>
        <item x="2993"/>
        <item x="2884"/>
        <item x="2419"/>
        <item x="3466"/>
        <item x="2067"/>
        <item x="3583"/>
        <item x="297"/>
        <item x="573"/>
        <item x="904"/>
        <item x="3842"/>
        <item x="150"/>
        <item x="128"/>
        <item x="2764"/>
        <item x="4"/>
        <item x="2384"/>
        <item x="641"/>
        <item x="710"/>
        <item x="1350"/>
        <item x="3582"/>
        <item x="2663"/>
        <item x="315"/>
        <item x="3587"/>
        <item x="1435"/>
        <item x="420"/>
        <item x="2821"/>
        <item x="1035"/>
        <item x="2997"/>
        <item x="2143"/>
        <item x="2322"/>
        <item x="1052"/>
        <item x="1962"/>
        <item x="1828"/>
        <item x="1991"/>
        <item x="3533"/>
        <item x="355"/>
        <item x="2396"/>
        <item x="769"/>
        <item x="712"/>
        <item x="3149"/>
        <item x="143"/>
        <item x="3032"/>
        <item x="2044"/>
        <item x="3024"/>
        <item x="1012"/>
        <item x="3194"/>
        <item x="3564"/>
        <item x="1430"/>
        <item x="3221"/>
        <item x="3110"/>
        <item x="2172"/>
        <item x="1334"/>
        <item x="3409"/>
        <item x="3748"/>
        <item x="2653"/>
        <item x="2891"/>
        <item x="3469"/>
        <item x="1128"/>
        <item x="1999"/>
        <item x="3659"/>
        <item x="3264"/>
        <item x="2822"/>
        <item x="3133"/>
        <item x="2888"/>
        <item x="3389"/>
        <item x="2854"/>
        <item x="2255"/>
        <item x="1631"/>
        <item x="2486"/>
        <item x="222"/>
        <item x="3804"/>
        <item x="3312"/>
        <item x="183"/>
        <item x="3425"/>
        <item x="506"/>
        <item x="2232"/>
        <item x="3218"/>
        <item x="2095"/>
        <item x="625"/>
        <item x="511"/>
        <item x="280"/>
        <item x="943"/>
        <item x="1491"/>
        <item x="2467"/>
        <item x="1376"/>
        <item x="1440"/>
        <item x="1538"/>
        <item x="3729"/>
        <item x="1887"/>
        <item x="499"/>
        <item x="3802"/>
        <item x="1985"/>
        <item x="2677"/>
        <item x="2575"/>
        <item x="3343"/>
        <item x="2236"/>
        <item x="2128"/>
        <item x="97"/>
        <item x="2165"/>
        <item x="1410"/>
        <item x="2866"/>
        <item x="608"/>
        <item x="414"/>
        <item x="1711"/>
        <item x="2088"/>
        <item x="679"/>
        <item x="1762"/>
        <item x="2604"/>
        <item x="1690"/>
        <item x="3454"/>
        <item x="1349"/>
        <item x="424"/>
        <item x="3873"/>
        <item x="3751"/>
        <item x="3394"/>
        <item x="2207"/>
        <item x="2064"/>
        <item x="3365"/>
        <item x="27"/>
        <item x="577"/>
        <item x="1008"/>
        <item x="1169"/>
        <item x="2511"/>
        <item x="1680"/>
        <item x="766"/>
        <item x="1190"/>
        <item x="2389"/>
        <item x="1954"/>
        <item x="2638"/>
        <item x="2405"/>
        <item x="1673"/>
        <item x="3144"/>
        <item x="3329"/>
        <item x="276"/>
        <item x="1981"/>
        <item x="2886"/>
        <item x="253"/>
        <item x="925"/>
        <item x="899"/>
        <item x="2733"/>
        <item x="2703"/>
        <item x="3812"/>
        <item x="956"/>
        <item x="782"/>
        <item x="2602"/>
        <item x="3465"/>
        <item x="287"/>
        <item x="1594"/>
        <item x="2960"/>
        <item x="2423"/>
        <item x="2908"/>
        <item x="217"/>
        <item x="3627"/>
        <item x="1725"/>
        <item x="338"/>
        <item x="301"/>
        <item x="79"/>
        <item x="285"/>
        <item x="3595"/>
        <item x="3840"/>
        <item x="2183"/>
        <item x="3791"/>
        <item x="206"/>
        <item x="3141"/>
        <item x="2198"/>
        <item x="1015"/>
        <item x="1977"/>
        <item x="1073"/>
        <item x="1141"/>
        <item x="1207"/>
        <item x="675"/>
        <item x="2569"/>
        <item x="1647"/>
        <item x="3676"/>
        <item x="1138"/>
        <item x="2817"/>
        <item x="2725"/>
        <item x="2561"/>
        <item x="1312"/>
        <item x="1262"/>
        <item x="2859"/>
        <item x="300"/>
        <item x="590"/>
        <item x="2932"/>
        <item x="1091"/>
        <item x="2150"/>
        <item x="2981"/>
        <item x="847"/>
        <item x="1403"/>
        <item x="3765"/>
        <item x="2825"/>
        <item x="3009"/>
        <item x="2595"/>
        <item x="3435"/>
        <item x="662"/>
        <item x="3567"/>
        <item x="433"/>
        <item x="17"/>
        <item x="1145"/>
        <item x="115"/>
        <item x="2190"/>
        <item x="1216"/>
        <item x="3848"/>
        <item x="2372"/>
        <item x="728"/>
        <item x="3127"/>
        <item x="1565"/>
        <item x="2603"/>
        <item x="2652"/>
        <item x="1133"/>
        <item x="200"/>
        <item x="3026"/>
        <item x="3692"/>
        <item x="30"/>
        <item x="1245"/>
        <item x="585"/>
        <item x="2416"/>
        <item x="2205"/>
        <item x="2161"/>
        <item x="3025"/>
        <item x="2835"/>
        <item x="1760"/>
        <item x="3591"/>
        <item x="2858"/>
        <item x="450"/>
        <item x="3701"/>
        <item x="736"/>
        <item x="745"/>
        <item x="1484"/>
        <item x="141"/>
        <item x="3064"/>
        <item x="2187"/>
        <item x="108"/>
        <item x="2033"/>
        <item x="1057"/>
        <item x="2674"/>
        <item x="2634"/>
        <item x="1719"/>
        <item x="3725"/>
        <item x="1604"/>
        <item x="3274"/>
        <item x="1116"/>
        <item x="345"/>
        <item x="1227"/>
        <item x="3592"/>
        <item x="2547"/>
        <item x="3367"/>
        <item x="599"/>
        <item x="3168"/>
        <item x="1221"/>
        <item x="296"/>
        <item x="1370"/>
        <item x="1450"/>
        <item x="2846"/>
        <item x="3012"/>
        <item x="1777"/>
        <item x="2397"/>
        <item x="448"/>
        <item x="2774"/>
        <item x="644"/>
        <item x="2872"/>
        <item x="238"/>
        <item x="2991"/>
        <item x="512"/>
        <item x="3867"/>
        <item x="2363"/>
        <item x="3319"/>
        <item x="529"/>
        <item x="3648"/>
        <item x="1040"/>
        <item x="3787"/>
        <item x="1931"/>
        <item x="1686"/>
        <item x="3398"/>
        <item x="3650"/>
        <item x="3052"/>
        <item x="3428"/>
        <item x="1728"/>
        <item x="3507"/>
        <item x="3868"/>
        <item x="1385"/>
        <item x="426"/>
        <item x="601"/>
        <item x="3496"/>
        <item x="2160"/>
        <item x="3550"/>
        <item x="3508"/>
        <item x="652"/>
        <item x="1315"/>
        <item x="2666"/>
        <item x="2594"/>
        <item x="618"/>
        <item x="3198"/>
        <item x="732"/>
        <item x="2996"/>
        <item x="3536"/>
        <item x="1448"/>
        <item x="1592"/>
        <item x="3777"/>
        <item x="1421"/>
        <item x="2979"/>
        <item x="1965"/>
        <item x="1863"/>
        <item x="1111"/>
        <item x="2865"/>
        <item x="2272"/>
        <item x="954"/>
        <item x="787"/>
        <item x="2627"/>
        <item x="1158"/>
        <item x="191"/>
        <item x="2953"/>
        <item x="2253"/>
        <item x="3578"/>
        <item x="2223"/>
        <item x="6"/>
        <item x="2494"/>
        <item x="2999"/>
        <item x="795"/>
        <item x="959"/>
        <item x="992"/>
        <item x="1678"/>
        <item x="3669"/>
        <item x="2346"/>
        <item x="1118"/>
        <item x="901"/>
        <item x="1959"/>
        <item x="2957"/>
        <item x="3381"/>
        <item x="132"/>
        <item x="3251"/>
        <item x="1079"/>
        <item x="3805"/>
        <item x="3896"/>
        <item x="1969"/>
        <item x="3918"/>
        <item x="3667"/>
        <item x="2715"/>
        <item x="2834"/>
        <item x="292"/>
        <item x="231"/>
        <item x="2271"/>
        <item x="2349"/>
        <item x="3159"/>
        <item x="2071"/>
        <item x="2915"/>
        <item x="3509"/>
        <item x="1815"/>
        <item x="3426"/>
        <item x="666"/>
        <item x="3709"/>
        <item x="1850"/>
        <item x="797"/>
        <item x="2410"/>
        <item x="982"/>
        <item x="2065"/>
        <item x="444"/>
        <item x="3919"/>
        <item x="778"/>
        <item x="3015"/>
        <item x="2218"/>
        <item x="2784"/>
        <item x="2438"/>
        <item x="2356"/>
        <item x="1475"/>
        <item x="3588"/>
        <item x="1510"/>
        <item x="607"/>
        <item x="3638"/>
        <item x="56"/>
        <item x="1696"/>
        <item x="1601"/>
        <item x="2368"/>
        <item x="53"/>
        <item x="2497"/>
        <item x="1013"/>
        <item x="229"/>
        <item x="2795"/>
        <item x="62"/>
        <item x="456"/>
        <item x="1320"/>
        <item x="833"/>
        <item x="1165"/>
        <item x="1996"/>
        <item x="3558"/>
        <item x="3358"/>
        <item x="3011"/>
        <item x="2515"/>
        <item x="2009"/>
        <item x="1875"/>
        <item x="2688"/>
        <item x="807"/>
        <item x="3732"/>
        <item x="2813"/>
        <item x="1890"/>
        <item x="1126"/>
        <item x="3784"/>
        <item x="1260"/>
        <item x="3562"/>
        <item x="3800"/>
        <item x="950"/>
        <item x="576"/>
        <item x="2347"/>
        <item x="2001"/>
        <item x="2369"/>
        <item x="1493"/>
        <item x="3142"/>
        <item x="364"/>
        <item x="2572"/>
        <item x="1451"/>
        <item x="3090"/>
        <item x="1903"/>
        <item x="198"/>
        <item x="3608"/>
        <item x="3382"/>
        <item x="3273"/>
        <item x="634"/>
        <item x="279"/>
        <item x="2566"/>
        <item x="687"/>
        <item x="1277"/>
        <item x="89"/>
        <item x="1683"/>
        <item x="2309"/>
        <item x="2946"/>
        <item x="2841"/>
        <item x="348"/>
        <item x="3872"/>
        <item x="1563"/>
        <item x="2762"/>
        <item x="416"/>
        <item x="2097"/>
        <item x="3750"/>
        <item x="3574"/>
        <item x="1172"/>
        <item x="2504"/>
        <item x="930"/>
        <item x="1434"/>
        <item x="1358"/>
        <item x="3103"/>
        <item x="3440"/>
        <item x="890"/>
        <item x="2731"/>
        <item x="612"/>
        <item x="1786"/>
        <item x="3243"/>
        <item x="1047"/>
        <item x="2306"/>
        <item x="1668"/>
        <item x="2520"/>
        <item x="2007"/>
        <item x="2838"/>
        <item x="2307"/>
        <item x="1679"/>
        <item x="2757"/>
        <item x="178"/>
        <item x="1812"/>
        <item x="2695"/>
        <item x="3710"/>
        <item x="762"/>
        <item x="1351"/>
        <item x="1727"/>
        <item x="1602"/>
        <item x="3547"/>
        <item x="61"/>
        <item x="1048"/>
        <item x="3372"/>
        <item x="163"/>
        <item x="774"/>
        <item x="3707"/>
        <item x="3195"/>
        <item x="1942"/>
        <item x="2818"/>
        <item x="3625"/>
        <item x="1822"/>
        <item x="2229"/>
        <item x="3492"/>
        <item x="851"/>
        <item x="1357"/>
        <item x="743"/>
        <item x="2665"/>
        <item x="1780"/>
        <item x="3205"/>
        <item x="1387"/>
        <item x="3809"/>
        <item x="2407"/>
        <item x="3458"/>
        <item x="2641"/>
        <item x="351"/>
        <item x="2288"/>
        <item x="1691"/>
        <item x="2145"/>
        <item x="2113"/>
        <item x="2343"/>
        <item x="305"/>
        <item x="357"/>
        <item x="425"/>
        <item x="3074"/>
        <item x="1148"/>
        <item x="2344"/>
        <item x="39"/>
        <item x="1845"/>
        <item x="1759"/>
        <item x="1317"/>
        <item x="1459"/>
        <item x="3680"/>
        <item x="1143"/>
        <item x="1740"/>
        <item x="149"/>
        <item x="322"/>
        <item x="2328"/>
        <item x="3576"/>
        <item x="395"/>
        <item x="3655"/>
        <item x="2324"/>
        <item x="3106"/>
        <item x="1307"/>
        <item x="3511"/>
        <item x="916"/>
        <item x="2186"/>
        <item x="3066"/>
        <item x="3808"/>
        <item x="1344"/>
        <item x="2439"/>
        <item x="3649"/>
        <item x="1938"/>
        <item x="1808"/>
        <item x="2311"/>
        <item x="522"/>
        <item x="1333"/>
        <item x="302"/>
        <item x="673"/>
        <item x="2776"/>
        <item x="2613"/>
        <item x="1667"/>
        <item x="2719"/>
        <item x="246"/>
        <item x="958"/>
        <item x="1706"/>
        <item x="2732"/>
        <item x="932"/>
        <item x="3406"/>
        <item x="203"/>
        <item x="1026"/>
        <item x="118"/>
        <item x="3189"/>
        <item x="1332"/>
        <item x="2173"/>
        <item x="742"/>
        <item x="2265"/>
        <item x="291"/>
        <item x="2435"/>
        <item x="1115"/>
        <item x="3049"/>
        <item x="1960"/>
        <item x="2358"/>
        <item x="846"/>
        <item x="3549"/>
        <item x="3373"/>
        <item x="559"/>
        <item x="3219"/>
        <item x="220"/>
        <item x="561"/>
        <item x="624"/>
        <item x="1775"/>
        <item x="1570"/>
        <item x="1839"/>
        <item x="1551"/>
        <item x="1289"/>
        <item x="474"/>
        <item x="23"/>
        <item x="329"/>
        <item x="2950"/>
        <item x="1806"/>
        <item x="2292"/>
        <item x="3463"/>
        <item x="1713"/>
        <item x="1103"/>
        <item x="1436"/>
        <item x="379"/>
        <item x="3128"/>
        <item x="3304"/>
        <item x="3403"/>
        <item x="2714"/>
        <item x="1070"/>
        <item x="1352"/>
        <item x="3310"/>
        <item x="633"/>
        <item x="1603"/>
        <item x="894"/>
        <item x="1586"/>
        <item x="753"/>
        <item x="3694"/>
        <item x="602"/>
        <item x="3197"/>
        <item x="2816"/>
        <item x="1250"/>
        <item x="1788"/>
        <item x="1154"/>
        <item x="1263"/>
        <item x="1346"/>
        <item x="473"/>
        <item x="3285"/>
        <item x="2133"/>
        <item x="3331"/>
        <item x="2787"/>
        <item x="1907"/>
        <item x="2062"/>
        <item x="2580"/>
        <item x="2385"/>
        <item x="1093"/>
        <item x="2037"/>
        <item x="2331"/>
        <item x="788"/>
        <item x="3788"/>
        <item x="3556"/>
        <item x="619"/>
        <item x="2531"/>
        <item x="3305"/>
        <item x="1101"/>
        <item x="1460"/>
        <item x="1871"/>
        <item x="3516"/>
        <item x="454"/>
        <item x="3349"/>
        <item x="1202"/>
        <item x="2237"/>
        <item x="830"/>
        <item x="3797"/>
        <item x="773"/>
        <item x="1383"/>
        <item x="182"/>
        <item x="575"/>
        <item x="3451"/>
        <item x="1804"/>
        <item x="3116"/>
        <item x="553"/>
        <item x="3726"/>
        <item x="3054"/>
        <item x="3295"/>
        <item x="1009"/>
        <item x="2266"/>
        <item x="2180"/>
        <item x="2692"/>
        <item x="186"/>
        <item x="1443"/>
        <item x="2589"/>
        <item x="2493"/>
        <item x="2661"/>
        <item x="2721"/>
        <item x="378"/>
        <item x="806"/>
        <item x="3642"/>
        <item x="496"/>
        <item x="323"/>
        <item x="362"/>
        <item x="2019"/>
        <item x="1212"/>
        <item x="604"/>
        <item x="1655"/>
        <item x="1151"/>
        <item x="2745"/>
        <item x="3245"/>
        <item x="3601"/>
        <item x="2436"/>
        <item x="99"/>
        <item x="1458"/>
        <item x="2446"/>
        <item x="648"/>
        <item x="94"/>
        <item x="1361"/>
        <item x="2768"/>
        <item x="81"/>
        <item x="2711"/>
        <item x="497"/>
        <item x="2844"/>
        <item x="2106"/>
        <item x="2513"/>
        <item x="3900"/>
        <item x="399"/>
        <item x="2919"/>
        <item x="2250"/>
        <item x="1020"/>
        <item x="3474"/>
        <item x="1017"/>
        <item x="3316"/>
        <item x="3730"/>
        <item x="2464"/>
        <item x="90"/>
        <item x="2450"/>
        <item x="2192"/>
        <item x="3073"/>
        <item x="1986"/>
        <item x="3"/>
        <item x="3652"/>
        <item x="588"/>
        <item x="148"/>
        <item x="3755"/>
        <item x="1899"/>
        <item x="3485"/>
        <item x="526"/>
        <item x="3713"/>
        <item x="1420"/>
        <item x="211"/>
        <item x="403"/>
        <item x="423"/>
        <item x="2472"/>
        <item x="3179"/>
        <item x="1254"/>
        <item x="3618"/>
        <item x="3722"/>
        <item x="3826"/>
        <item x="2336"/>
        <item x="731"/>
        <item x="2448"/>
        <item x="630"/>
        <item x="1534"/>
        <item x="457"/>
        <item x="228"/>
        <item x="313"/>
        <item x="3532"/>
        <item x="628"/>
        <item x="3397"/>
        <item x="3208"/>
        <item x="3901"/>
        <item x="538"/>
        <item x="3790"/>
        <item x="80"/>
        <item x="1816"/>
        <item x="1240"/>
        <item x="3478"/>
        <item x="3447"/>
        <item x="2068"/>
        <item x="3813"/>
        <item x="3369"/>
        <item x="2894"/>
        <item x="748"/>
        <item x="2751"/>
        <item x="1137"/>
        <item x="770"/>
        <item x="2637"/>
        <item x="1872"/>
        <item x="688"/>
        <item x="1707"/>
        <item x="1405"/>
        <item x="684"/>
        <item x="550"/>
        <item x="1867"/>
        <item x="3203"/>
        <item x="2061"/>
        <item x="3323"/>
        <item x="3899"/>
        <item x="1298"/>
        <item x="1654"/>
        <item x="2793"/>
        <item x="713"/>
        <item x="212"/>
        <item x="686"/>
        <item x="1685"/>
        <item x="1736"/>
        <item x="646"/>
        <item x="26"/>
        <item x="1748"/>
        <item x="3404"/>
        <item x="3226"/>
        <item x="2121"/>
        <item x="1879"/>
        <item x="54"/>
        <item x="551"/>
        <item x="1273"/>
        <item x="2691"/>
        <item x="2579"/>
        <item x="579"/>
        <item x="1609"/>
        <item x="2462"/>
        <item x="2269"/>
        <item x="598"/>
        <item x="2025"/>
        <item x="3838"/>
        <item x="1769"/>
        <item x="3831"/>
        <item x="2871"/>
        <item x="986"/>
        <item x="1766"/>
        <item x="2275"/>
        <item x="3018"/>
        <item x="1329"/>
        <item x="2898"/>
        <item x="3857"/>
        <item x="114"/>
        <item x="756"/>
        <item x="1063"/>
        <item x="1341"/>
        <item x="1906"/>
        <item x="2655"/>
        <item x="3035"/>
        <item x="1779"/>
        <item x="349"/>
        <item x="2662"/>
        <item x="3157"/>
        <item x="3360"/>
        <item x="2479"/>
        <item x="660"/>
        <item x="410"/>
        <item x="1588"/>
        <item x="3058"/>
        <item x="1161"/>
        <item x="3930"/>
        <item x="24"/>
        <item x="3734"/>
        <item x="3414"/>
        <item x="2831"/>
        <item x="3781"/>
        <item x="2036"/>
        <item x="1412"/>
        <item x="1988"/>
        <item x="1282"/>
        <item x="1916"/>
        <item x="2941"/>
        <item x="3114"/>
        <item x="3921"/>
        <item x="1375"/>
        <item x="3030"/>
        <item x="2770"/>
        <item x="2952"/>
        <item x="3200"/>
        <item x="484"/>
        <item x="1807"/>
        <item x="616"/>
        <item x="2428"/>
        <item x="2096"/>
        <item x="696"/>
        <item x="3065"/>
        <item x="1699"/>
        <item x="3038"/>
        <item x="2868"/>
        <item x="3698"/>
        <item x="230"/>
        <item x="719"/>
        <item x="2452"/>
        <item x="2945"/>
        <item x="2391"/>
        <item x="3069"/>
        <item x="1793"/>
        <item x="2921"/>
        <item x="3721"/>
        <item x="3728"/>
        <item x="2158"/>
        <item x="1675"/>
        <item x="3248"/>
        <item x="415"/>
        <item x="637"/>
        <item x="2537"/>
        <item x="1001"/>
        <item x="869"/>
        <item x="1044"/>
        <item x="3589"/>
        <item x="757"/>
        <item x="1365"/>
        <item x="3126"/>
        <item x="2206"/>
        <item x="940"/>
        <item x="1773"/>
        <item x="2910"/>
        <item x="521"/>
        <item x="3541"/>
        <item x="3926"/>
        <item x="799"/>
        <item x="987"/>
        <item x="1149"/>
        <item x="1288"/>
        <item x="3479"/>
        <item x="1970"/>
        <item x="593"/>
        <item x="1427"/>
        <item x="3766"/>
        <item x="1239"/>
        <item x="3767"/>
        <item x="544"/>
        <item x="3299"/>
        <item x="468"/>
        <item x="682"/>
        <item x="872"/>
        <item x="58"/>
        <item x="2256"/>
        <item x="1891"/>
        <item x="800"/>
        <item x="1146"/>
        <item x="2631"/>
        <item x="3240"/>
        <item x="1864"/>
        <item x="3742"/>
        <item x="3502"/>
        <item x="3412"/>
        <item x="2301"/>
        <item x="2656"/>
        <item x="1077"/>
        <item x="1902"/>
        <item x="3222"/>
        <item x="980"/>
        <item x="1438"/>
        <item x="1087"/>
        <item x="2669"/>
        <item x="1100"/>
        <item x="3017"/>
        <item x="3188"/>
        <item x="2524"/>
        <item x="295"/>
        <item x="1342"/>
        <item x="3432"/>
        <item x="1824"/>
        <item x="358"/>
        <item x="2517"/>
        <item x="92"/>
        <item x="3527"/>
        <item x="515"/>
        <item x="1593"/>
        <item x="2308"/>
        <item x="2648"/>
        <item x="1556"/>
        <item x="3476"/>
        <item x="2355"/>
        <item x="2681"/>
        <item x="704"/>
        <item x="3531"/>
        <item x="794"/>
        <item x="2126"/>
        <item x="1030"/>
        <item x="537"/>
        <item x="1566"/>
        <item x="1236"/>
        <item x="2562"/>
        <item x="3227"/>
        <item x="1265"/>
        <item x="3131"/>
        <item x="2217"/>
        <item x="3519"/>
        <item x="394"/>
        <item x="371"/>
        <item x="270"/>
        <item x="240"/>
        <item x="1446"/>
        <item x="3927"/>
        <item x="2987"/>
        <item x="467"/>
        <item x="3460"/>
        <item x="1270"/>
        <item x="3216"/>
        <item x="1271"/>
        <item x="11"/>
        <item x="3803"/>
        <item x="25"/>
        <item x="2690"/>
        <item x="2260"/>
        <item x="2482"/>
        <item x="70"/>
        <item x="153"/>
        <item x="3539"/>
        <item x="66"/>
        <item x="2581"/>
        <item x="1663"/>
        <item x="597"/>
        <item x="2394"/>
        <item x="3863"/>
        <item x="2696"/>
        <item x="909"/>
        <item x="2702"/>
        <item x="2968"/>
        <item x="3837"/>
        <item x="1530"/>
        <item x="2629"/>
        <item x="817"/>
        <item x="303"/>
        <item x="2123"/>
        <item x="2543"/>
        <item x="1432"/>
        <item x="2399"/>
        <item x="2335"/>
        <item x="893"/>
        <item x="729"/>
        <item x="3513"/>
        <item x="140"/>
        <item x="3191"/>
        <item x="321"/>
        <item x="1611"/>
        <item x="2827"/>
        <item x="1076"/>
        <item x="2100"/>
        <item x="3905"/>
        <item x="1487"/>
        <item x="2628"/>
        <item x="2199"/>
        <item x="993"/>
        <item x="2478"/>
        <item x="2720"/>
        <item x="1883"/>
        <item x="3786"/>
        <item x="3922"/>
        <item x="3223"/>
        <item x="882"/>
        <item x="483"/>
        <item x="475"/>
        <item x="819"/>
        <item x="2092"/>
        <item x="331"/>
        <item x="3309"/>
        <item x="761"/>
        <item x="1873"/>
        <item x="3891"/>
        <item x="22"/>
        <item x="3137"/>
        <item x="811"/>
        <item x="1659"/>
        <item x="708"/>
        <item x="2276"/>
        <item x="3572"/>
        <item x="1625"/>
        <item x="2955"/>
        <item x="693"/>
        <item x="3155"/>
        <item x="244"/>
        <item x="2124"/>
        <item x="1726"/>
        <item x="1338"/>
        <item x="1949"/>
        <item x="3393"/>
        <item x="3879"/>
        <item x="3271"/>
        <item x="59"/>
        <item x="1703"/>
        <item x="3705"/>
        <item x="698"/>
        <item x="233"/>
        <item x="1622"/>
        <item x="3418"/>
        <item x="2219"/>
        <item x="2303"/>
        <item x="1354"/>
        <item x="534"/>
        <item x="2360"/>
        <item x="1291"/>
        <item x="2555"/>
        <item x="504"/>
        <item x="3362"/>
        <item x="1393"/>
        <item x="583"/>
        <item x="1374"/>
        <item x="1795"/>
        <item x="1651"/>
        <item x="3371"/>
        <item x="520"/>
        <item x="1467"/>
        <item x="3711"/>
        <item x="2974"/>
        <item x="1964"/>
        <item x="2985"/>
        <item x="3424"/>
        <item x="319"/>
        <item x="620"/>
        <item x="2861"/>
        <item x="1080"/>
        <item x="3464"/>
        <item x="1214"/>
        <item x="3363"/>
        <item x="1055"/>
        <item x="9"/>
        <item x="885"/>
        <item x="2496"/>
        <item x="2289"/>
        <item x="2777"/>
        <item x="2916"/>
        <item x="437"/>
        <item x="685"/>
        <item x="2676"/>
        <item x="2675"/>
        <item x="3041"/>
        <item x="2426"/>
        <item x="2077"/>
        <item x="2491"/>
        <item x="3109"/>
        <item x="85"/>
        <item x="325"/>
        <item x="2298"/>
        <item x="1222"/>
        <item x="1064"/>
        <item x="3603"/>
        <item x="2003"/>
        <item x="2032"/>
        <item x="3869"/>
        <item x="1187"/>
        <item x="2420"/>
        <item x="1268"/>
        <item x="1832"/>
        <item x="2177"/>
        <item x="961"/>
        <item x="1034"/>
        <item x="1461"/>
        <item x="2178"/>
        <item x="1112"/>
        <item x="197"/>
        <item x="2498"/>
        <item x="1494"/>
        <item x="3182"/>
        <item x="3702"/>
        <item x="1562"/>
        <item x="1957"/>
        <item x="122"/>
        <item x="3754"/>
        <item x="999"/>
        <item x="1783"/>
        <item x="369"/>
        <item x="929"/>
        <item x="2296"/>
        <item x="2917"/>
        <item x="2461"/>
        <item x="2116"/>
        <item x="2474"/>
        <item x="875"/>
        <item x="1453"/>
        <item x="1904"/>
        <item x="1610"/>
        <item x="1343"/>
        <item x="1612"/>
        <item x="1945"/>
        <item x="391"/>
        <item x="2672"/>
        <item x="1463"/>
        <item x="2221"/>
        <item x="1632"/>
        <item x="1336"/>
        <item x="1203"/>
        <item x="2583"/>
        <item x="2905"/>
        <item x="1644"/>
        <item x="2514"/>
        <item x="2127"/>
        <item x="3715"/>
        <item x="47"/>
        <item x="816"/>
        <item x="2379"/>
        <item x="1166"/>
        <item x="1550"/>
        <item x="1533"/>
        <item x="3190"/>
        <item x="48"/>
        <item x="2091"/>
        <item x="895"/>
        <item x="3123"/>
        <item x="3559"/>
        <item x="1692"/>
        <item x="3256"/>
        <item x="2070"/>
        <item x="1979"/>
        <item x="407"/>
        <item x="3016"/>
        <item x="1217"/>
        <item x="994"/>
        <item x="2670"/>
        <item x="3013"/>
        <item x="1386"/>
        <item x="192"/>
        <item x="2258"/>
        <item x="1455"/>
        <item x="3699"/>
        <item x="2800"/>
        <item x="2109"/>
        <item x="3741"/>
        <item x="151"/>
        <item x="1776"/>
        <item x="332"/>
        <item x="565"/>
        <item x="1820"/>
        <item x="606"/>
        <item x="2737"/>
        <item x="3135"/>
        <item x="429"/>
        <item x="1364"/>
        <item x="3045"/>
        <item x="257"/>
        <item x="334"/>
        <item x="3328"/>
        <item x="3515"/>
        <item x="1010"/>
        <item x="3916"/>
        <item x="3048"/>
        <item x="130"/>
        <item x="1348"/>
        <item x="3211"/>
        <item x="3366"/>
        <item x="906"/>
        <item x="1576"/>
        <item x="3495"/>
        <item x="263"/>
        <item x="3602"/>
        <item x="2149"/>
        <item x="3611"/>
        <item x="2961"/>
        <item x="3185"/>
        <item x="2234"/>
        <item x="1037"/>
        <item x="677"/>
        <item x="3836"/>
        <item x="2042"/>
        <item x="1102"/>
        <item x="449"/>
        <item x="3423"/>
        <item x="2413"/>
        <item x="2254"/>
        <item x="2850"/>
        <item x="3668"/>
        <item x="2281"/>
        <item x="1007"/>
        <item x="328"/>
        <item x="1581"/>
        <item x="104"/>
        <item x="135"/>
        <item x="3745"/>
        <item x="2382"/>
        <item x="3690"/>
        <item x="572"/>
        <item x="2030"/>
        <item x="589"/>
        <item x="1359"/>
        <item x="236"/>
        <item x="3119"/>
        <item x="1591"/>
        <item x="2977"/>
        <item x="3010"/>
        <item x="3430"/>
        <item x="3042"/>
        <item x="3467"/>
        <item x="2532"/>
        <item x="1428"/>
        <item x="3375"/>
        <item x="3674"/>
        <item x="3452"/>
        <item x="1932"/>
        <item x="3344"/>
        <item x="1247"/>
        <item x="3623"/>
        <item x="1640"/>
        <item x="3302"/>
        <item x="381"/>
        <item x="1425"/>
        <item x="3775"/>
        <item x="33"/>
        <item x="863"/>
        <item x="482"/>
        <item x="430"/>
        <item x="784"/>
        <item x="363"/>
        <item x="539"/>
        <item x="194"/>
        <item x="541"/>
        <item x="1127"/>
        <item x="1695"/>
        <item x="1189"/>
        <item x="471"/>
        <item x="3070"/>
        <item x="3314"/>
        <item x="548"/>
        <item x="2162"/>
        <item x="1418"/>
        <item x="841"/>
        <item x="3057"/>
        <item x="3297"/>
        <item x="1587"/>
        <item x="1546"/>
        <item x="2943"/>
        <item x="3774"/>
        <item x="3289"/>
        <item x="2424"/>
        <item x="3416"/>
        <item x="256"/>
        <item x="134"/>
        <item x="2804"/>
        <item x="2501"/>
        <item x="1715"/>
        <item x="3577"/>
        <item x="3287"/>
        <item x="2756"/>
        <item x="1626"/>
        <item x="3333"/>
        <item x="2093"/>
        <item x="2900"/>
        <item x="2704"/>
        <item x="2853"/>
        <item x="2592"/>
        <item x="2364"/>
        <item x="317"/>
        <item x="1569"/>
        <item x="3635"/>
        <item x="1314"/>
        <item x="2477"/>
        <item x="45"/>
        <item x="2029"/>
        <item x="1984"/>
        <item x="836"/>
        <item x="3753"/>
        <item x="796"/>
        <item x="1669"/>
        <item x="791"/>
        <item x="1723"/>
        <item x="528"/>
        <item x="1952"/>
        <item x="1559"/>
        <item x="103"/>
        <item x="2948"/>
        <item x="2118"/>
        <item x="2087"/>
        <item x="2203"/>
        <item x="1983"/>
        <item x="3102"/>
        <item x="2610"/>
        <item x="1930"/>
        <item x="857"/>
        <item x="1355"/>
        <item x="952"/>
        <item x="911"/>
        <item x="3337"/>
        <item x="2951"/>
        <item x="446"/>
        <item x="8"/>
        <item x="2239"/>
        <item x="1107"/>
        <item x="1835"/>
        <item x="1910"/>
        <item x="1002"/>
        <item x="306"/>
        <item x="2680"/>
        <item x="2318"/>
        <item x="1813"/>
        <item x="333"/>
        <item x="2697"/>
        <item x="1043"/>
        <item x="43"/>
        <item x="2268"/>
        <item x="404"/>
        <item x="2376"/>
        <item x="3037"/>
        <item x="2489"/>
        <item x="3082"/>
        <item x="3429"/>
        <item x="2090"/>
        <item x="3180"/>
        <item x="3822"/>
        <item x="2995"/>
        <item x="3085"/>
        <item x="1181"/>
        <item x="1285"/>
        <item x="545"/>
        <item x="2924"/>
        <item x="3341"/>
        <item x="218"/>
        <item x="2557"/>
        <item x="2694"/>
        <item x="2495"/>
        <item x="2463"/>
        <item x="2371"/>
        <item x="3176"/>
        <item x="2257"/>
        <item x="3376"/>
        <item x="2214"/>
        <item x="2337"/>
        <item x="2673"/>
        <item x="2565"/>
        <item x="1473"/>
        <item x="1018"/>
        <item x="737"/>
        <item x="935"/>
        <item x="3581"/>
        <item x="1785"/>
        <item x="941"/>
        <item x="2963"/>
        <item x="1526"/>
        <item x="2651"/>
        <item x="2270"/>
        <item x="2159"/>
        <item x="2443"/>
        <item x="3132"/>
        <item x="2783"/>
        <item x="665"/>
        <item x="159"/>
        <item x="1571"/>
        <item x="2197"/>
        <item x="2763"/>
        <item x="3250"/>
        <item x="1366"/>
        <item x="3609"/>
        <item x="353"/>
        <item x="350"/>
        <item x="1509"/>
        <item x="3580"/>
        <item x="3361"/>
        <item x="248"/>
        <item x="3773"/>
        <item x="2699"/>
        <item x="2899"/>
        <item x="74"/>
        <item x="3364"/>
        <item x="1541"/>
        <item x="672"/>
        <item x="3229"/>
        <item x="805"/>
        <item x="503"/>
        <item x="876"/>
        <item x="326"/>
        <item x="2918"/>
        <item x="2291"/>
        <item x="1928"/>
        <item x="1437"/>
        <item x="2785"/>
        <item x="1529"/>
        <item x="2516"/>
        <item x="3020"/>
        <item x="2054"/>
        <item x="432"/>
        <item x="1636"/>
        <item x="1921"/>
        <item x="1373"/>
        <item x="3252"/>
        <item x="3050"/>
        <item x="2944"/>
        <item x="3301"/>
        <item x="1237"/>
        <item x="50"/>
        <item x="1764"/>
        <item x="259"/>
        <item x="758"/>
        <item x="1119"/>
        <item x="1296"/>
        <item x="1023"/>
        <item x="874"/>
        <item x="1252"/>
        <item x="3075"/>
        <item x="3575"/>
        <item x="3175"/>
        <item x="3257"/>
        <item x="2312"/>
        <item x="3672"/>
        <item x="2636"/>
        <item x="1300"/>
        <item x="1628"/>
        <item x="3661"/>
        <item x="2686"/>
        <item x="3092"/>
        <item x="2429"/>
        <item x="514"/>
        <item x="2094"/>
        <item x="1248"/>
        <item x="3651"/>
        <item x="2105"/>
        <item x="31"/>
        <item x="831"/>
        <item x="34"/>
        <item x="1140"/>
        <item x="2959"/>
        <item x="605"/>
        <item x="1635"/>
        <item x="307"/>
        <item x="971"/>
        <item x="1474"/>
        <item x="2522"/>
        <item x="2773"/>
        <item x="1465"/>
        <item x="1194"/>
        <item x="754"/>
        <item x="2362"/>
        <item x="3111"/>
        <item x="299"/>
        <item x="691"/>
        <item x="1596"/>
        <item x="2487"/>
        <item x="1770"/>
        <item x="1790"/>
        <item x="834"/>
        <item x="242"/>
        <item x="2052"/>
        <item x="2567"/>
        <item x="2285"/>
        <item x="2227"/>
        <item x="3148"/>
        <item x="2212"/>
        <item x="1134"/>
        <item x="76"/>
        <item x="1738"/>
        <item x="2904"/>
        <item x="1123"/>
        <item x="207"/>
        <item x="324"/>
        <item x="2085"/>
        <item x="2274"/>
        <item x="3494"/>
        <item x="2683"/>
        <item x="1619"/>
        <item x="3714"/>
        <item x="145"/>
        <item x="1535"/>
        <item x="3480"/>
        <item x="2525"/>
        <item x="3300"/>
        <item x="1755"/>
        <item x="2166"/>
        <item x="406"/>
        <item x="1967"/>
        <item x="2243"/>
        <item x="3481"/>
        <item x="2403"/>
        <item x="3746"/>
        <item x="354"/>
        <item x="3150"/>
        <item x="3670"/>
        <item x="2758"/>
        <item x="2881"/>
        <item x="2840"/>
        <item x="3230"/>
        <item x="3830"/>
        <item x="201"/>
        <item x="3040"/>
        <item x="542"/>
        <item x="3214"/>
        <item x="2528"/>
        <item x="12"/>
        <item x="1311"/>
        <item x="1878"/>
        <item x="2885"/>
        <item x="209"/>
        <item x="1901"/>
        <item x="3506"/>
        <item x="1294"/>
        <item x="2480"/>
        <item x="681"/>
        <item x="2041"/>
        <item x="1283"/>
        <item x="3757"/>
        <item x="3801"/>
        <item x="376"/>
        <item x="2300"/>
        <item x="508"/>
        <item x="2083"/>
        <item x="868"/>
        <item x="2315"/>
        <item x="2117"/>
        <item x="225"/>
        <item x="3658"/>
        <item x="3904"/>
        <item x="3783"/>
        <item x="3778"/>
        <item x="2465"/>
        <item x="2878"/>
        <item x="3174"/>
        <item x="2374"/>
        <item x="3619"/>
        <item x="3673"/>
        <item x="1882"/>
        <item x="1643"/>
        <item x="3272"/>
        <item x="1518"/>
        <item x="2954"/>
        <item x="3437"/>
        <item x="2767"/>
        <item x="1800"/>
        <item x="2141"/>
        <item x="1623"/>
        <item x="2005"/>
        <item x="3419"/>
        <item x="546"/>
        <item x="2895"/>
        <item x="3051"/>
        <item x="398"/>
        <item x="1846"/>
        <item x="1958"/>
        <item x="1394"/>
        <item x="1702"/>
        <item x="2441"/>
        <item x="1147"/>
        <item x="2481"/>
        <item x="3290"/>
        <item x="3235"/>
        <item x="1174"/>
        <item x="2018"/>
        <item x="814"/>
        <item x="366"/>
        <item x="73"/>
        <item x="2053"/>
        <item x="3686"/>
        <item x="1049"/>
        <item x="1390"/>
        <item x="2902"/>
        <item x="1293"/>
        <item x="735"/>
        <item x="1922"/>
        <item x="210"/>
        <item x="2333"/>
        <item x="15"/>
        <item x="2509"/>
        <item x="724"/>
        <item x="2828"/>
        <item x="177"/>
        <item x="1198"/>
        <item x="3346"/>
        <item x="656"/>
        <item x="1197"/>
        <item x="2823"/>
        <item x="955"/>
        <item x="3881"/>
        <item x="746"/>
        <item x="3007"/>
        <item x="3247"/>
        <item x="580"/>
        <item x="268"/>
        <item x="1075"/>
        <item x="3620"/>
        <item x="1597"/>
        <item x="2313"/>
        <item x="996"/>
        <item x="68"/>
        <item x="3354"/>
        <item x="2112"/>
        <item x="939"/>
        <item x="1547"/>
        <item x="2619"/>
        <item x="1993"/>
        <item x="2550"/>
        <item x="1677"/>
        <item x="1109"/>
        <item x="2222"/>
        <item x="3596"/>
        <item x="1653"/>
        <item x="1557"/>
        <item x="2706"/>
        <item x="2728"/>
        <item x="2244"/>
        <item x="168"/>
        <item x="2752"/>
        <item x="667"/>
        <item x="2650"/>
        <item x="1029"/>
        <item x="3665"/>
        <item x="1705"/>
        <item x="3823"/>
        <item x="3586"/>
        <item x="1345"/>
        <item x="1323"/>
        <item x="1781"/>
        <item x="3383"/>
        <item x="1130"/>
        <item x="3569"/>
        <item x="2231"/>
        <item x="2444"/>
        <item x="2766"/>
        <item x="535"/>
        <item x="2350"/>
        <item x="2609"/>
        <item x="864"/>
        <item x="2084"/>
        <item x="1718"/>
        <item x="131"/>
        <item x="1404"/>
        <item x="1258"/>
        <item x="2788"/>
        <item x="2913"/>
        <item x="2889"/>
        <item x="1121"/>
        <item x="2267"/>
        <item x="2778"/>
        <item x="1709"/>
        <item x="1038"/>
        <item x="2739"/>
        <item x="488"/>
        <item x="2802"/>
        <item x="933"/>
        <item x="1082"/>
        <item x="934"/>
        <item x="2130"/>
        <item x="216"/>
        <item x="2373"/>
        <item x="335"/>
        <item x="3196"/>
        <item x="793"/>
        <item x="1251"/>
        <item x="1782"/>
        <item x="849"/>
        <item x="2156"/>
        <item x="3129"/>
        <item x="1798"/>
        <item x="2395"/>
        <item x="1505"/>
        <item x="409"/>
        <item x="294"/>
        <item x="3749"/>
        <item x="2430"/>
        <item x="3484"/>
        <item x="214"/>
        <item x="368"/>
        <item x="187"/>
        <item x="3756"/>
        <item x="2433"/>
        <item x="815"/>
        <item x="645"/>
        <item x="204"/>
        <item x="639"/>
        <item x="1168"/>
        <item x="3571"/>
        <item x="1471"/>
        <item x="49"/>
        <item x="2422"/>
        <item x="1464"/>
        <item x="1656"/>
        <item x="327"/>
        <item x="1650"/>
        <item x="3193"/>
        <item x="3170"/>
        <item x="119"/>
        <item x="2682"/>
        <item x="3878"/>
        <item x="3632"/>
        <item x="1209"/>
        <item x="976"/>
        <item x="1215"/>
        <item x="3931"/>
        <item x="1657"/>
        <item x="3115"/>
        <item x="2000"/>
        <item x="2668"/>
        <item x="2848"/>
        <item x="1175"/>
        <item x="158"/>
        <item x="1701"/>
        <item x="530"/>
        <item x="638"/>
        <item x="37"/>
        <item x="3130"/>
        <item x="626"/>
        <item x="7"/>
        <item x="2935"/>
        <item x="509"/>
        <item x="1485"/>
        <item x="36"/>
        <item x="2451"/>
        <item x="1756"/>
        <item x="3902"/>
        <item x="1011"/>
        <item x="1284"/>
        <item x="1956"/>
        <item x="2323"/>
        <item x="2837"/>
        <item x="1339"/>
        <item x="3568"/>
        <item x="3108"/>
        <item x="1637"/>
        <item x="3231"/>
        <item x="3405"/>
        <item x="3600"/>
        <item x="2261"/>
        <item x="2415"/>
        <item x="1803"/>
        <item x="1886"/>
        <item x="2508"/>
        <item x="452"/>
        <item x="3158"/>
        <item x="3908"/>
        <item x="523"/>
        <item x="1915"/>
        <item x="853"/>
        <item x="3530"/>
        <item x="479"/>
        <item x="2833"/>
        <item x="2646"/>
        <item x="199"/>
        <item x="3461"/>
        <item x="382"/>
        <item x="1218"/>
        <item x="166"/>
        <item x="1371"/>
        <item x="2709"/>
        <item x="1992"/>
        <item x="1492"/>
        <item x="2120"/>
        <item x="2832"/>
        <item x="531"/>
        <item x="571"/>
        <item x="3597"/>
        <item x="3554"/>
        <item x="914"/>
        <item x="2387"/>
        <item x="1321"/>
        <item x="3441"/>
        <item x="738"/>
        <item x="2930"/>
        <item x="2304"/>
        <item x="1724"/>
        <item x="3727"/>
        <item x="2701"/>
        <item x="1893"/>
        <item x="2329"/>
        <item x="3772"/>
        <item x="2434"/>
        <item x="3847"/>
        <item x="123"/>
        <item x="555"/>
        <item x="3806"/>
        <item x="1784"/>
        <item x="1733"/>
        <item x="2712"/>
        <item x="3853"/>
        <item x="2340"/>
        <item x="3720"/>
        <item x="2984"/>
        <item x="445"/>
        <item x="2625"/>
        <item x="923"/>
        <item x="3181"/>
        <item x="3504"/>
        <item x="3915"/>
        <item x="960"/>
        <item x="2560"/>
        <item x="3146"/>
        <item x="1353"/>
        <item x="2722"/>
        <item x="485"/>
        <item x="3270"/>
        <item x="1153"/>
        <item x="2184"/>
        <item x="1729"/>
        <item x="421"/>
        <item x="2129"/>
        <item x="3062"/>
        <item x="749"/>
        <item x="2023"/>
        <item x="1483"/>
        <item x="3827"/>
        <item x="3841"/>
        <item x="1574"/>
        <item x="3660"/>
        <item x="1665"/>
        <item x="288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dataField="1" numFmtId="2" showAll="0"/>
    <pivotField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66"/>
    <dataField name="Count of Orders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813F5-A999-4953-90FA-0C409F7E5E46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E17:G22" firstHeaderRow="0" firstDataRow="1" firstDataCol="1"/>
  <pivotFields count="16">
    <pivotField dataField="1" showAll="0"/>
    <pivotField numFmtId="164"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 defaultSubtota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66"/>
    <dataField name="Count of order_id" fld="0" subtotal="count" baseField="4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2D3C-E0E8-4FA9-9984-5541BAC44683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17:C44" firstHeaderRow="1" firstDataRow="1" firstDataCol="1"/>
  <pivotFields count="16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5"/>
    <field x="1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11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65AE9-9E4B-40F8-89B9-E5542B4DC41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11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8">
        <item x="0"/>
        <item x="2"/>
        <item x="4"/>
        <item x="6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showAll="0"/>
    <pivotField showAll="0"/>
    <pivotField dataField="1" numFmtId="2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 v="3"/>
    </i>
    <i>
      <x v="4"/>
    </i>
    <i>
      <x v="5"/>
    </i>
    <i>
      <x v="2"/>
    </i>
    <i>
      <x v="6"/>
    </i>
    <i>
      <x/>
    </i>
    <i>
      <x v="1"/>
    </i>
    <i t="grand">
      <x/>
    </i>
  </rowItems>
  <colItems count="1">
    <i/>
  </colItems>
  <dataFields count="1">
    <dataField name="Sum of revenue" fld="11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N3934" totalsRowShown="0">
  <autoFilter ref="A1:N3934" xr:uid="{00000000-0009-0000-0100-000004000000}"/>
  <sortState ref="A2:L3934">
    <sortCondition ref="I1:I3935"/>
  </sortState>
  <tableColumns count="14">
    <tableColumn id="1" xr3:uid="{00000000-0010-0000-0000-000001000000}" name="order_id"/>
    <tableColumn id="2" xr3:uid="{00000000-0010-0000-0000-000002000000}" name="order_date" dataDxfId="4"/>
    <tableColumn id="3" xr3:uid="{00000000-0010-0000-0000-000003000000}" name="customer_id"/>
    <tableColumn id="4" xr3:uid="{00000000-0010-0000-0000-000004000000}" name="customer_name"/>
    <tableColumn id="5" xr3:uid="{00000000-0010-0000-0000-000005000000}" name="region"/>
    <tableColumn id="6" xr3:uid="{00000000-0010-0000-0000-000006000000}" name="category"/>
    <tableColumn id="7" xr3:uid="{00000000-0010-0000-0000-000007000000}" name="product_name"/>
    <tableColumn id="8" xr3:uid="{00000000-0010-0000-0000-000008000000}" name="quantity"/>
    <tableColumn id="9" xr3:uid="{00000000-0010-0000-0000-000009000000}" name="unit_price" dataDxfId="3"/>
    <tableColumn id="10" xr3:uid="{00000000-0010-0000-0000-00000A000000}" name="order_status"/>
    <tableColumn id="11" xr3:uid="{00000000-0010-0000-0000-00000B000000}" name="payment_method"/>
    <tableColumn id="25" xr3:uid="{00000000-0010-0000-0000-000019000000}" name="revenue" dataDxfId="2">
      <calculatedColumnFormula>Table4[[#This Row],[quantity]]*Table4[[#This Row],[unit_price]]</calculatedColumnFormula>
    </tableColumn>
    <tableColumn id="12" xr3:uid="{E30D1A55-2293-4589-BEDC-FDF25702AED1}" name="customer_order_count" dataDxfId="1">
      <calculatedColumnFormula>COUNTIFS($C$2:$C$3934,Table4[[#This Row],[customer_id]])</calculatedColumnFormula>
    </tableColumn>
    <tableColumn id="13" xr3:uid="{F5A81504-83B3-4AE7-82E5-0819C5C36F45}" name="customer_segment" dataDxfId="0">
      <calculatedColumnFormula>IF(Table4[[#This Row],[customer_order_count]]=1,"New Customer","Repeat Customer")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54"/>
  <sheetViews>
    <sheetView zoomScale="81" zoomScaleNormal="112" workbookViewId="0">
      <pane ySplit="1" topLeftCell="A3875" activePane="bottomLeft" state="frozen"/>
      <selection pane="bottomLeft" activeCell="N2" sqref="N2"/>
    </sheetView>
  </sheetViews>
  <sheetFormatPr defaultRowHeight="14.25"/>
  <cols>
    <col min="1" max="1" width="10.73046875" bestFit="1" customWidth="1"/>
    <col min="2" max="2" width="12" style="1" customWidth="1"/>
    <col min="3" max="3" width="13.06640625" customWidth="1"/>
    <col min="4" max="4" width="16.1328125" customWidth="1"/>
    <col min="5" max="5" width="8.73046875" bestFit="1" customWidth="1"/>
    <col min="6" max="6" width="19.6640625" bestFit="1" customWidth="1"/>
    <col min="7" max="7" width="19.796875" customWidth="1"/>
    <col min="8" max="8" width="9.73046875" customWidth="1"/>
    <col min="9" max="9" width="11.19921875" customWidth="1"/>
    <col min="10" max="10" width="13.19921875" customWidth="1"/>
    <col min="11" max="11" width="17.59765625" customWidth="1"/>
    <col min="12" max="12" width="13.6640625" bestFit="1" customWidth="1"/>
    <col min="13" max="13" width="22.46484375" bestFit="1" customWidth="1"/>
    <col min="14" max="14" width="19.6640625" bestFit="1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5258</v>
      </c>
      <c r="M1" s="6" t="s">
        <v>5282</v>
      </c>
      <c r="N1" s="6" t="s">
        <v>5283</v>
      </c>
    </row>
    <row r="2" spans="1:14">
      <c r="A2" t="s">
        <v>2516</v>
      </c>
      <c r="B2" s="1">
        <v>45094</v>
      </c>
      <c r="C2" t="s">
        <v>1864</v>
      </c>
      <c r="D2" t="s">
        <v>1244</v>
      </c>
      <c r="E2" t="s">
        <v>21</v>
      </c>
      <c r="F2" t="s">
        <v>28</v>
      </c>
      <c r="G2" t="s">
        <v>139</v>
      </c>
      <c r="H2">
        <v>1</v>
      </c>
      <c r="I2" s="3">
        <v>6</v>
      </c>
      <c r="J2" t="s">
        <v>16</v>
      </c>
      <c r="K2" t="s">
        <v>30</v>
      </c>
      <c r="L2" s="4">
        <f>Table4[[#This Row],[quantity]]*Table4[[#This Row],[unit_price]]</f>
        <v>6</v>
      </c>
      <c r="M2">
        <f>COUNTIFS($C$2:$C$3934,Table4[[#This Row],[customer_id]])</f>
        <v>5</v>
      </c>
      <c r="N2" t="str">
        <f>IF(Table4[[#This Row],[customer_order_count]]=1,"New Customer","Repeat Customer")</f>
        <v>Repeat Customer</v>
      </c>
    </row>
    <row r="3" spans="1:14">
      <c r="A3" t="s">
        <v>5114</v>
      </c>
      <c r="B3" s="1">
        <v>45582</v>
      </c>
      <c r="C3" t="s">
        <v>883</v>
      </c>
      <c r="D3" t="s">
        <v>181</v>
      </c>
      <c r="E3" t="s">
        <v>21</v>
      </c>
      <c r="F3" t="s">
        <v>28</v>
      </c>
      <c r="G3" t="s">
        <v>139</v>
      </c>
      <c r="H3">
        <v>1</v>
      </c>
      <c r="I3" s="3">
        <v>6.22</v>
      </c>
      <c r="J3" t="s">
        <v>16</v>
      </c>
      <c r="K3" t="s">
        <v>30</v>
      </c>
      <c r="L3" s="4">
        <f>Table4[[#This Row],[quantity]]*Table4[[#This Row],[unit_price]]</f>
        <v>6.22</v>
      </c>
      <c r="M3">
        <f>COUNTIFS($C$2:$C$3934,Table4[[#This Row],[customer_id]])</f>
        <v>11</v>
      </c>
      <c r="N3" t="str">
        <f>IF(Table4[[#This Row],[customer_order_count]]=1,"New Customer","Repeat Customer")</f>
        <v>Repeat Customer</v>
      </c>
    </row>
    <row r="4" spans="1:14">
      <c r="A4" t="s">
        <v>1081</v>
      </c>
      <c r="B4" s="1">
        <v>45484</v>
      </c>
      <c r="C4" t="s">
        <v>1082</v>
      </c>
      <c r="D4" t="s">
        <v>380</v>
      </c>
      <c r="E4" t="s">
        <v>21</v>
      </c>
      <c r="F4" t="s">
        <v>28</v>
      </c>
      <c r="G4" t="s">
        <v>84</v>
      </c>
      <c r="H4">
        <v>2</v>
      </c>
      <c r="I4" s="3">
        <v>6.22</v>
      </c>
      <c r="J4" t="s">
        <v>16</v>
      </c>
      <c r="K4" t="s">
        <v>17</v>
      </c>
      <c r="L4" s="4">
        <f>Table4[[#This Row],[quantity]]*Table4[[#This Row],[unit_price]]</f>
        <v>12.44</v>
      </c>
      <c r="M4">
        <f>COUNTIFS($C$2:$C$3934,Table4[[#This Row],[customer_id]])</f>
        <v>5</v>
      </c>
      <c r="N4" t="str">
        <f>IF(Table4[[#This Row],[customer_order_count]]=1,"New Customer","Repeat Customer")</f>
        <v>Repeat Customer</v>
      </c>
    </row>
    <row r="5" spans="1:14">
      <c r="A5" t="s">
        <v>4205</v>
      </c>
      <c r="B5" s="1">
        <v>45250</v>
      </c>
      <c r="C5" t="s">
        <v>233</v>
      </c>
      <c r="D5" t="s">
        <v>234</v>
      </c>
      <c r="E5" t="s">
        <v>21</v>
      </c>
      <c r="F5" t="s">
        <v>28</v>
      </c>
      <c r="G5" t="s">
        <v>29</v>
      </c>
      <c r="H5">
        <v>2</v>
      </c>
      <c r="I5" s="3">
        <v>6.27</v>
      </c>
      <c r="J5" t="s">
        <v>16</v>
      </c>
      <c r="K5" t="s">
        <v>35</v>
      </c>
      <c r="L5" s="4">
        <f>Table4[[#This Row],[quantity]]*Table4[[#This Row],[unit_price]]</f>
        <v>12.54</v>
      </c>
      <c r="M5">
        <f>COUNTIFS($C$2:$C$3934,Table4[[#This Row],[customer_id]])</f>
        <v>3</v>
      </c>
      <c r="N5" t="str">
        <f>IF(Table4[[#This Row],[customer_order_count]]=1,"New Customer","Repeat Customer")</f>
        <v>Repeat Customer</v>
      </c>
    </row>
    <row r="6" spans="1:14">
      <c r="A6" t="s">
        <v>3954</v>
      </c>
      <c r="B6" s="1">
        <v>45302</v>
      </c>
      <c r="C6" t="s">
        <v>914</v>
      </c>
      <c r="D6" t="s">
        <v>95</v>
      </c>
      <c r="E6" t="s">
        <v>21</v>
      </c>
      <c r="F6" t="s">
        <v>28</v>
      </c>
      <c r="G6" t="s">
        <v>139</v>
      </c>
      <c r="H6">
        <v>1</v>
      </c>
      <c r="I6" s="3">
        <v>6.38</v>
      </c>
      <c r="J6" t="s">
        <v>16</v>
      </c>
      <c r="K6" t="s">
        <v>30</v>
      </c>
      <c r="L6" s="4">
        <f>Table4[[#This Row],[quantity]]*Table4[[#This Row],[unit_price]]</f>
        <v>6.38</v>
      </c>
      <c r="M6">
        <f>COUNTIFS($C$2:$C$3934,Table4[[#This Row],[customer_id]])</f>
        <v>10</v>
      </c>
      <c r="N6" t="str">
        <f>IF(Table4[[#This Row],[customer_order_count]]=1,"New Customer","Repeat Customer")</f>
        <v>Repeat Customer</v>
      </c>
    </row>
    <row r="7" spans="1:14">
      <c r="A7" t="s">
        <v>2460</v>
      </c>
      <c r="B7" s="1">
        <v>45369</v>
      </c>
      <c r="C7" t="s">
        <v>1582</v>
      </c>
      <c r="D7" t="s">
        <v>1583</v>
      </c>
      <c r="E7" t="s">
        <v>21</v>
      </c>
      <c r="F7" t="s">
        <v>28</v>
      </c>
      <c r="G7" t="s">
        <v>29</v>
      </c>
      <c r="H7">
        <v>4</v>
      </c>
      <c r="I7" s="3">
        <v>6.4</v>
      </c>
      <c r="J7" t="s">
        <v>16</v>
      </c>
      <c r="K7" t="s">
        <v>35</v>
      </c>
      <c r="L7" s="4">
        <f>Table4[[#This Row],[quantity]]*Table4[[#This Row],[unit_price]]</f>
        <v>25.6</v>
      </c>
      <c r="M7">
        <f>COUNTIFS($C$2:$C$3934,Table4[[#This Row],[customer_id]])</f>
        <v>3</v>
      </c>
      <c r="N7" t="str">
        <f>IF(Table4[[#This Row],[customer_order_count]]=1,"New Customer","Repeat Customer")</f>
        <v>Repeat Customer</v>
      </c>
    </row>
    <row r="8" spans="1:14">
      <c r="A8" t="s">
        <v>4250</v>
      </c>
      <c r="B8" s="1">
        <v>45652</v>
      </c>
      <c r="C8" t="s">
        <v>1842</v>
      </c>
      <c r="D8" t="s">
        <v>496</v>
      </c>
      <c r="E8" t="s">
        <v>44</v>
      </c>
      <c r="F8" t="s">
        <v>28</v>
      </c>
      <c r="G8" t="s">
        <v>45</v>
      </c>
      <c r="H8">
        <v>2</v>
      </c>
      <c r="I8" s="3">
        <v>6.72</v>
      </c>
      <c r="J8" t="s">
        <v>16</v>
      </c>
      <c r="K8" t="s">
        <v>30</v>
      </c>
      <c r="L8" s="4">
        <f>Table4[[#This Row],[quantity]]*Table4[[#This Row],[unit_price]]</f>
        <v>13.44</v>
      </c>
      <c r="M8">
        <f>COUNTIFS($C$2:$C$3934,Table4[[#This Row],[customer_id]])</f>
        <v>7</v>
      </c>
      <c r="N8" t="str">
        <f>IF(Table4[[#This Row],[customer_order_count]]=1,"New Customer","Repeat Customer")</f>
        <v>Repeat Customer</v>
      </c>
    </row>
    <row r="9" spans="1:14">
      <c r="A9" t="s">
        <v>3493</v>
      </c>
      <c r="B9" s="1">
        <v>45151</v>
      </c>
      <c r="C9" t="s">
        <v>581</v>
      </c>
      <c r="D9" t="s">
        <v>582</v>
      </c>
      <c r="E9" t="s">
        <v>21</v>
      </c>
      <c r="F9" t="s">
        <v>28</v>
      </c>
      <c r="G9" t="s">
        <v>29</v>
      </c>
      <c r="H9">
        <v>1</v>
      </c>
      <c r="I9" s="3">
        <v>6.8</v>
      </c>
      <c r="J9" t="s">
        <v>24</v>
      </c>
      <c r="K9" t="s">
        <v>40</v>
      </c>
      <c r="L9" s="4">
        <f>Table4[[#This Row],[quantity]]*Table4[[#This Row],[unit_price]]</f>
        <v>6.8</v>
      </c>
      <c r="M9">
        <f>COUNTIFS($C$2:$C$3934,Table4[[#This Row],[customer_id]])</f>
        <v>6</v>
      </c>
      <c r="N9" t="str">
        <f>IF(Table4[[#This Row],[customer_order_count]]=1,"New Customer","Repeat Customer")</f>
        <v>Repeat Customer</v>
      </c>
    </row>
    <row r="10" spans="1:14">
      <c r="A10" t="s">
        <v>3309</v>
      </c>
      <c r="B10" s="1">
        <v>44951</v>
      </c>
      <c r="C10" t="s">
        <v>2342</v>
      </c>
      <c r="D10" t="s">
        <v>2343</v>
      </c>
      <c r="E10" t="s">
        <v>21</v>
      </c>
      <c r="F10" t="s">
        <v>28</v>
      </c>
      <c r="G10" t="s">
        <v>84</v>
      </c>
      <c r="H10">
        <v>2</v>
      </c>
      <c r="I10" s="3">
        <v>6.84</v>
      </c>
      <c r="J10" t="s">
        <v>24</v>
      </c>
      <c r="K10" t="s">
        <v>40</v>
      </c>
      <c r="L10" s="4">
        <f>Table4[[#This Row],[quantity]]*Table4[[#This Row],[unit_price]]</f>
        <v>13.68</v>
      </c>
      <c r="M10">
        <f>COUNTIFS($C$2:$C$3934,Table4[[#This Row],[customer_id]])</f>
        <v>7</v>
      </c>
      <c r="N10" t="str">
        <f>IF(Table4[[#This Row],[customer_order_count]]=1,"New Customer","Repeat Customer")</f>
        <v>Repeat Customer</v>
      </c>
    </row>
    <row r="11" spans="1:14">
      <c r="A11" t="s">
        <v>5103</v>
      </c>
      <c r="B11" s="1">
        <v>45548</v>
      </c>
      <c r="C11" t="s">
        <v>742</v>
      </c>
      <c r="D11" t="s">
        <v>743</v>
      </c>
      <c r="E11" t="s">
        <v>21</v>
      </c>
      <c r="F11" t="s">
        <v>28</v>
      </c>
      <c r="G11" t="s">
        <v>114</v>
      </c>
      <c r="H11">
        <v>2</v>
      </c>
      <c r="I11" s="3">
        <v>6.86</v>
      </c>
      <c r="J11" t="s">
        <v>16</v>
      </c>
      <c r="K11" t="s">
        <v>17</v>
      </c>
      <c r="L11" s="4">
        <f>Table4[[#This Row],[quantity]]*Table4[[#This Row],[unit_price]]</f>
        <v>13.72</v>
      </c>
      <c r="M11">
        <f>COUNTIFS($C$2:$C$3934,Table4[[#This Row],[customer_id]])</f>
        <v>8</v>
      </c>
      <c r="N11" t="str">
        <f>IF(Table4[[#This Row],[customer_order_count]]=1,"New Customer","Repeat Customer")</f>
        <v>Repeat Customer</v>
      </c>
    </row>
    <row r="12" spans="1:14">
      <c r="A12" t="s">
        <v>3927</v>
      </c>
      <c r="B12" s="1">
        <v>45160</v>
      </c>
      <c r="C12" t="s">
        <v>2683</v>
      </c>
      <c r="D12" t="s">
        <v>981</v>
      </c>
      <c r="E12" t="s">
        <v>21</v>
      </c>
      <c r="F12" t="s">
        <v>28</v>
      </c>
      <c r="G12" t="s">
        <v>45</v>
      </c>
      <c r="H12">
        <v>1</v>
      </c>
      <c r="I12" s="3">
        <v>6.92</v>
      </c>
      <c r="J12" t="s">
        <v>16</v>
      </c>
      <c r="K12" t="s">
        <v>40</v>
      </c>
      <c r="L12" s="4">
        <f>Table4[[#This Row],[quantity]]*Table4[[#This Row],[unit_price]]</f>
        <v>6.92</v>
      </c>
      <c r="M12">
        <f>COUNTIFS($C$2:$C$3934,Table4[[#This Row],[customer_id]])</f>
        <v>3</v>
      </c>
      <c r="N12" t="str">
        <f>IF(Table4[[#This Row],[customer_order_count]]=1,"New Customer","Repeat Customer")</f>
        <v>Repeat Customer</v>
      </c>
    </row>
    <row r="13" spans="1:14">
      <c r="A13" t="s">
        <v>5204</v>
      </c>
      <c r="B13" s="1">
        <v>45589</v>
      </c>
      <c r="C13" t="s">
        <v>848</v>
      </c>
      <c r="D13" t="s">
        <v>340</v>
      </c>
      <c r="E13" t="s">
        <v>21</v>
      </c>
      <c r="F13" t="s">
        <v>28</v>
      </c>
      <c r="G13" t="s">
        <v>139</v>
      </c>
      <c r="H13">
        <v>2</v>
      </c>
      <c r="I13" s="3">
        <v>6.95</v>
      </c>
      <c r="J13" t="s">
        <v>16</v>
      </c>
      <c r="K13" t="s">
        <v>35</v>
      </c>
      <c r="L13" s="4">
        <f>Table4[[#This Row],[quantity]]*Table4[[#This Row],[unit_price]]</f>
        <v>13.9</v>
      </c>
      <c r="M13">
        <f>COUNTIFS($C$2:$C$3934,Table4[[#This Row],[customer_id]])</f>
        <v>9</v>
      </c>
      <c r="N13" t="str">
        <f>IF(Table4[[#This Row],[customer_order_count]]=1,"New Customer","Repeat Customer")</f>
        <v>Repeat Customer</v>
      </c>
    </row>
    <row r="14" spans="1:14">
      <c r="A14" t="s">
        <v>5120</v>
      </c>
      <c r="B14" s="1">
        <v>44979</v>
      </c>
      <c r="C14" t="s">
        <v>2139</v>
      </c>
      <c r="D14" t="s">
        <v>2140</v>
      </c>
      <c r="E14" t="s">
        <v>21</v>
      </c>
      <c r="F14" t="s">
        <v>28</v>
      </c>
      <c r="G14" t="s">
        <v>45</v>
      </c>
      <c r="H14">
        <v>1</v>
      </c>
      <c r="I14" s="3">
        <v>6.96</v>
      </c>
      <c r="J14" t="s">
        <v>16</v>
      </c>
      <c r="K14" t="s">
        <v>35</v>
      </c>
      <c r="L14" s="4">
        <f>Table4[[#This Row],[quantity]]*Table4[[#This Row],[unit_price]]</f>
        <v>6.96</v>
      </c>
      <c r="M14">
        <f>COUNTIFS($C$2:$C$3934,Table4[[#This Row],[customer_id]])</f>
        <v>6</v>
      </c>
      <c r="N14" t="str">
        <f>IF(Table4[[#This Row],[customer_order_count]]=1,"New Customer","Repeat Customer")</f>
        <v>Repeat Customer</v>
      </c>
    </row>
    <row r="15" spans="1:14">
      <c r="A15" t="s">
        <v>1383</v>
      </c>
      <c r="B15" s="1">
        <v>45068</v>
      </c>
      <c r="C15" t="s">
        <v>1384</v>
      </c>
      <c r="D15" t="s">
        <v>828</v>
      </c>
      <c r="E15" t="s">
        <v>21</v>
      </c>
      <c r="F15" t="s">
        <v>28</v>
      </c>
      <c r="G15" t="s">
        <v>45</v>
      </c>
      <c r="H15">
        <v>1</v>
      </c>
      <c r="I15" s="3">
        <v>6.98</v>
      </c>
      <c r="J15" t="s">
        <v>16</v>
      </c>
      <c r="K15" t="s">
        <v>30</v>
      </c>
      <c r="L15" s="4">
        <f>Table4[[#This Row],[quantity]]*Table4[[#This Row],[unit_price]]</f>
        <v>6.98</v>
      </c>
      <c r="M15">
        <f>COUNTIFS($C$2:$C$3934,Table4[[#This Row],[customer_id]])</f>
        <v>4</v>
      </c>
      <c r="N15" t="str">
        <f>IF(Table4[[#This Row],[customer_order_count]]=1,"New Customer","Repeat Customer")</f>
        <v>Repeat Customer</v>
      </c>
    </row>
    <row r="16" spans="1:14">
      <c r="A16" t="s">
        <v>1209</v>
      </c>
      <c r="B16" s="1">
        <v>45650</v>
      </c>
      <c r="C16" t="s">
        <v>1210</v>
      </c>
      <c r="D16" t="s">
        <v>1211</v>
      </c>
      <c r="E16" t="s">
        <v>106</v>
      </c>
      <c r="F16" t="s">
        <v>28</v>
      </c>
      <c r="G16" t="s">
        <v>114</v>
      </c>
      <c r="H16">
        <v>1</v>
      </c>
      <c r="I16" s="3">
        <v>6.98</v>
      </c>
      <c r="J16" t="s">
        <v>16</v>
      </c>
      <c r="K16" t="s">
        <v>30</v>
      </c>
      <c r="L16" s="4">
        <f>Table4[[#This Row],[quantity]]*Table4[[#This Row],[unit_price]]</f>
        <v>6.98</v>
      </c>
      <c r="M16">
        <f>COUNTIFS($C$2:$C$3934,Table4[[#This Row],[customer_id]])</f>
        <v>3</v>
      </c>
      <c r="N16" t="str">
        <f>IF(Table4[[#This Row],[customer_order_count]]=1,"New Customer","Repeat Customer")</f>
        <v>Repeat Customer</v>
      </c>
    </row>
    <row r="17" spans="1:14">
      <c r="A17" t="s">
        <v>5014</v>
      </c>
      <c r="B17" s="1">
        <v>45472</v>
      </c>
      <c r="C17" t="s">
        <v>4211</v>
      </c>
      <c r="D17" t="s">
        <v>1935</v>
      </c>
      <c r="E17" t="s">
        <v>44</v>
      </c>
      <c r="F17" t="s">
        <v>28</v>
      </c>
      <c r="G17" t="s">
        <v>84</v>
      </c>
      <c r="H17">
        <v>1</v>
      </c>
      <c r="I17" s="3">
        <v>7.06</v>
      </c>
      <c r="J17" t="s">
        <v>255</v>
      </c>
      <c r="K17" t="s">
        <v>17</v>
      </c>
      <c r="L17" s="4">
        <f>Table4[[#This Row],[quantity]]*Table4[[#This Row],[unit_price]]</f>
        <v>7.06</v>
      </c>
      <c r="M17">
        <f>COUNTIFS($C$2:$C$3934,Table4[[#This Row],[customer_id]])</f>
        <v>2</v>
      </c>
      <c r="N17" t="str">
        <f>IF(Table4[[#This Row],[customer_order_count]]=1,"New Customer","Repeat Customer")</f>
        <v>Repeat Customer</v>
      </c>
    </row>
    <row r="18" spans="1:14">
      <c r="A18" t="s">
        <v>5132</v>
      </c>
      <c r="B18" s="1">
        <v>45397</v>
      </c>
      <c r="C18" t="s">
        <v>323</v>
      </c>
      <c r="D18" t="s">
        <v>324</v>
      </c>
      <c r="E18" t="s">
        <v>44</v>
      </c>
      <c r="F18" t="s">
        <v>28</v>
      </c>
      <c r="G18" t="s">
        <v>84</v>
      </c>
      <c r="H18">
        <v>2</v>
      </c>
      <c r="I18" s="3">
        <v>7.18</v>
      </c>
      <c r="J18" t="s">
        <v>16</v>
      </c>
      <c r="K18" t="s">
        <v>40</v>
      </c>
      <c r="L18" s="4">
        <f>Table4[[#This Row],[quantity]]*Table4[[#This Row],[unit_price]]</f>
        <v>14.36</v>
      </c>
      <c r="M18">
        <f>COUNTIFS($C$2:$C$3934,Table4[[#This Row],[customer_id]])</f>
        <v>6</v>
      </c>
      <c r="N18" t="str">
        <f>IF(Table4[[#This Row],[customer_order_count]]=1,"New Customer","Repeat Customer")</f>
        <v>Repeat Customer</v>
      </c>
    </row>
    <row r="19" spans="1:14">
      <c r="A19" t="s">
        <v>2168</v>
      </c>
      <c r="B19" s="1">
        <v>45559</v>
      </c>
      <c r="C19" t="s">
        <v>702</v>
      </c>
      <c r="D19" t="s">
        <v>20</v>
      </c>
      <c r="E19" t="s">
        <v>21</v>
      </c>
      <c r="F19" t="s">
        <v>28</v>
      </c>
      <c r="G19" t="s">
        <v>114</v>
      </c>
      <c r="H19">
        <v>4</v>
      </c>
      <c r="I19" s="3">
        <v>7.19</v>
      </c>
      <c r="J19" t="s">
        <v>16</v>
      </c>
      <c r="K19" t="s">
        <v>30</v>
      </c>
      <c r="L19" s="4">
        <f>Table4[[#This Row],[quantity]]*Table4[[#This Row],[unit_price]]</f>
        <v>28.76</v>
      </c>
      <c r="M19">
        <f>COUNTIFS($C$2:$C$3934,Table4[[#This Row],[customer_id]])</f>
        <v>5</v>
      </c>
      <c r="N19" t="str">
        <f>IF(Table4[[#This Row],[customer_order_count]]=1,"New Customer","Repeat Customer")</f>
        <v>Repeat Customer</v>
      </c>
    </row>
    <row r="20" spans="1:14">
      <c r="A20" t="s">
        <v>5146</v>
      </c>
      <c r="B20" s="1">
        <v>45099</v>
      </c>
      <c r="C20" t="s">
        <v>1868</v>
      </c>
      <c r="D20" t="s">
        <v>1869</v>
      </c>
      <c r="E20" t="s">
        <v>21</v>
      </c>
      <c r="F20" t="s">
        <v>28</v>
      </c>
      <c r="G20" t="s">
        <v>139</v>
      </c>
      <c r="H20">
        <v>1</v>
      </c>
      <c r="I20" s="3">
        <v>7.25</v>
      </c>
      <c r="J20" t="s">
        <v>16</v>
      </c>
      <c r="K20" t="s">
        <v>30</v>
      </c>
      <c r="L20" s="4">
        <f>Table4[[#This Row],[quantity]]*Table4[[#This Row],[unit_price]]</f>
        <v>7.25</v>
      </c>
      <c r="M20">
        <f>COUNTIFS($C$2:$C$3934,Table4[[#This Row],[customer_id]])</f>
        <v>3</v>
      </c>
      <c r="N20" t="str">
        <f>IF(Table4[[#This Row],[customer_order_count]]=1,"New Customer","Repeat Customer")</f>
        <v>Repeat Customer</v>
      </c>
    </row>
    <row r="21" spans="1:14">
      <c r="A21" t="s">
        <v>3298</v>
      </c>
      <c r="B21" s="1">
        <v>45507</v>
      </c>
      <c r="C21" t="s">
        <v>1243</v>
      </c>
      <c r="D21" t="s">
        <v>1244</v>
      </c>
      <c r="E21" t="s">
        <v>21</v>
      </c>
      <c r="F21" t="s">
        <v>28</v>
      </c>
      <c r="G21" t="s">
        <v>29</v>
      </c>
      <c r="H21">
        <v>1</v>
      </c>
      <c r="I21" s="3">
        <v>7.26</v>
      </c>
      <c r="J21" t="s">
        <v>16</v>
      </c>
      <c r="K21" t="s">
        <v>30</v>
      </c>
      <c r="L21" s="4">
        <f>Table4[[#This Row],[quantity]]*Table4[[#This Row],[unit_price]]</f>
        <v>7.26</v>
      </c>
      <c r="M21">
        <f>COUNTIFS($C$2:$C$3934,Table4[[#This Row],[customer_id]])</f>
        <v>6</v>
      </c>
      <c r="N21" t="str">
        <f>IF(Table4[[#This Row],[customer_order_count]]=1,"New Customer","Repeat Customer")</f>
        <v>Repeat Customer</v>
      </c>
    </row>
    <row r="22" spans="1:14">
      <c r="A22" t="s">
        <v>3155</v>
      </c>
      <c r="B22" s="1">
        <v>45026</v>
      </c>
      <c r="C22" t="s">
        <v>1173</v>
      </c>
      <c r="D22" t="s">
        <v>1153</v>
      </c>
      <c r="E22" t="s">
        <v>21</v>
      </c>
      <c r="F22" t="s">
        <v>28</v>
      </c>
      <c r="G22" t="s">
        <v>45</v>
      </c>
      <c r="H22">
        <v>4</v>
      </c>
      <c r="I22" s="3">
        <v>7.44</v>
      </c>
      <c r="J22" t="s">
        <v>16</v>
      </c>
      <c r="K22" t="s">
        <v>40</v>
      </c>
      <c r="L22" s="4">
        <f>Table4[[#This Row],[quantity]]*Table4[[#This Row],[unit_price]]</f>
        <v>29.76</v>
      </c>
      <c r="M22">
        <f>COUNTIFS($C$2:$C$3934,Table4[[#This Row],[customer_id]])</f>
        <v>8</v>
      </c>
      <c r="N22" t="str">
        <f>IF(Table4[[#This Row],[customer_order_count]]=1,"New Customer","Repeat Customer")</f>
        <v>Repeat Customer</v>
      </c>
    </row>
    <row r="23" spans="1:14">
      <c r="A23" t="s">
        <v>136</v>
      </c>
      <c r="B23" s="1">
        <v>45480</v>
      </c>
      <c r="C23" t="s">
        <v>137</v>
      </c>
      <c r="D23" t="s">
        <v>138</v>
      </c>
      <c r="E23" t="s">
        <v>21</v>
      </c>
      <c r="F23" t="s">
        <v>28</v>
      </c>
      <c r="G23" t="s">
        <v>139</v>
      </c>
      <c r="H23">
        <v>2</v>
      </c>
      <c r="I23" s="3">
        <v>7.83</v>
      </c>
      <c r="J23" t="s">
        <v>16</v>
      </c>
      <c r="K23" t="s">
        <v>40</v>
      </c>
      <c r="L23" s="4">
        <f>Table4[[#This Row],[quantity]]*Table4[[#This Row],[unit_price]]</f>
        <v>15.66</v>
      </c>
      <c r="M23">
        <f>COUNTIFS($C$2:$C$3934,Table4[[#This Row],[customer_id]])</f>
        <v>4</v>
      </c>
      <c r="N23" t="str">
        <f>IF(Table4[[#This Row],[customer_order_count]]=1,"New Customer","Repeat Customer")</f>
        <v>Repeat Customer</v>
      </c>
    </row>
    <row r="24" spans="1:14">
      <c r="A24" t="s">
        <v>726</v>
      </c>
      <c r="B24" s="1">
        <v>45281</v>
      </c>
      <c r="C24" t="s">
        <v>461</v>
      </c>
      <c r="D24" t="s">
        <v>161</v>
      </c>
      <c r="E24" t="s">
        <v>44</v>
      </c>
      <c r="F24" t="s">
        <v>28</v>
      </c>
      <c r="G24" t="s">
        <v>114</v>
      </c>
      <c r="H24">
        <v>1</v>
      </c>
      <c r="I24" s="3">
        <v>7.84</v>
      </c>
      <c r="J24" t="s">
        <v>16</v>
      </c>
      <c r="K24" t="s">
        <v>30</v>
      </c>
      <c r="L24" s="4">
        <f>Table4[[#This Row],[quantity]]*Table4[[#This Row],[unit_price]]</f>
        <v>7.84</v>
      </c>
      <c r="M24">
        <f>COUNTIFS($C$2:$C$3934,Table4[[#This Row],[customer_id]])</f>
        <v>5</v>
      </c>
      <c r="N24" t="str">
        <f>IF(Table4[[#This Row],[customer_order_count]]=1,"New Customer","Repeat Customer")</f>
        <v>Repeat Customer</v>
      </c>
    </row>
    <row r="25" spans="1:14">
      <c r="A25" t="s">
        <v>667</v>
      </c>
      <c r="B25" s="1">
        <v>45164</v>
      </c>
      <c r="C25" t="s">
        <v>668</v>
      </c>
      <c r="D25" t="s">
        <v>669</v>
      </c>
      <c r="E25" t="s">
        <v>44</v>
      </c>
      <c r="F25" t="s">
        <v>28</v>
      </c>
      <c r="G25" t="s">
        <v>139</v>
      </c>
      <c r="H25">
        <v>1</v>
      </c>
      <c r="I25" s="3">
        <v>7.88</v>
      </c>
      <c r="J25" t="s">
        <v>16</v>
      </c>
      <c r="K25" t="s">
        <v>35</v>
      </c>
      <c r="L25" s="4">
        <f>Table4[[#This Row],[quantity]]*Table4[[#This Row],[unit_price]]</f>
        <v>7.88</v>
      </c>
      <c r="M25">
        <f>COUNTIFS($C$2:$C$3934,Table4[[#This Row],[customer_id]])</f>
        <v>7</v>
      </c>
      <c r="N25" t="str">
        <f>IF(Table4[[#This Row],[customer_order_count]]=1,"New Customer","Repeat Customer")</f>
        <v>Repeat Customer</v>
      </c>
    </row>
    <row r="26" spans="1:14">
      <c r="A26" t="s">
        <v>3991</v>
      </c>
      <c r="B26" s="1">
        <v>45019</v>
      </c>
      <c r="C26" t="s">
        <v>1957</v>
      </c>
      <c r="D26" t="s">
        <v>292</v>
      </c>
      <c r="E26" t="s">
        <v>61</v>
      </c>
      <c r="F26" t="s">
        <v>28</v>
      </c>
      <c r="G26" t="s">
        <v>139</v>
      </c>
      <c r="H26">
        <v>5</v>
      </c>
      <c r="I26" s="3">
        <v>7.95</v>
      </c>
      <c r="J26" t="s">
        <v>16</v>
      </c>
      <c r="K26" t="s">
        <v>17</v>
      </c>
      <c r="L26" s="4">
        <f>Table4[[#This Row],[quantity]]*Table4[[#This Row],[unit_price]]</f>
        <v>39.75</v>
      </c>
      <c r="M26">
        <f>COUNTIFS($C$2:$C$3934,Table4[[#This Row],[customer_id]])</f>
        <v>3</v>
      </c>
      <c r="N26" t="str">
        <f>IF(Table4[[#This Row],[customer_order_count]]=1,"New Customer","Repeat Customer")</f>
        <v>Repeat Customer</v>
      </c>
    </row>
    <row r="27" spans="1:14">
      <c r="A27" t="s">
        <v>2015</v>
      </c>
      <c r="B27" s="1">
        <v>44936</v>
      </c>
      <c r="C27" t="s">
        <v>2016</v>
      </c>
      <c r="D27" t="s">
        <v>612</v>
      </c>
      <c r="E27" t="s">
        <v>21</v>
      </c>
      <c r="F27" t="s">
        <v>14</v>
      </c>
      <c r="G27" t="s">
        <v>258</v>
      </c>
      <c r="H27">
        <v>1</v>
      </c>
      <c r="I27" s="3">
        <v>8.1300000000000008</v>
      </c>
      <c r="J27" t="s">
        <v>255</v>
      </c>
      <c r="K27" t="s">
        <v>35</v>
      </c>
      <c r="L27" s="4">
        <f>Table4[[#This Row],[quantity]]*Table4[[#This Row],[unit_price]]</f>
        <v>8.1300000000000008</v>
      </c>
      <c r="M27">
        <f>COUNTIFS($C$2:$C$3934,Table4[[#This Row],[customer_id]])</f>
        <v>3</v>
      </c>
      <c r="N27" t="str">
        <f>IF(Table4[[#This Row],[customer_order_count]]=1,"New Customer","Repeat Customer")</f>
        <v>Repeat Customer</v>
      </c>
    </row>
    <row r="28" spans="1:14">
      <c r="A28" t="s">
        <v>5088</v>
      </c>
      <c r="B28" s="1">
        <v>45075</v>
      </c>
      <c r="C28" t="s">
        <v>2810</v>
      </c>
      <c r="D28" t="s">
        <v>207</v>
      </c>
      <c r="E28" t="s">
        <v>21</v>
      </c>
      <c r="F28" t="s">
        <v>28</v>
      </c>
      <c r="G28" t="s">
        <v>84</v>
      </c>
      <c r="H28">
        <v>2</v>
      </c>
      <c r="I28" s="3">
        <v>8.17</v>
      </c>
      <c r="J28" t="s">
        <v>16</v>
      </c>
      <c r="K28" t="s">
        <v>17</v>
      </c>
      <c r="L28" s="4">
        <f>Table4[[#This Row],[quantity]]*Table4[[#This Row],[unit_price]]</f>
        <v>16.34</v>
      </c>
      <c r="M28">
        <f>COUNTIFS($C$2:$C$3934,Table4[[#This Row],[customer_id]])</f>
        <v>2</v>
      </c>
      <c r="N28" t="str">
        <f>IF(Table4[[#This Row],[customer_order_count]]=1,"New Customer","Repeat Customer")</f>
        <v>Repeat Customer</v>
      </c>
    </row>
    <row r="29" spans="1:14">
      <c r="A29" t="s">
        <v>2891</v>
      </c>
      <c r="B29" s="1">
        <v>45151</v>
      </c>
      <c r="C29" t="s">
        <v>1074</v>
      </c>
      <c r="D29" t="s">
        <v>281</v>
      </c>
      <c r="E29" t="s">
        <v>21</v>
      </c>
      <c r="F29" t="s">
        <v>28</v>
      </c>
      <c r="G29" t="s">
        <v>29</v>
      </c>
      <c r="H29">
        <v>3</v>
      </c>
      <c r="I29" s="3">
        <v>8.1999999999999993</v>
      </c>
      <c r="J29" t="s">
        <v>16</v>
      </c>
      <c r="K29" t="s">
        <v>35</v>
      </c>
      <c r="L29" s="4">
        <f>Table4[[#This Row],[quantity]]*Table4[[#This Row],[unit_price]]</f>
        <v>24.599999999999998</v>
      </c>
      <c r="M29">
        <f>COUNTIFS($C$2:$C$3934,Table4[[#This Row],[customer_id]])</f>
        <v>6</v>
      </c>
      <c r="N29" t="str">
        <f>IF(Table4[[#This Row],[customer_order_count]]=1,"New Customer","Repeat Customer")</f>
        <v>Repeat Customer</v>
      </c>
    </row>
    <row r="30" spans="1:14">
      <c r="A30" t="s">
        <v>1145</v>
      </c>
      <c r="B30" s="1">
        <v>45521</v>
      </c>
      <c r="C30" t="s">
        <v>1146</v>
      </c>
      <c r="D30" t="s">
        <v>347</v>
      </c>
      <c r="E30" t="s">
        <v>21</v>
      </c>
      <c r="F30" t="s">
        <v>28</v>
      </c>
      <c r="G30" t="s">
        <v>84</v>
      </c>
      <c r="H30">
        <v>2</v>
      </c>
      <c r="I30" s="3">
        <v>8.2200000000000006</v>
      </c>
      <c r="J30" t="s">
        <v>16</v>
      </c>
      <c r="K30" t="s">
        <v>35</v>
      </c>
      <c r="L30" s="4">
        <f>Table4[[#This Row],[quantity]]*Table4[[#This Row],[unit_price]]</f>
        <v>16.440000000000001</v>
      </c>
      <c r="M30">
        <f>COUNTIFS($C$2:$C$3934,Table4[[#This Row],[customer_id]])</f>
        <v>7</v>
      </c>
      <c r="N30" t="str">
        <f>IF(Table4[[#This Row],[customer_order_count]]=1,"New Customer","Repeat Customer")</f>
        <v>Repeat Customer</v>
      </c>
    </row>
    <row r="31" spans="1:14">
      <c r="A31" t="s">
        <v>4652</v>
      </c>
      <c r="B31" s="1">
        <v>45499</v>
      </c>
      <c r="C31" t="s">
        <v>3432</v>
      </c>
      <c r="D31" t="s">
        <v>582</v>
      </c>
      <c r="E31" t="s">
        <v>44</v>
      </c>
      <c r="F31" t="s">
        <v>28</v>
      </c>
      <c r="G31" t="s">
        <v>114</v>
      </c>
      <c r="H31">
        <v>3</v>
      </c>
      <c r="I31" s="3">
        <v>8.23</v>
      </c>
      <c r="J31" t="s">
        <v>85</v>
      </c>
      <c r="K31" t="s">
        <v>30</v>
      </c>
      <c r="L31" s="4">
        <f>Table4[[#This Row],[quantity]]*Table4[[#This Row],[unit_price]]</f>
        <v>24.69</v>
      </c>
      <c r="M31">
        <f>COUNTIFS($C$2:$C$3934,Table4[[#This Row],[customer_id]])</f>
        <v>4</v>
      </c>
      <c r="N31" t="str">
        <f>IF(Table4[[#This Row],[customer_order_count]]=1,"New Customer","Repeat Customer")</f>
        <v>Repeat Customer</v>
      </c>
    </row>
    <row r="32" spans="1:14">
      <c r="A32" t="s">
        <v>4428</v>
      </c>
      <c r="B32" s="1">
        <v>45437</v>
      </c>
      <c r="C32" t="s">
        <v>3660</v>
      </c>
      <c r="D32" t="s">
        <v>950</v>
      </c>
      <c r="E32" t="s">
        <v>21</v>
      </c>
      <c r="F32" t="s">
        <v>28</v>
      </c>
      <c r="G32" t="s">
        <v>29</v>
      </c>
      <c r="H32">
        <v>1</v>
      </c>
      <c r="I32" s="3">
        <v>8.2899999999999991</v>
      </c>
      <c r="J32" t="s">
        <v>16</v>
      </c>
      <c r="K32" t="s">
        <v>30</v>
      </c>
      <c r="L32" s="4">
        <f>Table4[[#This Row],[quantity]]*Table4[[#This Row],[unit_price]]</f>
        <v>8.2899999999999991</v>
      </c>
      <c r="M32">
        <f>COUNTIFS($C$2:$C$3934,Table4[[#This Row],[customer_id]])</f>
        <v>3</v>
      </c>
      <c r="N32" t="str">
        <f>IF(Table4[[#This Row],[customer_order_count]]=1,"New Customer","Repeat Customer")</f>
        <v>Repeat Customer</v>
      </c>
    </row>
    <row r="33" spans="1:14">
      <c r="A33" t="s">
        <v>1769</v>
      </c>
      <c r="B33" s="1">
        <v>45639</v>
      </c>
      <c r="C33" t="s">
        <v>1770</v>
      </c>
      <c r="D33" t="s">
        <v>113</v>
      </c>
      <c r="E33" t="s">
        <v>44</v>
      </c>
      <c r="F33" t="s">
        <v>14</v>
      </c>
      <c r="G33" t="s">
        <v>15</v>
      </c>
      <c r="H33">
        <v>1</v>
      </c>
      <c r="I33" s="3">
        <v>8.2899999999999991</v>
      </c>
      <c r="J33" t="s">
        <v>16</v>
      </c>
      <c r="K33" t="s">
        <v>35</v>
      </c>
      <c r="L33" s="4">
        <f>Table4[[#This Row],[quantity]]*Table4[[#This Row],[unit_price]]</f>
        <v>8.2899999999999991</v>
      </c>
      <c r="M33">
        <f>COUNTIFS($C$2:$C$3934,Table4[[#This Row],[customer_id]])</f>
        <v>5</v>
      </c>
      <c r="N33" t="str">
        <f>IF(Table4[[#This Row],[customer_order_count]]=1,"New Customer","Repeat Customer")</f>
        <v>Repeat Customer</v>
      </c>
    </row>
    <row r="34" spans="1:14">
      <c r="A34" t="s">
        <v>3588</v>
      </c>
      <c r="B34" s="1">
        <v>45277</v>
      </c>
      <c r="C34" t="s">
        <v>2481</v>
      </c>
      <c r="D34" t="s">
        <v>2482</v>
      </c>
      <c r="E34" t="s">
        <v>61</v>
      </c>
      <c r="F34" t="s">
        <v>66</v>
      </c>
      <c r="G34" t="s">
        <v>49</v>
      </c>
      <c r="H34">
        <v>1</v>
      </c>
      <c r="I34" s="3">
        <v>8.33</v>
      </c>
      <c r="J34" t="s">
        <v>16</v>
      </c>
      <c r="K34" t="s">
        <v>30</v>
      </c>
      <c r="L34" s="4">
        <f>Table4[[#This Row],[quantity]]*Table4[[#This Row],[unit_price]]</f>
        <v>8.33</v>
      </c>
      <c r="M34">
        <f>COUNTIFS($C$2:$C$3934,Table4[[#This Row],[customer_id]])</f>
        <v>4</v>
      </c>
      <c r="N34" t="str">
        <f>IF(Table4[[#This Row],[customer_order_count]]=1,"New Customer","Repeat Customer")</f>
        <v>Repeat Customer</v>
      </c>
    </row>
    <row r="35" spans="1:14">
      <c r="A35" t="s">
        <v>2474</v>
      </c>
      <c r="B35" s="1">
        <v>45062</v>
      </c>
      <c r="C35" t="s">
        <v>148</v>
      </c>
      <c r="D35" t="s">
        <v>149</v>
      </c>
      <c r="E35" t="s">
        <v>21</v>
      </c>
      <c r="F35" t="s">
        <v>28</v>
      </c>
      <c r="G35" t="s">
        <v>84</v>
      </c>
      <c r="H35">
        <v>1</v>
      </c>
      <c r="I35" s="3">
        <v>8.39</v>
      </c>
      <c r="J35" t="s">
        <v>16</v>
      </c>
      <c r="K35" t="s">
        <v>17</v>
      </c>
      <c r="L35" s="4">
        <f>Table4[[#This Row],[quantity]]*Table4[[#This Row],[unit_price]]</f>
        <v>8.39</v>
      </c>
      <c r="M35">
        <f>COUNTIFS($C$2:$C$3934,Table4[[#This Row],[customer_id]])</f>
        <v>6</v>
      </c>
      <c r="N35" t="str">
        <f>IF(Table4[[#This Row],[customer_order_count]]=1,"New Customer","Repeat Customer")</f>
        <v>Repeat Customer</v>
      </c>
    </row>
    <row r="36" spans="1:14">
      <c r="A36" t="s">
        <v>4008</v>
      </c>
      <c r="B36" s="1">
        <v>45071</v>
      </c>
      <c r="C36" t="s">
        <v>1884</v>
      </c>
      <c r="D36" s="2" t="s">
        <v>5257</v>
      </c>
      <c r="E36" t="s">
        <v>21</v>
      </c>
      <c r="F36" t="s">
        <v>28</v>
      </c>
      <c r="G36" t="s">
        <v>45</v>
      </c>
      <c r="H36">
        <v>1</v>
      </c>
      <c r="I36" s="3">
        <v>8.41</v>
      </c>
      <c r="J36" t="s">
        <v>16</v>
      </c>
      <c r="K36" t="s">
        <v>30</v>
      </c>
      <c r="L36" s="4">
        <f>Table4[[#This Row],[quantity]]*Table4[[#This Row],[unit_price]]</f>
        <v>8.41</v>
      </c>
      <c r="M36">
        <f>COUNTIFS($C$2:$C$3934,Table4[[#This Row],[customer_id]])</f>
        <v>6</v>
      </c>
      <c r="N36" t="str">
        <f>IF(Table4[[#This Row],[customer_order_count]]=1,"New Customer","Repeat Customer")</f>
        <v>Repeat Customer</v>
      </c>
    </row>
    <row r="37" spans="1:14">
      <c r="A37" t="s">
        <v>2345</v>
      </c>
      <c r="B37" s="1">
        <v>45591</v>
      </c>
      <c r="C37" t="s">
        <v>1024</v>
      </c>
      <c r="D37" s="2" t="s">
        <v>5257</v>
      </c>
      <c r="E37" t="s">
        <v>21</v>
      </c>
      <c r="F37" t="s">
        <v>28</v>
      </c>
      <c r="G37" t="s">
        <v>139</v>
      </c>
      <c r="H37">
        <v>1</v>
      </c>
      <c r="I37" s="3">
        <v>8.41</v>
      </c>
      <c r="J37" t="s">
        <v>16</v>
      </c>
      <c r="K37" t="s">
        <v>17</v>
      </c>
      <c r="L37" s="4">
        <f>Table4[[#This Row],[quantity]]*Table4[[#This Row],[unit_price]]</f>
        <v>8.41</v>
      </c>
      <c r="M37">
        <f>COUNTIFS($C$2:$C$3934,Table4[[#This Row],[customer_id]])</f>
        <v>6</v>
      </c>
      <c r="N37" t="str">
        <f>IF(Table4[[#This Row],[customer_order_count]]=1,"New Customer","Repeat Customer")</f>
        <v>Repeat Customer</v>
      </c>
    </row>
    <row r="38" spans="1:14">
      <c r="A38" t="s">
        <v>3531</v>
      </c>
      <c r="B38" s="1">
        <v>45614</v>
      </c>
      <c r="C38" t="s">
        <v>3209</v>
      </c>
      <c r="D38" t="s">
        <v>1430</v>
      </c>
      <c r="E38" t="s">
        <v>21</v>
      </c>
      <c r="F38" t="s">
        <v>28</v>
      </c>
      <c r="G38" t="s">
        <v>84</v>
      </c>
      <c r="H38">
        <v>1</v>
      </c>
      <c r="I38" s="3">
        <v>8.41</v>
      </c>
      <c r="J38" t="s">
        <v>255</v>
      </c>
      <c r="K38" t="s">
        <v>17</v>
      </c>
      <c r="L38" s="4">
        <f>Table4[[#This Row],[quantity]]*Table4[[#This Row],[unit_price]]</f>
        <v>8.41</v>
      </c>
      <c r="M38">
        <f>COUNTIFS($C$2:$C$3934,Table4[[#This Row],[customer_id]])</f>
        <v>7</v>
      </c>
      <c r="N38" t="str">
        <f>IF(Table4[[#This Row],[customer_order_count]]=1,"New Customer","Repeat Customer")</f>
        <v>Repeat Customer</v>
      </c>
    </row>
    <row r="39" spans="1:14">
      <c r="A39" t="s">
        <v>2871</v>
      </c>
      <c r="B39" s="1">
        <v>45297</v>
      </c>
      <c r="C39" t="s">
        <v>2872</v>
      </c>
      <c r="D39" t="s">
        <v>2873</v>
      </c>
      <c r="E39" t="s">
        <v>21</v>
      </c>
      <c r="F39" t="s">
        <v>66</v>
      </c>
      <c r="G39" t="s">
        <v>238</v>
      </c>
      <c r="H39">
        <v>1</v>
      </c>
      <c r="I39" s="3">
        <v>8.43</v>
      </c>
      <c r="J39" t="s">
        <v>16</v>
      </c>
      <c r="K39" t="s">
        <v>35</v>
      </c>
      <c r="L39" s="4">
        <f>Table4[[#This Row],[quantity]]*Table4[[#This Row],[unit_price]]</f>
        <v>8.43</v>
      </c>
      <c r="M39">
        <f>COUNTIFS($C$2:$C$3934,Table4[[#This Row],[customer_id]])</f>
        <v>3</v>
      </c>
      <c r="N39" t="str">
        <f>IF(Table4[[#This Row],[customer_order_count]]=1,"New Customer","Repeat Customer")</f>
        <v>Repeat Customer</v>
      </c>
    </row>
    <row r="40" spans="1:14">
      <c r="A40" t="s">
        <v>3765</v>
      </c>
      <c r="B40" s="1">
        <v>45529</v>
      </c>
      <c r="C40" t="s">
        <v>1948</v>
      </c>
      <c r="D40" t="s">
        <v>237</v>
      </c>
      <c r="E40" t="s">
        <v>21</v>
      </c>
      <c r="F40" t="s">
        <v>66</v>
      </c>
      <c r="G40" t="s">
        <v>49</v>
      </c>
      <c r="H40">
        <v>3</v>
      </c>
      <c r="I40" s="3">
        <v>8.4700000000000006</v>
      </c>
      <c r="J40" t="s">
        <v>24</v>
      </c>
      <c r="K40" t="s">
        <v>17</v>
      </c>
      <c r="L40" s="4">
        <f>Table4[[#This Row],[quantity]]*Table4[[#This Row],[unit_price]]</f>
        <v>25.410000000000004</v>
      </c>
      <c r="M40">
        <f>COUNTIFS($C$2:$C$3934,Table4[[#This Row],[customer_id]])</f>
        <v>4</v>
      </c>
      <c r="N40" t="str">
        <f>IF(Table4[[#This Row],[customer_order_count]]=1,"New Customer","Repeat Customer")</f>
        <v>Repeat Customer</v>
      </c>
    </row>
    <row r="41" spans="1:14">
      <c r="A41" t="s">
        <v>4399</v>
      </c>
      <c r="B41" s="1">
        <v>45531</v>
      </c>
      <c r="C41" t="s">
        <v>1499</v>
      </c>
      <c r="D41" s="2" t="s">
        <v>5257</v>
      </c>
      <c r="E41" t="s">
        <v>44</v>
      </c>
      <c r="F41" t="s">
        <v>28</v>
      </c>
      <c r="G41" t="s">
        <v>84</v>
      </c>
      <c r="H41">
        <v>1</v>
      </c>
      <c r="I41" s="3">
        <v>8.49</v>
      </c>
      <c r="J41" t="s">
        <v>16</v>
      </c>
      <c r="K41" t="s">
        <v>30</v>
      </c>
      <c r="L41" s="4">
        <f>Table4[[#This Row],[quantity]]*Table4[[#This Row],[unit_price]]</f>
        <v>8.49</v>
      </c>
      <c r="M41">
        <f>COUNTIFS($C$2:$C$3934,Table4[[#This Row],[customer_id]])</f>
        <v>6</v>
      </c>
      <c r="N41" t="str">
        <f>IF(Table4[[#This Row],[customer_order_count]]=1,"New Customer","Repeat Customer")</f>
        <v>Repeat Customer</v>
      </c>
    </row>
    <row r="42" spans="1:14">
      <c r="A42" t="s">
        <v>3839</v>
      </c>
      <c r="B42" s="1">
        <v>45053</v>
      </c>
      <c r="C42" t="s">
        <v>1452</v>
      </c>
      <c r="D42" t="s">
        <v>1453</v>
      </c>
      <c r="E42" t="s">
        <v>21</v>
      </c>
      <c r="F42" t="s">
        <v>14</v>
      </c>
      <c r="G42" t="s">
        <v>62</v>
      </c>
      <c r="H42">
        <v>1</v>
      </c>
      <c r="I42" s="3">
        <v>8.56</v>
      </c>
      <c r="J42" t="s">
        <v>255</v>
      </c>
      <c r="K42" t="s">
        <v>30</v>
      </c>
      <c r="L42" s="4">
        <f>Table4[[#This Row],[quantity]]*Table4[[#This Row],[unit_price]]</f>
        <v>8.56</v>
      </c>
      <c r="M42">
        <f>COUNTIFS($C$2:$C$3934,Table4[[#This Row],[customer_id]])</f>
        <v>7</v>
      </c>
      <c r="N42" t="str">
        <f>IF(Table4[[#This Row],[customer_order_count]]=1,"New Customer","Repeat Customer")</f>
        <v>Repeat Customer</v>
      </c>
    </row>
    <row r="43" spans="1:14">
      <c r="A43" t="s">
        <v>4440</v>
      </c>
      <c r="B43" s="1">
        <v>45152</v>
      </c>
      <c r="C43" t="s">
        <v>1207</v>
      </c>
      <c r="D43" t="s">
        <v>1208</v>
      </c>
      <c r="E43" t="s">
        <v>21</v>
      </c>
      <c r="F43" t="s">
        <v>66</v>
      </c>
      <c r="G43" t="s">
        <v>49</v>
      </c>
      <c r="H43">
        <v>1</v>
      </c>
      <c r="I43" s="3">
        <v>8.59</v>
      </c>
      <c r="J43" t="s">
        <v>16</v>
      </c>
      <c r="K43" t="s">
        <v>40</v>
      </c>
      <c r="L43" s="4">
        <f>Table4[[#This Row],[quantity]]*Table4[[#This Row],[unit_price]]</f>
        <v>8.59</v>
      </c>
      <c r="M43">
        <f>COUNTIFS($C$2:$C$3934,Table4[[#This Row],[customer_id]])</f>
        <v>3</v>
      </c>
      <c r="N43" t="str">
        <f>IF(Table4[[#This Row],[customer_order_count]]=1,"New Customer","Repeat Customer")</f>
        <v>Repeat Customer</v>
      </c>
    </row>
    <row r="44" spans="1:14">
      <c r="A44" t="s">
        <v>4811</v>
      </c>
      <c r="B44" s="1">
        <v>45140</v>
      </c>
      <c r="C44" t="s">
        <v>486</v>
      </c>
      <c r="D44" t="s">
        <v>173</v>
      </c>
      <c r="E44" t="s">
        <v>21</v>
      </c>
      <c r="F44" t="s">
        <v>28</v>
      </c>
      <c r="G44" t="s">
        <v>114</v>
      </c>
      <c r="H44">
        <v>3</v>
      </c>
      <c r="I44" s="3">
        <v>8.64</v>
      </c>
      <c r="J44" t="s">
        <v>16</v>
      </c>
      <c r="K44" t="s">
        <v>40</v>
      </c>
      <c r="L44" s="4">
        <f>Table4[[#This Row],[quantity]]*Table4[[#This Row],[unit_price]]</f>
        <v>25.92</v>
      </c>
      <c r="M44">
        <f>COUNTIFS($C$2:$C$3934,Table4[[#This Row],[customer_id]])</f>
        <v>4</v>
      </c>
      <c r="N44" t="str">
        <f>IF(Table4[[#This Row],[customer_order_count]]=1,"New Customer","Repeat Customer")</f>
        <v>Repeat Customer</v>
      </c>
    </row>
    <row r="45" spans="1:14">
      <c r="A45" t="s">
        <v>3561</v>
      </c>
      <c r="B45" s="1">
        <v>45294</v>
      </c>
      <c r="C45" t="s">
        <v>663</v>
      </c>
      <c r="D45" t="s">
        <v>48</v>
      </c>
      <c r="E45" t="s">
        <v>21</v>
      </c>
      <c r="F45" t="s">
        <v>66</v>
      </c>
      <c r="G45" t="s">
        <v>67</v>
      </c>
      <c r="H45">
        <v>1</v>
      </c>
      <c r="I45" s="3">
        <v>8.75</v>
      </c>
      <c r="J45" t="s">
        <v>16</v>
      </c>
      <c r="K45" t="s">
        <v>35</v>
      </c>
      <c r="L45" s="4">
        <f>Table4[[#This Row],[quantity]]*Table4[[#This Row],[unit_price]]</f>
        <v>8.75</v>
      </c>
      <c r="M45">
        <f>COUNTIFS($C$2:$C$3934,Table4[[#This Row],[customer_id]])</f>
        <v>9</v>
      </c>
      <c r="N45" t="str">
        <f>IF(Table4[[#This Row],[customer_order_count]]=1,"New Customer","Repeat Customer")</f>
        <v>Repeat Customer</v>
      </c>
    </row>
    <row r="46" spans="1:14">
      <c r="A46" t="s">
        <v>1992</v>
      </c>
      <c r="B46" s="1">
        <v>45452</v>
      </c>
      <c r="C46" t="s">
        <v>1993</v>
      </c>
      <c r="D46" t="s">
        <v>289</v>
      </c>
      <c r="E46" t="s">
        <v>44</v>
      </c>
      <c r="F46" t="s">
        <v>28</v>
      </c>
      <c r="G46" t="s">
        <v>45</v>
      </c>
      <c r="H46">
        <v>1</v>
      </c>
      <c r="I46" s="3">
        <v>8.75</v>
      </c>
      <c r="J46" t="s">
        <v>16</v>
      </c>
      <c r="K46" t="s">
        <v>30</v>
      </c>
      <c r="L46" s="4">
        <f>Table4[[#This Row],[quantity]]*Table4[[#This Row],[unit_price]]</f>
        <v>8.75</v>
      </c>
      <c r="M46">
        <f>COUNTIFS($C$2:$C$3934,Table4[[#This Row],[customer_id]])</f>
        <v>3</v>
      </c>
      <c r="N46" t="str">
        <f>IF(Table4[[#This Row],[customer_order_count]]=1,"New Customer","Repeat Customer")</f>
        <v>Repeat Customer</v>
      </c>
    </row>
    <row r="47" spans="1:14">
      <c r="A47" t="s">
        <v>4855</v>
      </c>
      <c r="B47" s="1">
        <v>45626</v>
      </c>
      <c r="C47" t="s">
        <v>4064</v>
      </c>
      <c r="D47" s="2" t="s">
        <v>5257</v>
      </c>
      <c r="E47" t="s">
        <v>61</v>
      </c>
      <c r="F47" t="s">
        <v>28</v>
      </c>
      <c r="G47" t="s">
        <v>45</v>
      </c>
      <c r="H47">
        <v>1</v>
      </c>
      <c r="I47" s="3">
        <v>8.8699999999999992</v>
      </c>
      <c r="J47" t="s">
        <v>16</v>
      </c>
      <c r="K47" t="s">
        <v>17</v>
      </c>
      <c r="L47" s="4">
        <f>Table4[[#This Row],[quantity]]*Table4[[#This Row],[unit_price]]</f>
        <v>8.8699999999999992</v>
      </c>
      <c r="M47">
        <f>COUNTIFS($C$2:$C$3934,Table4[[#This Row],[customer_id]])</f>
        <v>4</v>
      </c>
      <c r="N47" t="str">
        <f>IF(Table4[[#This Row],[customer_order_count]]=1,"New Customer","Repeat Customer")</f>
        <v>Repeat Customer</v>
      </c>
    </row>
    <row r="48" spans="1:14">
      <c r="A48" t="s">
        <v>1558</v>
      </c>
      <c r="B48" s="1">
        <v>45024</v>
      </c>
      <c r="C48" t="s">
        <v>1127</v>
      </c>
      <c r="D48" t="s">
        <v>947</v>
      </c>
      <c r="E48" t="s">
        <v>21</v>
      </c>
      <c r="F48" t="s">
        <v>14</v>
      </c>
      <c r="G48" t="s">
        <v>258</v>
      </c>
      <c r="H48">
        <v>1</v>
      </c>
      <c r="I48" s="3">
        <v>8.8800000000000008</v>
      </c>
      <c r="J48" t="s">
        <v>16</v>
      </c>
      <c r="K48" t="s">
        <v>30</v>
      </c>
      <c r="L48" s="4">
        <f>Table4[[#This Row],[quantity]]*Table4[[#This Row],[unit_price]]</f>
        <v>8.8800000000000008</v>
      </c>
      <c r="M48">
        <f>COUNTIFS($C$2:$C$3934,Table4[[#This Row],[customer_id]])</f>
        <v>7</v>
      </c>
      <c r="N48" t="str">
        <f>IF(Table4[[#This Row],[customer_order_count]]=1,"New Customer","Repeat Customer")</f>
        <v>Repeat Customer</v>
      </c>
    </row>
    <row r="49" spans="1:14">
      <c r="A49" t="s">
        <v>1890</v>
      </c>
      <c r="B49" s="1">
        <v>45548</v>
      </c>
      <c r="C49" t="s">
        <v>642</v>
      </c>
      <c r="D49" t="s">
        <v>643</v>
      </c>
      <c r="E49" t="s">
        <v>21</v>
      </c>
      <c r="F49" t="s">
        <v>66</v>
      </c>
      <c r="G49" t="s">
        <v>238</v>
      </c>
      <c r="H49">
        <v>1</v>
      </c>
      <c r="I49" s="3">
        <v>8.9</v>
      </c>
      <c r="J49" t="s">
        <v>16</v>
      </c>
      <c r="K49" t="s">
        <v>40</v>
      </c>
      <c r="L49" s="4">
        <f>Table4[[#This Row],[quantity]]*Table4[[#This Row],[unit_price]]</f>
        <v>8.9</v>
      </c>
      <c r="M49">
        <f>COUNTIFS($C$2:$C$3934,Table4[[#This Row],[customer_id]])</f>
        <v>7</v>
      </c>
      <c r="N49" t="str">
        <f>IF(Table4[[#This Row],[customer_order_count]]=1,"New Customer","Repeat Customer")</f>
        <v>Repeat Customer</v>
      </c>
    </row>
    <row r="50" spans="1:14">
      <c r="A50" t="s">
        <v>911</v>
      </c>
      <c r="B50" s="1">
        <v>45109</v>
      </c>
      <c r="C50" t="s">
        <v>466</v>
      </c>
      <c r="D50" t="s">
        <v>467</v>
      </c>
      <c r="E50" t="s">
        <v>44</v>
      </c>
      <c r="F50" t="s">
        <v>66</v>
      </c>
      <c r="G50" t="s">
        <v>217</v>
      </c>
      <c r="H50">
        <v>1</v>
      </c>
      <c r="I50" s="3">
        <v>8.91</v>
      </c>
      <c r="J50" t="s">
        <v>255</v>
      </c>
      <c r="K50" t="s">
        <v>17</v>
      </c>
      <c r="L50" s="4">
        <f>Table4[[#This Row],[quantity]]*Table4[[#This Row],[unit_price]]</f>
        <v>8.91</v>
      </c>
      <c r="M50">
        <f>COUNTIFS($C$2:$C$3934,Table4[[#This Row],[customer_id]])</f>
        <v>5</v>
      </c>
      <c r="N50" t="str">
        <f>IF(Table4[[#This Row],[customer_order_count]]=1,"New Customer","Repeat Customer")</f>
        <v>Repeat Customer</v>
      </c>
    </row>
    <row r="51" spans="1:14">
      <c r="A51" t="s">
        <v>4510</v>
      </c>
      <c r="B51" s="1">
        <v>45056</v>
      </c>
      <c r="C51" t="s">
        <v>448</v>
      </c>
      <c r="D51" t="s">
        <v>449</v>
      </c>
      <c r="E51" t="s">
        <v>44</v>
      </c>
      <c r="F51" t="s">
        <v>66</v>
      </c>
      <c r="G51" t="s">
        <v>217</v>
      </c>
      <c r="H51">
        <v>2</v>
      </c>
      <c r="I51" s="3">
        <v>8.9700000000000006</v>
      </c>
      <c r="J51" t="s">
        <v>16</v>
      </c>
      <c r="K51" t="s">
        <v>30</v>
      </c>
      <c r="L51" s="4">
        <f>Table4[[#This Row],[quantity]]*Table4[[#This Row],[unit_price]]</f>
        <v>17.940000000000001</v>
      </c>
      <c r="M51">
        <f>COUNTIFS($C$2:$C$3934,Table4[[#This Row],[customer_id]])</f>
        <v>6</v>
      </c>
      <c r="N51" t="str">
        <f>IF(Table4[[#This Row],[customer_order_count]]=1,"New Customer","Repeat Customer")</f>
        <v>Repeat Customer</v>
      </c>
    </row>
    <row r="52" spans="1:14">
      <c r="A52" t="s">
        <v>926</v>
      </c>
      <c r="B52" s="1">
        <v>45332</v>
      </c>
      <c r="C52" t="s">
        <v>927</v>
      </c>
      <c r="D52" t="s">
        <v>928</v>
      </c>
      <c r="E52" t="s">
        <v>44</v>
      </c>
      <c r="F52" t="s">
        <v>66</v>
      </c>
      <c r="G52" t="s">
        <v>217</v>
      </c>
      <c r="H52">
        <v>2</v>
      </c>
      <c r="I52" s="3">
        <v>8.98</v>
      </c>
      <c r="J52" t="s">
        <v>16</v>
      </c>
      <c r="K52" t="s">
        <v>30</v>
      </c>
      <c r="L52" s="4">
        <f>Table4[[#This Row],[quantity]]*Table4[[#This Row],[unit_price]]</f>
        <v>17.96</v>
      </c>
      <c r="M52">
        <f>COUNTIFS($C$2:$C$3934,Table4[[#This Row],[customer_id]])</f>
        <v>6</v>
      </c>
      <c r="N52" t="str">
        <f>IF(Table4[[#This Row],[customer_order_count]]=1,"New Customer","Repeat Customer")</f>
        <v>Repeat Customer</v>
      </c>
    </row>
    <row r="53" spans="1:14">
      <c r="A53" t="s">
        <v>4167</v>
      </c>
      <c r="B53" s="1">
        <v>45157</v>
      </c>
      <c r="C53" t="s">
        <v>212</v>
      </c>
      <c r="D53" t="s">
        <v>213</v>
      </c>
      <c r="E53" t="s">
        <v>44</v>
      </c>
      <c r="F53" t="s">
        <v>14</v>
      </c>
      <c r="G53" t="s">
        <v>258</v>
      </c>
      <c r="H53">
        <v>1</v>
      </c>
      <c r="I53" s="3">
        <v>9.0399999999999991</v>
      </c>
      <c r="J53" t="s">
        <v>16</v>
      </c>
      <c r="K53" t="s">
        <v>30</v>
      </c>
      <c r="L53" s="4">
        <f>Table4[[#This Row],[quantity]]*Table4[[#This Row],[unit_price]]</f>
        <v>9.0399999999999991</v>
      </c>
      <c r="M53">
        <f>COUNTIFS($C$2:$C$3934,Table4[[#This Row],[customer_id]])</f>
        <v>4</v>
      </c>
      <c r="N53" t="str">
        <f>IF(Table4[[#This Row],[customer_order_count]]=1,"New Customer","Repeat Customer")</f>
        <v>Repeat Customer</v>
      </c>
    </row>
    <row r="54" spans="1:14">
      <c r="A54" t="s">
        <v>4236</v>
      </c>
      <c r="B54" s="1">
        <v>44982</v>
      </c>
      <c r="C54" t="s">
        <v>368</v>
      </c>
      <c r="D54" t="s">
        <v>369</v>
      </c>
      <c r="E54" t="s">
        <v>21</v>
      </c>
      <c r="F54" t="s">
        <v>28</v>
      </c>
      <c r="G54" t="s">
        <v>29</v>
      </c>
      <c r="H54">
        <v>1</v>
      </c>
      <c r="I54" s="3">
        <v>9.0399999999999991</v>
      </c>
      <c r="J54" t="s">
        <v>16</v>
      </c>
      <c r="K54" t="s">
        <v>17</v>
      </c>
      <c r="L54" s="4">
        <f>Table4[[#This Row],[quantity]]*Table4[[#This Row],[unit_price]]</f>
        <v>9.0399999999999991</v>
      </c>
      <c r="M54">
        <f>COUNTIFS($C$2:$C$3934,Table4[[#This Row],[customer_id]])</f>
        <v>7</v>
      </c>
      <c r="N54" t="str">
        <f>IF(Table4[[#This Row],[customer_order_count]]=1,"New Customer","Repeat Customer")</f>
        <v>Repeat Customer</v>
      </c>
    </row>
    <row r="55" spans="1:14">
      <c r="A55" t="s">
        <v>4508</v>
      </c>
      <c r="B55" s="1">
        <v>45415</v>
      </c>
      <c r="C55" t="s">
        <v>1053</v>
      </c>
      <c r="D55" t="s">
        <v>1054</v>
      </c>
      <c r="E55" t="s">
        <v>106</v>
      </c>
      <c r="F55" t="s">
        <v>28</v>
      </c>
      <c r="G55" t="s">
        <v>84</v>
      </c>
      <c r="H55">
        <v>2</v>
      </c>
      <c r="I55" s="3">
        <v>9.0399999999999991</v>
      </c>
      <c r="J55" t="s">
        <v>16</v>
      </c>
      <c r="K55" t="s">
        <v>35</v>
      </c>
      <c r="L55" s="4">
        <f>Table4[[#This Row],[quantity]]*Table4[[#This Row],[unit_price]]</f>
        <v>18.079999999999998</v>
      </c>
      <c r="M55">
        <f>COUNTIFS($C$2:$C$3934,Table4[[#This Row],[customer_id]])</f>
        <v>3</v>
      </c>
      <c r="N55" t="str">
        <f>IF(Table4[[#This Row],[customer_order_count]]=1,"New Customer","Repeat Customer")</f>
        <v>Repeat Customer</v>
      </c>
    </row>
    <row r="56" spans="1:14">
      <c r="A56" t="s">
        <v>2859</v>
      </c>
      <c r="B56" s="1">
        <v>45197</v>
      </c>
      <c r="C56" t="s">
        <v>1530</v>
      </c>
      <c r="D56" t="s">
        <v>834</v>
      </c>
      <c r="E56" t="s">
        <v>21</v>
      </c>
      <c r="F56" t="s">
        <v>14</v>
      </c>
      <c r="G56" t="s">
        <v>15</v>
      </c>
      <c r="H56">
        <v>1</v>
      </c>
      <c r="I56" s="3">
        <v>9.0500000000000007</v>
      </c>
      <c r="J56" t="s">
        <v>16</v>
      </c>
      <c r="K56" t="s">
        <v>17</v>
      </c>
      <c r="L56" s="4">
        <f>Table4[[#This Row],[quantity]]*Table4[[#This Row],[unit_price]]</f>
        <v>9.0500000000000007</v>
      </c>
      <c r="M56">
        <f>COUNTIFS($C$2:$C$3934,Table4[[#This Row],[customer_id]])</f>
        <v>8</v>
      </c>
      <c r="N56" t="str">
        <f>IF(Table4[[#This Row],[customer_order_count]]=1,"New Customer","Repeat Customer")</f>
        <v>Repeat Customer</v>
      </c>
    </row>
    <row r="57" spans="1:14">
      <c r="A57" t="s">
        <v>4851</v>
      </c>
      <c r="B57" s="1">
        <v>44930</v>
      </c>
      <c r="C57" t="s">
        <v>2481</v>
      </c>
      <c r="D57" t="s">
        <v>2482</v>
      </c>
      <c r="E57" t="s">
        <v>61</v>
      </c>
      <c r="F57" t="s">
        <v>22</v>
      </c>
      <c r="G57" t="s">
        <v>23</v>
      </c>
      <c r="H57">
        <v>4</v>
      </c>
      <c r="I57" s="3">
        <v>9.0500000000000007</v>
      </c>
      <c r="J57" t="s">
        <v>16</v>
      </c>
      <c r="K57" t="s">
        <v>40</v>
      </c>
      <c r="L57" s="4">
        <f>Table4[[#This Row],[quantity]]*Table4[[#This Row],[unit_price]]</f>
        <v>36.200000000000003</v>
      </c>
      <c r="M57">
        <f>COUNTIFS($C$2:$C$3934,Table4[[#This Row],[customer_id]])</f>
        <v>4</v>
      </c>
      <c r="N57" t="str">
        <f>IF(Table4[[#This Row],[customer_order_count]]=1,"New Customer","Repeat Customer")</f>
        <v>Repeat Customer</v>
      </c>
    </row>
    <row r="58" spans="1:14">
      <c r="A58" t="s">
        <v>3694</v>
      </c>
      <c r="B58" s="1">
        <v>45546</v>
      </c>
      <c r="C58" t="s">
        <v>804</v>
      </c>
      <c r="D58" t="s">
        <v>805</v>
      </c>
      <c r="E58" t="s">
        <v>21</v>
      </c>
      <c r="F58" t="s">
        <v>28</v>
      </c>
      <c r="G58" t="s">
        <v>114</v>
      </c>
      <c r="H58">
        <v>1</v>
      </c>
      <c r="I58" s="3">
        <v>9.0500000000000007</v>
      </c>
      <c r="J58" t="s">
        <v>16</v>
      </c>
      <c r="K58" s="2" t="s">
        <v>5256</v>
      </c>
      <c r="L58" s="4">
        <f>Table4[[#This Row],[quantity]]*Table4[[#This Row],[unit_price]]</f>
        <v>9.0500000000000007</v>
      </c>
      <c r="M58">
        <f>COUNTIFS($C$2:$C$3934,Table4[[#This Row],[customer_id]])</f>
        <v>6</v>
      </c>
      <c r="N58" t="str">
        <f>IF(Table4[[#This Row],[customer_order_count]]=1,"New Customer","Repeat Customer")</f>
        <v>Repeat Customer</v>
      </c>
    </row>
    <row r="59" spans="1:14">
      <c r="A59" t="s">
        <v>4082</v>
      </c>
      <c r="B59" s="1">
        <v>45181</v>
      </c>
      <c r="C59" t="s">
        <v>1059</v>
      </c>
      <c r="D59" t="s">
        <v>425</v>
      </c>
      <c r="E59" t="s">
        <v>61</v>
      </c>
      <c r="F59" t="s">
        <v>22</v>
      </c>
      <c r="G59" t="s">
        <v>264</v>
      </c>
      <c r="H59">
        <v>1</v>
      </c>
      <c r="I59" s="3">
        <v>9.06</v>
      </c>
      <c r="J59" t="s">
        <v>16</v>
      </c>
      <c r="K59" t="s">
        <v>35</v>
      </c>
      <c r="L59" s="4">
        <f>Table4[[#This Row],[quantity]]*Table4[[#This Row],[unit_price]]</f>
        <v>9.06</v>
      </c>
      <c r="M59">
        <f>COUNTIFS($C$2:$C$3934,Table4[[#This Row],[customer_id]])</f>
        <v>2</v>
      </c>
      <c r="N59" t="str">
        <f>IF(Table4[[#This Row],[customer_order_count]]=1,"New Customer","Repeat Customer")</f>
        <v>Repeat Customer</v>
      </c>
    </row>
    <row r="60" spans="1:14">
      <c r="A60" t="s">
        <v>920</v>
      </c>
      <c r="B60" s="1">
        <v>45196</v>
      </c>
      <c r="C60" t="s">
        <v>921</v>
      </c>
      <c r="D60" t="s">
        <v>181</v>
      </c>
      <c r="E60" t="s">
        <v>21</v>
      </c>
      <c r="F60" t="s">
        <v>22</v>
      </c>
      <c r="G60" t="s">
        <v>142</v>
      </c>
      <c r="H60">
        <v>1</v>
      </c>
      <c r="I60" s="3">
        <v>9.06</v>
      </c>
      <c r="J60" t="s">
        <v>16</v>
      </c>
      <c r="K60" t="s">
        <v>40</v>
      </c>
      <c r="L60" s="4">
        <f>Table4[[#This Row],[quantity]]*Table4[[#This Row],[unit_price]]</f>
        <v>9.06</v>
      </c>
      <c r="M60">
        <f>COUNTIFS($C$2:$C$3934,Table4[[#This Row],[customer_id]])</f>
        <v>6</v>
      </c>
      <c r="N60" t="str">
        <f>IF(Table4[[#This Row],[customer_order_count]]=1,"New Customer","Repeat Customer")</f>
        <v>Repeat Customer</v>
      </c>
    </row>
    <row r="61" spans="1:14">
      <c r="A61" t="s">
        <v>4972</v>
      </c>
      <c r="B61" s="1">
        <v>44991</v>
      </c>
      <c r="C61" t="s">
        <v>195</v>
      </c>
      <c r="D61" t="s">
        <v>196</v>
      </c>
      <c r="E61" t="s">
        <v>21</v>
      </c>
      <c r="F61" t="s">
        <v>22</v>
      </c>
      <c r="G61" t="s">
        <v>142</v>
      </c>
      <c r="H61">
        <v>3</v>
      </c>
      <c r="I61" s="3">
        <v>9.07</v>
      </c>
      <c r="J61" t="s">
        <v>16</v>
      </c>
      <c r="K61" t="s">
        <v>35</v>
      </c>
      <c r="L61" s="4">
        <f>Table4[[#This Row],[quantity]]*Table4[[#This Row],[unit_price]]</f>
        <v>27.21</v>
      </c>
      <c r="M61">
        <f>COUNTIFS($C$2:$C$3934,Table4[[#This Row],[customer_id]])</f>
        <v>5</v>
      </c>
      <c r="N61" t="str">
        <f>IF(Table4[[#This Row],[customer_order_count]]=1,"New Customer","Repeat Customer")</f>
        <v>Repeat Customer</v>
      </c>
    </row>
    <row r="62" spans="1:14">
      <c r="A62" t="s">
        <v>5111</v>
      </c>
      <c r="B62" s="1">
        <v>45588</v>
      </c>
      <c r="C62" t="s">
        <v>4320</v>
      </c>
      <c r="D62" t="s">
        <v>1453</v>
      </c>
      <c r="E62" t="s">
        <v>61</v>
      </c>
      <c r="F62" t="s">
        <v>66</v>
      </c>
      <c r="G62" t="s">
        <v>49</v>
      </c>
      <c r="H62">
        <v>1</v>
      </c>
      <c r="I62" s="3">
        <v>9.08</v>
      </c>
      <c r="J62" t="s">
        <v>16</v>
      </c>
      <c r="K62" t="s">
        <v>40</v>
      </c>
      <c r="L62" s="4">
        <f>Table4[[#This Row],[quantity]]*Table4[[#This Row],[unit_price]]</f>
        <v>9.08</v>
      </c>
      <c r="M62">
        <f>COUNTIFS($C$2:$C$3934,Table4[[#This Row],[customer_id]])</f>
        <v>3</v>
      </c>
      <c r="N62" t="str">
        <f>IF(Table4[[#This Row],[customer_order_count]]=1,"New Customer","Repeat Customer")</f>
        <v>Repeat Customer</v>
      </c>
    </row>
    <row r="63" spans="1:14">
      <c r="A63" t="s">
        <v>3581</v>
      </c>
      <c r="B63" s="1">
        <v>45607</v>
      </c>
      <c r="C63" t="s">
        <v>807</v>
      </c>
      <c r="D63" t="s">
        <v>808</v>
      </c>
      <c r="E63" t="s">
        <v>21</v>
      </c>
      <c r="F63" t="s">
        <v>66</v>
      </c>
      <c r="G63" t="s">
        <v>128</v>
      </c>
      <c r="H63">
        <v>1</v>
      </c>
      <c r="I63" s="3">
        <v>9.09</v>
      </c>
      <c r="J63" t="s">
        <v>16</v>
      </c>
      <c r="K63" t="s">
        <v>30</v>
      </c>
      <c r="L63" s="4">
        <f>Table4[[#This Row],[quantity]]*Table4[[#This Row],[unit_price]]</f>
        <v>9.09</v>
      </c>
      <c r="M63">
        <f>COUNTIFS($C$2:$C$3934,Table4[[#This Row],[customer_id]])</f>
        <v>6</v>
      </c>
      <c r="N63" t="str">
        <f>IF(Table4[[#This Row],[customer_order_count]]=1,"New Customer","Repeat Customer")</f>
        <v>Repeat Customer</v>
      </c>
    </row>
    <row r="64" spans="1:14">
      <c r="A64" t="s">
        <v>1267</v>
      </c>
      <c r="B64" s="1">
        <v>45637</v>
      </c>
      <c r="C64" t="s">
        <v>416</v>
      </c>
      <c r="D64" t="s">
        <v>417</v>
      </c>
      <c r="E64" t="s">
        <v>21</v>
      </c>
      <c r="F64" t="s">
        <v>66</v>
      </c>
      <c r="G64" t="s">
        <v>217</v>
      </c>
      <c r="H64">
        <v>1</v>
      </c>
      <c r="I64" s="3">
        <v>9.09</v>
      </c>
      <c r="J64" t="s">
        <v>16</v>
      </c>
      <c r="K64" t="s">
        <v>35</v>
      </c>
      <c r="L64" s="4">
        <f>Table4[[#This Row],[quantity]]*Table4[[#This Row],[unit_price]]</f>
        <v>9.09</v>
      </c>
      <c r="M64">
        <f>COUNTIFS($C$2:$C$3934,Table4[[#This Row],[customer_id]])</f>
        <v>6</v>
      </c>
      <c r="N64" t="str">
        <f>IF(Table4[[#This Row],[customer_order_count]]=1,"New Customer","Repeat Customer")</f>
        <v>Repeat Customer</v>
      </c>
    </row>
    <row r="65" spans="1:14">
      <c r="A65" t="s">
        <v>245</v>
      </c>
      <c r="B65" s="1">
        <v>45118</v>
      </c>
      <c r="C65" t="s">
        <v>246</v>
      </c>
      <c r="D65" t="s">
        <v>247</v>
      </c>
      <c r="E65" t="s">
        <v>21</v>
      </c>
      <c r="F65" t="s">
        <v>28</v>
      </c>
      <c r="G65" t="s">
        <v>45</v>
      </c>
      <c r="H65">
        <v>1</v>
      </c>
      <c r="I65" s="3">
        <v>9.1300000000000008</v>
      </c>
      <c r="J65" t="s">
        <v>16</v>
      </c>
      <c r="K65" t="s">
        <v>35</v>
      </c>
      <c r="L65" s="4">
        <f>Table4[[#This Row],[quantity]]*Table4[[#This Row],[unit_price]]</f>
        <v>9.1300000000000008</v>
      </c>
      <c r="M65">
        <f>COUNTIFS($C$2:$C$3934,Table4[[#This Row],[customer_id]])</f>
        <v>3</v>
      </c>
      <c r="N65" t="str">
        <f>IF(Table4[[#This Row],[customer_order_count]]=1,"New Customer","Repeat Customer")</f>
        <v>Repeat Customer</v>
      </c>
    </row>
    <row r="66" spans="1:14">
      <c r="A66" t="s">
        <v>4964</v>
      </c>
      <c r="B66" s="1">
        <v>45334</v>
      </c>
      <c r="C66" t="s">
        <v>481</v>
      </c>
      <c r="D66" t="s">
        <v>247</v>
      </c>
      <c r="E66" t="s">
        <v>21</v>
      </c>
      <c r="F66" t="s">
        <v>66</v>
      </c>
      <c r="G66" t="s">
        <v>128</v>
      </c>
      <c r="H66">
        <v>2</v>
      </c>
      <c r="I66" s="3">
        <v>9.14</v>
      </c>
      <c r="J66" t="s">
        <v>16</v>
      </c>
      <c r="K66" t="s">
        <v>17</v>
      </c>
      <c r="L66" s="4">
        <f>Table4[[#This Row],[quantity]]*Table4[[#This Row],[unit_price]]</f>
        <v>18.28</v>
      </c>
      <c r="M66">
        <f>COUNTIFS($C$2:$C$3934,Table4[[#This Row],[customer_id]])</f>
        <v>7</v>
      </c>
      <c r="N66" t="str">
        <f>IF(Table4[[#This Row],[customer_order_count]]=1,"New Customer","Repeat Customer")</f>
        <v>Repeat Customer</v>
      </c>
    </row>
    <row r="67" spans="1:14">
      <c r="A67" t="s">
        <v>4655</v>
      </c>
      <c r="B67" s="1">
        <v>45458</v>
      </c>
      <c r="C67" t="s">
        <v>782</v>
      </c>
      <c r="D67" t="s">
        <v>783</v>
      </c>
      <c r="E67" t="s">
        <v>21</v>
      </c>
      <c r="F67" t="s">
        <v>28</v>
      </c>
      <c r="G67" t="s">
        <v>45</v>
      </c>
      <c r="H67">
        <v>1</v>
      </c>
      <c r="I67" s="3">
        <v>9.18</v>
      </c>
      <c r="J67" t="s">
        <v>16</v>
      </c>
      <c r="K67" t="s">
        <v>17</v>
      </c>
      <c r="L67" s="4">
        <f>Table4[[#This Row],[quantity]]*Table4[[#This Row],[unit_price]]</f>
        <v>9.18</v>
      </c>
      <c r="M67">
        <f>COUNTIFS($C$2:$C$3934,Table4[[#This Row],[customer_id]])</f>
        <v>5</v>
      </c>
      <c r="N67" t="str">
        <f>IF(Table4[[#This Row],[customer_order_count]]=1,"New Customer","Repeat Customer")</f>
        <v>Repeat Customer</v>
      </c>
    </row>
    <row r="68" spans="1:14">
      <c r="A68" t="s">
        <v>1362</v>
      </c>
      <c r="B68" s="1">
        <v>45617</v>
      </c>
      <c r="C68" t="s">
        <v>1363</v>
      </c>
      <c r="D68" t="s">
        <v>1364</v>
      </c>
      <c r="E68" t="s">
        <v>21</v>
      </c>
      <c r="F68" t="s">
        <v>28</v>
      </c>
      <c r="G68" t="s">
        <v>139</v>
      </c>
      <c r="H68">
        <v>1</v>
      </c>
      <c r="I68" s="3">
        <v>9.19</v>
      </c>
      <c r="J68" t="s">
        <v>16</v>
      </c>
      <c r="K68" t="s">
        <v>35</v>
      </c>
      <c r="L68" s="4">
        <f>Table4[[#This Row],[quantity]]*Table4[[#This Row],[unit_price]]</f>
        <v>9.19</v>
      </c>
      <c r="M68">
        <f>COUNTIFS($C$2:$C$3934,Table4[[#This Row],[customer_id]])</f>
        <v>3</v>
      </c>
      <c r="N68" t="str">
        <f>IF(Table4[[#This Row],[customer_order_count]]=1,"New Customer","Repeat Customer")</f>
        <v>Repeat Customer</v>
      </c>
    </row>
    <row r="69" spans="1:14">
      <c r="A69" t="s">
        <v>5195</v>
      </c>
      <c r="B69" s="1">
        <v>45338</v>
      </c>
      <c r="C69" t="s">
        <v>120</v>
      </c>
      <c r="D69" t="s">
        <v>121</v>
      </c>
      <c r="E69" t="s">
        <v>21</v>
      </c>
      <c r="F69" t="s">
        <v>22</v>
      </c>
      <c r="G69" t="s">
        <v>23</v>
      </c>
      <c r="H69">
        <v>1</v>
      </c>
      <c r="I69" s="3">
        <v>9.2200000000000006</v>
      </c>
      <c r="J69" t="s">
        <v>16</v>
      </c>
      <c r="K69" t="s">
        <v>17</v>
      </c>
      <c r="L69" s="4">
        <f>Table4[[#This Row],[quantity]]*Table4[[#This Row],[unit_price]]</f>
        <v>9.2200000000000006</v>
      </c>
      <c r="M69">
        <f>COUNTIFS($C$2:$C$3934,Table4[[#This Row],[customer_id]])</f>
        <v>5</v>
      </c>
      <c r="N69" t="str">
        <f>IF(Table4[[#This Row],[customer_order_count]]=1,"New Customer","Repeat Customer")</f>
        <v>Repeat Customer</v>
      </c>
    </row>
    <row r="70" spans="1:14">
      <c r="A70" t="s">
        <v>4721</v>
      </c>
      <c r="B70" s="1">
        <v>45037</v>
      </c>
      <c r="C70" t="s">
        <v>551</v>
      </c>
      <c r="D70" t="s">
        <v>220</v>
      </c>
      <c r="E70" t="s">
        <v>21</v>
      </c>
      <c r="F70" t="s">
        <v>66</v>
      </c>
      <c r="G70" t="s">
        <v>128</v>
      </c>
      <c r="H70">
        <v>1</v>
      </c>
      <c r="I70" s="3">
        <v>9.25</v>
      </c>
      <c r="J70" t="s">
        <v>16</v>
      </c>
      <c r="K70" t="s">
        <v>17</v>
      </c>
      <c r="L70" s="4">
        <f>Table4[[#This Row],[quantity]]*Table4[[#This Row],[unit_price]]</f>
        <v>9.25</v>
      </c>
      <c r="M70">
        <f>COUNTIFS($C$2:$C$3934,Table4[[#This Row],[customer_id]])</f>
        <v>8</v>
      </c>
      <c r="N70" t="str">
        <f>IF(Table4[[#This Row],[customer_order_count]]=1,"New Customer","Repeat Customer")</f>
        <v>Repeat Customer</v>
      </c>
    </row>
    <row r="71" spans="1:14">
      <c r="A71" t="s">
        <v>3586</v>
      </c>
      <c r="B71" s="1">
        <v>45108</v>
      </c>
      <c r="C71" t="s">
        <v>1152</v>
      </c>
      <c r="D71" t="s">
        <v>1153</v>
      </c>
      <c r="E71" t="s">
        <v>21</v>
      </c>
      <c r="F71" t="s">
        <v>66</v>
      </c>
      <c r="G71" t="s">
        <v>238</v>
      </c>
      <c r="H71">
        <v>1</v>
      </c>
      <c r="I71" s="3">
        <v>9.27</v>
      </c>
      <c r="J71" t="s">
        <v>24</v>
      </c>
      <c r="K71" t="s">
        <v>35</v>
      </c>
      <c r="L71" s="4">
        <f>Table4[[#This Row],[quantity]]*Table4[[#This Row],[unit_price]]</f>
        <v>9.27</v>
      </c>
      <c r="M71">
        <f>COUNTIFS($C$2:$C$3934,Table4[[#This Row],[customer_id]])</f>
        <v>4</v>
      </c>
      <c r="N71" t="str">
        <f>IF(Table4[[#This Row],[customer_order_count]]=1,"New Customer","Repeat Customer")</f>
        <v>Repeat Customer</v>
      </c>
    </row>
    <row r="72" spans="1:14">
      <c r="A72" t="s">
        <v>4753</v>
      </c>
      <c r="B72" s="1">
        <v>45400</v>
      </c>
      <c r="C72" t="s">
        <v>3306</v>
      </c>
      <c r="D72" t="s">
        <v>669</v>
      </c>
      <c r="E72" t="s">
        <v>44</v>
      </c>
      <c r="F72" t="s">
        <v>22</v>
      </c>
      <c r="G72" t="s">
        <v>135</v>
      </c>
      <c r="H72">
        <v>1</v>
      </c>
      <c r="I72" s="3">
        <v>9.31</v>
      </c>
      <c r="J72" t="s">
        <v>16</v>
      </c>
      <c r="K72" t="s">
        <v>17</v>
      </c>
      <c r="L72" s="4">
        <f>Table4[[#This Row],[quantity]]*Table4[[#This Row],[unit_price]]</f>
        <v>9.31</v>
      </c>
      <c r="M72">
        <f>COUNTIFS($C$2:$C$3934,Table4[[#This Row],[customer_id]])</f>
        <v>4</v>
      </c>
      <c r="N72" t="str">
        <f>IF(Table4[[#This Row],[customer_order_count]]=1,"New Customer","Repeat Customer")</f>
        <v>Repeat Customer</v>
      </c>
    </row>
    <row r="73" spans="1:14">
      <c r="A73" t="s">
        <v>3302</v>
      </c>
      <c r="B73" s="1">
        <v>45437</v>
      </c>
      <c r="C73" t="s">
        <v>1168</v>
      </c>
      <c r="D73" t="s">
        <v>452</v>
      </c>
      <c r="E73" t="s">
        <v>21</v>
      </c>
      <c r="F73" t="s">
        <v>66</v>
      </c>
      <c r="G73" t="s">
        <v>128</v>
      </c>
      <c r="H73">
        <v>2</v>
      </c>
      <c r="I73" s="3">
        <v>9.32</v>
      </c>
      <c r="J73" t="s">
        <v>16</v>
      </c>
      <c r="K73" t="s">
        <v>35</v>
      </c>
      <c r="L73" s="4">
        <f>Table4[[#This Row],[quantity]]*Table4[[#This Row],[unit_price]]</f>
        <v>18.64</v>
      </c>
      <c r="M73">
        <f>COUNTIFS($C$2:$C$3934,Table4[[#This Row],[customer_id]])</f>
        <v>5</v>
      </c>
      <c r="N73" t="str">
        <f>IF(Table4[[#This Row],[customer_order_count]]=1,"New Customer","Repeat Customer")</f>
        <v>Repeat Customer</v>
      </c>
    </row>
    <row r="74" spans="1:14">
      <c r="A74" t="s">
        <v>5037</v>
      </c>
      <c r="B74" s="1">
        <v>45304</v>
      </c>
      <c r="C74" t="s">
        <v>739</v>
      </c>
      <c r="D74" t="s">
        <v>740</v>
      </c>
      <c r="E74" t="s">
        <v>21</v>
      </c>
      <c r="F74" t="s">
        <v>66</v>
      </c>
      <c r="G74" t="s">
        <v>49</v>
      </c>
      <c r="H74">
        <v>2</v>
      </c>
      <c r="I74" s="3">
        <v>9.35</v>
      </c>
      <c r="J74" t="s">
        <v>16</v>
      </c>
      <c r="K74" t="s">
        <v>35</v>
      </c>
      <c r="L74" s="4">
        <f>Table4[[#This Row],[quantity]]*Table4[[#This Row],[unit_price]]</f>
        <v>18.7</v>
      </c>
      <c r="M74">
        <f>COUNTIFS($C$2:$C$3934,Table4[[#This Row],[customer_id]])</f>
        <v>7</v>
      </c>
      <c r="N74" t="str">
        <f>IF(Table4[[#This Row],[customer_order_count]]=1,"New Customer","Repeat Customer")</f>
        <v>Repeat Customer</v>
      </c>
    </row>
    <row r="75" spans="1:14">
      <c r="A75" t="s">
        <v>4986</v>
      </c>
      <c r="B75" s="1">
        <v>45408</v>
      </c>
      <c r="C75" t="s">
        <v>2239</v>
      </c>
      <c r="D75" t="s">
        <v>95</v>
      </c>
      <c r="E75" t="s">
        <v>21</v>
      </c>
      <c r="F75" t="s">
        <v>66</v>
      </c>
      <c r="G75" t="s">
        <v>217</v>
      </c>
      <c r="H75">
        <v>1</v>
      </c>
      <c r="I75" s="3">
        <v>9.36</v>
      </c>
      <c r="J75" t="s">
        <v>16</v>
      </c>
      <c r="K75" t="s">
        <v>30</v>
      </c>
      <c r="L75" s="4">
        <f>Table4[[#This Row],[quantity]]*Table4[[#This Row],[unit_price]]</f>
        <v>9.36</v>
      </c>
      <c r="M75">
        <f>COUNTIFS($C$2:$C$3934,Table4[[#This Row],[customer_id]])</f>
        <v>10</v>
      </c>
      <c r="N75" t="str">
        <f>IF(Table4[[#This Row],[customer_order_count]]=1,"New Customer","Repeat Customer")</f>
        <v>Repeat Customer</v>
      </c>
    </row>
    <row r="76" spans="1:14">
      <c r="A76" t="s">
        <v>2799</v>
      </c>
      <c r="B76" s="1">
        <v>45304</v>
      </c>
      <c r="C76" t="s">
        <v>490</v>
      </c>
      <c r="D76" t="s">
        <v>491</v>
      </c>
      <c r="E76" t="s">
        <v>21</v>
      </c>
      <c r="F76" t="s">
        <v>28</v>
      </c>
      <c r="G76" t="s">
        <v>139</v>
      </c>
      <c r="H76">
        <v>1</v>
      </c>
      <c r="I76" s="3">
        <v>9.3800000000000008</v>
      </c>
      <c r="J76" t="s">
        <v>16</v>
      </c>
      <c r="K76" t="s">
        <v>30</v>
      </c>
      <c r="L76" s="4">
        <f>Table4[[#This Row],[quantity]]*Table4[[#This Row],[unit_price]]</f>
        <v>9.3800000000000008</v>
      </c>
      <c r="M76">
        <f>COUNTIFS($C$2:$C$3934,Table4[[#This Row],[customer_id]])</f>
        <v>5</v>
      </c>
      <c r="N76" t="str">
        <f>IF(Table4[[#This Row],[customer_order_count]]=1,"New Customer","Repeat Customer")</f>
        <v>Repeat Customer</v>
      </c>
    </row>
    <row r="77" spans="1:14">
      <c r="A77" t="s">
        <v>2360</v>
      </c>
      <c r="B77" s="1">
        <v>45357</v>
      </c>
      <c r="C77" t="s">
        <v>2361</v>
      </c>
      <c r="D77" t="s">
        <v>244</v>
      </c>
      <c r="E77" t="s">
        <v>21</v>
      </c>
      <c r="F77" t="s">
        <v>66</v>
      </c>
      <c r="G77" t="s">
        <v>128</v>
      </c>
      <c r="H77">
        <v>1</v>
      </c>
      <c r="I77" s="3">
        <v>9.3800000000000008</v>
      </c>
      <c r="J77" t="s">
        <v>24</v>
      </c>
      <c r="K77" t="s">
        <v>40</v>
      </c>
      <c r="L77" s="4">
        <f>Table4[[#This Row],[quantity]]*Table4[[#This Row],[unit_price]]</f>
        <v>9.3800000000000008</v>
      </c>
      <c r="M77">
        <f>COUNTIFS($C$2:$C$3934,Table4[[#This Row],[customer_id]])</f>
        <v>6</v>
      </c>
      <c r="N77" t="str">
        <f>IF(Table4[[#This Row],[customer_order_count]]=1,"New Customer","Repeat Customer")</f>
        <v>Repeat Customer</v>
      </c>
    </row>
    <row r="78" spans="1:14">
      <c r="A78" t="s">
        <v>4927</v>
      </c>
      <c r="B78" s="1">
        <v>45488</v>
      </c>
      <c r="C78" t="s">
        <v>752</v>
      </c>
      <c r="D78" t="s">
        <v>452</v>
      </c>
      <c r="E78" t="s">
        <v>21</v>
      </c>
      <c r="F78" t="s">
        <v>28</v>
      </c>
      <c r="G78" t="s">
        <v>139</v>
      </c>
      <c r="H78">
        <v>1</v>
      </c>
      <c r="I78" s="3">
        <v>9.42</v>
      </c>
      <c r="J78" t="s">
        <v>16</v>
      </c>
      <c r="K78" t="s">
        <v>40</v>
      </c>
      <c r="L78" s="4">
        <f>Table4[[#This Row],[quantity]]*Table4[[#This Row],[unit_price]]</f>
        <v>9.42</v>
      </c>
      <c r="M78">
        <f>COUNTIFS($C$2:$C$3934,Table4[[#This Row],[customer_id]])</f>
        <v>7</v>
      </c>
      <c r="N78" t="str">
        <f>IF(Table4[[#This Row],[customer_order_count]]=1,"New Customer","Repeat Customer")</f>
        <v>Repeat Customer</v>
      </c>
    </row>
    <row r="79" spans="1:14">
      <c r="A79" t="s">
        <v>5156</v>
      </c>
      <c r="B79" s="1">
        <v>44971</v>
      </c>
      <c r="C79" t="s">
        <v>3402</v>
      </c>
      <c r="D79" t="s">
        <v>646</v>
      </c>
      <c r="E79" t="s">
        <v>21</v>
      </c>
      <c r="F79" t="s">
        <v>28</v>
      </c>
      <c r="G79" t="s">
        <v>139</v>
      </c>
      <c r="H79">
        <v>2</v>
      </c>
      <c r="I79" s="3">
        <v>9.42</v>
      </c>
      <c r="J79" t="s">
        <v>16</v>
      </c>
      <c r="K79" t="s">
        <v>30</v>
      </c>
      <c r="L79" s="4">
        <f>Table4[[#This Row],[quantity]]*Table4[[#This Row],[unit_price]]</f>
        <v>18.84</v>
      </c>
      <c r="M79">
        <f>COUNTIFS($C$2:$C$3934,Table4[[#This Row],[customer_id]])</f>
        <v>2</v>
      </c>
      <c r="N79" t="str">
        <f>IF(Table4[[#This Row],[customer_order_count]]=1,"New Customer","Repeat Customer")</f>
        <v>Repeat Customer</v>
      </c>
    </row>
    <row r="80" spans="1:14">
      <c r="A80" t="s">
        <v>4015</v>
      </c>
      <c r="B80" s="1">
        <v>45452</v>
      </c>
      <c r="C80" t="s">
        <v>949</v>
      </c>
      <c r="D80" t="s">
        <v>950</v>
      </c>
      <c r="E80" t="s">
        <v>21</v>
      </c>
      <c r="F80" t="s">
        <v>14</v>
      </c>
      <c r="G80" t="s">
        <v>100</v>
      </c>
      <c r="H80">
        <v>2</v>
      </c>
      <c r="I80" s="3">
        <v>9.42</v>
      </c>
      <c r="J80" t="s">
        <v>16</v>
      </c>
      <c r="K80" t="s">
        <v>17</v>
      </c>
      <c r="L80" s="4">
        <f>Table4[[#This Row],[quantity]]*Table4[[#This Row],[unit_price]]</f>
        <v>18.84</v>
      </c>
      <c r="M80">
        <f>COUNTIFS($C$2:$C$3934,Table4[[#This Row],[customer_id]])</f>
        <v>3</v>
      </c>
      <c r="N80" t="str">
        <f>IF(Table4[[#This Row],[customer_order_count]]=1,"New Customer","Repeat Customer")</f>
        <v>Repeat Customer</v>
      </c>
    </row>
    <row r="81" spans="1:14">
      <c r="A81" t="s">
        <v>1303</v>
      </c>
      <c r="B81" s="1">
        <v>45250</v>
      </c>
      <c r="C81" t="s">
        <v>983</v>
      </c>
      <c r="D81" t="s">
        <v>237</v>
      </c>
      <c r="E81" t="s">
        <v>44</v>
      </c>
      <c r="F81" t="s">
        <v>22</v>
      </c>
      <c r="G81" t="s">
        <v>135</v>
      </c>
      <c r="H81">
        <v>1</v>
      </c>
      <c r="I81" s="3">
        <v>9.49</v>
      </c>
      <c r="J81" t="s">
        <v>85</v>
      </c>
      <c r="K81" t="s">
        <v>35</v>
      </c>
      <c r="L81" s="4">
        <f>Table4[[#This Row],[quantity]]*Table4[[#This Row],[unit_price]]</f>
        <v>9.49</v>
      </c>
      <c r="M81">
        <f>COUNTIFS($C$2:$C$3934,Table4[[#This Row],[customer_id]])</f>
        <v>7</v>
      </c>
      <c r="N81" t="str">
        <f>IF(Table4[[#This Row],[customer_order_count]]=1,"New Customer","Repeat Customer")</f>
        <v>Repeat Customer</v>
      </c>
    </row>
    <row r="82" spans="1:14">
      <c r="A82" t="s">
        <v>3382</v>
      </c>
      <c r="B82" s="1">
        <v>45614</v>
      </c>
      <c r="C82" t="s">
        <v>2253</v>
      </c>
      <c r="D82" t="s">
        <v>986</v>
      </c>
      <c r="E82" t="s">
        <v>44</v>
      </c>
      <c r="F82" t="s">
        <v>28</v>
      </c>
      <c r="G82" t="s">
        <v>139</v>
      </c>
      <c r="H82">
        <v>1</v>
      </c>
      <c r="I82" s="3">
        <v>9.5</v>
      </c>
      <c r="J82" t="s">
        <v>16</v>
      </c>
      <c r="K82" t="s">
        <v>17</v>
      </c>
      <c r="L82" s="4">
        <f>Table4[[#This Row],[quantity]]*Table4[[#This Row],[unit_price]]</f>
        <v>9.5</v>
      </c>
      <c r="M82">
        <f>COUNTIFS($C$2:$C$3934,Table4[[#This Row],[customer_id]])</f>
        <v>3</v>
      </c>
      <c r="N82" t="str">
        <f>IF(Table4[[#This Row],[customer_order_count]]=1,"New Customer","Repeat Customer")</f>
        <v>Repeat Customer</v>
      </c>
    </row>
    <row r="83" spans="1:14">
      <c r="A83" t="s">
        <v>3269</v>
      </c>
      <c r="B83" s="1">
        <v>45574</v>
      </c>
      <c r="C83" t="s">
        <v>1937</v>
      </c>
      <c r="D83" t="s">
        <v>1938</v>
      </c>
      <c r="E83" t="s">
        <v>44</v>
      </c>
      <c r="F83" t="s">
        <v>28</v>
      </c>
      <c r="G83" t="s">
        <v>139</v>
      </c>
      <c r="H83">
        <v>1</v>
      </c>
      <c r="I83" s="3">
        <v>9.52</v>
      </c>
      <c r="J83" t="s">
        <v>16</v>
      </c>
      <c r="K83" t="s">
        <v>17</v>
      </c>
      <c r="L83" s="4">
        <f>Table4[[#This Row],[quantity]]*Table4[[#This Row],[unit_price]]</f>
        <v>9.52</v>
      </c>
      <c r="M83">
        <f>COUNTIFS($C$2:$C$3934,Table4[[#This Row],[customer_id]])</f>
        <v>4</v>
      </c>
      <c r="N83" t="str">
        <f>IF(Table4[[#This Row],[customer_order_count]]=1,"New Customer","Repeat Customer")</f>
        <v>Repeat Customer</v>
      </c>
    </row>
    <row r="84" spans="1:14">
      <c r="A84" t="s">
        <v>3458</v>
      </c>
      <c r="B84" s="1">
        <v>45646</v>
      </c>
      <c r="C84" t="s">
        <v>810</v>
      </c>
      <c r="D84" t="s">
        <v>811</v>
      </c>
      <c r="E84" t="s">
        <v>21</v>
      </c>
      <c r="F84" t="s">
        <v>66</v>
      </c>
      <c r="G84" t="s">
        <v>217</v>
      </c>
      <c r="H84">
        <v>1</v>
      </c>
      <c r="I84" s="3">
        <v>9.56</v>
      </c>
      <c r="J84" t="s">
        <v>16</v>
      </c>
      <c r="K84" t="s">
        <v>40</v>
      </c>
      <c r="L84" s="4">
        <f>Table4[[#This Row],[quantity]]*Table4[[#This Row],[unit_price]]</f>
        <v>9.56</v>
      </c>
      <c r="M84">
        <f>COUNTIFS($C$2:$C$3934,Table4[[#This Row],[customer_id]])</f>
        <v>7</v>
      </c>
      <c r="N84" t="str">
        <f>IF(Table4[[#This Row],[customer_order_count]]=1,"New Customer","Repeat Customer")</f>
        <v>Repeat Customer</v>
      </c>
    </row>
    <row r="85" spans="1:14">
      <c r="A85" t="s">
        <v>3968</v>
      </c>
      <c r="B85" s="1">
        <v>45191</v>
      </c>
      <c r="C85" t="s">
        <v>2947</v>
      </c>
      <c r="D85" t="s">
        <v>513</v>
      </c>
      <c r="E85" t="s">
        <v>21</v>
      </c>
      <c r="F85" t="s">
        <v>22</v>
      </c>
      <c r="G85" t="s">
        <v>23</v>
      </c>
      <c r="H85">
        <v>1</v>
      </c>
      <c r="I85" s="3">
        <v>9.56</v>
      </c>
      <c r="J85" t="s">
        <v>16</v>
      </c>
      <c r="K85" t="s">
        <v>40</v>
      </c>
      <c r="L85" s="4">
        <f>Table4[[#This Row],[quantity]]*Table4[[#This Row],[unit_price]]</f>
        <v>9.56</v>
      </c>
      <c r="M85">
        <f>COUNTIFS($C$2:$C$3934,Table4[[#This Row],[customer_id]])</f>
        <v>3</v>
      </c>
      <c r="N85" t="str">
        <f>IF(Table4[[#This Row],[customer_order_count]]=1,"New Customer","Repeat Customer")</f>
        <v>Repeat Customer</v>
      </c>
    </row>
    <row r="86" spans="1:14">
      <c r="A86" t="s">
        <v>5242</v>
      </c>
      <c r="B86" s="1">
        <v>45027</v>
      </c>
      <c r="C86" t="s">
        <v>4363</v>
      </c>
      <c r="D86" t="s">
        <v>4364</v>
      </c>
      <c r="E86" t="s">
        <v>44</v>
      </c>
      <c r="F86" t="s">
        <v>28</v>
      </c>
      <c r="G86" t="s">
        <v>139</v>
      </c>
      <c r="H86">
        <v>1</v>
      </c>
      <c r="I86" s="3">
        <v>9.56</v>
      </c>
      <c r="J86" t="s">
        <v>85</v>
      </c>
      <c r="K86" t="s">
        <v>35</v>
      </c>
      <c r="L86" s="4">
        <f>Table4[[#This Row],[quantity]]*Table4[[#This Row],[unit_price]]</f>
        <v>9.56</v>
      </c>
      <c r="M86">
        <f>COUNTIFS($C$2:$C$3934,Table4[[#This Row],[customer_id]])</f>
        <v>3</v>
      </c>
      <c r="N86" t="str">
        <f>IF(Table4[[#This Row],[customer_order_count]]=1,"New Customer","Repeat Customer")</f>
        <v>Repeat Customer</v>
      </c>
    </row>
    <row r="87" spans="1:14">
      <c r="A87" t="s">
        <v>140</v>
      </c>
      <c r="B87" s="1">
        <v>45032</v>
      </c>
      <c r="C87" t="s">
        <v>141</v>
      </c>
      <c r="D87" t="s">
        <v>105</v>
      </c>
      <c r="E87" t="s">
        <v>21</v>
      </c>
      <c r="F87" t="s">
        <v>22</v>
      </c>
      <c r="G87" t="s">
        <v>142</v>
      </c>
      <c r="H87">
        <v>1</v>
      </c>
      <c r="I87" s="3">
        <v>9.57</v>
      </c>
      <c r="J87" t="s">
        <v>16</v>
      </c>
      <c r="K87" s="2" t="s">
        <v>5256</v>
      </c>
      <c r="L87" s="4">
        <f>Table4[[#This Row],[quantity]]*Table4[[#This Row],[unit_price]]</f>
        <v>9.57</v>
      </c>
      <c r="M87">
        <f>COUNTIFS($C$2:$C$3934,Table4[[#This Row],[customer_id]])</f>
        <v>6</v>
      </c>
      <c r="N87" t="str">
        <f>IF(Table4[[#This Row],[customer_order_count]]=1,"New Customer","Repeat Customer")</f>
        <v>Repeat Customer</v>
      </c>
    </row>
    <row r="88" spans="1:14">
      <c r="A88" t="s">
        <v>503</v>
      </c>
      <c r="B88" s="1">
        <v>45191</v>
      </c>
      <c r="C88" t="s">
        <v>504</v>
      </c>
      <c r="D88" t="s">
        <v>505</v>
      </c>
      <c r="E88" t="s">
        <v>21</v>
      </c>
      <c r="F88" t="s">
        <v>66</v>
      </c>
      <c r="G88" t="s">
        <v>238</v>
      </c>
      <c r="H88">
        <v>5</v>
      </c>
      <c r="I88" s="3">
        <v>9.6199999999999992</v>
      </c>
      <c r="J88" t="s">
        <v>24</v>
      </c>
      <c r="K88" t="s">
        <v>30</v>
      </c>
      <c r="L88" s="4">
        <f>Table4[[#This Row],[quantity]]*Table4[[#This Row],[unit_price]]</f>
        <v>48.099999999999994</v>
      </c>
      <c r="M88">
        <f>COUNTIFS($C$2:$C$3934,Table4[[#This Row],[customer_id]])</f>
        <v>3</v>
      </c>
      <c r="N88" t="str">
        <f>IF(Table4[[#This Row],[customer_order_count]]=1,"New Customer","Repeat Customer")</f>
        <v>Repeat Customer</v>
      </c>
    </row>
    <row r="89" spans="1:14">
      <c r="A89" t="s">
        <v>2957</v>
      </c>
      <c r="B89" s="1">
        <v>45378</v>
      </c>
      <c r="C89" t="s">
        <v>1049</v>
      </c>
      <c r="D89" t="s">
        <v>1050</v>
      </c>
      <c r="E89" t="s">
        <v>44</v>
      </c>
      <c r="F89" t="s">
        <v>28</v>
      </c>
      <c r="G89" t="s">
        <v>29</v>
      </c>
      <c r="H89">
        <v>1</v>
      </c>
      <c r="I89" s="3">
        <v>9.6300000000000008</v>
      </c>
      <c r="J89" t="s">
        <v>16</v>
      </c>
      <c r="K89" t="s">
        <v>40</v>
      </c>
      <c r="L89" s="4">
        <f>Table4[[#This Row],[quantity]]*Table4[[#This Row],[unit_price]]</f>
        <v>9.6300000000000008</v>
      </c>
      <c r="M89">
        <f>COUNTIFS($C$2:$C$3934,Table4[[#This Row],[customer_id]])</f>
        <v>5</v>
      </c>
      <c r="N89" t="str">
        <f>IF(Table4[[#This Row],[customer_order_count]]=1,"New Customer","Repeat Customer")</f>
        <v>Repeat Customer</v>
      </c>
    </row>
    <row r="90" spans="1:14">
      <c r="A90" t="s">
        <v>2374</v>
      </c>
      <c r="B90" s="1">
        <v>45503</v>
      </c>
      <c r="C90" t="s">
        <v>1278</v>
      </c>
      <c r="D90" t="s">
        <v>27</v>
      </c>
      <c r="E90" t="s">
        <v>21</v>
      </c>
      <c r="F90" t="s">
        <v>28</v>
      </c>
      <c r="G90" t="s">
        <v>114</v>
      </c>
      <c r="H90">
        <v>2</v>
      </c>
      <c r="I90" s="3">
        <v>9.67</v>
      </c>
      <c r="J90" t="s">
        <v>16</v>
      </c>
      <c r="K90" t="s">
        <v>30</v>
      </c>
      <c r="L90" s="4">
        <f>Table4[[#This Row],[quantity]]*Table4[[#This Row],[unit_price]]</f>
        <v>19.34</v>
      </c>
      <c r="M90">
        <f>COUNTIFS($C$2:$C$3934,Table4[[#This Row],[customer_id]])</f>
        <v>4</v>
      </c>
      <c r="N90" t="str">
        <f>IF(Table4[[#This Row],[customer_order_count]]=1,"New Customer","Repeat Customer")</f>
        <v>Repeat Customer</v>
      </c>
    </row>
    <row r="91" spans="1:14">
      <c r="A91" t="s">
        <v>3862</v>
      </c>
      <c r="B91" s="1">
        <v>45070</v>
      </c>
      <c r="C91" t="s">
        <v>2976</v>
      </c>
      <c r="D91" t="s">
        <v>499</v>
      </c>
      <c r="E91" t="s">
        <v>21</v>
      </c>
      <c r="F91" t="s">
        <v>66</v>
      </c>
      <c r="G91" t="s">
        <v>67</v>
      </c>
      <c r="H91">
        <v>1</v>
      </c>
      <c r="I91" s="3">
        <v>9.69</v>
      </c>
      <c r="J91" t="s">
        <v>16</v>
      </c>
      <c r="K91" t="s">
        <v>17</v>
      </c>
      <c r="L91" s="4">
        <f>Table4[[#This Row],[quantity]]*Table4[[#This Row],[unit_price]]</f>
        <v>9.69</v>
      </c>
      <c r="M91">
        <f>COUNTIFS($C$2:$C$3934,Table4[[#This Row],[customer_id]])</f>
        <v>4</v>
      </c>
      <c r="N91" t="str">
        <f>IF(Table4[[#This Row],[customer_order_count]]=1,"New Customer","Repeat Customer")</f>
        <v>Repeat Customer</v>
      </c>
    </row>
    <row r="92" spans="1:14">
      <c r="A92" t="s">
        <v>3187</v>
      </c>
      <c r="B92" s="1">
        <v>45103</v>
      </c>
      <c r="C92" t="s">
        <v>225</v>
      </c>
      <c r="D92" t="s">
        <v>226</v>
      </c>
      <c r="E92" t="s">
        <v>21</v>
      </c>
      <c r="F92" t="s">
        <v>28</v>
      </c>
      <c r="G92" t="s">
        <v>45</v>
      </c>
      <c r="H92">
        <v>3</v>
      </c>
      <c r="I92" s="3">
        <v>9.6999999999999993</v>
      </c>
      <c r="J92" t="s">
        <v>16</v>
      </c>
      <c r="K92" t="s">
        <v>35</v>
      </c>
      <c r="L92" s="4">
        <f>Table4[[#This Row],[quantity]]*Table4[[#This Row],[unit_price]]</f>
        <v>29.099999999999998</v>
      </c>
      <c r="M92">
        <f>COUNTIFS($C$2:$C$3934,Table4[[#This Row],[customer_id]])</f>
        <v>7</v>
      </c>
      <c r="N92" t="str">
        <f>IF(Table4[[#This Row],[customer_order_count]]=1,"New Customer","Repeat Customer")</f>
        <v>Repeat Customer</v>
      </c>
    </row>
    <row r="93" spans="1:14">
      <c r="A93" t="s">
        <v>4999</v>
      </c>
      <c r="B93" s="1">
        <v>45377</v>
      </c>
      <c r="C93" t="s">
        <v>1522</v>
      </c>
      <c r="D93" t="s">
        <v>1523</v>
      </c>
      <c r="E93" t="s">
        <v>21</v>
      </c>
      <c r="F93" t="s">
        <v>28</v>
      </c>
      <c r="G93" t="s">
        <v>29</v>
      </c>
      <c r="H93">
        <v>2</v>
      </c>
      <c r="I93" s="3">
        <v>9.76</v>
      </c>
      <c r="J93" t="s">
        <v>16</v>
      </c>
      <c r="K93" t="s">
        <v>35</v>
      </c>
      <c r="L93" s="4">
        <f>Table4[[#This Row],[quantity]]*Table4[[#This Row],[unit_price]]</f>
        <v>19.52</v>
      </c>
      <c r="M93">
        <f>COUNTIFS($C$2:$C$3934,Table4[[#This Row],[customer_id]])</f>
        <v>11</v>
      </c>
      <c r="N93" t="str">
        <f>IF(Table4[[#This Row],[customer_order_count]]=1,"New Customer","Repeat Customer")</f>
        <v>Repeat Customer</v>
      </c>
    </row>
    <row r="94" spans="1:14">
      <c r="A94" t="s">
        <v>4725</v>
      </c>
      <c r="B94" s="1">
        <v>45169</v>
      </c>
      <c r="C94" t="s">
        <v>400</v>
      </c>
      <c r="D94" t="s">
        <v>365</v>
      </c>
      <c r="E94" t="s">
        <v>21</v>
      </c>
      <c r="F94" t="s">
        <v>28</v>
      </c>
      <c r="G94" t="s">
        <v>84</v>
      </c>
      <c r="H94">
        <v>1</v>
      </c>
      <c r="I94" s="3">
        <v>9.82</v>
      </c>
      <c r="J94" t="s">
        <v>16</v>
      </c>
      <c r="K94" t="s">
        <v>40</v>
      </c>
      <c r="L94" s="4">
        <f>Table4[[#This Row],[quantity]]*Table4[[#This Row],[unit_price]]</f>
        <v>9.82</v>
      </c>
      <c r="M94">
        <f>COUNTIFS($C$2:$C$3934,Table4[[#This Row],[customer_id]])</f>
        <v>7</v>
      </c>
      <c r="N94" t="str">
        <f>IF(Table4[[#This Row],[customer_order_count]]=1,"New Customer","Repeat Customer")</f>
        <v>Repeat Customer</v>
      </c>
    </row>
    <row r="95" spans="1:14">
      <c r="A95" t="s">
        <v>1371</v>
      </c>
      <c r="B95" s="1">
        <v>45379</v>
      </c>
      <c r="C95" t="s">
        <v>807</v>
      </c>
      <c r="D95" t="s">
        <v>808</v>
      </c>
      <c r="E95" t="s">
        <v>21</v>
      </c>
      <c r="F95" t="s">
        <v>22</v>
      </c>
      <c r="G95" t="s">
        <v>135</v>
      </c>
      <c r="H95">
        <v>1</v>
      </c>
      <c r="I95" s="3">
        <v>9.83</v>
      </c>
      <c r="J95" t="s">
        <v>16</v>
      </c>
      <c r="K95" t="s">
        <v>17</v>
      </c>
      <c r="L95" s="4">
        <f>Table4[[#This Row],[quantity]]*Table4[[#This Row],[unit_price]]</f>
        <v>9.83</v>
      </c>
      <c r="M95">
        <f>COUNTIFS($C$2:$C$3934,Table4[[#This Row],[customer_id]])</f>
        <v>6</v>
      </c>
      <c r="N95" t="str">
        <f>IF(Table4[[#This Row],[customer_order_count]]=1,"New Customer","Repeat Customer")</f>
        <v>Repeat Customer</v>
      </c>
    </row>
    <row r="96" spans="1:14">
      <c r="A96" t="s">
        <v>4656</v>
      </c>
      <c r="B96" s="1">
        <v>45337</v>
      </c>
      <c r="C96" t="s">
        <v>1770</v>
      </c>
      <c r="D96" t="s">
        <v>113</v>
      </c>
      <c r="E96" t="s">
        <v>44</v>
      </c>
      <c r="F96" t="s">
        <v>14</v>
      </c>
      <c r="G96" t="s">
        <v>34</v>
      </c>
      <c r="H96">
        <v>2</v>
      </c>
      <c r="I96" s="3">
        <v>9.8800000000000008</v>
      </c>
      <c r="J96" t="s">
        <v>16</v>
      </c>
      <c r="K96" t="s">
        <v>30</v>
      </c>
      <c r="L96" s="4">
        <f>Table4[[#This Row],[quantity]]*Table4[[#This Row],[unit_price]]</f>
        <v>19.760000000000002</v>
      </c>
      <c r="M96">
        <f>COUNTIFS($C$2:$C$3934,Table4[[#This Row],[customer_id]])</f>
        <v>5</v>
      </c>
      <c r="N96" t="str">
        <f>IF(Table4[[#This Row],[customer_order_count]]=1,"New Customer","Repeat Customer")</f>
        <v>Repeat Customer</v>
      </c>
    </row>
    <row r="97" spans="1:14">
      <c r="A97" t="s">
        <v>3047</v>
      </c>
      <c r="B97" s="1">
        <v>45559</v>
      </c>
      <c r="C97" t="s">
        <v>1447</v>
      </c>
      <c r="D97" t="s">
        <v>55</v>
      </c>
      <c r="E97" t="s">
        <v>21</v>
      </c>
      <c r="F97" t="s">
        <v>22</v>
      </c>
      <c r="G97" t="s">
        <v>135</v>
      </c>
      <c r="H97">
        <v>1</v>
      </c>
      <c r="I97" s="3">
        <v>9.8800000000000008</v>
      </c>
      <c r="J97" t="s">
        <v>16</v>
      </c>
      <c r="K97" t="s">
        <v>17</v>
      </c>
      <c r="L97" s="4">
        <f>Table4[[#This Row],[quantity]]*Table4[[#This Row],[unit_price]]</f>
        <v>9.8800000000000008</v>
      </c>
      <c r="M97">
        <f>COUNTIFS($C$2:$C$3934,Table4[[#This Row],[customer_id]])</f>
        <v>7</v>
      </c>
      <c r="N97" t="str">
        <f>IF(Table4[[#This Row],[customer_order_count]]=1,"New Customer","Repeat Customer")</f>
        <v>Repeat Customer</v>
      </c>
    </row>
    <row r="98" spans="1:14">
      <c r="A98" t="s">
        <v>4680</v>
      </c>
      <c r="B98" s="1">
        <v>45078</v>
      </c>
      <c r="C98" t="s">
        <v>780</v>
      </c>
      <c r="D98" t="s">
        <v>237</v>
      </c>
      <c r="E98" t="s">
        <v>44</v>
      </c>
      <c r="F98" t="s">
        <v>28</v>
      </c>
      <c r="G98" t="s">
        <v>29</v>
      </c>
      <c r="H98">
        <v>1</v>
      </c>
      <c r="I98" s="3">
        <v>9.91</v>
      </c>
      <c r="J98" t="s">
        <v>16</v>
      </c>
      <c r="K98" t="s">
        <v>30</v>
      </c>
      <c r="L98" s="4">
        <f>Table4[[#This Row],[quantity]]*Table4[[#This Row],[unit_price]]</f>
        <v>9.91</v>
      </c>
      <c r="M98">
        <f>COUNTIFS($C$2:$C$3934,Table4[[#This Row],[customer_id]])</f>
        <v>6</v>
      </c>
      <c r="N98" t="str">
        <f>IF(Table4[[#This Row],[customer_order_count]]=1,"New Customer","Repeat Customer")</f>
        <v>Repeat Customer</v>
      </c>
    </row>
    <row r="99" spans="1:14">
      <c r="A99" t="s">
        <v>2568</v>
      </c>
      <c r="B99" s="1">
        <v>44991</v>
      </c>
      <c r="C99" t="s">
        <v>64</v>
      </c>
      <c r="D99" t="s">
        <v>65</v>
      </c>
      <c r="E99" t="s">
        <v>44</v>
      </c>
      <c r="F99" t="s">
        <v>22</v>
      </c>
      <c r="G99" t="s">
        <v>162</v>
      </c>
      <c r="H99">
        <v>1</v>
      </c>
      <c r="I99" s="3">
        <v>9.9499999999999993</v>
      </c>
      <c r="J99" t="s">
        <v>16</v>
      </c>
      <c r="K99" t="s">
        <v>40</v>
      </c>
      <c r="L99" s="4">
        <f>Table4[[#This Row],[quantity]]*Table4[[#This Row],[unit_price]]</f>
        <v>9.9499999999999993</v>
      </c>
      <c r="M99">
        <f>COUNTIFS($C$2:$C$3934,Table4[[#This Row],[customer_id]])</f>
        <v>3</v>
      </c>
      <c r="N99" t="str">
        <f>IF(Table4[[#This Row],[customer_order_count]]=1,"New Customer","Repeat Customer")</f>
        <v>Repeat Customer</v>
      </c>
    </row>
    <row r="100" spans="1:14">
      <c r="A100" t="s">
        <v>4492</v>
      </c>
      <c r="B100" s="1">
        <v>45179</v>
      </c>
      <c r="C100" t="s">
        <v>799</v>
      </c>
      <c r="D100" t="s">
        <v>43</v>
      </c>
      <c r="E100" t="s">
        <v>21</v>
      </c>
      <c r="F100" t="s">
        <v>28</v>
      </c>
      <c r="G100" t="s">
        <v>114</v>
      </c>
      <c r="H100">
        <v>2</v>
      </c>
      <c r="I100" s="3">
        <v>9.9600000000000009</v>
      </c>
      <c r="J100" t="s">
        <v>16</v>
      </c>
      <c r="K100" t="s">
        <v>35</v>
      </c>
      <c r="L100" s="4">
        <f>Table4[[#This Row],[quantity]]*Table4[[#This Row],[unit_price]]</f>
        <v>19.920000000000002</v>
      </c>
      <c r="M100">
        <f>COUNTIFS($C$2:$C$3934,Table4[[#This Row],[customer_id]])</f>
        <v>8</v>
      </c>
      <c r="N100" t="str">
        <f>IF(Table4[[#This Row],[customer_order_count]]=1,"New Customer","Repeat Customer")</f>
        <v>Repeat Customer</v>
      </c>
    </row>
    <row r="101" spans="1:14">
      <c r="A101" t="s">
        <v>1813</v>
      </c>
      <c r="B101" s="1">
        <v>45413</v>
      </c>
      <c r="C101" t="s">
        <v>1814</v>
      </c>
      <c r="D101" t="s">
        <v>1453</v>
      </c>
      <c r="E101" t="s">
        <v>21</v>
      </c>
      <c r="F101" t="s">
        <v>66</v>
      </c>
      <c r="G101" t="s">
        <v>67</v>
      </c>
      <c r="H101">
        <v>1</v>
      </c>
      <c r="I101" s="3">
        <v>9.9700000000000006</v>
      </c>
      <c r="J101" t="s">
        <v>16</v>
      </c>
      <c r="K101" t="s">
        <v>30</v>
      </c>
      <c r="L101" s="4">
        <f>Table4[[#This Row],[quantity]]*Table4[[#This Row],[unit_price]]</f>
        <v>9.9700000000000006</v>
      </c>
      <c r="M101">
        <f>COUNTIFS($C$2:$C$3934,Table4[[#This Row],[customer_id]])</f>
        <v>8</v>
      </c>
      <c r="N101" t="str">
        <f>IF(Table4[[#This Row],[customer_order_count]]=1,"New Customer","Repeat Customer")</f>
        <v>Repeat Customer</v>
      </c>
    </row>
    <row r="102" spans="1:14">
      <c r="A102" t="s">
        <v>2558</v>
      </c>
      <c r="B102" s="1">
        <v>45352</v>
      </c>
      <c r="C102" t="s">
        <v>838</v>
      </c>
      <c r="D102" t="s">
        <v>839</v>
      </c>
      <c r="E102" t="s">
        <v>44</v>
      </c>
      <c r="F102" t="s">
        <v>28</v>
      </c>
      <c r="G102" t="s">
        <v>45</v>
      </c>
      <c r="H102">
        <v>4</v>
      </c>
      <c r="I102" s="3">
        <v>9.9700000000000006</v>
      </c>
      <c r="J102" t="s">
        <v>16</v>
      </c>
      <c r="K102" t="s">
        <v>17</v>
      </c>
      <c r="L102" s="4">
        <f>Table4[[#This Row],[quantity]]*Table4[[#This Row],[unit_price]]</f>
        <v>39.880000000000003</v>
      </c>
      <c r="M102">
        <f>COUNTIFS($C$2:$C$3934,Table4[[#This Row],[customer_id]])</f>
        <v>5</v>
      </c>
      <c r="N102" t="str">
        <f>IF(Table4[[#This Row],[customer_order_count]]=1,"New Customer","Repeat Customer")</f>
        <v>Repeat Customer</v>
      </c>
    </row>
    <row r="103" spans="1:14">
      <c r="A103" t="s">
        <v>832</v>
      </c>
      <c r="B103" s="1">
        <v>45091</v>
      </c>
      <c r="C103" t="s">
        <v>833</v>
      </c>
      <c r="D103" t="s">
        <v>834</v>
      </c>
      <c r="E103" t="s">
        <v>44</v>
      </c>
      <c r="F103" t="s">
        <v>22</v>
      </c>
      <c r="G103" t="s">
        <v>162</v>
      </c>
      <c r="H103">
        <v>1</v>
      </c>
      <c r="I103" s="3">
        <v>9.98</v>
      </c>
      <c r="J103" t="s">
        <v>24</v>
      </c>
      <c r="K103" t="s">
        <v>35</v>
      </c>
      <c r="L103" s="4">
        <f>Table4[[#This Row],[quantity]]*Table4[[#This Row],[unit_price]]</f>
        <v>9.98</v>
      </c>
      <c r="M103">
        <f>COUNTIFS($C$2:$C$3934,Table4[[#This Row],[customer_id]])</f>
        <v>5</v>
      </c>
      <c r="N103" t="str">
        <f>IF(Table4[[#This Row],[customer_order_count]]=1,"New Customer","Repeat Customer")</f>
        <v>Repeat Customer</v>
      </c>
    </row>
    <row r="104" spans="1:14">
      <c r="A104" t="s">
        <v>3907</v>
      </c>
      <c r="B104" s="1">
        <v>45334</v>
      </c>
      <c r="C104" t="s">
        <v>3753</v>
      </c>
      <c r="D104" t="s">
        <v>693</v>
      </c>
      <c r="E104" t="s">
        <v>21</v>
      </c>
      <c r="F104" t="s">
        <v>66</v>
      </c>
      <c r="G104" t="s">
        <v>49</v>
      </c>
      <c r="H104">
        <v>1</v>
      </c>
      <c r="I104" s="3">
        <v>10</v>
      </c>
      <c r="J104" t="s">
        <v>255</v>
      </c>
      <c r="K104" t="s">
        <v>30</v>
      </c>
      <c r="L104" s="4">
        <f>Table4[[#This Row],[quantity]]*Table4[[#This Row],[unit_price]]</f>
        <v>10</v>
      </c>
      <c r="M104">
        <f>COUNTIFS($C$2:$C$3934,Table4[[#This Row],[customer_id]])</f>
        <v>3</v>
      </c>
      <c r="N104" t="str">
        <f>IF(Table4[[#This Row],[customer_order_count]]=1,"New Customer","Repeat Customer")</f>
        <v>Repeat Customer</v>
      </c>
    </row>
    <row r="105" spans="1:14">
      <c r="A105" t="s">
        <v>4137</v>
      </c>
      <c r="B105" s="1">
        <v>45254</v>
      </c>
      <c r="C105" t="s">
        <v>2462</v>
      </c>
      <c r="D105" t="s">
        <v>1473</v>
      </c>
      <c r="E105" t="s">
        <v>44</v>
      </c>
      <c r="F105" t="s">
        <v>28</v>
      </c>
      <c r="G105" t="s">
        <v>29</v>
      </c>
      <c r="H105">
        <v>1</v>
      </c>
      <c r="I105" s="3">
        <v>10.01</v>
      </c>
      <c r="J105" t="s">
        <v>16</v>
      </c>
      <c r="K105" t="s">
        <v>17</v>
      </c>
      <c r="L105" s="4">
        <f>Table4[[#This Row],[quantity]]*Table4[[#This Row],[unit_price]]</f>
        <v>10.01</v>
      </c>
      <c r="M105">
        <f>COUNTIFS($C$2:$C$3934,Table4[[#This Row],[customer_id]])</f>
        <v>2</v>
      </c>
      <c r="N105" t="str">
        <f>IF(Table4[[#This Row],[customer_order_count]]=1,"New Customer","Repeat Customer")</f>
        <v>Repeat Customer</v>
      </c>
    </row>
    <row r="106" spans="1:14">
      <c r="A106" t="s">
        <v>3577</v>
      </c>
      <c r="B106" s="1">
        <v>45034</v>
      </c>
      <c r="C106" t="s">
        <v>2320</v>
      </c>
      <c r="D106" t="s">
        <v>310</v>
      </c>
      <c r="E106" t="s">
        <v>44</v>
      </c>
      <c r="F106" t="s">
        <v>14</v>
      </c>
      <c r="G106" t="s">
        <v>39</v>
      </c>
      <c r="H106">
        <v>2</v>
      </c>
      <c r="I106" s="3">
        <v>10.01</v>
      </c>
      <c r="J106" t="s">
        <v>16</v>
      </c>
      <c r="K106" t="s">
        <v>30</v>
      </c>
      <c r="L106" s="4">
        <f>Table4[[#This Row],[quantity]]*Table4[[#This Row],[unit_price]]</f>
        <v>20.02</v>
      </c>
      <c r="M106">
        <f>COUNTIFS($C$2:$C$3934,Table4[[#This Row],[customer_id]])</f>
        <v>6</v>
      </c>
      <c r="N106" t="str">
        <f>IF(Table4[[#This Row],[customer_order_count]]=1,"New Customer","Repeat Customer")</f>
        <v>Repeat Customer</v>
      </c>
    </row>
    <row r="107" spans="1:14">
      <c r="A107" t="s">
        <v>3656</v>
      </c>
      <c r="B107" s="1">
        <v>45248</v>
      </c>
      <c r="C107" t="s">
        <v>1934</v>
      </c>
      <c r="D107" t="s">
        <v>1935</v>
      </c>
      <c r="E107" t="s">
        <v>44</v>
      </c>
      <c r="F107" t="s">
        <v>70</v>
      </c>
      <c r="G107" t="s">
        <v>170</v>
      </c>
      <c r="H107">
        <v>1</v>
      </c>
      <c r="I107" s="3">
        <v>10.02</v>
      </c>
      <c r="J107" t="s">
        <v>16</v>
      </c>
      <c r="K107" s="2" t="s">
        <v>5256</v>
      </c>
      <c r="L107" s="4">
        <f>Table4[[#This Row],[quantity]]*Table4[[#This Row],[unit_price]]</f>
        <v>10.02</v>
      </c>
      <c r="M107">
        <f>COUNTIFS($C$2:$C$3934,Table4[[#This Row],[customer_id]])</f>
        <v>5</v>
      </c>
      <c r="N107" t="str">
        <f>IF(Table4[[#This Row],[customer_order_count]]=1,"New Customer","Repeat Customer")</f>
        <v>Repeat Customer</v>
      </c>
    </row>
    <row r="108" spans="1:14">
      <c r="A108" t="s">
        <v>821</v>
      </c>
      <c r="B108" s="1">
        <v>45610</v>
      </c>
      <c r="C108" t="s">
        <v>822</v>
      </c>
      <c r="D108" t="s">
        <v>496</v>
      </c>
      <c r="E108" t="s">
        <v>21</v>
      </c>
      <c r="F108" t="s">
        <v>70</v>
      </c>
      <c r="G108" t="s">
        <v>71</v>
      </c>
      <c r="H108">
        <v>1</v>
      </c>
      <c r="I108" s="3">
        <v>10.050000000000001</v>
      </c>
      <c r="J108" t="s">
        <v>16</v>
      </c>
      <c r="K108" t="s">
        <v>35</v>
      </c>
      <c r="L108" s="4">
        <f>Table4[[#This Row],[quantity]]*Table4[[#This Row],[unit_price]]</f>
        <v>10.050000000000001</v>
      </c>
      <c r="M108">
        <f>COUNTIFS($C$2:$C$3934,Table4[[#This Row],[customer_id]])</f>
        <v>6</v>
      </c>
      <c r="N108" t="str">
        <f>IF(Table4[[#This Row],[customer_order_count]]=1,"New Customer","Repeat Customer")</f>
        <v>Repeat Customer</v>
      </c>
    </row>
    <row r="109" spans="1:14">
      <c r="A109" t="s">
        <v>1046</v>
      </c>
      <c r="B109" s="1">
        <v>45587</v>
      </c>
      <c r="C109" t="s">
        <v>1047</v>
      </c>
      <c r="D109" t="s">
        <v>627</v>
      </c>
      <c r="E109" t="s">
        <v>21</v>
      </c>
      <c r="F109" t="s">
        <v>66</v>
      </c>
      <c r="G109" t="s">
        <v>238</v>
      </c>
      <c r="H109">
        <v>2</v>
      </c>
      <c r="I109" s="3">
        <v>10.08</v>
      </c>
      <c r="J109" t="s">
        <v>16</v>
      </c>
      <c r="K109" t="s">
        <v>35</v>
      </c>
      <c r="L109" s="4">
        <f>Table4[[#This Row],[quantity]]*Table4[[#This Row],[unit_price]]</f>
        <v>20.16</v>
      </c>
      <c r="M109">
        <f>COUNTIFS($C$2:$C$3934,Table4[[#This Row],[customer_id]])</f>
        <v>4</v>
      </c>
      <c r="N109" t="str">
        <f>IF(Table4[[#This Row],[customer_order_count]]=1,"New Customer","Repeat Customer")</f>
        <v>Repeat Customer</v>
      </c>
    </row>
    <row r="110" spans="1:14">
      <c r="A110" t="s">
        <v>1275</v>
      </c>
      <c r="B110" s="1">
        <v>45399</v>
      </c>
      <c r="C110" t="s">
        <v>1276</v>
      </c>
      <c r="D110" t="s">
        <v>452</v>
      </c>
      <c r="E110" t="s">
        <v>21</v>
      </c>
      <c r="F110" t="s">
        <v>66</v>
      </c>
      <c r="G110" t="s">
        <v>128</v>
      </c>
      <c r="H110">
        <v>1</v>
      </c>
      <c r="I110" s="3">
        <v>10.09</v>
      </c>
      <c r="J110" t="s">
        <v>85</v>
      </c>
      <c r="K110" t="s">
        <v>17</v>
      </c>
      <c r="L110" s="4">
        <f>Table4[[#This Row],[quantity]]*Table4[[#This Row],[unit_price]]</f>
        <v>10.09</v>
      </c>
      <c r="M110">
        <f>COUNTIFS($C$2:$C$3934,Table4[[#This Row],[customer_id]])</f>
        <v>4</v>
      </c>
      <c r="N110" t="str">
        <f>IF(Table4[[#This Row],[customer_order_count]]=1,"New Customer","Repeat Customer")</f>
        <v>Repeat Customer</v>
      </c>
    </row>
    <row r="111" spans="1:14">
      <c r="A111" t="s">
        <v>3817</v>
      </c>
      <c r="B111" s="1">
        <v>45644</v>
      </c>
      <c r="C111" t="s">
        <v>1389</v>
      </c>
      <c r="D111" t="s">
        <v>1390</v>
      </c>
      <c r="E111" t="s">
        <v>21</v>
      </c>
      <c r="F111" t="s">
        <v>66</v>
      </c>
      <c r="G111" t="s">
        <v>238</v>
      </c>
      <c r="H111">
        <v>1</v>
      </c>
      <c r="I111" s="3">
        <v>10.1</v>
      </c>
      <c r="J111" t="s">
        <v>24</v>
      </c>
      <c r="K111" t="s">
        <v>17</v>
      </c>
      <c r="L111" s="4">
        <f>Table4[[#This Row],[quantity]]*Table4[[#This Row],[unit_price]]</f>
        <v>10.1</v>
      </c>
      <c r="M111">
        <f>COUNTIFS($C$2:$C$3934,Table4[[#This Row],[customer_id]])</f>
        <v>5</v>
      </c>
      <c r="N111" t="str">
        <f>IF(Table4[[#This Row],[customer_order_count]]=1,"New Customer","Repeat Customer")</f>
        <v>Repeat Customer</v>
      </c>
    </row>
    <row r="112" spans="1:14">
      <c r="A112" t="s">
        <v>1610</v>
      </c>
      <c r="B112" s="1">
        <v>45127</v>
      </c>
      <c r="C112" t="s">
        <v>606</v>
      </c>
      <c r="D112" t="s">
        <v>269</v>
      </c>
      <c r="E112" t="s">
        <v>61</v>
      </c>
      <c r="F112" t="s">
        <v>66</v>
      </c>
      <c r="G112" t="s">
        <v>217</v>
      </c>
      <c r="H112">
        <v>1</v>
      </c>
      <c r="I112" s="3">
        <v>10.15</v>
      </c>
      <c r="J112" t="s">
        <v>16</v>
      </c>
      <c r="K112" t="s">
        <v>35</v>
      </c>
      <c r="L112" s="4">
        <f>Table4[[#This Row],[quantity]]*Table4[[#This Row],[unit_price]]</f>
        <v>10.15</v>
      </c>
      <c r="M112">
        <f>COUNTIFS($C$2:$C$3934,Table4[[#This Row],[customer_id]])</f>
        <v>6</v>
      </c>
      <c r="N112" t="str">
        <f>IF(Table4[[#This Row],[customer_order_count]]=1,"New Customer","Repeat Customer")</f>
        <v>Repeat Customer</v>
      </c>
    </row>
    <row r="113" spans="1:14">
      <c r="A113" t="s">
        <v>5238</v>
      </c>
      <c r="B113" s="1">
        <v>45448</v>
      </c>
      <c r="C113" t="s">
        <v>5239</v>
      </c>
      <c r="D113" t="s">
        <v>1907</v>
      </c>
      <c r="E113" t="s">
        <v>21</v>
      </c>
      <c r="F113" t="s">
        <v>22</v>
      </c>
      <c r="G113" t="s">
        <v>264</v>
      </c>
      <c r="H113">
        <v>1</v>
      </c>
      <c r="I113" s="3">
        <v>10.17</v>
      </c>
      <c r="J113" t="s">
        <v>16</v>
      </c>
      <c r="K113" t="s">
        <v>35</v>
      </c>
      <c r="L113" s="4">
        <f>Table4[[#This Row],[quantity]]*Table4[[#This Row],[unit_price]]</f>
        <v>10.17</v>
      </c>
      <c r="M113">
        <f>COUNTIFS($C$2:$C$3934,Table4[[#This Row],[customer_id]])</f>
        <v>1</v>
      </c>
      <c r="N113" t="str">
        <f>IF(Table4[[#This Row],[customer_order_count]]=1,"New Customer","Repeat Customer")</f>
        <v>New Customer</v>
      </c>
    </row>
    <row r="114" spans="1:14">
      <c r="A114" t="s">
        <v>583</v>
      </c>
      <c r="B114" s="1">
        <v>45434</v>
      </c>
      <c r="C114" t="s">
        <v>312</v>
      </c>
      <c r="D114" t="s">
        <v>313</v>
      </c>
      <c r="E114" t="s">
        <v>21</v>
      </c>
      <c r="F114" t="s">
        <v>66</v>
      </c>
      <c r="G114" t="s">
        <v>217</v>
      </c>
      <c r="H114">
        <v>1</v>
      </c>
      <c r="I114" s="3">
        <v>10.19</v>
      </c>
      <c r="J114" t="s">
        <v>16</v>
      </c>
      <c r="K114" t="s">
        <v>17</v>
      </c>
      <c r="L114" s="4">
        <f>Table4[[#This Row],[quantity]]*Table4[[#This Row],[unit_price]]</f>
        <v>10.19</v>
      </c>
      <c r="M114">
        <f>COUNTIFS($C$2:$C$3934,Table4[[#This Row],[customer_id]])</f>
        <v>7</v>
      </c>
      <c r="N114" t="str">
        <f>IF(Table4[[#This Row],[customer_order_count]]=1,"New Customer","Repeat Customer")</f>
        <v>Repeat Customer</v>
      </c>
    </row>
    <row r="115" spans="1:14">
      <c r="A115" t="s">
        <v>1434</v>
      </c>
      <c r="B115" s="1">
        <v>45511</v>
      </c>
      <c r="C115" t="s">
        <v>1435</v>
      </c>
      <c r="D115" t="s">
        <v>1103</v>
      </c>
      <c r="E115" t="s">
        <v>21</v>
      </c>
      <c r="F115" t="s">
        <v>22</v>
      </c>
      <c r="G115" t="s">
        <v>23</v>
      </c>
      <c r="H115">
        <v>1</v>
      </c>
      <c r="I115" s="3">
        <v>10.24</v>
      </c>
      <c r="J115" t="s">
        <v>16</v>
      </c>
      <c r="K115" t="s">
        <v>40</v>
      </c>
      <c r="L115" s="4">
        <f>Table4[[#This Row],[quantity]]*Table4[[#This Row],[unit_price]]</f>
        <v>10.24</v>
      </c>
      <c r="M115">
        <f>COUNTIFS($C$2:$C$3934,Table4[[#This Row],[customer_id]])</f>
        <v>2</v>
      </c>
      <c r="N115" t="str">
        <f>IF(Table4[[#This Row],[customer_order_count]]=1,"New Customer","Repeat Customer")</f>
        <v>Repeat Customer</v>
      </c>
    </row>
    <row r="116" spans="1:14">
      <c r="A116" t="s">
        <v>1183</v>
      </c>
      <c r="B116" s="1">
        <v>45202</v>
      </c>
      <c r="C116" t="s">
        <v>711</v>
      </c>
      <c r="D116" t="s">
        <v>505</v>
      </c>
      <c r="E116" t="s">
        <v>21</v>
      </c>
      <c r="F116" t="s">
        <v>28</v>
      </c>
      <c r="G116" t="s">
        <v>29</v>
      </c>
      <c r="H116">
        <v>1</v>
      </c>
      <c r="I116" s="3">
        <v>10.25</v>
      </c>
      <c r="J116" t="s">
        <v>16</v>
      </c>
      <c r="K116" t="s">
        <v>30</v>
      </c>
      <c r="L116" s="4">
        <f>Table4[[#This Row],[quantity]]*Table4[[#This Row],[unit_price]]</f>
        <v>10.25</v>
      </c>
      <c r="M116">
        <f>COUNTIFS($C$2:$C$3934,Table4[[#This Row],[customer_id]])</f>
        <v>8</v>
      </c>
      <c r="N116" t="str">
        <f>IF(Table4[[#This Row],[customer_order_count]]=1,"New Customer","Repeat Customer")</f>
        <v>Repeat Customer</v>
      </c>
    </row>
    <row r="117" spans="1:14">
      <c r="A117" t="s">
        <v>1023</v>
      </c>
      <c r="B117" s="1">
        <v>45087</v>
      </c>
      <c r="C117" t="s">
        <v>1024</v>
      </c>
      <c r="D117" t="s">
        <v>881</v>
      </c>
      <c r="E117" t="s">
        <v>21</v>
      </c>
      <c r="F117" t="s">
        <v>70</v>
      </c>
      <c r="G117" t="s">
        <v>526</v>
      </c>
      <c r="H117">
        <v>1</v>
      </c>
      <c r="I117" s="3">
        <v>10.27</v>
      </c>
      <c r="J117" t="s">
        <v>85</v>
      </c>
      <c r="K117" t="s">
        <v>17</v>
      </c>
      <c r="L117" s="4">
        <f>Table4[[#This Row],[quantity]]*Table4[[#This Row],[unit_price]]</f>
        <v>10.27</v>
      </c>
      <c r="M117">
        <f>COUNTIFS($C$2:$C$3934,Table4[[#This Row],[customer_id]])</f>
        <v>6</v>
      </c>
      <c r="N117" t="str">
        <f>IF(Table4[[#This Row],[customer_order_count]]=1,"New Customer","Repeat Customer")</f>
        <v>Repeat Customer</v>
      </c>
    </row>
    <row r="118" spans="1:14">
      <c r="A118" t="s">
        <v>1466</v>
      </c>
      <c r="B118" s="1">
        <v>45060</v>
      </c>
      <c r="C118" t="s">
        <v>638</v>
      </c>
      <c r="D118" t="s">
        <v>639</v>
      </c>
      <c r="E118" t="s">
        <v>21</v>
      </c>
      <c r="F118" t="s">
        <v>66</v>
      </c>
      <c r="G118" t="s">
        <v>49</v>
      </c>
      <c r="H118">
        <v>1</v>
      </c>
      <c r="I118" s="3">
        <v>10.29</v>
      </c>
      <c r="J118" t="s">
        <v>255</v>
      </c>
      <c r="K118" t="s">
        <v>35</v>
      </c>
      <c r="L118" s="4">
        <f>Table4[[#This Row],[quantity]]*Table4[[#This Row],[unit_price]]</f>
        <v>10.29</v>
      </c>
      <c r="M118">
        <f>COUNTIFS($C$2:$C$3934,Table4[[#This Row],[customer_id]])</f>
        <v>4</v>
      </c>
      <c r="N118" t="str">
        <f>IF(Table4[[#This Row],[customer_order_count]]=1,"New Customer","Repeat Customer")</f>
        <v>Repeat Customer</v>
      </c>
    </row>
    <row r="119" spans="1:14">
      <c r="A119" t="s">
        <v>3908</v>
      </c>
      <c r="B119" s="1">
        <v>45314</v>
      </c>
      <c r="C119" t="s">
        <v>509</v>
      </c>
      <c r="D119" t="s">
        <v>510</v>
      </c>
      <c r="E119" t="s">
        <v>21</v>
      </c>
      <c r="F119" t="s">
        <v>66</v>
      </c>
      <c r="G119" t="s">
        <v>128</v>
      </c>
      <c r="H119">
        <v>1</v>
      </c>
      <c r="I119" s="3">
        <v>10.3</v>
      </c>
      <c r="J119" t="s">
        <v>16</v>
      </c>
      <c r="K119" t="s">
        <v>35</v>
      </c>
      <c r="L119" s="4">
        <f>Table4[[#This Row],[quantity]]*Table4[[#This Row],[unit_price]]</f>
        <v>10.3</v>
      </c>
      <c r="M119">
        <f>COUNTIFS($C$2:$C$3934,Table4[[#This Row],[customer_id]])</f>
        <v>6</v>
      </c>
      <c r="N119" t="str">
        <f>IF(Table4[[#This Row],[customer_order_count]]=1,"New Customer","Repeat Customer")</f>
        <v>Repeat Customer</v>
      </c>
    </row>
    <row r="120" spans="1:14">
      <c r="A120" t="s">
        <v>3502</v>
      </c>
      <c r="B120" s="1">
        <v>45378</v>
      </c>
      <c r="C120" t="s">
        <v>2774</v>
      </c>
      <c r="D120" t="s">
        <v>560</v>
      </c>
      <c r="E120" t="s">
        <v>61</v>
      </c>
      <c r="F120" t="s">
        <v>28</v>
      </c>
      <c r="G120" t="s">
        <v>29</v>
      </c>
      <c r="H120">
        <v>1</v>
      </c>
      <c r="I120" s="3">
        <v>10.31</v>
      </c>
      <c r="J120" t="s">
        <v>16</v>
      </c>
      <c r="K120" t="s">
        <v>35</v>
      </c>
      <c r="L120" s="4">
        <f>Table4[[#This Row],[quantity]]*Table4[[#This Row],[unit_price]]</f>
        <v>10.31</v>
      </c>
      <c r="M120">
        <f>COUNTIFS($C$2:$C$3934,Table4[[#This Row],[customer_id]])</f>
        <v>3</v>
      </c>
      <c r="N120" t="str">
        <f>IF(Table4[[#This Row],[customer_order_count]]=1,"New Customer","Repeat Customer")</f>
        <v>Repeat Customer</v>
      </c>
    </row>
    <row r="121" spans="1:14">
      <c r="A121" t="s">
        <v>3067</v>
      </c>
      <c r="B121" s="1">
        <v>45347</v>
      </c>
      <c r="C121" t="s">
        <v>1335</v>
      </c>
      <c r="D121" t="s">
        <v>1336</v>
      </c>
      <c r="E121" t="s">
        <v>21</v>
      </c>
      <c r="F121" t="s">
        <v>14</v>
      </c>
      <c r="G121" t="s">
        <v>62</v>
      </c>
      <c r="H121">
        <v>3</v>
      </c>
      <c r="I121" s="3">
        <v>10.31</v>
      </c>
      <c r="J121" t="s">
        <v>85</v>
      </c>
      <c r="K121" t="s">
        <v>35</v>
      </c>
      <c r="L121" s="4">
        <f>Table4[[#This Row],[quantity]]*Table4[[#This Row],[unit_price]]</f>
        <v>30.93</v>
      </c>
      <c r="M121">
        <f>COUNTIFS($C$2:$C$3934,Table4[[#This Row],[customer_id]])</f>
        <v>7</v>
      </c>
      <c r="N121" t="str">
        <f>IF(Table4[[#This Row],[customer_order_count]]=1,"New Customer","Repeat Customer")</f>
        <v>Repeat Customer</v>
      </c>
    </row>
    <row r="122" spans="1:14">
      <c r="A122" t="s">
        <v>1253</v>
      </c>
      <c r="B122" s="1">
        <v>45438</v>
      </c>
      <c r="C122" t="s">
        <v>1254</v>
      </c>
      <c r="D122" t="s">
        <v>1255</v>
      </c>
      <c r="E122" t="s">
        <v>44</v>
      </c>
      <c r="F122" t="s">
        <v>28</v>
      </c>
      <c r="G122" t="s">
        <v>29</v>
      </c>
      <c r="H122">
        <v>1</v>
      </c>
      <c r="I122" s="3">
        <v>10.34</v>
      </c>
      <c r="J122" t="s">
        <v>85</v>
      </c>
      <c r="K122" t="s">
        <v>35</v>
      </c>
      <c r="L122" s="4">
        <f>Table4[[#This Row],[quantity]]*Table4[[#This Row],[unit_price]]</f>
        <v>10.34</v>
      </c>
      <c r="M122">
        <f>COUNTIFS($C$2:$C$3934,Table4[[#This Row],[customer_id]])</f>
        <v>5</v>
      </c>
      <c r="N122" t="str">
        <f>IF(Table4[[#This Row],[customer_order_count]]=1,"New Customer","Repeat Customer")</f>
        <v>Repeat Customer</v>
      </c>
    </row>
    <row r="123" spans="1:14">
      <c r="A123" t="s">
        <v>4449</v>
      </c>
      <c r="B123" s="1">
        <v>45575</v>
      </c>
      <c r="C123" t="s">
        <v>739</v>
      </c>
      <c r="D123" t="s">
        <v>740</v>
      </c>
      <c r="E123" t="s">
        <v>21</v>
      </c>
      <c r="F123" t="s">
        <v>70</v>
      </c>
      <c r="G123" t="s">
        <v>71</v>
      </c>
      <c r="H123">
        <v>5</v>
      </c>
      <c r="I123" s="3">
        <v>10.35</v>
      </c>
      <c r="J123" t="s">
        <v>16</v>
      </c>
      <c r="K123" t="s">
        <v>35</v>
      </c>
      <c r="L123" s="4">
        <f>Table4[[#This Row],[quantity]]*Table4[[#This Row],[unit_price]]</f>
        <v>51.75</v>
      </c>
      <c r="M123">
        <f>COUNTIFS($C$2:$C$3934,Table4[[#This Row],[customer_id]])</f>
        <v>7</v>
      </c>
      <c r="N123" t="str">
        <f>IF(Table4[[#This Row],[customer_order_count]]=1,"New Customer","Repeat Customer")</f>
        <v>Repeat Customer</v>
      </c>
    </row>
    <row r="124" spans="1:14">
      <c r="A124" t="s">
        <v>3853</v>
      </c>
      <c r="B124" s="1">
        <v>45302</v>
      </c>
      <c r="C124" t="s">
        <v>3199</v>
      </c>
      <c r="D124" t="s">
        <v>3200</v>
      </c>
      <c r="E124" t="s">
        <v>21</v>
      </c>
      <c r="F124" t="s">
        <v>70</v>
      </c>
      <c r="G124" t="s">
        <v>170</v>
      </c>
      <c r="H124">
        <v>1</v>
      </c>
      <c r="I124" s="3">
        <v>10.38</v>
      </c>
      <c r="J124" t="s">
        <v>16</v>
      </c>
      <c r="K124" t="s">
        <v>17</v>
      </c>
      <c r="L124" s="4">
        <f>Table4[[#This Row],[quantity]]*Table4[[#This Row],[unit_price]]</f>
        <v>10.38</v>
      </c>
      <c r="M124">
        <f>COUNTIFS($C$2:$C$3934,Table4[[#This Row],[customer_id]])</f>
        <v>4</v>
      </c>
      <c r="N124" t="str">
        <f>IF(Table4[[#This Row],[customer_order_count]]=1,"New Customer","Repeat Customer")</f>
        <v>Repeat Customer</v>
      </c>
    </row>
    <row r="125" spans="1:14">
      <c r="A125" t="s">
        <v>3890</v>
      </c>
      <c r="B125" s="1">
        <v>45306</v>
      </c>
      <c r="C125" t="s">
        <v>3891</v>
      </c>
      <c r="D125" t="s">
        <v>178</v>
      </c>
      <c r="E125" t="s">
        <v>21</v>
      </c>
      <c r="F125" t="s">
        <v>66</v>
      </c>
      <c r="G125" t="s">
        <v>49</v>
      </c>
      <c r="H125">
        <v>1</v>
      </c>
      <c r="I125" s="3">
        <v>10.39</v>
      </c>
      <c r="J125" t="s">
        <v>16</v>
      </c>
      <c r="K125" t="s">
        <v>35</v>
      </c>
      <c r="L125" s="4">
        <f>Table4[[#This Row],[quantity]]*Table4[[#This Row],[unit_price]]</f>
        <v>10.39</v>
      </c>
      <c r="M125">
        <f>COUNTIFS($C$2:$C$3934,Table4[[#This Row],[customer_id]])</f>
        <v>1</v>
      </c>
      <c r="N125" t="str">
        <f>IF(Table4[[#This Row],[customer_order_count]]=1,"New Customer","Repeat Customer")</f>
        <v>New Customer</v>
      </c>
    </row>
    <row r="126" spans="1:14">
      <c r="A126" t="s">
        <v>2470</v>
      </c>
      <c r="B126" s="1">
        <v>45435</v>
      </c>
      <c r="C126" t="s">
        <v>188</v>
      </c>
      <c r="D126" t="s">
        <v>189</v>
      </c>
      <c r="E126" t="s">
        <v>21</v>
      </c>
      <c r="F126" t="s">
        <v>66</v>
      </c>
      <c r="G126" t="s">
        <v>128</v>
      </c>
      <c r="H126">
        <v>1</v>
      </c>
      <c r="I126" s="3">
        <v>10.39</v>
      </c>
      <c r="J126" t="s">
        <v>16</v>
      </c>
      <c r="K126" t="s">
        <v>40</v>
      </c>
      <c r="L126" s="4">
        <f>Table4[[#This Row],[quantity]]*Table4[[#This Row],[unit_price]]</f>
        <v>10.39</v>
      </c>
      <c r="M126">
        <f>COUNTIFS($C$2:$C$3934,Table4[[#This Row],[customer_id]])</f>
        <v>6</v>
      </c>
      <c r="N126" t="str">
        <f>IF(Table4[[#This Row],[customer_order_count]]=1,"New Customer","Repeat Customer")</f>
        <v>Repeat Customer</v>
      </c>
    </row>
    <row r="127" spans="1:14">
      <c r="A127" t="s">
        <v>1939</v>
      </c>
      <c r="B127" s="1">
        <v>45369</v>
      </c>
      <c r="C127" t="s">
        <v>782</v>
      </c>
      <c r="D127" t="s">
        <v>783</v>
      </c>
      <c r="E127" t="s">
        <v>21</v>
      </c>
      <c r="F127" t="s">
        <v>66</v>
      </c>
      <c r="G127" t="s">
        <v>238</v>
      </c>
      <c r="H127">
        <v>1</v>
      </c>
      <c r="I127" s="3">
        <v>10.4</v>
      </c>
      <c r="J127" t="s">
        <v>16</v>
      </c>
      <c r="K127" t="s">
        <v>17</v>
      </c>
      <c r="L127" s="4">
        <f>Table4[[#This Row],[quantity]]*Table4[[#This Row],[unit_price]]</f>
        <v>10.4</v>
      </c>
      <c r="M127">
        <f>COUNTIFS($C$2:$C$3934,Table4[[#This Row],[customer_id]])</f>
        <v>5</v>
      </c>
      <c r="N127" t="str">
        <f>IF(Table4[[#This Row],[customer_order_count]]=1,"New Customer","Repeat Customer")</f>
        <v>Repeat Customer</v>
      </c>
    </row>
    <row r="128" spans="1:14">
      <c r="A128" t="s">
        <v>5161</v>
      </c>
      <c r="B128" s="1">
        <v>45392</v>
      </c>
      <c r="C128" t="s">
        <v>549</v>
      </c>
      <c r="D128" t="s">
        <v>226</v>
      </c>
      <c r="E128" t="s">
        <v>44</v>
      </c>
      <c r="F128" t="s">
        <v>14</v>
      </c>
      <c r="G128" t="s">
        <v>39</v>
      </c>
      <c r="H128">
        <v>2</v>
      </c>
      <c r="I128" s="3">
        <v>10.42</v>
      </c>
      <c r="J128" t="s">
        <v>16</v>
      </c>
      <c r="K128" t="s">
        <v>17</v>
      </c>
      <c r="L128" s="4">
        <f>Table4[[#This Row],[quantity]]*Table4[[#This Row],[unit_price]]</f>
        <v>20.84</v>
      </c>
      <c r="M128">
        <f>COUNTIFS($C$2:$C$3934,Table4[[#This Row],[customer_id]])</f>
        <v>3</v>
      </c>
      <c r="N128" t="str">
        <f>IF(Table4[[#This Row],[customer_order_count]]=1,"New Customer","Repeat Customer")</f>
        <v>Repeat Customer</v>
      </c>
    </row>
    <row r="129" spans="1:14">
      <c r="A129" t="s">
        <v>4728</v>
      </c>
      <c r="B129" s="1">
        <v>45279</v>
      </c>
      <c r="C129" t="s">
        <v>3803</v>
      </c>
      <c r="D129" t="s">
        <v>1464</v>
      </c>
      <c r="E129" t="s">
        <v>21</v>
      </c>
      <c r="F129" t="s">
        <v>14</v>
      </c>
      <c r="G129" t="s">
        <v>39</v>
      </c>
      <c r="H129">
        <v>2</v>
      </c>
      <c r="I129" s="3">
        <v>10.44</v>
      </c>
      <c r="J129" t="s">
        <v>24</v>
      </c>
      <c r="K129" t="s">
        <v>30</v>
      </c>
      <c r="L129" s="4">
        <f>Table4[[#This Row],[quantity]]*Table4[[#This Row],[unit_price]]</f>
        <v>20.88</v>
      </c>
      <c r="M129">
        <f>COUNTIFS($C$2:$C$3934,Table4[[#This Row],[customer_id]])</f>
        <v>2</v>
      </c>
      <c r="N129" t="str">
        <f>IF(Table4[[#This Row],[customer_order_count]]=1,"New Customer","Repeat Customer")</f>
        <v>Repeat Customer</v>
      </c>
    </row>
    <row r="130" spans="1:14">
      <c r="A130" t="s">
        <v>5151</v>
      </c>
      <c r="B130" s="1">
        <v>45105</v>
      </c>
      <c r="C130" t="s">
        <v>271</v>
      </c>
      <c r="D130" s="2" t="s">
        <v>5257</v>
      </c>
      <c r="E130" t="s">
        <v>61</v>
      </c>
      <c r="F130" t="s">
        <v>66</v>
      </c>
      <c r="G130" t="s">
        <v>67</v>
      </c>
      <c r="H130">
        <v>5</v>
      </c>
      <c r="I130" s="3">
        <v>10.46</v>
      </c>
      <c r="J130" t="s">
        <v>16</v>
      </c>
      <c r="K130" t="s">
        <v>35</v>
      </c>
      <c r="L130" s="4">
        <f>Table4[[#This Row],[quantity]]*Table4[[#This Row],[unit_price]]</f>
        <v>52.300000000000004</v>
      </c>
      <c r="M130">
        <f>COUNTIFS($C$2:$C$3934,Table4[[#This Row],[customer_id]])</f>
        <v>5</v>
      </c>
      <c r="N130" t="str">
        <f>IF(Table4[[#This Row],[customer_order_count]]=1,"New Customer","Repeat Customer")</f>
        <v>Repeat Customer</v>
      </c>
    </row>
    <row r="131" spans="1:14">
      <c r="A131" t="s">
        <v>174</v>
      </c>
      <c r="B131" s="1">
        <v>44991</v>
      </c>
      <c r="C131" t="s">
        <v>175</v>
      </c>
      <c r="D131" t="s">
        <v>105</v>
      </c>
      <c r="E131" t="s">
        <v>44</v>
      </c>
      <c r="F131" t="s">
        <v>28</v>
      </c>
      <c r="G131" t="s">
        <v>29</v>
      </c>
      <c r="H131">
        <v>2</v>
      </c>
      <c r="I131" s="3">
        <v>10.48</v>
      </c>
      <c r="J131" t="s">
        <v>16</v>
      </c>
      <c r="K131" t="s">
        <v>30</v>
      </c>
      <c r="L131" s="4">
        <f>Table4[[#This Row],[quantity]]*Table4[[#This Row],[unit_price]]</f>
        <v>20.96</v>
      </c>
      <c r="M131">
        <f>COUNTIFS($C$2:$C$3934,Table4[[#This Row],[customer_id]])</f>
        <v>4</v>
      </c>
      <c r="N131" t="str">
        <f>IF(Table4[[#This Row],[customer_order_count]]=1,"New Customer","Repeat Customer")</f>
        <v>Repeat Customer</v>
      </c>
    </row>
    <row r="132" spans="1:14">
      <c r="A132" t="s">
        <v>5062</v>
      </c>
      <c r="B132" s="1">
        <v>45469</v>
      </c>
      <c r="C132" t="s">
        <v>543</v>
      </c>
      <c r="D132" t="s">
        <v>544</v>
      </c>
      <c r="E132" t="s">
        <v>21</v>
      </c>
      <c r="F132" t="s">
        <v>66</v>
      </c>
      <c r="G132" t="s">
        <v>67</v>
      </c>
      <c r="H132">
        <v>1</v>
      </c>
      <c r="I132" s="3">
        <v>10.49</v>
      </c>
      <c r="J132" t="s">
        <v>16</v>
      </c>
      <c r="K132" s="2" t="s">
        <v>5256</v>
      </c>
      <c r="L132" s="4">
        <f>Table4[[#This Row],[quantity]]*Table4[[#This Row],[unit_price]]</f>
        <v>10.49</v>
      </c>
      <c r="M132">
        <f>COUNTIFS($C$2:$C$3934,Table4[[#This Row],[customer_id]])</f>
        <v>6</v>
      </c>
      <c r="N132" t="str">
        <f>IF(Table4[[#This Row],[customer_order_count]]=1,"New Customer","Repeat Customer")</f>
        <v>Repeat Customer</v>
      </c>
    </row>
    <row r="133" spans="1:14">
      <c r="A133" t="s">
        <v>3813</v>
      </c>
      <c r="B133" s="1">
        <v>45081</v>
      </c>
      <c r="C133" t="s">
        <v>2826</v>
      </c>
      <c r="D133" t="s">
        <v>566</v>
      </c>
      <c r="E133" t="s">
        <v>21</v>
      </c>
      <c r="F133" t="s">
        <v>70</v>
      </c>
      <c r="G133" t="s">
        <v>71</v>
      </c>
      <c r="H133">
        <v>1</v>
      </c>
      <c r="I133" s="3">
        <v>10.49</v>
      </c>
      <c r="J133" t="s">
        <v>16</v>
      </c>
      <c r="K133" t="s">
        <v>35</v>
      </c>
      <c r="L133" s="4">
        <f>Table4[[#This Row],[quantity]]*Table4[[#This Row],[unit_price]]</f>
        <v>10.49</v>
      </c>
      <c r="M133">
        <f>COUNTIFS($C$2:$C$3934,Table4[[#This Row],[customer_id]])</f>
        <v>2</v>
      </c>
      <c r="N133" t="str">
        <f>IF(Table4[[#This Row],[customer_order_count]]=1,"New Customer","Repeat Customer")</f>
        <v>Repeat Customer</v>
      </c>
    </row>
    <row r="134" spans="1:14">
      <c r="A134" t="s">
        <v>4024</v>
      </c>
      <c r="B134" s="1">
        <v>45241</v>
      </c>
      <c r="C134" t="s">
        <v>2209</v>
      </c>
      <c r="D134" t="s">
        <v>1080</v>
      </c>
      <c r="E134" t="s">
        <v>21</v>
      </c>
      <c r="F134" t="s">
        <v>28</v>
      </c>
      <c r="G134" t="s">
        <v>45</v>
      </c>
      <c r="H134">
        <v>1</v>
      </c>
      <c r="I134" s="3">
        <v>10.51</v>
      </c>
      <c r="J134" t="s">
        <v>16</v>
      </c>
      <c r="K134" t="s">
        <v>35</v>
      </c>
      <c r="L134" s="4">
        <f>Table4[[#This Row],[quantity]]*Table4[[#This Row],[unit_price]]</f>
        <v>10.51</v>
      </c>
      <c r="M134">
        <f>COUNTIFS($C$2:$C$3934,Table4[[#This Row],[customer_id]])</f>
        <v>6</v>
      </c>
      <c r="N134" t="str">
        <f>IF(Table4[[#This Row],[customer_order_count]]=1,"New Customer","Repeat Customer")</f>
        <v>Repeat Customer</v>
      </c>
    </row>
    <row r="135" spans="1:14">
      <c r="A135" t="s">
        <v>2864</v>
      </c>
      <c r="B135" s="1">
        <v>45446</v>
      </c>
      <c r="C135" t="s">
        <v>2865</v>
      </c>
      <c r="D135" t="s">
        <v>1507</v>
      </c>
      <c r="E135" t="s">
        <v>21</v>
      </c>
      <c r="F135" t="s">
        <v>22</v>
      </c>
      <c r="G135" t="s">
        <v>264</v>
      </c>
      <c r="H135">
        <v>3</v>
      </c>
      <c r="I135" s="3">
        <v>10.53</v>
      </c>
      <c r="J135" t="s">
        <v>16</v>
      </c>
      <c r="K135" t="s">
        <v>17</v>
      </c>
      <c r="L135" s="4">
        <f>Table4[[#This Row],[quantity]]*Table4[[#This Row],[unit_price]]</f>
        <v>31.589999999999996</v>
      </c>
      <c r="M135">
        <f>COUNTIFS($C$2:$C$3934,Table4[[#This Row],[customer_id]])</f>
        <v>3</v>
      </c>
      <c r="N135" t="str">
        <f>IF(Table4[[#This Row],[customer_order_count]]=1,"New Customer","Repeat Customer")</f>
        <v>Repeat Customer</v>
      </c>
    </row>
    <row r="136" spans="1:14">
      <c r="A136" t="s">
        <v>2942</v>
      </c>
      <c r="B136" s="1">
        <v>45476</v>
      </c>
      <c r="C136" t="s">
        <v>1636</v>
      </c>
      <c r="D136" t="s">
        <v>956</v>
      </c>
      <c r="E136" t="s">
        <v>21</v>
      </c>
      <c r="F136" t="s">
        <v>66</v>
      </c>
      <c r="G136" t="s">
        <v>217</v>
      </c>
      <c r="H136">
        <v>1</v>
      </c>
      <c r="I136" s="3">
        <v>10.54</v>
      </c>
      <c r="J136" t="s">
        <v>16</v>
      </c>
      <c r="K136" t="s">
        <v>30</v>
      </c>
      <c r="L136" s="4">
        <f>Table4[[#This Row],[quantity]]*Table4[[#This Row],[unit_price]]</f>
        <v>10.54</v>
      </c>
      <c r="M136">
        <f>COUNTIFS($C$2:$C$3934,Table4[[#This Row],[customer_id]])</f>
        <v>5</v>
      </c>
      <c r="N136" t="str">
        <f>IF(Table4[[#This Row],[customer_order_count]]=1,"New Customer","Repeat Customer")</f>
        <v>Repeat Customer</v>
      </c>
    </row>
    <row r="137" spans="1:14">
      <c r="A137" t="s">
        <v>4928</v>
      </c>
      <c r="B137" s="1">
        <v>45642</v>
      </c>
      <c r="C137" t="s">
        <v>907</v>
      </c>
      <c r="D137" t="s">
        <v>275</v>
      </c>
      <c r="E137" t="s">
        <v>21</v>
      </c>
      <c r="F137" t="s">
        <v>22</v>
      </c>
      <c r="G137" t="s">
        <v>23</v>
      </c>
      <c r="H137">
        <v>1</v>
      </c>
      <c r="I137" s="3">
        <v>10.56</v>
      </c>
      <c r="J137" t="s">
        <v>16</v>
      </c>
      <c r="K137" t="s">
        <v>17</v>
      </c>
      <c r="L137" s="4">
        <f>Table4[[#This Row],[quantity]]*Table4[[#This Row],[unit_price]]</f>
        <v>10.56</v>
      </c>
      <c r="M137">
        <f>COUNTIFS($C$2:$C$3934,Table4[[#This Row],[customer_id]])</f>
        <v>4</v>
      </c>
      <c r="N137" t="str">
        <f>IF(Table4[[#This Row],[customer_order_count]]=1,"New Customer","Repeat Customer")</f>
        <v>Repeat Customer</v>
      </c>
    </row>
    <row r="138" spans="1:14">
      <c r="A138" t="s">
        <v>1981</v>
      </c>
      <c r="B138" s="1">
        <v>45643</v>
      </c>
      <c r="C138" t="s">
        <v>978</v>
      </c>
      <c r="D138" t="s">
        <v>292</v>
      </c>
      <c r="E138" t="s">
        <v>21</v>
      </c>
      <c r="F138" t="s">
        <v>28</v>
      </c>
      <c r="G138" t="s">
        <v>114</v>
      </c>
      <c r="H138">
        <v>1</v>
      </c>
      <c r="I138" s="3">
        <v>10.56</v>
      </c>
      <c r="J138" t="s">
        <v>16</v>
      </c>
      <c r="K138" t="s">
        <v>35</v>
      </c>
      <c r="L138" s="4">
        <f>Table4[[#This Row],[quantity]]*Table4[[#This Row],[unit_price]]</f>
        <v>10.56</v>
      </c>
      <c r="M138">
        <f>COUNTIFS($C$2:$C$3934,Table4[[#This Row],[customer_id]])</f>
        <v>9</v>
      </c>
      <c r="N138" t="str">
        <f>IF(Table4[[#This Row],[customer_order_count]]=1,"New Customer","Repeat Customer")</f>
        <v>Repeat Customer</v>
      </c>
    </row>
    <row r="139" spans="1:14">
      <c r="A139" t="s">
        <v>1896</v>
      </c>
      <c r="B139" s="1">
        <v>45096</v>
      </c>
      <c r="C139" t="s">
        <v>1207</v>
      </c>
      <c r="D139" t="s">
        <v>1208</v>
      </c>
      <c r="E139" t="s">
        <v>21</v>
      </c>
      <c r="F139" t="s">
        <v>22</v>
      </c>
      <c r="G139" t="s">
        <v>142</v>
      </c>
      <c r="H139">
        <v>5</v>
      </c>
      <c r="I139" s="3">
        <v>10.59</v>
      </c>
      <c r="J139" t="s">
        <v>85</v>
      </c>
      <c r="K139" t="s">
        <v>35</v>
      </c>
      <c r="L139" s="4">
        <f>Table4[[#This Row],[quantity]]*Table4[[#This Row],[unit_price]]</f>
        <v>52.95</v>
      </c>
      <c r="M139">
        <f>COUNTIFS($C$2:$C$3934,Table4[[#This Row],[customer_id]])</f>
        <v>3</v>
      </c>
      <c r="N139" t="str">
        <f>IF(Table4[[#This Row],[customer_order_count]]=1,"New Customer","Repeat Customer")</f>
        <v>Repeat Customer</v>
      </c>
    </row>
    <row r="140" spans="1:14">
      <c r="A140" t="s">
        <v>5072</v>
      </c>
      <c r="B140" s="1">
        <v>45350</v>
      </c>
      <c r="C140" t="s">
        <v>3377</v>
      </c>
      <c r="D140" t="s">
        <v>1804</v>
      </c>
      <c r="E140" t="s">
        <v>44</v>
      </c>
      <c r="F140" t="s">
        <v>22</v>
      </c>
      <c r="G140" t="s">
        <v>264</v>
      </c>
      <c r="H140">
        <v>1</v>
      </c>
      <c r="I140" s="3">
        <v>10.6</v>
      </c>
      <c r="J140" t="s">
        <v>85</v>
      </c>
      <c r="K140" t="s">
        <v>17</v>
      </c>
      <c r="L140" s="4">
        <f>Table4[[#This Row],[quantity]]*Table4[[#This Row],[unit_price]]</f>
        <v>10.6</v>
      </c>
      <c r="M140">
        <f>COUNTIFS($C$2:$C$3934,Table4[[#This Row],[customer_id]])</f>
        <v>2</v>
      </c>
      <c r="N140" t="str">
        <f>IF(Table4[[#This Row],[customer_order_count]]=1,"New Customer","Repeat Customer")</f>
        <v>Repeat Customer</v>
      </c>
    </row>
    <row r="141" spans="1:14">
      <c r="A141" t="s">
        <v>2703</v>
      </c>
      <c r="B141" s="1">
        <v>45008</v>
      </c>
      <c r="C141" t="s">
        <v>1170</v>
      </c>
      <c r="D141" s="2" t="s">
        <v>5257</v>
      </c>
      <c r="E141" t="s">
        <v>21</v>
      </c>
      <c r="F141" t="s">
        <v>28</v>
      </c>
      <c r="G141" t="s">
        <v>84</v>
      </c>
      <c r="H141">
        <v>3</v>
      </c>
      <c r="I141" s="3">
        <v>10.61</v>
      </c>
      <c r="J141" t="s">
        <v>24</v>
      </c>
      <c r="K141" t="s">
        <v>35</v>
      </c>
      <c r="L141" s="4">
        <f>Table4[[#This Row],[quantity]]*Table4[[#This Row],[unit_price]]</f>
        <v>31.83</v>
      </c>
      <c r="M141">
        <f>COUNTIFS($C$2:$C$3934,Table4[[#This Row],[customer_id]])</f>
        <v>4</v>
      </c>
      <c r="N141" t="str">
        <f>IF(Table4[[#This Row],[customer_order_count]]=1,"New Customer","Repeat Customer")</f>
        <v>Repeat Customer</v>
      </c>
    </row>
    <row r="142" spans="1:14">
      <c r="A142" t="s">
        <v>2965</v>
      </c>
      <c r="B142" s="1">
        <v>45426</v>
      </c>
      <c r="C142" t="s">
        <v>1008</v>
      </c>
      <c r="D142" t="s">
        <v>425</v>
      </c>
      <c r="E142" t="s">
        <v>21</v>
      </c>
      <c r="F142" t="s">
        <v>22</v>
      </c>
      <c r="G142" t="s">
        <v>135</v>
      </c>
      <c r="H142">
        <v>1</v>
      </c>
      <c r="I142" s="3">
        <v>10.62</v>
      </c>
      <c r="J142" t="s">
        <v>16</v>
      </c>
      <c r="K142" t="s">
        <v>30</v>
      </c>
      <c r="L142" s="4">
        <f>Table4[[#This Row],[quantity]]*Table4[[#This Row],[unit_price]]</f>
        <v>10.62</v>
      </c>
      <c r="M142">
        <f>COUNTIFS($C$2:$C$3934,Table4[[#This Row],[customer_id]])</f>
        <v>7</v>
      </c>
      <c r="N142" t="str">
        <f>IF(Table4[[#This Row],[customer_order_count]]=1,"New Customer","Repeat Customer")</f>
        <v>Repeat Customer</v>
      </c>
    </row>
    <row r="143" spans="1:14">
      <c r="A143" t="s">
        <v>4854</v>
      </c>
      <c r="B143" s="1">
        <v>45542</v>
      </c>
      <c r="C143" t="s">
        <v>3209</v>
      </c>
      <c r="D143" t="s">
        <v>1430</v>
      </c>
      <c r="E143" t="s">
        <v>21</v>
      </c>
      <c r="F143" t="s">
        <v>66</v>
      </c>
      <c r="G143" t="s">
        <v>128</v>
      </c>
      <c r="H143">
        <v>2</v>
      </c>
      <c r="I143" s="3">
        <v>10.63</v>
      </c>
      <c r="J143" t="s">
        <v>16</v>
      </c>
      <c r="K143" t="s">
        <v>40</v>
      </c>
      <c r="L143" s="4">
        <f>Table4[[#This Row],[quantity]]*Table4[[#This Row],[unit_price]]</f>
        <v>21.26</v>
      </c>
      <c r="M143">
        <f>COUNTIFS($C$2:$C$3934,Table4[[#This Row],[customer_id]])</f>
        <v>7</v>
      </c>
      <c r="N143" t="str">
        <f>IF(Table4[[#This Row],[customer_order_count]]=1,"New Customer","Repeat Customer")</f>
        <v>Repeat Customer</v>
      </c>
    </row>
    <row r="144" spans="1:14">
      <c r="A144" t="s">
        <v>3560</v>
      </c>
      <c r="B144" s="1">
        <v>45368</v>
      </c>
      <c r="C144" t="s">
        <v>1266</v>
      </c>
      <c r="D144" t="s">
        <v>828</v>
      </c>
      <c r="E144" t="s">
        <v>21</v>
      </c>
      <c r="F144" t="s">
        <v>14</v>
      </c>
      <c r="G144" t="s">
        <v>62</v>
      </c>
      <c r="H144">
        <v>1</v>
      </c>
      <c r="I144" s="3">
        <v>10.67</v>
      </c>
      <c r="J144" t="s">
        <v>16</v>
      </c>
      <c r="K144" t="s">
        <v>17</v>
      </c>
      <c r="L144" s="4">
        <f>Table4[[#This Row],[quantity]]*Table4[[#This Row],[unit_price]]</f>
        <v>10.67</v>
      </c>
      <c r="M144">
        <f>COUNTIFS($C$2:$C$3934,Table4[[#This Row],[customer_id]])</f>
        <v>7</v>
      </c>
      <c r="N144" t="str">
        <f>IF(Table4[[#This Row],[customer_order_count]]=1,"New Customer","Repeat Customer")</f>
        <v>Repeat Customer</v>
      </c>
    </row>
    <row r="145" spans="1:14">
      <c r="A145" t="s">
        <v>5252</v>
      </c>
      <c r="B145" s="1">
        <v>45106</v>
      </c>
      <c r="C145" t="s">
        <v>1580</v>
      </c>
      <c r="D145" s="2" t="s">
        <v>5257</v>
      </c>
      <c r="E145" t="s">
        <v>44</v>
      </c>
      <c r="F145" t="s">
        <v>66</v>
      </c>
      <c r="G145" t="s">
        <v>128</v>
      </c>
      <c r="H145">
        <v>1</v>
      </c>
      <c r="I145" s="3">
        <v>10.67</v>
      </c>
      <c r="J145" t="s">
        <v>16</v>
      </c>
      <c r="K145" t="s">
        <v>40</v>
      </c>
      <c r="L145" s="4">
        <f>Table4[[#This Row],[quantity]]*Table4[[#This Row],[unit_price]]</f>
        <v>10.67</v>
      </c>
      <c r="M145">
        <f>COUNTIFS($C$2:$C$3934,Table4[[#This Row],[customer_id]])</f>
        <v>7</v>
      </c>
      <c r="N145" t="str">
        <f>IF(Table4[[#This Row],[customer_order_count]]=1,"New Customer","Repeat Customer")</f>
        <v>Repeat Customer</v>
      </c>
    </row>
    <row r="146" spans="1:14">
      <c r="A146" t="s">
        <v>2118</v>
      </c>
      <c r="B146" s="1">
        <v>45081</v>
      </c>
      <c r="C146" t="s">
        <v>2119</v>
      </c>
      <c r="D146" t="s">
        <v>48</v>
      </c>
      <c r="E146" t="s">
        <v>21</v>
      </c>
      <c r="F146" t="s">
        <v>70</v>
      </c>
      <c r="G146" t="s">
        <v>89</v>
      </c>
      <c r="H146">
        <v>4</v>
      </c>
      <c r="I146" s="3">
        <v>10.67</v>
      </c>
      <c r="J146" t="s">
        <v>16</v>
      </c>
      <c r="K146" t="s">
        <v>30</v>
      </c>
      <c r="L146" s="4">
        <f>Table4[[#This Row],[quantity]]*Table4[[#This Row],[unit_price]]</f>
        <v>42.68</v>
      </c>
      <c r="M146">
        <f>COUNTIFS($C$2:$C$3934,Table4[[#This Row],[customer_id]])</f>
        <v>3</v>
      </c>
      <c r="N146" t="str">
        <f>IF(Table4[[#This Row],[customer_order_count]]=1,"New Customer","Repeat Customer")</f>
        <v>Repeat Customer</v>
      </c>
    </row>
    <row r="147" spans="1:14">
      <c r="A147" t="s">
        <v>4277</v>
      </c>
      <c r="B147" s="1">
        <v>44930</v>
      </c>
      <c r="C147" t="s">
        <v>188</v>
      </c>
      <c r="D147" t="s">
        <v>189</v>
      </c>
      <c r="E147" t="s">
        <v>21</v>
      </c>
      <c r="F147" t="s">
        <v>66</v>
      </c>
      <c r="G147" t="s">
        <v>49</v>
      </c>
      <c r="H147">
        <v>1</v>
      </c>
      <c r="I147" s="3">
        <v>10.72</v>
      </c>
      <c r="J147" t="s">
        <v>16</v>
      </c>
      <c r="K147" t="s">
        <v>35</v>
      </c>
      <c r="L147" s="4">
        <f>Table4[[#This Row],[quantity]]*Table4[[#This Row],[unit_price]]</f>
        <v>10.72</v>
      </c>
      <c r="M147">
        <f>COUNTIFS($C$2:$C$3934,Table4[[#This Row],[customer_id]])</f>
        <v>6</v>
      </c>
      <c r="N147" t="str">
        <f>IF(Table4[[#This Row],[customer_order_count]]=1,"New Customer","Repeat Customer")</f>
        <v>Repeat Customer</v>
      </c>
    </row>
    <row r="148" spans="1:14">
      <c r="A148" t="s">
        <v>341</v>
      </c>
      <c r="B148" s="1">
        <v>45011</v>
      </c>
      <c r="C148" t="s">
        <v>342</v>
      </c>
      <c r="D148" t="s">
        <v>343</v>
      </c>
      <c r="E148" t="s">
        <v>44</v>
      </c>
      <c r="F148" t="s">
        <v>66</v>
      </c>
      <c r="G148" t="s">
        <v>238</v>
      </c>
      <c r="H148">
        <v>1</v>
      </c>
      <c r="I148" s="3">
        <v>10.73</v>
      </c>
      <c r="J148" t="s">
        <v>16</v>
      </c>
      <c r="K148" t="s">
        <v>17</v>
      </c>
      <c r="L148" s="4">
        <f>Table4[[#This Row],[quantity]]*Table4[[#This Row],[unit_price]]</f>
        <v>10.73</v>
      </c>
      <c r="M148">
        <f>COUNTIFS($C$2:$C$3934,Table4[[#This Row],[customer_id]])</f>
        <v>8</v>
      </c>
      <c r="N148" t="str">
        <f>IF(Table4[[#This Row],[customer_order_count]]=1,"New Customer","Repeat Customer")</f>
        <v>Repeat Customer</v>
      </c>
    </row>
    <row r="149" spans="1:14">
      <c r="A149" t="s">
        <v>1393</v>
      </c>
      <c r="B149" s="1">
        <v>45333</v>
      </c>
      <c r="C149" t="s">
        <v>1394</v>
      </c>
      <c r="D149" t="s">
        <v>609</v>
      </c>
      <c r="E149" t="s">
        <v>21</v>
      </c>
      <c r="F149" t="s">
        <v>28</v>
      </c>
      <c r="G149" t="s">
        <v>29</v>
      </c>
      <c r="H149">
        <v>1</v>
      </c>
      <c r="I149" s="3">
        <v>10.74</v>
      </c>
      <c r="J149" t="s">
        <v>16</v>
      </c>
      <c r="K149" t="s">
        <v>17</v>
      </c>
      <c r="L149" s="4">
        <f>Table4[[#This Row],[quantity]]*Table4[[#This Row],[unit_price]]</f>
        <v>10.74</v>
      </c>
      <c r="M149">
        <f>COUNTIFS($C$2:$C$3934,Table4[[#This Row],[customer_id]])</f>
        <v>5</v>
      </c>
      <c r="N149" t="str">
        <f>IF(Table4[[#This Row],[customer_order_count]]=1,"New Customer","Repeat Customer")</f>
        <v>Repeat Customer</v>
      </c>
    </row>
    <row r="150" spans="1:14">
      <c r="A150" t="s">
        <v>311</v>
      </c>
      <c r="B150" s="1">
        <v>45418</v>
      </c>
      <c r="C150" t="s">
        <v>312</v>
      </c>
      <c r="D150" t="s">
        <v>313</v>
      </c>
      <c r="E150" t="s">
        <v>21</v>
      </c>
      <c r="F150" t="s">
        <v>66</v>
      </c>
      <c r="G150" t="s">
        <v>217</v>
      </c>
      <c r="H150">
        <v>1</v>
      </c>
      <c r="I150" s="3">
        <v>10.77</v>
      </c>
      <c r="J150" t="s">
        <v>16</v>
      </c>
      <c r="K150" t="s">
        <v>40</v>
      </c>
      <c r="L150" s="4">
        <f>Table4[[#This Row],[quantity]]*Table4[[#This Row],[unit_price]]</f>
        <v>10.77</v>
      </c>
      <c r="M150">
        <f>COUNTIFS($C$2:$C$3934,Table4[[#This Row],[customer_id]])</f>
        <v>7</v>
      </c>
      <c r="N150" t="str">
        <f>IF(Table4[[#This Row],[customer_order_count]]=1,"New Customer","Repeat Customer")</f>
        <v>Repeat Customer</v>
      </c>
    </row>
    <row r="151" spans="1:14">
      <c r="A151" t="s">
        <v>1426</v>
      </c>
      <c r="B151" s="1">
        <v>45220</v>
      </c>
      <c r="C151" t="s">
        <v>395</v>
      </c>
      <c r="D151" t="s">
        <v>396</v>
      </c>
      <c r="E151" t="s">
        <v>21</v>
      </c>
      <c r="F151" t="s">
        <v>70</v>
      </c>
      <c r="G151" t="s">
        <v>337</v>
      </c>
      <c r="H151">
        <v>2</v>
      </c>
      <c r="I151" s="3">
        <v>10.79</v>
      </c>
      <c r="J151" t="s">
        <v>16</v>
      </c>
      <c r="K151" t="s">
        <v>17</v>
      </c>
      <c r="L151" s="4">
        <f>Table4[[#This Row],[quantity]]*Table4[[#This Row],[unit_price]]</f>
        <v>21.58</v>
      </c>
      <c r="M151">
        <f>COUNTIFS($C$2:$C$3934,Table4[[#This Row],[customer_id]])</f>
        <v>6</v>
      </c>
      <c r="N151" t="str">
        <f>IF(Table4[[#This Row],[customer_order_count]]=1,"New Customer","Repeat Customer")</f>
        <v>Repeat Customer</v>
      </c>
    </row>
    <row r="152" spans="1:14">
      <c r="A152" t="s">
        <v>4565</v>
      </c>
      <c r="B152" s="1">
        <v>45003</v>
      </c>
      <c r="C152" t="s">
        <v>1246</v>
      </c>
      <c r="D152" t="s">
        <v>947</v>
      </c>
      <c r="E152" t="s">
        <v>21</v>
      </c>
      <c r="F152" t="s">
        <v>14</v>
      </c>
      <c r="G152" t="s">
        <v>39</v>
      </c>
      <c r="H152">
        <v>1</v>
      </c>
      <c r="I152" s="3">
        <v>10.83</v>
      </c>
      <c r="J152" t="s">
        <v>16</v>
      </c>
      <c r="K152" s="2" t="s">
        <v>5256</v>
      </c>
      <c r="L152" s="4">
        <f>Table4[[#This Row],[quantity]]*Table4[[#This Row],[unit_price]]</f>
        <v>10.83</v>
      </c>
      <c r="M152">
        <f>COUNTIFS($C$2:$C$3934,Table4[[#This Row],[customer_id]])</f>
        <v>8</v>
      </c>
      <c r="N152" t="str">
        <f>IF(Table4[[#This Row],[customer_order_count]]=1,"New Customer","Repeat Customer")</f>
        <v>Repeat Customer</v>
      </c>
    </row>
    <row r="153" spans="1:14">
      <c r="A153" t="s">
        <v>4041</v>
      </c>
      <c r="B153" s="1">
        <v>45515</v>
      </c>
      <c r="C153" t="s">
        <v>3639</v>
      </c>
      <c r="D153" s="2" t="s">
        <v>5257</v>
      </c>
      <c r="E153" t="s">
        <v>21</v>
      </c>
      <c r="F153" t="s">
        <v>66</v>
      </c>
      <c r="G153" t="s">
        <v>128</v>
      </c>
      <c r="H153">
        <v>4</v>
      </c>
      <c r="I153" s="3">
        <v>10.83</v>
      </c>
      <c r="J153" t="s">
        <v>16</v>
      </c>
      <c r="K153" t="s">
        <v>17</v>
      </c>
      <c r="L153" s="4">
        <f>Table4[[#This Row],[quantity]]*Table4[[#This Row],[unit_price]]</f>
        <v>43.32</v>
      </c>
      <c r="M153">
        <f>COUNTIFS($C$2:$C$3934,Table4[[#This Row],[customer_id]])</f>
        <v>3</v>
      </c>
      <c r="N153" t="str">
        <f>IF(Table4[[#This Row],[customer_order_count]]=1,"New Customer","Repeat Customer")</f>
        <v>Repeat Customer</v>
      </c>
    </row>
    <row r="154" spans="1:14">
      <c r="A154" t="s">
        <v>3352</v>
      </c>
      <c r="B154" s="1">
        <v>45065</v>
      </c>
      <c r="C154" t="s">
        <v>1173</v>
      </c>
      <c r="D154" t="s">
        <v>1153</v>
      </c>
      <c r="E154" t="s">
        <v>21</v>
      </c>
      <c r="F154" t="s">
        <v>66</v>
      </c>
      <c r="G154" t="s">
        <v>217</v>
      </c>
      <c r="H154">
        <v>2</v>
      </c>
      <c r="I154" s="3">
        <v>10.87</v>
      </c>
      <c r="J154" t="s">
        <v>85</v>
      </c>
      <c r="K154" t="s">
        <v>35</v>
      </c>
      <c r="L154" s="4">
        <f>Table4[[#This Row],[quantity]]*Table4[[#This Row],[unit_price]]</f>
        <v>21.74</v>
      </c>
      <c r="M154">
        <f>COUNTIFS($C$2:$C$3934,Table4[[#This Row],[customer_id]])</f>
        <v>8</v>
      </c>
      <c r="N154" t="str">
        <f>IF(Table4[[#This Row],[customer_order_count]]=1,"New Customer","Repeat Customer")</f>
        <v>Repeat Customer</v>
      </c>
    </row>
    <row r="155" spans="1:14">
      <c r="A155" t="s">
        <v>46</v>
      </c>
      <c r="B155" s="1">
        <v>45519</v>
      </c>
      <c r="C155" t="s">
        <v>47</v>
      </c>
      <c r="D155" t="s">
        <v>48</v>
      </c>
      <c r="E155" t="s">
        <v>21</v>
      </c>
      <c r="F155" t="s">
        <v>66</v>
      </c>
      <c r="G155" t="s">
        <v>49</v>
      </c>
      <c r="H155">
        <v>2</v>
      </c>
      <c r="I155" s="3">
        <v>10.88</v>
      </c>
      <c r="J155" t="s">
        <v>16</v>
      </c>
      <c r="K155" t="s">
        <v>30</v>
      </c>
      <c r="L155" s="4">
        <f>Table4[[#This Row],[quantity]]*Table4[[#This Row],[unit_price]]</f>
        <v>21.76</v>
      </c>
      <c r="M155">
        <f>COUNTIFS($C$2:$C$3934,Table4[[#This Row],[customer_id]])</f>
        <v>8</v>
      </c>
      <c r="N155" t="str">
        <f>IF(Table4[[#This Row],[customer_order_count]]=1,"New Customer","Repeat Customer")</f>
        <v>Repeat Customer</v>
      </c>
    </row>
    <row r="156" spans="1:14">
      <c r="A156" t="s">
        <v>4562</v>
      </c>
      <c r="B156" s="1">
        <v>45169</v>
      </c>
      <c r="C156" t="s">
        <v>2004</v>
      </c>
      <c r="D156" t="s">
        <v>99</v>
      </c>
      <c r="E156" t="s">
        <v>44</v>
      </c>
      <c r="F156" t="s">
        <v>66</v>
      </c>
      <c r="G156" t="s">
        <v>67</v>
      </c>
      <c r="H156">
        <v>1</v>
      </c>
      <c r="I156" s="3">
        <v>10.89</v>
      </c>
      <c r="J156" t="s">
        <v>16</v>
      </c>
      <c r="K156" t="s">
        <v>35</v>
      </c>
      <c r="L156" s="4">
        <f>Table4[[#This Row],[quantity]]*Table4[[#This Row],[unit_price]]</f>
        <v>10.89</v>
      </c>
      <c r="M156">
        <f>COUNTIFS($C$2:$C$3934,Table4[[#This Row],[customer_id]])</f>
        <v>6</v>
      </c>
      <c r="N156" t="str">
        <f>IF(Table4[[#This Row],[customer_order_count]]=1,"New Customer","Repeat Customer")</f>
        <v>Repeat Customer</v>
      </c>
    </row>
    <row r="157" spans="1:14">
      <c r="A157" t="s">
        <v>2822</v>
      </c>
      <c r="B157" s="1">
        <v>45424</v>
      </c>
      <c r="C157" t="s">
        <v>2204</v>
      </c>
      <c r="D157" t="s">
        <v>396</v>
      </c>
      <c r="E157" t="s">
        <v>21</v>
      </c>
      <c r="F157" t="s">
        <v>66</v>
      </c>
      <c r="G157" t="s">
        <v>49</v>
      </c>
      <c r="H157">
        <v>1</v>
      </c>
      <c r="I157" s="3">
        <v>10.89</v>
      </c>
      <c r="J157" t="s">
        <v>16</v>
      </c>
      <c r="K157" t="s">
        <v>35</v>
      </c>
      <c r="L157" s="4">
        <f>Table4[[#This Row],[quantity]]*Table4[[#This Row],[unit_price]]</f>
        <v>10.89</v>
      </c>
      <c r="M157">
        <f>COUNTIFS($C$2:$C$3934,Table4[[#This Row],[customer_id]])</f>
        <v>4</v>
      </c>
      <c r="N157" t="str">
        <f>IF(Table4[[#This Row],[customer_order_count]]=1,"New Customer","Repeat Customer")</f>
        <v>Repeat Customer</v>
      </c>
    </row>
    <row r="158" spans="1:14">
      <c r="A158" t="s">
        <v>924</v>
      </c>
      <c r="B158" s="1">
        <v>45283</v>
      </c>
      <c r="C158" t="s">
        <v>925</v>
      </c>
      <c r="D158" t="s">
        <v>383</v>
      </c>
      <c r="E158" t="s">
        <v>21</v>
      </c>
      <c r="F158" t="s">
        <v>28</v>
      </c>
      <c r="G158" t="s">
        <v>139</v>
      </c>
      <c r="H158">
        <v>2</v>
      </c>
      <c r="I158" s="3">
        <v>10.9</v>
      </c>
      <c r="J158" t="s">
        <v>16</v>
      </c>
      <c r="K158" t="s">
        <v>40</v>
      </c>
      <c r="L158" s="4">
        <f>Table4[[#This Row],[quantity]]*Table4[[#This Row],[unit_price]]</f>
        <v>21.8</v>
      </c>
      <c r="M158">
        <f>COUNTIFS($C$2:$C$3934,Table4[[#This Row],[customer_id]])</f>
        <v>6</v>
      </c>
      <c r="N158" t="str">
        <f>IF(Table4[[#This Row],[customer_order_count]]=1,"New Customer","Repeat Customer")</f>
        <v>Repeat Customer</v>
      </c>
    </row>
    <row r="159" spans="1:14">
      <c r="A159" t="s">
        <v>2131</v>
      </c>
      <c r="B159" s="1">
        <v>45089</v>
      </c>
      <c r="C159" t="s">
        <v>323</v>
      </c>
      <c r="D159" t="s">
        <v>324</v>
      </c>
      <c r="E159" t="s">
        <v>44</v>
      </c>
      <c r="F159" t="s">
        <v>14</v>
      </c>
      <c r="G159" t="s">
        <v>100</v>
      </c>
      <c r="H159">
        <v>1</v>
      </c>
      <c r="I159" s="3">
        <v>10.93</v>
      </c>
      <c r="J159" t="s">
        <v>16</v>
      </c>
      <c r="K159" t="s">
        <v>30</v>
      </c>
      <c r="L159" s="4">
        <f>Table4[[#This Row],[quantity]]*Table4[[#This Row],[unit_price]]</f>
        <v>10.93</v>
      </c>
      <c r="M159">
        <f>COUNTIFS($C$2:$C$3934,Table4[[#This Row],[customer_id]])</f>
        <v>6</v>
      </c>
      <c r="N159" t="str">
        <f>IF(Table4[[#This Row],[customer_order_count]]=1,"New Customer","Repeat Customer")</f>
        <v>Repeat Customer</v>
      </c>
    </row>
    <row r="160" spans="1:14">
      <c r="A160" t="s">
        <v>262</v>
      </c>
      <c r="B160" s="1">
        <v>45375</v>
      </c>
      <c r="C160" t="s">
        <v>263</v>
      </c>
      <c r="D160" t="s">
        <v>78</v>
      </c>
      <c r="E160" t="s">
        <v>21</v>
      </c>
      <c r="F160" t="s">
        <v>22</v>
      </c>
      <c r="G160" t="s">
        <v>264</v>
      </c>
      <c r="H160">
        <v>4</v>
      </c>
      <c r="I160" s="3">
        <v>10.95</v>
      </c>
      <c r="J160" t="s">
        <v>16</v>
      </c>
      <c r="K160" t="s">
        <v>35</v>
      </c>
      <c r="L160" s="4">
        <f>Table4[[#This Row],[quantity]]*Table4[[#This Row],[unit_price]]</f>
        <v>43.8</v>
      </c>
      <c r="M160">
        <f>COUNTIFS($C$2:$C$3934,Table4[[#This Row],[customer_id]])</f>
        <v>5</v>
      </c>
      <c r="N160" t="str">
        <f>IF(Table4[[#This Row],[customer_order_count]]=1,"New Customer","Repeat Customer")</f>
        <v>Repeat Customer</v>
      </c>
    </row>
    <row r="161" spans="1:14">
      <c r="A161" t="s">
        <v>2618</v>
      </c>
      <c r="B161" s="1">
        <v>45107</v>
      </c>
      <c r="C161" t="s">
        <v>1814</v>
      </c>
      <c r="D161" t="s">
        <v>1453</v>
      </c>
      <c r="E161" t="s">
        <v>21</v>
      </c>
      <c r="F161" t="s">
        <v>28</v>
      </c>
      <c r="G161" t="s">
        <v>45</v>
      </c>
      <c r="H161">
        <v>1</v>
      </c>
      <c r="I161" s="3">
        <v>10.96</v>
      </c>
      <c r="J161" t="s">
        <v>16</v>
      </c>
      <c r="K161" t="s">
        <v>35</v>
      </c>
      <c r="L161" s="4">
        <f>Table4[[#This Row],[quantity]]*Table4[[#This Row],[unit_price]]</f>
        <v>10.96</v>
      </c>
      <c r="M161">
        <f>COUNTIFS($C$2:$C$3934,Table4[[#This Row],[customer_id]])</f>
        <v>8</v>
      </c>
      <c r="N161" t="str">
        <f>IF(Table4[[#This Row],[customer_order_count]]=1,"New Customer","Repeat Customer")</f>
        <v>Repeat Customer</v>
      </c>
    </row>
    <row r="162" spans="1:14">
      <c r="A162" t="s">
        <v>2995</v>
      </c>
      <c r="B162" s="1">
        <v>45494</v>
      </c>
      <c r="C162" t="s">
        <v>483</v>
      </c>
      <c r="D162" t="s">
        <v>484</v>
      </c>
      <c r="E162" t="s">
        <v>61</v>
      </c>
      <c r="F162" t="s">
        <v>70</v>
      </c>
      <c r="G162" t="s">
        <v>89</v>
      </c>
      <c r="H162">
        <v>4</v>
      </c>
      <c r="I162" s="3">
        <v>10.99</v>
      </c>
      <c r="J162" t="s">
        <v>16</v>
      </c>
      <c r="K162" t="s">
        <v>35</v>
      </c>
      <c r="L162" s="4">
        <f>Table4[[#This Row],[quantity]]*Table4[[#This Row],[unit_price]]</f>
        <v>43.96</v>
      </c>
      <c r="M162">
        <f>COUNTIFS($C$2:$C$3934,Table4[[#This Row],[customer_id]])</f>
        <v>4</v>
      </c>
      <c r="N162" t="str">
        <f>IF(Table4[[#This Row],[customer_order_count]]=1,"New Customer","Repeat Customer")</f>
        <v>Repeat Customer</v>
      </c>
    </row>
    <row r="163" spans="1:14">
      <c r="A163" t="s">
        <v>3270</v>
      </c>
      <c r="B163" s="1">
        <v>45004</v>
      </c>
      <c r="C163" t="s">
        <v>3234</v>
      </c>
      <c r="D163" t="s">
        <v>43</v>
      </c>
      <c r="E163" t="s">
        <v>21</v>
      </c>
      <c r="F163" t="s">
        <v>22</v>
      </c>
      <c r="G163" t="s">
        <v>142</v>
      </c>
      <c r="H163">
        <v>4</v>
      </c>
      <c r="I163" s="3">
        <v>11</v>
      </c>
      <c r="J163" t="s">
        <v>16</v>
      </c>
      <c r="K163" t="s">
        <v>17</v>
      </c>
      <c r="L163" s="4">
        <f>Table4[[#This Row],[quantity]]*Table4[[#This Row],[unit_price]]</f>
        <v>44</v>
      </c>
      <c r="M163">
        <f>COUNTIFS($C$2:$C$3934,Table4[[#This Row],[customer_id]])</f>
        <v>4</v>
      </c>
      <c r="N163" t="str">
        <f>IF(Table4[[#This Row],[customer_order_count]]=1,"New Customer","Repeat Customer")</f>
        <v>Repeat Customer</v>
      </c>
    </row>
    <row r="164" spans="1:14">
      <c r="A164" t="s">
        <v>1744</v>
      </c>
      <c r="B164" s="1">
        <v>45535</v>
      </c>
      <c r="C164" t="s">
        <v>1745</v>
      </c>
      <c r="D164" t="s">
        <v>499</v>
      </c>
      <c r="E164" t="s">
        <v>44</v>
      </c>
      <c r="F164" t="s">
        <v>22</v>
      </c>
      <c r="G164" t="s">
        <v>135</v>
      </c>
      <c r="H164">
        <v>1</v>
      </c>
      <c r="I164" s="3">
        <v>11.01</v>
      </c>
      <c r="J164" t="s">
        <v>16</v>
      </c>
      <c r="K164" t="s">
        <v>40</v>
      </c>
      <c r="L164" s="4">
        <f>Table4[[#This Row],[quantity]]*Table4[[#This Row],[unit_price]]</f>
        <v>11.01</v>
      </c>
      <c r="M164">
        <f>COUNTIFS($C$2:$C$3934,Table4[[#This Row],[customer_id]])</f>
        <v>2</v>
      </c>
      <c r="N164" t="str">
        <f>IF(Table4[[#This Row],[customer_order_count]]=1,"New Customer","Repeat Customer")</f>
        <v>Repeat Customer</v>
      </c>
    </row>
    <row r="165" spans="1:14">
      <c r="A165" t="s">
        <v>4506</v>
      </c>
      <c r="B165" s="1">
        <v>45488</v>
      </c>
      <c r="C165" t="s">
        <v>1685</v>
      </c>
      <c r="D165" t="s">
        <v>1686</v>
      </c>
      <c r="E165" t="s">
        <v>44</v>
      </c>
      <c r="F165" t="s">
        <v>66</v>
      </c>
      <c r="G165" t="s">
        <v>217</v>
      </c>
      <c r="H165">
        <v>3</v>
      </c>
      <c r="I165" s="3">
        <v>11.03</v>
      </c>
      <c r="J165" t="s">
        <v>16</v>
      </c>
      <c r="K165" t="s">
        <v>17</v>
      </c>
      <c r="L165" s="4">
        <f>Table4[[#This Row],[quantity]]*Table4[[#This Row],[unit_price]]</f>
        <v>33.089999999999996</v>
      </c>
      <c r="M165">
        <f>COUNTIFS($C$2:$C$3934,Table4[[#This Row],[customer_id]])</f>
        <v>4</v>
      </c>
      <c r="N165" t="str">
        <f>IF(Table4[[#This Row],[customer_order_count]]=1,"New Customer","Repeat Customer")</f>
        <v>Repeat Customer</v>
      </c>
    </row>
    <row r="166" spans="1:14">
      <c r="A166" t="s">
        <v>4435</v>
      </c>
      <c r="B166" s="1">
        <v>45029</v>
      </c>
      <c r="C166" t="s">
        <v>3448</v>
      </c>
      <c r="D166" t="s">
        <v>359</v>
      </c>
      <c r="E166" t="s">
        <v>21</v>
      </c>
      <c r="F166" t="s">
        <v>70</v>
      </c>
      <c r="G166" t="s">
        <v>71</v>
      </c>
      <c r="H166">
        <v>1</v>
      </c>
      <c r="I166" s="3">
        <v>11.03</v>
      </c>
      <c r="J166" t="s">
        <v>16</v>
      </c>
      <c r="K166" t="s">
        <v>30</v>
      </c>
      <c r="L166" s="4">
        <f>Table4[[#This Row],[quantity]]*Table4[[#This Row],[unit_price]]</f>
        <v>11.03</v>
      </c>
      <c r="M166">
        <f>COUNTIFS($C$2:$C$3934,Table4[[#This Row],[customer_id]])</f>
        <v>4</v>
      </c>
      <c r="N166" t="str">
        <f>IF(Table4[[#This Row],[customer_order_count]]=1,"New Customer","Repeat Customer")</f>
        <v>Repeat Customer</v>
      </c>
    </row>
    <row r="167" spans="1:14">
      <c r="A167" t="s">
        <v>3494</v>
      </c>
      <c r="B167" s="1">
        <v>45527</v>
      </c>
      <c r="C167" t="s">
        <v>3495</v>
      </c>
      <c r="D167" t="s">
        <v>1176</v>
      </c>
      <c r="E167" t="s">
        <v>21</v>
      </c>
      <c r="F167" t="s">
        <v>70</v>
      </c>
      <c r="G167" t="s">
        <v>110</v>
      </c>
      <c r="H167">
        <v>4</v>
      </c>
      <c r="I167" s="3">
        <v>11.05</v>
      </c>
      <c r="J167" t="s">
        <v>16</v>
      </c>
      <c r="K167" t="s">
        <v>30</v>
      </c>
      <c r="L167" s="4">
        <f>Table4[[#This Row],[quantity]]*Table4[[#This Row],[unit_price]]</f>
        <v>44.2</v>
      </c>
      <c r="M167">
        <f>COUNTIFS($C$2:$C$3934,Table4[[#This Row],[customer_id]])</f>
        <v>2</v>
      </c>
      <c r="N167" t="str">
        <f>IF(Table4[[#This Row],[customer_order_count]]=1,"New Customer","Repeat Customer")</f>
        <v>Repeat Customer</v>
      </c>
    </row>
    <row r="168" spans="1:14">
      <c r="A168" t="s">
        <v>4255</v>
      </c>
      <c r="B168" s="1">
        <v>45007</v>
      </c>
      <c r="C168" t="s">
        <v>1631</v>
      </c>
      <c r="D168" t="s">
        <v>403</v>
      </c>
      <c r="E168" t="s">
        <v>21</v>
      </c>
      <c r="F168" t="s">
        <v>28</v>
      </c>
      <c r="G168" t="s">
        <v>29</v>
      </c>
      <c r="H168">
        <v>5</v>
      </c>
      <c r="I168" s="3">
        <v>11.05</v>
      </c>
      <c r="J168" t="s">
        <v>16</v>
      </c>
      <c r="K168" t="s">
        <v>35</v>
      </c>
      <c r="L168" s="4">
        <f>Table4[[#This Row],[quantity]]*Table4[[#This Row],[unit_price]]</f>
        <v>55.25</v>
      </c>
      <c r="M168">
        <f>COUNTIFS($C$2:$C$3934,Table4[[#This Row],[customer_id]])</f>
        <v>7</v>
      </c>
      <c r="N168" t="str">
        <f>IF(Table4[[#This Row],[customer_order_count]]=1,"New Customer","Repeat Customer")</f>
        <v>Repeat Customer</v>
      </c>
    </row>
    <row r="169" spans="1:14">
      <c r="A169" t="s">
        <v>1076</v>
      </c>
      <c r="B169" s="1">
        <v>45604</v>
      </c>
      <c r="C169" t="s">
        <v>246</v>
      </c>
      <c r="D169" t="s">
        <v>247</v>
      </c>
      <c r="E169" t="s">
        <v>21</v>
      </c>
      <c r="F169" t="s">
        <v>28</v>
      </c>
      <c r="G169" t="s">
        <v>114</v>
      </c>
      <c r="H169">
        <v>3</v>
      </c>
      <c r="I169" s="3">
        <v>11.12</v>
      </c>
      <c r="J169" t="s">
        <v>16</v>
      </c>
      <c r="K169" t="s">
        <v>17</v>
      </c>
      <c r="L169" s="4">
        <f>Table4[[#This Row],[quantity]]*Table4[[#This Row],[unit_price]]</f>
        <v>33.36</v>
      </c>
      <c r="M169">
        <f>COUNTIFS($C$2:$C$3934,Table4[[#This Row],[customer_id]])</f>
        <v>3</v>
      </c>
      <c r="N169" t="str">
        <f>IF(Table4[[#This Row],[customer_order_count]]=1,"New Customer","Repeat Customer")</f>
        <v>Repeat Customer</v>
      </c>
    </row>
    <row r="170" spans="1:14">
      <c r="A170" t="s">
        <v>4489</v>
      </c>
      <c r="B170" s="1">
        <v>45159</v>
      </c>
      <c r="C170" t="s">
        <v>2148</v>
      </c>
      <c r="D170" t="s">
        <v>1419</v>
      </c>
      <c r="E170" t="s">
        <v>44</v>
      </c>
      <c r="F170" t="s">
        <v>70</v>
      </c>
      <c r="G170" t="s">
        <v>170</v>
      </c>
      <c r="H170">
        <v>2</v>
      </c>
      <c r="I170" s="3">
        <v>11.18</v>
      </c>
      <c r="J170" t="s">
        <v>16</v>
      </c>
      <c r="K170" t="s">
        <v>17</v>
      </c>
      <c r="L170" s="4">
        <f>Table4[[#This Row],[quantity]]*Table4[[#This Row],[unit_price]]</f>
        <v>22.36</v>
      </c>
      <c r="M170">
        <f>COUNTIFS($C$2:$C$3934,Table4[[#This Row],[customer_id]])</f>
        <v>4</v>
      </c>
      <c r="N170" t="str">
        <f>IF(Table4[[#This Row],[customer_order_count]]=1,"New Customer","Repeat Customer")</f>
        <v>Repeat Customer</v>
      </c>
    </row>
    <row r="171" spans="1:14">
      <c r="A171" t="s">
        <v>4377</v>
      </c>
      <c r="B171" s="1">
        <v>45595</v>
      </c>
      <c r="C171" t="s">
        <v>1774</v>
      </c>
      <c r="D171" t="s">
        <v>1775</v>
      </c>
      <c r="E171" t="s">
        <v>44</v>
      </c>
      <c r="F171" t="s">
        <v>28</v>
      </c>
      <c r="G171" t="s">
        <v>29</v>
      </c>
      <c r="H171">
        <v>1</v>
      </c>
      <c r="I171" s="3">
        <v>11.2</v>
      </c>
      <c r="J171" t="s">
        <v>16</v>
      </c>
      <c r="K171" t="s">
        <v>35</v>
      </c>
      <c r="L171" s="4">
        <f>Table4[[#This Row],[quantity]]*Table4[[#This Row],[unit_price]]</f>
        <v>11.2</v>
      </c>
      <c r="M171">
        <f>COUNTIFS($C$2:$C$3934,Table4[[#This Row],[customer_id]])</f>
        <v>3</v>
      </c>
      <c r="N171" t="str">
        <f>IF(Table4[[#This Row],[customer_order_count]]=1,"New Customer","Repeat Customer")</f>
        <v>Repeat Customer</v>
      </c>
    </row>
    <row r="172" spans="1:14">
      <c r="A172" t="s">
        <v>4089</v>
      </c>
      <c r="B172" s="1">
        <v>45040</v>
      </c>
      <c r="C172" t="s">
        <v>1710</v>
      </c>
      <c r="D172" t="s">
        <v>396</v>
      </c>
      <c r="E172" t="s">
        <v>21</v>
      </c>
      <c r="F172" t="s">
        <v>28</v>
      </c>
      <c r="G172" t="s">
        <v>29</v>
      </c>
      <c r="H172">
        <v>3</v>
      </c>
      <c r="I172" s="3">
        <v>11.21</v>
      </c>
      <c r="J172" t="s">
        <v>16</v>
      </c>
      <c r="K172" t="s">
        <v>35</v>
      </c>
      <c r="L172" s="4">
        <f>Table4[[#This Row],[quantity]]*Table4[[#This Row],[unit_price]]</f>
        <v>33.630000000000003</v>
      </c>
      <c r="M172">
        <f>COUNTIFS($C$2:$C$3934,Table4[[#This Row],[customer_id]])</f>
        <v>10</v>
      </c>
      <c r="N172" t="str">
        <f>IF(Table4[[#This Row],[customer_order_count]]=1,"New Customer","Repeat Customer")</f>
        <v>Repeat Customer</v>
      </c>
    </row>
    <row r="173" spans="1:14">
      <c r="A173" t="s">
        <v>2526</v>
      </c>
      <c r="B173" s="1">
        <v>45138</v>
      </c>
      <c r="C173" t="s">
        <v>2527</v>
      </c>
      <c r="D173" t="s">
        <v>787</v>
      </c>
      <c r="E173" t="s">
        <v>21</v>
      </c>
      <c r="F173" t="s">
        <v>66</v>
      </c>
      <c r="G173" t="s">
        <v>217</v>
      </c>
      <c r="H173">
        <v>1</v>
      </c>
      <c r="I173" s="3">
        <v>11.27</v>
      </c>
      <c r="J173" t="s">
        <v>16</v>
      </c>
      <c r="K173" t="s">
        <v>35</v>
      </c>
      <c r="L173" s="4">
        <f>Table4[[#This Row],[quantity]]*Table4[[#This Row],[unit_price]]</f>
        <v>11.27</v>
      </c>
      <c r="M173">
        <f>COUNTIFS($C$2:$C$3934,Table4[[#This Row],[customer_id]])</f>
        <v>4</v>
      </c>
      <c r="N173" t="str">
        <f>IF(Table4[[#This Row],[customer_order_count]]=1,"New Customer","Repeat Customer")</f>
        <v>Repeat Customer</v>
      </c>
    </row>
    <row r="174" spans="1:14">
      <c r="A174" t="s">
        <v>5142</v>
      </c>
      <c r="B174" s="1">
        <v>45541</v>
      </c>
      <c r="C174" t="s">
        <v>1069</v>
      </c>
      <c r="D174" t="s">
        <v>1070</v>
      </c>
      <c r="E174" t="s">
        <v>21</v>
      </c>
      <c r="F174" t="s">
        <v>14</v>
      </c>
      <c r="G174" t="s">
        <v>34</v>
      </c>
      <c r="H174">
        <v>3</v>
      </c>
      <c r="I174" s="3">
        <v>11.27</v>
      </c>
      <c r="J174" t="s">
        <v>16</v>
      </c>
      <c r="K174" t="s">
        <v>30</v>
      </c>
      <c r="L174" s="4">
        <f>Table4[[#This Row],[quantity]]*Table4[[#This Row],[unit_price]]</f>
        <v>33.81</v>
      </c>
      <c r="M174">
        <f>COUNTIFS($C$2:$C$3934,Table4[[#This Row],[customer_id]])</f>
        <v>4</v>
      </c>
      <c r="N174" t="str">
        <f>IF(Table4[[#This Row],[customer_order_count]]=1,"New Customer","Repeat Customer")</f>
        <v>Repeat Customer</v>
      </c>
    </row>
    <row r="175" spans="1:14">
      <c r="A175" t="s">
        <v>4012</v>
      </c>
      <c r="B175" s="1">
        <v>45360</v>
      </c>
      <c r="C175" t="s">
        <v>1090</v>
      </c>
      <c r="D175" t="s">
        <v>1091</v>
      </c>
      <c r="E175" t="s">
        <v>44</v>
      </c>
      <c r="F175" t="s">
        <v>22</v>
      </c>
      <c r="G175" t="s">
        <v>162</v>
      </c>
      <c r="H175">
        <v>4</v>
      </c>
      <c r="I175" s="3">
        <v>11.28</v>
      </c>
      <c r="J175" t="s">
        <v>85</v>
      </c>
      <c r="K175" t="s">
        <v>40</v>
      </c>
      <c r="L175" s="4">
        <f>Table4[[#This Row],[quantity]]*Table4[[#This Row],[unit_price]]</f>
        <v>45.12</v>
      </c>
      <c r="M175">
        <f>COUNTIFS($C$2:$C$3934,Table4[[#This Row],[customer_id]])</f>
        <v>4</v>
      </c>
      <c r="N175" t="str">
        <f>IF(Table4[[#This Row],[customer_order_count]]=1,"New Customer","Repeat Customer")</f>
        <v>Repeat Customer</v>
      </c>
    </row>
    <row r="176" spans="1:14">
      <c r="A176" t="s">
        <v>4347</v>
      </c>
      <c r="B176" s="1">
        <v>45282</v>
      </c>
      <c r="C176" t="s">
        <v>498</v>
      </c>
      <c r="D176" t="s">
        <v>499</v>
      </c>
      <c r="E176" t="s">
        <v>21</v>
      </c>
      <c r="F176" t="s">
        <v>28</v>
      </c>
      <c r="G176" t="s">
        <v>139</v>
      </c>
      <c r="H176">
        <v>1</v>
      </c>
      <c r="I176" s="3">
        <v>11.31</v>
      </c>
      <c r="J176" t="s">
        <v>16</v>
      </c>
      <c r="K176" t="s">
        <v>17</v>
      </c>
      <c r="L176" s="4">
        <f>Table4[[#This Row],[quantity]]*Table4[[#This Row],[unit_price]]</f>
        <v>11.31</v>
      </c>
      <c r="M176">
        <f>COUNTIFS($C$2:$C$3934,Table4[[#This Row],[customer_id]])</f>
        <v>4</v>
      </c>
      <c r="N176" t="str">
        <f>IF(Table4[[#This Row],[customer_order_count]]=1,"New Customer","Repeat Customer")</f>
        <v>Repeat Customer</v>
      </c>
    </row>
    <row r="177" spans="1:14">
      <c r="A177" t="s">
        <v>4474</v>
      </c>
      <c r="B177" s="1">
        <v>45021</v>
      </c>
      <c r="C177" t="s">
        <v>2408</v>
      </c>
      <c r="D177" t="s">
        <v>2409</v>
      </c>
      <c r="E177" t="s">
        <v>21</v>
      </c>
      <c r="F177" t="s">
        <v>66</v>
      </c>
      <c r="G177" t="s">
        <v>238</v>
      </c>
      <c r="H177">
        <v>1</v>
      </c>
      <c r="I177" s="3">
        <v>11.36</v>
      </c>
      <c r="J177" t="s">
        <v>255</v>
      </c>
      <c r="K177" t="s">
        <v>17</v>
      </c>
      <c r="L177" s="4">
        <f>Table4[[#This Row],[quantity]]*Table4[[#This Row],[unit_price]]</f>
        <v>11.36</v>
      </c>
      <c r="M177">
        <f>COUNTIFS($C$2:$C$3934,Table4[[#This Row],[customer_id]])</f>
        <v>6</v>
      </c>
      <c r="N177" t="str">
        <f>IF(Table4[[#This Row],[customer_order_count]]=1,"New Customer","Repeat Customer")</f>
        <v>Repeat Customer</v>
      </c>
    </row>
    <row r="178" spans="1:14">
      <c r="A178" t="s">
        <v>3415</v>
      </c>
      <c r="B178" s="1">
        <v>45249</v>
      </c>
      <c r="C178" t="s">
        <v>2527</v>
      </c>
      <c r="D178" t="s">
        <v>787</v>
      </c>
      <c r="E178" t="s">
        <v>21</v>
      </c>
      <c r="F178" t="s">
        <v>14</v>
      </c>
      <c r="G178" t="s">
        <v>62</v>
      </c>
      <c r="H178">
        <v>2</v>
      </c>
      <c r="I178" s="3">
        <v>11.37</v>
      </c>
      <c r="J178" t="s">
        <v>85</v>
      </c>
      <c r="K178" t="s">
        <v>17</v>
      </c>
      <c r="L178" s="4">
        <f>Table4[[#This Row],[quantity]]*Table4[[#This Row],[unit_price]]</f>
        <v>22.74</v>
      </c>
      <c r="M178">
        <f>COUNTIFS($C$2:$C$3934,Table4[[#This Row],[customer_id]])</f>
        <v>4</v>
      </c>
      <c r="N178" t="str">
        <f>IF(Table4[[#This Row],[customer_order_count]]=1,"New Customer","Repeat Customer")</f>
        <v>Repeat Customer</v>
      </c>
    </row>
    <row r="179" spans="1:14">
      <c r="A179" t="s">
        <v>2974</v>
      </c>
      <c r="B179" s="1">
        <v>45333</v>
      </c>
      <c r="C179" t="s">
        <v>1472</v>
      </c>
      <c r="D179" t="s">
        <v>1473</v>
      </c>
      <c r="E179" t="s">
        <v>21</v>
      </c>
      <c r="F179" t="s">
        <v>66</v>
      </c>
      <c r="G179" t="s">
        <v>128</v>
      </c>
      <c r="H179">
        <v>2</v>
      </c>
      <c r="I179" s="3">
        <v>11.38</v>
      </c>
      <c r="J179" t="s">
        <v>16</v>
      </c>
      <c r="K179" t="s">
        <v>35</v>
      </c>
      <c r="L179" s="4">
        <f>Table4[[#This Row],[quantity]]*Table4[[#This Row],[unit_price]]</f>
        <v>22.76</v>
      </c>
      <c r="M179">
        <f>COUNTIFS($C$2:$C$3934,Table4[[#This Row],[customer_id]])</f>
        <v>5</v>
      </c>
      <c r="N179" t="str">
        <f>IF(Table4[[#This Row],[customer_order_count]]=1,"New Customer","Repeat Customer")</f>
        <v>Repeat Customer</v>
      </c>
    </row>
    <row r="180" spans="1:14">
      <c r="A180" t="s">
        <v>1512</v>
      </c>
      <c r="B180" s="1">
        <v>45633</v>
      </c>
      <c r="C180" t="s">
        <v>1513</v>
      </c>
      <c r="D180" t="s">
        <v>1514</v>
      </c>
      <c r="E180" t="s">
        <v>21</v>
      </c>
      <c r="F180" t="s">
        <v>28</v>
      </c>
      <c r="G180" t="s">
        <v>29</v>
      </c>
      <c r="H180">
        <v>1</v>
      </c>
      <c r="I180" s="3">
        <v>11.41</v>
      </c>
      <c r="J180" t="s">
        <v>16</v>
      </c>
      <c r="K180" t="s">
        <v>17</v>
      </c>
      <c r="L180" s="4">
        <f>Table4[[#This Row],[quantity]]*Table4[[#This Row],[unit_price]]</f>
        <v>11.41</v>
      </c>
      <c r="M180">
        <f>COUNTIFS($C$2:$C$3934,Table4[[#This Row],[customer_id]])</f>
        <v>5</v>
      </c>
      <c r="N180" t="str">
        <f>IF(Table4[[#This Row],[customer_order_count]]=1,"New Customer","Repeat Customer")</f>
        <v>Repeat Customer</v>
      </c>
    </row>
    <row r="181" spans="1:14">
      <c r="A181" t="s">
        <v>2741</v>
      </c>
      <c r="B181" s="1">
        <v>45595</v>
      </c>
      <c r="C181" t="s">
        <v>668</v>
      </c>
      <c r="D181" s="2" t="s">
        <v>5257</v>
      </c>
      <c r="E181" t="s">
        <v>44</v>
      </c>
      <c r="F181" t="s">
        <v>70</v>
      </c>
      <c r="G181" t="s">
        <v>526</v>
      </c>
      <c r="H181">
        <v>1</v>
      </c>
      <c r="I181" s="3">
        <v>11.42</v>
      </c>
      <c r="J181" t="s">
        <v>16</v>
      </c>
      <c r="K181" t="s">
        <v>40</v>
      </c>
      <c r="L181" s="4">
        <f>Table4[[#This Row],[quantity]]*Table4[[#This Row],[unit_price]]</f>
        <v>11.42</v>
      </c>
      <c r="M181">
        <f>COUNTIFS($C$2:$C$3934,Table4[[#This Row],[customer_id]])</f>
        <v>7</v>
      </c>
      <c r="N181" t="str">
        <f>IF(Table4[[#This Row],[customer_order_count]]=1,"New Customer","Repeat Customer")</f>
        <v>Repeat Customer</v>
      </c>
    </row>
    <row r="182" spans="1:14">
      <c r="A182" t="s">
        <v>1305</v>
      </c>
      <c r="B182" s="1">
        <v>44985</v>
      </c>
      <c r="C182" t="s">
        <v>1306</v>
      </c>
      <c r="D182" t="s">
        <v>38</v>
      </c>
      <c r="E182" t="s">
        <v>44</v>
      </c>
      <c r="F182" t="s">
        <v>66</v>
      </c>
      <c r="G182" t="s">
        <v>238</v>
      </c>
      <c r="H182">
        <v>1</v>
      </c>
      <c r="I182" s="3">
        <v>11.43</v>
      </c>
      <c r="J182" t="s">
        <v>16</v>
      </c>
      <c r="K182" t="s">
        <v>17</v>
      </c>
      <c r="L182" s="4">
        <f>Table4[[#This Row],[quantity]]*Table4[[#This Row],[unit_price]]</f>
        <v>11.43</v>
      </c>
      <c r="M182">
        <f>COUNTIFS($C$2:$C$3934,Table4[[#This Row],[customer_id]])</f>
        <v>3</v>
      </c>
      <c r="N182" t="str">
        <f>IF(Table4[[#This Row],[customer_order_count]]=1,"New Customer","Repeat Customer")</f>
        <v>Repeat Customer</v>
      </c>
    </row>
    <row r="183" spans="1:14">
      <c r="A183" t="s">
        <v>4727</v>
      </c>
      <c r="B183" s="1">
        <v>45259</v>
      </c>
      <c r="C183" t="s">
        <v>978</v>
      </c>
      <c r="D183" t="s">
        <v>292</v>
      </c>
      <c r="E183" t="s">
        <v>21</v>
      </c>
      <c r="F183" t="s">
        <v>28</v>
      </c>
      <c r="G183" t="s">
        <v>84</v>
      </c>
      <c r="H183">
        <v>1</v>
      </c>
      <c r="I183" s="3">
        <v>11.43</v>
      </c>
      <c r="J183" t="s">
        <v>255</v>
      </c>
      <c r="K183" t="s">
        <v>17</v>
      </c>
      <c r="L183" s="4">
        <f>Table4[[#This Row],[quantity]]*Table4[[#This Row],[unit_price]]</f>
        <v>11.43</v>
      </c>
      <c r="M183">
        <f>COUNTIFS($C$2:$C$3934,Table4[[#This Row],[customer_id]])</f>
        <v>9</v>
      </c>
      <c r="N183" t="str">
        <f>IF(Table4[[#This Row],[customer_order_count]]=1,"New Customer","Repeat Customer")</f>
        <v>Repeat Customer</v>
      </c>
    </row>
    <row r="184" spans="1:14">
      <c r="A184" t="s">
        <v>852</v>
      </c>
      <c r="B184" s="1">
        <v>45656</v>
      </c>
      <c r="C184" t="s">
        <v>853</v>
      </c>
      <c r="D184" t="s">
        <v>854</v>
      </c>
      <c r="E184" t="s">
        <v>21</v>
      </c>
      <c r="F184" t="s">
        <v>22</v>
      </c>
      <c r="G184" t="s">
        <v>162</v>
      </c>
      <c r="H184">
        <v>3</v>
      </c>
      <c r="I184" s="3">
        <v>11.45</v>
      </c>
      <c r="J184" t="s">
        <v>16</v>
      </c>
      <c r="K184" t="s">
        <v>30</v>
      </c>
      <c r="L184" s="4">
        <f>Table4[[#This Row],[quantity]]*Table4[[#This Row],[unit_price]]</f>
        <v>34.349999999999994</v>
      </c>
      <c r="M184">
        <f>COUNTIFS($C$2:$C$3934,Table4[[#This Row],[customer_id]])</f>
        <v>9</v>
      </c>
      <c r="N184" t="str">
        <f>IF(Table4[[#This Row],[customer_order_count]]=1,"New Customer","Repeat Customer")</f>
        <v>Repeat Customer</v>
      </c>
    </row>
    <row r="185" spans="1:14">
      <c r="A185" t="s">
        <v>1060</v>
      </c>
      <c r="B185" s="1">
        <v>45004</v>
      </c>
      <c r="C185" t="s">
        <v>374</v>
      </c>
      <c r="D185" t="s">
        <v>121</v>
      </c>
      <c r="E185" t="s">
        <v>21</v>
      </c>
      <c r="F185" t="s">
        <v>28</v>
      </c>
      <c r="G185" t="s">
        <v>139</v>
      </c>
      <c r="H185">
        <v>1</v>
      </c>
      <c r="I185" s="3">
        <v>11.48</v>
      </c>
      <c r="J185" t="s">
        <v>85</v>
      </c>
      <c r="K185" t="s">
        <v>40</v>
      </c>
      <c r="L185" s="4">
        <f>Table4[[#This Row],[quantity]]*Table4[[#This Row],[unit_price]]</f>
        <v>11.48</v>
      </c>
      <c r="M185">
        <f>COUNTIFS($C$2:$C$3934,Table4[[#This Row],[customer_id]])</f>
        <v>4</v>
      </c>
      <c r="N185" t="str">
        <f>IF(Table4[[#This Row],[customer_order_count]]=1,"New Customer","Repeat Customer")</f>
        <v>Repeat Customer</v>
      </c>
    </row>
    <row r="186" spans="1:14">
      <c r="A186" t="s">
        <v>2499</v>
      </c>
      <c r="B186" s="1">
        <v>45294</v>
      </c>
      <c r="C186" t="s">
        <v>2500</v>
      </c>
      <c r="D186" t="s">
        <v>1922</v>
      </c>
      <c r="E186" t="s">
        <v>21</v>
      </c>
      <c r="F186" t="s">
        <v>66</v>
      </c>
      <c r="G186" t="s">
        <v>217</v>
      </c>
      <c r="H186">
        <v>1</v>
      </c>
      <c r="I186" s="3">
        <v>11.54</v>
      </c>
      <c r="J186" t="s">
        <v>85</v>
      </c>
      <c r="K186" t="s">
        <v>30</v>
      </c>
      <c r="L186" s="4">
        <f>Table4[[#This Row],[quantity]]*Table4[[#This Row],[unit_price]]</f>
        <v>11.54</v>
      </c>
      <c r="M186">
        <f>COUNTIFS($C$2:$C$3934,Table4[[#This Row],[customer_id]])</f>
        <v>1</v>
      </c>
      <c r="N186" t="str">
        <f>IF(Table4[[#This Row],[customer_order_count]]=1,"New Customer","Repeat Customer")</f>
        <v>New Customer</v>
      </c>
    </row>
    <row r="187" spans="1:14">
      <c r="A187" t="s">
        <v>4625</v>
      </c>
      <c r="B187" s="1">
        <v>45426</v>
      </c>
      <c r="C187" t="s">
        <v>1763</v>
      </c>
      <c r="D187" t="s">
        <v>1103</v>
      </c>
      <c r="E187" t="s">
        <v>21</v>
      </c>
      <c r="F187" t="s">
        <v>70</v>
      </c>
      <c r="G187" t="s">
        <v>89</v>
      </c>
      <c r="H187">
        <v>2</v>
      </c>
      <c r="I187" s="3">
        <v>11.55</v>
      </c>
      <c r="J187" t="s">
        <v>16</v>
      </c>
      <c r="K187" t="s">
        <v>40</v>
      </c>
      <c r="L187" s="4">
        <f>Table4[[#This Row],[quantity]]*Table4[[#This Row],[unit_price]]</f>
        <v>23.1</v>
      </c>
      <c r="M187">
        <f>COUNTIFS($C$2:$C$3934,Table4[[#This Row],[customer_id]])</f>
        <v>8</v>
      </c>
      <c r="N187" t="str">
        <f>IF(Table4[[#This Row],[customer_order_count]]=1,"New Customer","Repeat Customer")</f>
        <v>Repeat Customer</v>
      </c>
    </row>
    <row r="188" spans="1:14">
      <c r="A188" t="s">
        <v>3440</v>
      </c>
      <c r="B188" s="1">
        <v>45312</v>
      </c>
      <c r="C188" t="s">
        <v>3441</v>
      </c>
      <c r="D188" t="s">
        <v>1292</v>
      </c>
      <c r="E188" t="s">
        <v>21</v>
      </c>
      <c r="F188" t="s">
        <v>66</v>
      </c>
      <c r="G188" t="s">
        <v>49</v>
      </c>
      <c r="H188">
        <v>3</v>
      </c>
      <c r="I188" s="3">
        <v>11.55</v>
      </c>
      <c r="J188" t="s">
        <v>255</v>
      </c>
      <c r="K188" t="s">
        <v>40</v>
      </c>
      <c r="L188" s="4">
        <f>Table4[[#This Row],[quantity]]*Table4[[#This Row],[unit_price]]</f>
        <v>34.650000000000006</v>
      </c>
      <c r="M188">
        <f>COUNTIFS($C$2:$C$3934,Table4[[#This Row],[customer_id]])</f>
        <v>2</v>
      </c>
      <c r="N188" t="str">
        <f>IF(Table4[[#This Row],[customer_order_count]]=1,"New Customer","Repeat Customer")</f>
        <v>Repeat Customer</v>
      </c>
    </row>
    <row r="189" spans="1:14">
      <c r="A189" t="s">
        <v>2159</v>
      </c>
      <c r="B189" s="1">
        <v>44928</v>
      </c>
      <c r="C189" t="s">
        <v>2160</v>
      </c>
      <c r="D189" t="s">
        <v>1164</v>
      </c>
      <c r="E189" t="s">
        <v>21</v>
      </c>
      <c r="F189" t="s">
        <v>66</v>
      </c>
      <c r="G189" t="s">
        <v>238</v>
      </c>
      <c r="H189">
        <v>1</v>
      </c>
      <c r="I189" s="3">
        <v>11.56</v>
      </c>
      <c r="J189" t="s">
        <v>16</v>
      </c>
      <c r="K189" t="s">
        <v>30</v>
      </c>
      <c r="L189" s="4">
        <f>Table4[[#This Row],[quantity]]*Table4[[#This Row],[unit_price]]</f>
        <v>11.56</v>
      </c>
      <c r="M189">
        <f>COUNTIFS($C$2:$C$3934,Table4[[#This Row],[customer_id]])</f>
        <v>4</v>
      </c>
      <c r="N189" t="str">
        <f>IF(Table4[[#This Row],[customer_order_count]]=1,"New Customer","Repeat Customer")</f>
        <v>Repeat Customer</v>
      </c>
    </row>
    <row r="190" spans="1:14">
      <c r="A190" t="s">
        <v>1623</v>
      </c>
      <c r="B190" s="1">
        <v>45394</v>
      </c>
      <c r="C190" t="s">
        <v>1624</v>
      </c>
      <c r="D190" t="s">
        <v>1625</v>
      </c>
      <c r="E190" t="s">
        <v>21</v>
      </c>
      <c r="F190" t="s">
        <v>28</v>
      </c>
      <c r="G190" t="s">
        <v>29</v>
      </c>
      <c r="H190">
        <v>2</v>
      </c>
      <c r="I190" s="3">
        <v>11.56</v>
      </c>
      <c r="J190" t="s">
        <v>255</v>
      </c>
      <c r="K190" t="s">
        <v>35</v>
      </c>
      <c r="L190" s="4">
        <f>Table4[[#This Row],[quantity]]*Table4[[#This Row],[unit_price]]</f>
        <v>23.12</v>
      </c>
      <c r="M190">
        <f>COUNTIFS($C$2:$C$3934,Table4[[#This Row],[customer_id]])</f>
        <v>8</v>
      </c>
      <c r="N190" t="str">
        <f>IF(Table4[[#This Row],[customer_order_count]]=1,"New Customer","Repeat Customer")</f>
        <v>Repeat Customer</v>
      </c>
    </row>
    <row r="191" spans="1:14">
      <c r="A191" t="s">
        <v>5122</v>
      </c>
      <c r="B191" s="1">
        <v>45630</v>
      </c>
      <c r="C191" t="s">
        <v>521</v>
      </c>
      <c r="D191" t="s">
        <v>522</v>
      </c>
      <c r="E191" t="s">
        <v>44</v>
      </c>
      <c r="F191" t="s">
        <v>28</v>
      </c>
      <c r="G191" t="s">
        <v>84</v>
      </c>
      <c r="H191">
        <v>5</v>
      </c>
      <c r="I191" s="3">
        <v>11.57</v>
      </c>
      <c r="J191" t="s">
        <v>255</v>
      </c>
      <c r="K191" t="s">
        <v>17</v>
      </c>
      <c r="L191" s="4">
        <f>Table4[[#This Row],[quantity]]*Table4[[#This Row],[unit_price]]</f>
        <v>57.85</v>
      </c>
      <c r="M191">
        <f>COUNTIFS($C$2:$C$3934,Table4[[#This Row],[customer_id]])</f>
        <v>5</v>
      </c>
      <c r="N191" t="str">
        <f>IF(Table4[[#This Row],[customer_order_count]]=1,"New Customer","Repeat Customer")</f>
        <v>Repeat Customer</v>
      </c>
    </row>
    <row r="192" spans="1:14">
      <c r="A192" t="s">
        <v>3819</v>
      </c>
      <c r="B192" s="1">
        <v>44943</v>
      </c>
      <c r="C192" t="s">
        <v>358</v>
      </c>
      <c r="D192" t="s">
        <v>359</v>
      </c>
      <c r="E192" t="s">
        <v>44</v>
      </c>
      <c r="F192" t="s">
        <v>28</v>
      </c>
      <c r="G192" t="s">
        <v>45</v>
      </c>
      <c r="H192">
        <v>1</v>
      </c>
      <c r="I192" s="3">
        <v>11.58</v>
      </c>
      <c r="J192" t="s">
        <v>16</v>
      </c>
      <c r="K192" t="s">
        <v>30</v>
      </c>
      <c r="L192" s="4">
        <f>Table4[[#This Row],[quantity]]*Table4[[#This Row],[unit_price]]</f>
        <v>11.58</v>
      </c>
      <c r="M192">
        <f>COUNTIFS($C$2:$C$3934,Table4[[#This Row],[customer_id]])</f>
        <v>4</v>
      </c>
      <c r="N192" t="str">
        <f>IF(Table4[[#This Row],[customer_order_count]]=1,"New Customer","Repeat Customer")</f>
        <v>Repeat Customer</v>
      </c>
    </row>
    <row r="193" spans="1:14">
      <c r="A193" t="s">
        <v>3928</v>
      </c>
      <c r="B193" s="1">
        <v>45395</v>
      </c>
      <c r="C193" t="s">
        <v>1530</v>
      </c>
      <c r="D193" t="s">
        <v>834</v>
      </c>
      <c r="E193" t="s">
        <v>21</v>
      </c>
      <c r="F193" t="s">
        <v>66</v>
      </c>
      <c r="G193" t="s">
        <v>49</v>
      </c>
      <c r="H193">
        <v>3</v>
      </c>
      <c r="I193" s="3">
        <v>11.58</v>
      </c>
      <c r="J193" t="s">
        <v>85</v>
      </c>
      <c r="K193" t="s">
        <v>35</v>
      </c>
      <c r="L193" s="4">
        <f>Table4[[#This Row],[quantity]]*Table4[[#This Row],[unit_price]]</f>
        <v>34.74</v>
      </c>
      <c r="M193">
        <f>COUNTIFS($C$2:$C$3934,Table4[[#This Row],[customer_id]])</f>
        <v>8</v>
      </c>
      <c r="N193" t="str">
        <f>IF(Table4[[#This Row],[customer_order_count]]=1,"New Customer","Repeat Customer")</f>
        <v>Repeat Customer</v>
      </c>
    </row>
    <row r="194" spans="1:14">
      <c r="A194" t="s">
        <v>2248</v>
      </c>
      <c r="B194" s="1">
        <v>44964</v>
      </c>
      <c r="C194" t="s">
        <v>2249</v>
      </c>
      <c r="D194" t="s">
        <v>1164</v>
      </c>
      <c r="E194" t="s">
        <v>21</v>
      </c>
      <c r="F194" t="s">
        <v>66</v>
      </c>
      <c r="G194" t="s">
        <v>49</v>
      </c>
      <c r="H194">
        <v>1</v>
      </c>
      <c r="I194" s="3">
        <v>11.59</v>
      </c>
      <c r="J194" t="s">
        <v>16</v>
      </c>
      <c r="K194" t="s">
        <v>30</v>
      </c>
      <c r="L194" s="4">
        <f>Table4[[#This Row],[quantity]]*Table4[[#This Row],[unit_price]]</f>
        <v>11.59</v>
      </c>
      <c r="M194">
        <f>COUNTIFS($C$2:$C$3934,Table4[[#This Row],[customer_id]])</f>
        <v>3</v>
      </c>
      <c r="N194" t="str">
        <f>IF(Table4[[#This Row],[customer_order_count]]=1,"New Customer","Repeat Customer")</f>
        <v>Repeat Customer</v>
      </c>
    </row>
    <row r="195" spans="1:14">
      <c r="A195" t="s">
        <v>3567</v>
      </c>
      <c r="B195" s="1">
        <v>45331</v>
      </c>
      <c r="C195" t="s">
        <v>2016</v>
      </c>
      <c r="D195" t="s">
        <v>612</v>
      </c>
      <c r="E195" t="s">
        <v>21</v>
      </c>
      <c r="F195" t="s">
        <v>66</v>
      </c>
      <c r="G195" t="s">
        <v>128</v>
      </c>
      <c r="H195">
        <v>1</v>
      </c>
      <c r="I195" s="3">
        <v>11.61</v>
      </c>
      <c r="J195" t="s">
        <v>85</v>
      </c>
      <c r="K195" t="s">
        <v>35</v>
      </c>
      <c r="L195" s="4">
        <f>Table4[[#This Row],[quantity]]*Table4[[#This Row],[unit_price]]</f>
        <v>11.61</v>
      </c>
      <c r="M195">
        <f>COUNTIFS($C$2:$C$3934,Table4[[#This Row],[customer_id]])</f>
        <v>3</v>
      </c>
      <c r="N195" t="str">
        <f>IF(Table4[[#This Row],[customer_order_count]]=1,"New Customer","Repeat Customer")</f>
        <v>Repeat Customer</v>
      </c>
    </row>
    <row r="196" spans="1:14">
      <c r="A196" t="s">
        <v>1609</v>
      </c>
      <c r="B196" s="1">
        <v>45649</v>
      </c>
      <c r="C196" t="s">
        <v>1429</v>
      </c>
      <c r="D196" t="s">
        <v>1430</v>
      </c>
      <c r="E196" t="s">
        <v>21</v>
      </c>
      <c r="F196" t="s">
        <v>14</v>
      </c>
      <c r="G196" t="s">
        <v>62</v>
      </c>
      <c r="H196">
        <v>2</v>
      </c>
      <c r="I196" s="3">
        <v>11.61</v>
      </c>
      <c r="J196" t="s">
        <v>16</v>
      </c>
      <c r="K196" s="2" t="s">
        <v>5256</v>
      </c>
      <c r="L196" s="4">
        <f>Table4[[#This Row],[quantity]]*Table4[[#This Row],[unit_price]]</f>
        <v>23.22</v>
      </c>
      <c r="M196">
        <f>COUNTIFS($C$2:$C$3934,Table4[[#This Row],[customer_id]])</f>
        <v>4</v>
      </c>
      <c r="N196" t="str">
        <f>IF(Table4[[#This Row],[customer_order_count]]=1,"New Customer","Repeat Customer")</f>
        <v>Repeat Customer</v>
      </c>
    </row>
    <row r="197" spans="1:14">
      <c r="A197" t="s">
        <v>2029</v>
      </c>
      <c r="B197" s="1">
        <v>45622</v>
      </c>
      <c r="C197" t="s">
        <v>1909</v>
      </c>
      <c r="D197" t="s">
        <v>815</v>
      </c>
      <c r="E197" t="s">
        <v>44</v>
      </c>
      <c r="F197" t="s">
        <v>70</v>
      </c>
      <c r="G197" t="s">
        <v>146</v>
      </c>
      <c r="H197">
        <v>1</v>
      </c>
      <c r="I197" s="3">
        <v>11.62</v>
      </c>
      <c r="J197" t="s">
        <v>16</v>
      </c>
      <c r="K197" t="s">
        <v>35</v>
      </c>
      <c r="L197" s="4">
        <f>Table4[[#This Row],[quantity]]*Table4[[#This Row],[unit_price]]</f>
        <v>11.62</v>
      </c>
      <c r="M197">
        <f>COUNTIFS($C$2:$C$3934,Table4[[#This Row],[customer_id]])</f>
        <v>2</v>
      </c>
      <c r="N197" t="str">
        <f>IF(Table4[[#This Row],[customer_order_count]]=1,"New Customer","Repeat Customer")</f>
        <v>Repeat Customer</v>
      </c>
    </row>
    <row r="198" spans="1:14">
      <c r="A198" t="s">
        <v>545</v>
      </c>
      <c r="B198" s="1">
        <v>44999</v>
      </c>
      <c r="C198" t="s">
        <v>32</v>
      </c>
      <c r="D198" t="s">
        <v>33</v>
      </c>
      <c r="E198" t="s">
        <v>21</v>
      </c>
      <c r="F198" t="s">
        <v>28</v>
      </c>
      <c r="G198" t="s">
        <v>29</v>
      </c>
      <c r="H198">
        <v>2</v>
      </c>
      <c r="I198" s="3">
        <v>11.64</v>
      </c>
      <c r="J198" t="s">
        <v>16</v>
      </c>
      <c r="K198" t="s">
        <v>30</v>
      </c>
      <c r="L198" s="4">
        <f>Table4[[#This Row],[quantity]]*Table4[[#This Row],[unit_price]]</f>
        <v>23.28</v>
      </c>
      <c r="M198">
        <f>COUNTIFS($C$2:$C$3934,Table4[[#This Row],[customer_id]])</f>
        <v>5</v>
      </c>
      <c r="N198" t="str">
        <f>IF(Table4[[#This Row],[customer_order_count]]=1,"New Customer","Repeat Customer")</f>
        <v>Repeat Customer</v>
      </c>
    </row>
    <row r="199" spans="1:14">
      <c r="A199" t="s">
        <v>3418</v>
      </c>
      <c r="B199" s="1">
        <v>45420</v>
      </c>
      <c r="C199" t="s">
        <v>249</v>
      </c>
      <c r="D199" t="s">
        <v>250</v>
      </c>
      <c r="E199" t="s">
        <v>21</v>
      </c>
      <c r="F199" t="s">
        <v>70</v>
      </c>
      <c r="G199" t="s">
        <v>526</v>
      </c>
      <c r="H199">
        <v>1</v>
      </c>
      <c r="I199" s="3">
        <v>11.65</v>
      </c>
      <c r="J199" t="s">
        <v>16</v>
      </c>
      <c r="K199" t="s">
        <v>40</v>
      </c>
      <c r="L199" s="4">
        <f>Table4[[#This Row],[quantity]]*Table4[[#This Row],[unit_price]]</f>
        <v>11.65</v>
      </c>
      <c r="M199">
        <f>COUNTIFS($C$2:$C$3934,Table4[[#This Row],[customer_id]])</f>
        <v>12</v>
      </c>
      <c r="N199" t="str">
        <f>IF(Table4[[#This Row],[customer_order_count]]=1,"New Customer","Repeat Customer")</f>
        <v>Repeat Customer</v>
      </c>
    </row>
    <row r="200" spans="1:14">
      <c r="A200" t="s">
        <v>1493</v>
      </c>
      <c r="B200" s="1">
        <v>45482</v>
      </c>
      <c r="C200" t="s">
        <v>1494</v>
      </c>
      <c r="D200" t="s">
        <v>307</v>
      </c>
      <c r="E200" t="s">
        <v>106</v>
      </c>
      <c r="F200" t="s">
        <v>66</v>
      </c>
      <c r="G200" t="s">
        <v>217</v>
      </c>
      <c r="H200">
        <v>5</v>
      </c>
      <c r="I200" s="3">
        <v>11.66</v>
      </c>
      <c r="J200" t="s">
        <v>16</v>
      </c>
      <c r="K200" t="s">
        <v>35</v>
      </c>
      <c r="L200" s="4">
        <f>Table4[[#This Row],[quantity]]*Table4[[#This Row],[unit_price]]</f>
        <v>58.3</v>
      </c>
      <c r="M200">
        <f>COUNTIFS($C$2:$C$3934,Table4[[#This Row],[customer_id]])</f>
        <v>2</v>
      </c>
      <c r="N200" t="str">
        <f>IF(Table4[[#This Row],[customer_order_count]]=1,"New Customer","Repeat Customer")</f>
        <v>Repeat Customer</v>
      </c>
    </row>
    <row r="201" spans="1:14">
      <c r="A201" t="s">
        <v>1988</v>
      </c>
      <c r="B201" s="1">
        <v>45233</v>
      </c>
      <c r="C201" t="s">
        <v>1989</v>
      </c>
      <c r="D201" t="s">
        <v>340</v>
      </c>
      <c r="E201" t="s">
        <v>21</v>
      </c>
      <c r="F201" t="s">
        <v>14</v>
      </c>
      <c r="G201" t="s">
        <v>100</v>
      </c>
      <c r="H201">
        <v>1</v>
      </c>
      <c r="I201" s="3">
        <v>11.67</v>
      </c>
      <c r="J201" t="s">
        <v>16</v>
      </c>
      <c r="K201" t="s">
        <v>35</v>
      </c>
      <c r="L201" s="4">
        <f>Table4[[#This Row],[quantity]]*Table4[[#This Row],[unit_price]]</f>
        <v>11.67</v>
      </c>
      <c r="M201">
        <f>COUNTIFS($C$2:$C$3934,Table4[[#This Row],[customer_id]])</f>
        <v>8</v>
      </c>
      <c r="N201" t="str">
        <f>IF(Table4[[#This Row],[customer_order_count]]=1,"New Customer","Repeat Customer")</f>
        <v>Repeat Customer</v>
      </c>
    </row>
    <row r="202" spans="1:14">
      <c r="A202" t="s">
        <v>4332</v>
      </c>
      <c r="B202" s="1">
        <v>45649</v>
      </c>
      <c r="C202" t="s">
        <v>1155</v>
      </c>
      <c r="D202" t="s">
        <v>1156</v>
      </c>
      <c r="E202" t="s">
        <v>21</v>
      </c>
      <c r="F202" t="s">
        <v>14</v>
      </c>
      <c r="G202" t="s">
        <v>258</v>
      </c>
      <c r="H202">
        <v>1</v>
      </c>
      <c r="I202" s="3">
        <v>11.7</v>
      </c>
      <c r="J202" t="s">
        <v>24</v>
      </c>
      <c r="K202" t="s">
        <v>40</v>
      </c>
      <c r="L202" s="4">
        <f>Table4[[#This Row],[quantity]]*Table4[[#This Row],[unit_price]]</f>
        <v>11.7</v>
      </c>
      <c r="M202">
        <f>COUNTIFS($C$2:$C$3934,Table4[[#This Row],[customer_id]])</f>
        <v>4</v>
      </c>
      <c r="N202" t="str">
        <f>IF(Table4[[#This Row],[customer_order_count]]=1,"New Customer","Repeat Customer")</f>
        <v>Repeat Customer</v>
      </c>
    </row>
    <row r="203" spans="1:14">
      <c r="A203" t="s">
        <v>4564</v>
      </c>
      <c r="B203" s="1">
        <v>45306</v>
      </c>
      <c r="C203" t="s">
        <v>1298</v>
      </c>
      <c r="D203" t="s">
        <v>48</v>
      </c>
      <c r="E203" t="s">
        <v>21</v>
      </c>
      <c r="F203" t="s">
        <v>28</v>
      </c>
      <c r="G203" t="s">
        <v>45</v>
      </c>
      <c r="H203">
        <v>1</v>
      </c>
      <c r="I203" s="3">
        <v>11.73</v>
      </c>
      <c r="J203" t="s">
        <v>16</v>
      </c>
      <c r="K203" t="s">
        <v>17</v>
      </c>
      <c r="L203" s="4">
        <f>Table4[[#This Row],[quantity]]*Table4[[#This Row],[unit_price]]</f>
        <v>11.73</v>
      </c>
      <c r="M203">
        <f>COUNTIFS($C$2:$C$3934,Table4[[#This Row],[customer_id]])</f>
        <v>10</v>
      </c>
      <c r="N203" t="str">
        <f>IF(Table4[[#This Row],[customer_order_count]]=1,"New Customer","Repeat Customer")</f>
        <v>Repeat Customer</v>
      </c>
    </row>
    <row r="204" spans="1:14">
      <c r="A204" t="s">
        <v>1238</v>
      </c>
      <c r="B204" s="1">
        <v>45502</v>
      </c>
      <c r="C204" t="s">
        <v>326</v>
      </c>
      <c r="D204" t="s">
        <v>327</v>
      </c>
      <c r="E204" t="s">
        <v>21</v>
      </c>
      <c r="F204" t="s">
        <v>66</v>
      </c>
      <c r="G204" t="s">
        <v>49</v>
      </c>
      <c r="H204">
        <v>1</v>
      </c>
      <c r="I204" s="3">
        <v>11.77</v>
      </c>
      <c r="J204" t="s">
        <v>16</v>
      </c>
      <c r="K204" t="s">
        <v>40</v>
      </c>
      <c r="L204" s="4">
        <f>Table4[[#This Row],[quantity]]*Table4[[#This Row],[unit_price]]</f>
        <v>11.77</v>
      </c>
      <c r="M204">
        <f>COUNTIFS($C$2:$C$3934,Table4[[#This Row],[customer_id]])</f>
        <v>5</v>
      </c>
      <c r="N204" t="str">
        <f>IF(Table4[[#This Row],[customer_order_count]]=1,"New Customer","Repeat Customer")</f>
        <v>Repeat Customer</v>
      </c>
    </row>
    <row r="205" spans="1:14">
      <c r="A205" t="s">
        <v>2238</v>
      </c>
      <c r="B205" s="1">
        <v>44995</v>
      </c>
      <c r="C205" t="s">
        <v>2239</v>
      </c>
      <c r="D205" t="s">
        <v>95</v>
      </c>
      <c r="E205" t="s">
        <v>21</v>
      </c>
      <c r="F205" t="s">
        <v>66</v>
      </c>
      <c r="G205" t="s">
        <v>217</v>
      </c>
      <c r="H205">
        <v>1</v>
      </c>
      <c r="I205" s="3">
        <v>11.8</v>
      </c>
      <c r="J205" t="s">
        <v>16</v>
      </c>
      <c r="K205" t="s">
        <v>30</v>
      </c>
      <c r="L205" s="4">
        <f>Table4[[#This Row],[quantity]]*Table4[[#This Row],[unit_price]]</f>
        <v>11.8</v>
      </c>
      <c r="M205">
        <f>COUNTIFS($C$2:$C$3934,Table4[[#This Row],[customer_id]])</f>
        <v>10</v>
      </c>
      <c r="N205" t="str">
        <f>IF(Table4[[#This Row],[customer_order_count]]=1,"New Customer","Repeat Customer")</f>
        <v>Repeat Customer</v>
      </c>
    </row>
    <row r="206" spans="1:14">
      <c r="A206" t="s">
        <v>2999</v>
      </c>
      <c r="B206" s="1">
        <v>44977</v>
      </c>
      <c r="C206" t="s">
        <v>1540</v>
      </c>
      <c r="D206" t="s">
        <v>928</v>
      </c>
      <c r="E206" t="s">
        <v>21</v>
      </c>
      <c r="F206" t="s">
        <v>28</v>
      </c>
      <c r="G206" t="s">
        <v>29</v>
      </c>
      <c r="H206">
        <v>3</v>
      </c>
      <c r="I206" s="3">
        <v>11.82</v>
      </c>
      <c r="J206" t="s">
        <v>16</v>
      </c>
      <c r="K206" t="s">
        <v>40</v>
      </c>
      <c r="L206" s="4">
        <f>Table4[[#This Row],[quantity]]*Table4[[#This Row],[unit_price]]</f>
        <v>35.46</v>
      </c>
      <c r="M206">
        <f>COUNTIFS($C$2:$C$3934,Table4[[#This Row],[customer_id]])</f>
        <v>6</v>
      </c>
      <c r="N206" t="str">
        <f>IF(Table4[[#This Row],[customer_order_count]]=1,"New Customer","Repeat Customer")</f>
        <v>Repeat Customer</v>
      </c>
    </row>
    <row r="207" spans="1:14">
      <c r="A207" t="s">
        <v>4175</v>
      </c>
      <c r="B207" s="1">
        <v>45166</v>
      </c>
      <c r="C207" t="s">
        <v>243</v>
      </c>
      <c r="D207" t="s">
        <v>244</v>
      </c>
      <c r="E207" t="s">
        <v>21</v>
      </c>
      <c r="F207" t="s">
        <v>22</v>
      </c>
      <c r="G207" t="s">
        <v>264</v>
      </c>
      <c r="H207">
        <v>2</v>
      </c>
      <c r="I207" s="3">
        <v>11.84</v>
      </c>
      <c r="J207" t="s">
        <v>255</v>
      </c>
      <c r="K207" t="s">
        <v>35</v>
      </c>
      <c r="L207" s="4">
        <f>Table4[[#This Row],[quantity]]*Table4[[#This Row],[unit_price]]</f>
        <v>23.68</v>
      </c>
      <c r="M207">
        <f>COUNTIFS($C$2:$C$3934,Table4[[#This Row],[customer_id]])</f>
        <v>8</v>
      </c>
      <c r="N207" t="str">
        <f>IF(Table4[[#This Row],[customer_order_count]]=1,"New Customer","Repeat Customer")</f>
        <v>Repeat Customer</v>
      </c>
    </row>
    <row r="208" spans="1:14">
      <c r="A208" t="s">
        <v>2410</v>
      </c>
      <c r="B208" s="1">
        <v>44991</v>
      </c>
      <c r="C208" t="s">
        <v>2297</v>
      </c>
      <c r="D208" t="s">
        <v>560</v>
      </c>
      <c r="E208" t="s">
        <v>21</v>
      </c>
      <c r="F208" t="s">
        <v>66</v>
      </c>
      <c r="G208" t="s">
        <v>67</v>
      </c>
      <c r="H208">
        <v>1</v>
      </c>
      <c r="I208" s="3">
        <v>11.87</v>
      </c>
      <c r="J208" t="s">
        <v>16</v>
      </c>
      <c r="K208" t="s">
        <v>17</v>
      </c>
      <c r="L208" s="4">
        <f>Table4[[#This Row],[quantity]]*Table4[[#This Row],[unit_price]]</f>
        <v>11.87</v>
      </c>
      <c r="M208">
        <f>COUNTIFS($C$2:$C$3934,Table4[[#This Row],[customer_id]])</f>
        <v>5</v>
      </c>
      <c r="N208" t="str">
        <f>IF(Table4[[#This Row],[customer_order_count]]=1,"New Customer","Repeat Customer")</f>
        <v>Repeat Customer</v>
      </c>
    </row>
    <row r="209" spans="1:14">
      <c r="A209" t="s">
        <v>3447</v>
      </c>
      <c r="B209" s="1">
        <v>45037</v>
      </c>
      <c r="C209" t="s">
        <v>3448</v>
      </c>
      <c r="D209" t="s">
        <v>359</v>
      </c>
      <c r="E209" t="s">
        <v>21</v>
      </c>
      <c r="F209" t="s">
        <v>66</v>
      </c>
      <c r="G209" t="s">
        <v>67</v>
      </c>
      <c r="H209">
        <v>1</v>
      </c>
      <c r="I209" s="3">
        <v>11.9</v>
      </c>
      <c r="J209" t="s">
        <v>16</v>
      </c>
      <c r="K209" t="s">
        <v>40</v>
      </c>
      <c r="L209" s="4">
        <f>Table4[[#This Row],[quantity]]*Table4[[#This Row],[unit_price]]</f>
        <v>11.9</v>
      </c>
      <c r="M209">
        <f>COUNTIFS($C$2:$C$3934,Table4[[#This Row],[customer_id]])</f>
        <v>4</v>
      </c>
      <c r="N209" t="str">
        <f>IF(Table4[[#This Row],[customer_order_count]]=1,"New Customer","Repeat Customer")</f>
        <v>Repeat Customer</v>
      </c>
    </row>
    <row r="210" spans="1:14">
      <c r="A210" t="s">
        <v>2724</v>
      </c>
      <c r="B210" s="1">
        <v>45561</v>
      </c>
      <c r="C210" t="s">
        <v>1035</v>
      </c>
      <c r="D210" t="s">
        <v>1036</v>
      </c>
      <c r="E210" t="s">
        <v>21</v>
      </c>
      <c r="F210" t="s">
        <v>28</v>
      </c>
      <c r="G210" t="s">
        <v>84</v>
      </c>
      <c r="H210">
        <v>1</v>
      </c>
      <c r="I210" s="3">
        <v>11.93</v>
      </c>
      <c r="J210" t="s">
        <v>16</v>
      </c>
      <c r="K210" t="s">
        <v>40</v>
      </c>
      <c r="L210" s="4">
        <f>Table4[[#This Row],[quantity]]*Table4[[#This Row],[unit_price]]</f>
        <v>11.93</v>
      </c>
      <c r="M210">
        <f>COUNTIFS($C$2:$C$3934,Table4[[#This Row],[customer_id]])</f>
        <v>5</v>
      </c>
      <c r="N210" t="str">
        <f>IF(Table4[[#This Row],[customer_order_count]]=1,"New Customer","Repeat Customer")</f>
        <v>Repeat Customer</v>
      </c>
    </row>
    <row r="211" spans="1:14">
      <c r="A211" t="s">
        <v>3676</v>
      </c>
      <c r="B211" s="1">
        <v>45507</v>
      </c>
      <c r="C211" t="s">
        <v>1252</v>
      </c>
      <c r="D211" t="s">
        <v>281</v>
      </c>
      <c r="E211" t="s">
        <v>21</v>
      </c>
      <c r="F211" t="s">
        <v>66</v>
      </c>
      <c r="G211" t="s">
        <v>238</v>
      </c>
      <c r="H211">
        <v>1</v>
      </c>
      <c r="I211" s="3">
        <v>11.93</v>
      </c>
      <c r="J211" t="s">
        <v>16</v>
      </c>
      <c r="K211" t="s">
        <v>40</v>
      </c>
      <c r="L211" s="4">
        <f>Table4[[#This Row],[quantity]]*Table4[[#This Row],[unit_price]]</f>
        <v>11.93</v>
      </c>
      <c r="M211">
        <f>COUNTIFS($C$2:$C$3934,Table4[[#This Row],[customer_id]])</f>
        <v>6</v>
      </c>
      <c r="N211" t="str">
        <f>IF(Table4[[#This Row],[customer_order_count]]=1,"New Customer","Repeat Customer")</f>
        <v>Repeat Customer</v>
      </c>
    </row>
    <row r="212" spans="1:14">
      <c r="A212" t="s">
        <v>2456</v>
      </c>
      <c r="B212" s="1">
        <v>45140</v>
      </c>
      <c r="C212" t="s">
        <v>2457</v>
      </c>
      <c r="D212" t="s">
        <v>1065</v>
      </c>
      <c r="E212" t="s">
        <v>21</v>
      </c>
      <c r="F212" t="s">
        <v>66</v>
      </c>
      <c r="G212" t="s">
        <v>217</v>
      </c>
      <c r="H212">
        <v>5</v>
      </c>
      <c r="I212" s="3">
        <v>11.93</v>
      </c>
      <c r="J212" t="s">
        <v>24</v>
      </c>
      <c r="K212" t="s">
        <v>40</v>
      </c>
      <c r="L212" s="4">
        <f>Table4[[#This Row],[quantity]]*Table4[[#This Row],[unit_price]]</f>
        <v>59.65</v>
      </c>
      <c r="M212">
        <f>COUNTIFS($C$2:$C$3934,Table4[[#This Row],[customer_id]])</f>
        <v>3</v>
      </c>
      <c r="N212" t="str">
        <f>IF(Table4[[#This Row],[customer_order_count]]=1,"New Customer","Repeat Customer")</f>
        <v>Repeat Customer</v>
      </c>
    </row>
    <row r="213" spans="1:14">
      <c r="A213" t="s">
        <v>2545</v>
      </c>
      <c r="B213" s="1">
        <v>45001</v>
      </c>
      <c r="C213" t="s">
        <v>461</v>
      </c>
      <c r="D213" t="s">
        <v>161</v>
      </c>
      <c r="E213" t="s">
        <v>44</v>
      </c>
      <c r="F213" t="s">
        <v>14</v>
      </c>
      <c r="G213" t="s">
        <v>34</v>
      </c>
      <c r="H213">
        <v>1</v>
      </c>
      <c r="I213" s="3">
        <v>11.95</v>
      </c>
      <c r="J213" t="s">
        <v>16</v>
      </c>
      <c r="K213" t="s">
        <v>17</v>
      </c>
      <c r="L213" s="4">
        <f>Table4[[#This Row],[quantity]]*Table4[[#This Row],[unit_price]]</f>
        <v>11.95</v>
      </c>
      <c r="M213">
        <f>COUNTIFS($C$2:$C$3934,Table4[[#This Row],[customer_id]])</f>
        <v>5</v>
      </c>
      <c r="N213" t="str">
        <f>IF(Table4[[#This Row],[customer_order_count]]=1,"New Customer","Repeat Customer")</f>
        <v>Repeat Customer</v>
      </c>
    </row>
    <row r="214" spans="1:14">
      <c r="A214" t="s">
        <v>4177</v>
      </c>
      <c r="B214" s="1">
        <v>45080</v>
      </c>
      <c r="C214" t="s">
        <v>2496</v>
      </c>
      <c r="D214" t="s">
        <v>1088</v>
      </c>
      <c r="E214" t="s">
        <v>21</v>
      </c>
      <c r="F214" t="s">
        <v>22</v>
      </c>
      <c r="G214" t="s">
        <v>142</v>
      </c>
      <c r="H214">
        <v>2</v>
      </c>
      <c r="I214" s="3">
        <v>11.97</v>
      </c>
      <c r="J214" t="s">
        <v>16</v>
      </c>
      <c r="K214" t="s">
        <v>30</v>
      </c>
      <c r="L214" s="4">
        <f>Table4[[#This Row],[quantity]]*Table4[[#This Row],[unit_price]]</f>
        <v>23.94</v>
      </c>
      <c r="M214">
        <f>COUNTIFS($C$2:$C$3934,Table4[[#This Row],[customer_id]])</f>
        <v>4</v>
      </c>
      <c r="N214" t="str">
        <f>IF(Table4[[#This Row],[customer_order_count]]=1,"New Customer","Repeat Customer")</f>
        <v>Repeat Customer</v>
      </c>
    </row>
    <row r="215" spans="1:14">
      <c r="A215" t="s">
        <v>3617</v>
      </c>
      <c r="B215" s="1">
        <v>45260</v>
      </c>
      <c r="C215" t="s">
        <v>2850</v>
      </c>
      <c r="D215" t="s">
        <v>2413</v>
      </c>
      <c r="E215" t="s">
        <v>44</v>
      </c>
      <c r="F215" t="s">
        <v>14</v>
      </c>
      <c r="G215" t="s">
        <v>62</v>
      </c>
      <c r="H215">
        <v>2</v>
      </c>
      <c r="I215" s="3">
        <v>11.98</v>
      </c>
      <c r="J215" t="s">
        <v>16</v>
      </c>
      <c r="K215" t="s">
        <v>35</v>
      </c>
      <c r="L215" s="4">
        <f>Table4[[#This Row],[quantity]]*Table4[[#This Row],[unit_price]]</f>
        <v>23.96</v>
      </c>
      <c r="M215">
        <f>COUNTIFS($C$2:$C$3934,Table4[[#This Row],[customer_id]])</f>
        <v>2</v>
      </c>
      <c r="N215" t="str">
        <f>IF(Table4[[#This Row],[customer_order_count]]=1,"New Customer","Repeat Customer")</f>
        <v>Repeat Customer</v>
      </c>
    </row>
    <row r="216" spans="1:14">
      <c r="A216" t="s">
        <v>4200</v>
      </c>
      <c r="B216" s="1">
        <v>45425</v>
      </c>
      <c r="C216" t="s">
        <v>1567</v>
      </c>
      <c r="D216" t="s">
        <v>109</v>
      </c>
      <c r="E216" t="s">
        <v>21</v>
      </c>
      <c r="F216" t="s">
        <v>56</v>
      </c>
      <c r="G216" t="s">
        <v>118</v>
      </c>
      <c r="H216">
        <v>1</v>
      </c>
      <c r="I216" s="3">
        <v>12.01</v>
      </c>
      <c r="J216" t="s">
        <v>16</v>
      </c>
      <c r="K216" t="s">
        <v>30</v>
      </c>
      <c r="L216" s="4">
        <f>Table4[[#This Row],[quantity]]*Table4[[#This Row],[unit_price]]</f>
        <v>12.01</v>
      </c>
      <c r="M216">
        <f>COUNTIFS($C$2:$C$3934,Table4[[#This Row],[customer_id]])</f>
        <v>6</v>
      </c>
      <c r="N216" t="str">
        <f>IF(Table4[[#This Row],[customer_order_count]]=1,"New Customer","Repeat Customer")</f>
        <v>Repeat Customer</v>
      </c>
    </row>
    <row r="217" spans="1:14">
      <c r="A217" t="s">
        <v>2572</v>
      </c>
      <c r="B217" s="1">
        <v>45166</v>
      </c>
      <c r="C217" t="s">
        <v>2573</v>
      </c>
      <c r="D217" t="s">
        <v>1838</v>
      </c>
      <c r="E217" t="s">
        <v>21</v>
      </c>
      <c r="F217" t="s">
        <v>56</v>
      </c>
      <c r="G217" t="s">
        <v>422</v>
      </c>
      <c r="H217">
        <v>1</v>
      </c>
      <c r="I217" s="3">
        <v>12.02</v>
      </c>
      <c r="J217" t="s">
        <v>16</v>
      </c>
      <c r="K217" t="s">
        <v>30</v>
      </c>
      <c r="L217" s="4">
        <f>Table4[[#This Row],[quantity]]*Table4[[#This Row],[unit_price]]</f>
        <v>12.02</v>
      </c>
      <c r="M217">
        <f>COUNTIFS($C$2:$C$3934,Table4[[#This Row],[customer_id]])</f>
        <v>3</v>
      </c>
      <c r="N217" t="str">
        <f>IF(Table4[[#This Row],[customer_order_count]]=1,"New Customer","Repeat Customer")</f>
        <v>Repeat Customer</v>
      </c>
    </row>
    <row r="218" spans="1:14">
      <c r="A218" t="s">
        <v>4965</v>
      </c>
      <c r="B218" s="1">
        <v>45054</v>
      </c>
      <c r="C218" t="s">
        <v>930</v>
      </c>
      <c r="D218" t="s">
        <v>931</v>
      </c>
      <c r="E218" t="s">
        <v>21</v>
      </c>
      <c r="F218" t="s">
        <v>22</v>
      </c>
      <c r="G218" t="s">
        <v>264</v>
      </c>
      <c r="H218">
        <v>5</v>
      </c>
      <c r="I218" s="3">
        <v>12.04</v>
      </c>
      <c r="J218" t="s">
        <v>16</v>
      </c>
      <c r="K218" t="s">
        <v>35</v>
      </c>
      <c r="L218" s="4">
        <f>Table4[[#This Row],[quantity]]*Table4[[#This Row],[unit_price]]</f>
        <v>60.199999999999996</v>
      </c>
      <c r="M218">
        <f>COUNTIFS($C$2:$C$3934,Table4[[#This Row],[customer_id]])</f>
        <v>6</v>
      </c>
      <c r="N218" t="str">
        <f>IF(Table4[[#This Row],[customer_order_count]]=1,"New Customer","Repeat Customer")</f>
        <v>Repeat Customer</v>
      </c>
    </row>
    <row r="219" spans="1:14">
      <c r="A219" t="s">
        <v>4296</v>
      </c>
      <c r="B219" s="1">
        <v>45487</v>
      </c>
      <c r="C219" t="s">
        <v>1747</v>
      </c>
      <c r="D219" t="s">
        <v>1748</v>
      </c>
      <c r="E219" t="s">
        <v>21</v>
      </c>
      <c r="F219" t="s">
        <v>28</v>
      </c>
      <c r="G219" t="s">
        <v>139</v>
      </c>
      <c r="H219">
        <v>2</v>
      </c>
      <c r="I219" s="3">
        <v>12.07</v>
      </c>
      <c r="J219" t="s">
        <v>16</v>
      </c>
      <c r="K219" t="s">
        <v>35</v>
      </c>
      <c r="L219" s="4">
        <f>Table4[[#This Row],[quantity]]*Table4[[#This Row],[unit_price]]</f>
        <v>24.14</v>
      </c>
      <c r="M219">
        <f>COUNTIFS($C$2:$C$3934,Table4[[#This Row],[customer_id]])</f>
        <v>8</v>
      </c>
      <c r="N219" t="str">
        <f>IF(Table4[[#This Row],[customer_order_count]]=1,"New Customer","Repeat Customer")</f>
        <v>Repeat Customer</v>
      </c>
    </row>
    <row r="220" spans="1:14">
      <c r="A220" t="s">
        <v>2762</v>
      </c>
      <c r="B220" s="1">
        <v>45411</v>
      </c>
      <c r="C220" t="s">
        <v>1105</v>
      </c>
      <c r="D220" t="s">
        <v>609</v>
      </c>
      <c r="E220" t="s">
        <v>21</v>
      </c>
      <c r="F220" t="s">
        <v>28</v>
      </c>
      <c r="G220" t="s">
        <v>139</v>
      </c>
      <c r="H220">
        <v>2</v>
      </c>
      <c r="I220" s="3">
        <v>12.08</v>
      </c>
      <c r="J220" t="s">
        <v>16</v>
      </c>
      <c r="K220" t="s">
        <v>17</v>
      </c>
      <c r="L220" s="4">
        <f>Table4[[#This Row],[quantity]]*Table4[[#This Row],[unit_price]]</f>
        <v>24.16</v>
      </c>
      <c r="M220">
        <f>COUNTIFS($C$2:$C$3934,Table4[[#This Row],[customer_id]])</f>
        <v>6</v>
      </c>
      <c r="N220" t="str">
        <f>IF(Table4[[#This Row],[customer_order_count]]=1,"New Customer","Repeat Customer")</f>
        <v>Repeat Customer</v>
      </c>
    </row>
    <row r="221" spans="1:14">
      <c r="A221" t="s">
        <v>2040</v>
      </c>
      <c r="B221" s="1">
        <v>44943</v>
      </c>
      <c r="C221" t="s">
        <v>2041</v>
      </c>
      <c r="D221" t="s">
        <v>1203</v>
      </c>
      <c r="E221" t="s">
        <v>44</v>
      </c>
      <c r="F221" t="s">
        <v>66</v>
      </c>
      <c r="G221" t="s">
        <v>67</v>
      </c>
      <c r="H221">
        <v>1</v>
      </c>
      <c r="I221" s="3">
        <v>12.09</v>
      </c>
      <c r="J221" t="s">
        <v>16</v>
      </c>
      <c r="K221" s="2" t="s">
        <v>5256</v>
      </c>
      <c r="L221" s="4">
        <f>Table4[[#This Row],[quantity]]*Table4[[#This Row],[unit_price]]</f>
        <v>12.09</v>
      </c>
      <c r="M221">
        <f>COUNTIFS($C$2:$C$3934,Table4[[#This Row],[customer_id]])</f>
        <v>3</v>
      </c>
      <c r="N221" t="str">
        <f>IF(Table4[[#This Row],[customer_order_count]]=1,"New Customer","Repeat Customer")</f>
        <v>Repeat Customer</v>
      </c>
    </row>
    <row r="222" spans="1:14">
      <c r="A222" t="s">
        <v>4531</v>
      </c>
      <c r="B222" s="1">
        <v>44944</v>
      </c>
      <c r="C222" t="s">
        <v>2211</v>
      </c>
      <c r="D222" t="s">
        <v>1412</v>
      </c>
      <c r="E222" t="s">
        <v>21</v>
      </c>
      <c r="F222" t="s">
        <v>22</v>
      </c>
      <c r="G222" t="s">
        <v>23</v>
      </c>
      <c r="H222">
        <v>2</v>
      </c>
      <c r="I222" s="3">
        <v>12.1</v>
      </c>
      <c r="J222" t="s">
        <v>16</v>
      </c>
      <c r="K222" t="s">
        <v>30</v>
      </c>
      <c r="L222" s="4">
        <f>Table4[[#This Row],[quantity]]*Table4[[#This Row],[unit_price]]</f>
        <v>24.2</v>
      </c>
      <c r="M222">
        <f>COUNTIFS($C$2:$C$3934,Table4[[#This Row],[customer_id]])</f>
        <v>6</v>
      </c>
      <c r="N222" t="str">
        <f>IF(Table4[[#This Row],[customer_order_count]]=1,"New Customer","Repeat Customer")</f>
        <v>Repeat Customer</v>
      </c>
    </row>
    <row r="223" spans="1:14">
      <c r="A223" t="s">
        <v>2742</v>
      </c>
      <c r="B223" s="1">
        <v>45577</v>
      </c>
      <c r="C223" t="s">
        <v>2144</v>
      </c>
      <c r="D223" t="s">
        <v>27</v>
      </c>
      <c r="E223" t="s">
        <v>21</v>
      </c>
      <c r="F223" t="s">
        <v>28</v>
      </c>
      <c r="G223" t="s">
        <v>45</v>
      </c>
      <c r="H223">
        <v>2</v>
      </c>
      <c r="I223" s="3">
        <v>12.11</v>
      </c>
      <c r="J223" t="s">
        <v>16</v>
      </c>
      <c r="K223" t="s">
        <v>30</v>
      </c>
      <c r="L223" s="4">
        <f>Table4[[#This Row],[quantity]]*Table4[[#This Row],[unit_price]]</f>
        <v>24.22</v>
      </c>
      <c r="M223">
        <f>COUNTIFS($C$2:$C$3934,Table4[[#This Row],[customer_id]])</f>
        <v>10</v>
      </c>
      <c r="N223" t="str">
        <f>IF(Table4[[#This Row],[customer_order_count]]=1,"New Customer","Repeat Customer")</f>
        <v>Repeat Customer</v>
      </c>
    </row>
    <row r="224" spans="1:14">
      <c r="A224" t="s">
        <v>3396</v>
      </c>
      <c r="B224" s="1">
        <v>44938</v>
      </c>
      <c r="C224" t="s">
        <v>814</v>
      </c>
      <c r="D224" t="s">
        <v>815</v>
      </c>
      <c r="E224" t="s">
        <v>21</v>
      </c>
      <c r="F224" t="s">
        <v>28</v>
      </c>
      <c r="G224" t="s">
        <v>29</v>
      </c>
      <c r="H224">
        <v>1</v>
      </c>
      <c r="I224" s="3">
        <v>12.11</v>
      </c>
      <c r="J224" t="s">
        <v>85</v>
      </c>
      <c r="K224" t="s">
        <v>40</v>
      </c>
      <c r="L224" s="4">
        <f>Table4[[#This Row],[quantity]]*Table4[[#This Row],[unit_price]]</f>
        <v>12.11</v>
      </c>
      <c r="M224">
        <f>COUNTIFS($C$2:$C$3934,Table4[[#This Row],[customer_id]])</f>
        <v>5</v>
      </c>
      <c r="N224" t="str">
        <f>IF(Table4[[#This Row],[customer_order_count]]=1,"New Customer","Repeat Customer")</f>
        <v>Repeat Customer</v>
      </c>
    </row>
    <row r="225" spans="1:14">
      <c r="A225" t="s">
        <v>4603</v>
      </c>
      <c r="B225" s="1">
        <v>45441</v>
      </c>
      <c r="C225" t="s">
        <v>565</v>
      </c>
      <c r="D225" t="s">
        <v>566</v>
      </c>
      <c r="E225" t="s">
        <v>44</v>
      </c>
      <c r="F225" t="s">
        <v>66</v>
      </c>
      <c r="G225" t="s">
        <v>217</v>
      </c>
      <c r="H225">
        <v>2</v>
      </c>
      <c r="I225" s="3">
        <v>12.12</v>
      </c>
      <c r="J225" t="s">
        <v>16</v>
      </c>
      <c r="K225" t="s">
        <v>17</v>
      </c>
      <c r="L225" s="4">
        <f>Table4[[#This Row],[quantity]]*Table4[[#This Row],[unit_price]]</f>
        <v>24.24</v>
      </c>
      <c r="M225">
        <f>COUNTIFS($C$2:$C$3934,Table4[[#This Row],[customer_id]])</f>
        <v>5</v>
      </c>
      <c r="N225" t="str">
        <f>IF(Table4[[#This Row],[customer_order_count]]=1,"New Customer","Repeat Customer")</f>
        <v>Repeat Customer</v>
      </c>
    </row>
    <row r="226" spans="1:14">
      <c r="A226" t="s">
        <v>4427</v>
      </c>
      <c r="B226" s="1">
        <v>45419</v>
      </c>
      <c r="C226" t="s">
        <v>958</v>
      </c>
      <c r="D226" s="2" t="s">
        <v>5257</v>
      </c>
      <c r="E226" t="s">
        <v>21</v>
      </c>
      <c r="F226" t="s">
        <v>66</v>
      </c>
      <c r="G226" t="s">
        <v>67</v>
      </c>
      <c r="H226">
        <v>1</v>
      </c>
      <c r="I226" s="3">
        <v>12.13</v>
      </c>
      <c r="J226" t="s">
        <v>16</v>
      </c>
      <c r="K226" s="2" t="s">
        <v>5256</v>
      </c>
      <c r="L226" s="4">
        <f>Table4[[#This Row],[quantity]]*Table4[[#This Row],[unit_price]]</f>
        <v>12.13</v>
      </c>
      <c r="M226">
        <f>COUNTIFS($C$2:$C$3934,Table4[[#This Row],[customer_id]])</f>
        <v>5</v>
      </c>
      <c r="N226" t="str">
        <f>IF(Table4[[#This Row],[customer_order_count]]=1,"New Customer","Repeat Customer")</f>
        <v>Repeat Customer</v>
      </c>
    </row>
    <row r="227" spans="1:14">
      <c r="A227" t="s">
        <v>1998</v>
      </c>
      <c r="B227" s="1">
        <v>45281</v>
      </c>
      <c r="C227" t="s">
        <v>1999</v>
      </c>
      <c r="D227" t="s">
        <v>1907</v>
      </c>
      <c r="E227" t="s">
        <v>44</v>
      </c>
      <c r="F227" t="s">
        <v>66</v>
      </c>
      <c r="G227" t="s">
        <v>67</v>
      </c>
      <c r="H227">
        <v>2</v>
      </c>
      <c r="I227" s="3">
        <v>12.16</v>
      </c>
      <c r="J227" t="s">
        <v>85</v>
      </c>
      <c r="K227" t="s">
        <v>40</v>
      </c>
      <c r="L227" s="4">
        <f>Table4[[#This Row],[quantity]]*Table4[[#This Row],[unit_price]]</f>
        <v>24.32</v>
      </c>
      <c r="M227">
        <f>COUNTIFS($C$2:$C$3934,Table4[[#This Row],[customer_id]])</f>
        <v>6</v>
      </c>
      <c r="N227" t="str">
        <f>IF(Table4[[#This Row],[customer_order_count]]=1,"New Customer","Repeat Customer")</f>
        <v>Repeat Customer</v>
      </c>
    </row>
    <row r="228" spans="1:14">
      <c r="A228" t="s">
        <v>3338</v>
      </c>
      <c r="B228" s="1">
        <v>45196</v>
      </c>
      <c r="C228" t="s">
        <v>2643</v>
      </c>
      <c r="D228" t="s">
        <v>1336</v>
      </c>
      <c r="E228" t="s">
        <v>21</v>
      </c>
      <c r="F228" t="s">
        <v>70</v>
      </c>
      <c r="G228" t="s">
        <v>170</v>
      </c>
      <c r="H228">
        <v>5</v>
      </c>
      <c r="I228" s="3">
        <v>12.16</v>
      </c>
      <c r="J228" t="s">
        <v>16</v>
      </c>
      <c r="K228" t="s">
        <v>40</v>
      </c>
      <c r="L228" s="4">
        <f>Table4[[#This Row],[quantity]]*Table4[[#This Row],[unit_price]]</f>
        <v>60.8</v>
      </c>
      <c r="M228">
        <f>COUNTIFS($C$2:$C$3934,Table4[[#This Row],[customer_id]])</f>
        <v>7</v>
      </c>
      <c r="N228" t="str">
        <f>IF(Table4[[#This Row],[customer_order_count]]=1,"New Customer","Repeat Customer")</f>
        <v>Repeat Customer</v>
      </c>
    </row>
    <row r="229" spans="1:14">
      <c r="A229" t="s">
        <v>2790</v>
      </c>
      <c r="B229" s="1">
        <v>45036</v>
      </c>
      <c r="C229" t="s">
        <v>120</v>
      </c>
      <c r="D229" t="s">
        <v>121</v>
      </c>
      <c r="E229" t="s">
        <v>21</v>
      </c>
      <c r="F229" t="s">
        <v>70</v>
      </c>
      <c r="G229" t="s">
        <v>71</v>
      </c>
      <c r="H229">
        <v>1</v>
      </c>
      <c r="I229" s="3">
        <v>12.17</v>
      </c>
      <c r="J229" t="s">
        <v>16</v>
      </c>
      <c r="K229" t="s">
        <v>17</v>
      </c>
      <c r="L229" s="4">
        <f>Table4[[#This Row],[quantity]]*Table4[[#This Row],[unit_price]]</f>
        <v>12.17</v>
      </c>
      <c r="M229">
        <f>COUNTIFS($C$2:$C$3934,Table4[[#This Row],[customer_id]])</f>
        <v>5</v>
      </c>
      <c r="N229" t="str">
        <f>IF(Table4[[#This Row],[customer_order_count]]=1,"New Customer","Repeat Customer")</f>
        <v>Repeat Customer</v>
      </c>
    </row>
    <row r="230" spans="1:14">
      <c r="A230" t="s">
        <v>3700</v>
      </c>
      <c r="B230" s="1">
        <v>45475</v>
      </c>
      <c r="C230" t="s">
        <v>581</v>
      </c>
      <c r="D230" t="s">
        <v>582</v>
      </c>
      <c r="E230" t="s">
        <v>21</v>
      </c>
      <c r="F230" t="s">
        <v>14</v>
      </c>
      <c r="G230" t="s">
        <v>34</v>
      </c>
      <c r="H230">
        <v>1</v>
      </c>
      <c r="I230" s="3">
        <v>12.17</v>
      </c>
      <c r="J230" t="s">
        <v>16</v>
      </c>
      <c r="K230" t="s">
        <v>35</v>
      </c>
      <c r="L230" s="4">
        <f>Table4[[#This Row],[quantity]]*Table4[[#This Row],[unit_price]]</f>
        <v>12.17</v>
      </c>
      <c r="M230">
        <f>COUNTIFS($C$2:$C$3934,Table4[[#This Row],[customer_id]])</f>
        <v>6</v>
      </c>
      <c r="N230" t="str">
        <f>IF(Table4[[#This Row],[customer_order_count]]=1,"New Customer","Repeat Customer")</f>
        <v>Repeat Customer</v>
      </c>
    </row>
    <row r="231" spans="1:14">
      <c r="A231" t="s">
        <v>4643</v>
      </c>
      <c r="B231" s="1">
        <v>45125</v>
      </c>
      <c r="C231" t="s">
        <v>757</v>
      </c>
      <c r="D231" s="2" t="s">
        <v>5257</v>
      </c>
      <c r="E231" t="s">
        <v>21</v>
      </c>
      <c r="F231" t="s">
        <v>14</v>
      </c>
      <c r="G231" t="s">
        <v>15</v>
      </c>
      <c r="H231">
        <v>1</v>
      </c>
      <c r="I231" s="3">
        <v>12.18</v>
      </c>
      <c r="J231" t="s">
        <v>85</v>
      </c>
      <c r="K231" t="s">
        <v>35</v>
      </c>
      <c r="L231" s="4">
        <f>Table4[[#This Row],[quantity]]*Table4[[#This Row],[unit_price]]</f>
        <v>12.18</v>
      </c>
      <c r="M231">
        <f>COUNTIFS($C$2:$C$3934,Table4[[#This Row],[customer_id]])</f>
        <v>4</v>
      </c>
      <c r="N231" t="str">
        <f>IF(Table4[[#This Row],[customer_order_count]]=1,"New Customer","Repeat Customer")</f>
        <v>Repeat Customer</v>
      </c>
    </row>
    <row r="232" spans="1:14">
      <c r="A232" t="s">
        <v>3216</v>
      </c>
      <c r="B232" s="1">
        <v>45402</v>
      </c>
      <c r="C232" t="s">
        <v>2395</v>
      </c>
      <c r="D232" t="s">
        <v>92</v>
      </c>
      <c r="E232" t="s">
        <v>21</v>
      </c>
      <c r="F232" t="s">
        <v>14</v>
      </c>
      <c r="G232" t="s">
        <v>34</v>
      </c>
      <c r="H232">
        <v>1</v>
      </c>
      <c r="I232" s="3">
        <v>12.2</v>
      </c>
      <c r="J232" t="s">
        <v>16</v>
      </c>
      <c r="K232" t="s">
        <v>35</v>
      </c>
      <c r="L232" s="4">
        <f>Table4[[#This Row],[quantity]]*Table4[[#This Row],[unit_price]]</f>
        <v>12.2</v>
      </c>
      <c r="M232">
        <f>COUNTIFS($C$2:$C$3934,Table4[[#This Row],[customer_id]])</f>
        <v>7</v>
      </c>
      <c r="N232" t="str">
        <f>IF(Table4[[#This Row],[customer_order_count]]=1,"New Customer","Repeat Customer")</f>
        <v>Repeat Customer</v>
      </c>
    </row>
    <row r="233" spans="1:14">
      <c r="A233" t="s">
        <v>1929</v>
      </c>
      <c r="B233" s="1">
        <v>45214</v>
      </c>
      <c r="C233" t="s">
        <v>1930</v>
      </c>
      <c r="D233" t="s">
        <v>525</v>
      </c>
      <c r="E233" t="s">
        <v>21</v>
      </c>
      <c r="F233" t="s">
        <v>22</v>
      </c>
      <c r="G233" t="s">
        <v>23</v>
      </c>
      <c r="H233">
        <v>1</v>
      </c>
      <c r="I233" s="3">
        <v>12.21</v>
      </c>
      <c r="J233" t="s">
        <v>16</v>
      </c>
      <c r="K233" t="s">
        <v>17</v>
      </c>
      <c r="L233" s="4">
        <f>Table4[[#This Row],[quantity]]*Table4[[#This Row],[unit_price]]</f>
        <v>12.21</v>
      </c>
      <c r="M233">
        <f>COUNTIFS($C$2:$C$3934,Table4[[#This Row],[customer_id]])</f>
        <v>3</v>
      </c>
      <c r="N233" t="str">
        <f>IF(Table4[[#This Row],[customer_order_count]]=1,"New Customer","Repeat Customer")</f>
        <v>Repeat Customer</v>
      </c>
    </row>
    <row r="234" spans="1:14">
      <c r="A234" t="s">
        <v>1351</v>
      </c>
      <c r="B234" s="1">
        <v>45103</v>
      </c>
      <c r="C234" t="s">
        <v>1074</v>
      </c>
      <c r="D234" t="s">
        <v>281</v>
      </c>
      <c r="E234" t="s">
        <v>21</v>
      </c>
      <c r="F234" t="s">
        <v>28</v>
      </c>
      <c r="G234" t="s">
        <v>114</v>
      </c>
      <c r="H234">
        <v>1</v>
      </c>
      <c r="I234" s="3">
        <v>12.22</v>
      </c>
      <c r="J234" t="s">
        <v>85</v>
      </c>
      <c r="K234" t="s">
        <v>17</v>
      </c>
      <c r="L234" s="4">
        <f>Table4[[#This Row],[quantity]]*Table4[[#This Row],[unit_price]]</f>
        <v>12.22</v>
      </c>
      <c r="M234">
        <f>COUNTIFS($C$2:$C$3934,Table4[[#This Row],[customer_id]])</f>
        <v>6</v>
      </c>
      <c r="N234" t="str">
        <f>IF(Table4[[#This Row],[customer_order_count]]=1,"New Customer","Repeat Customer")</f>
        <v>Repeat Customer</v>
      </c>
    </row>
    <row r="235" spans="1:14">
      <c r="A235" t="s">
        <v>2583</v>
      </c>
      <c r="B235" s="1">
        <v>45382</v>
      </c>
      <c r="C235" t="s">
        <v>2584</v>
      </c>
      <c r="D235" t="s">
        <v>1121</v>
      </c>
      <c r="E235" t="s">
        <v>61</v>
      </c>
      <c r="F235" t="s">
        <v>14</v>
      </c>
      <c r="G235" t="s">
        <v>34</v>
      </c>
      <c r="H235">
        <v>1</v>
      </c>
      <c r="I235" s="3">
        <v>12.22</v>
      </c>
      <c r="J235" t="s">
        <v>16</v>
      </c>
      <c r="K235" t="s">
        <v>30</v>
      </c>
      <c r="L235" s="4">
        <f>Table4[[#This Row],[quantity]]*Table4[[#This Row],[unit_price]]</f>
        <v>12.22</v>
      </c>
      <c r="M235">
        <f>COUNTIFS($C$2:$C$3934,Table4[[#This Row],[customer_id]])</f>
        <v>2</v>
      </c>
      <c r="N235" t="str">
        <f>IF(Table4[[#This Row],[customer_order_count]]=1,"New Customer","Repeat Customer")</f>
        <v>Repeat Customer</v>
      </c>
    </row>
    <row r="236" spans="1:14">
      <c r="A236" t="s">
        <v>2776</v>
      </c>
      <c r="B236" s="1">
        <v>45266</v>
      </c>
      <c r="C236" t="s">
        <v>215</v>
      </c>
      <c r="D236" s="2" t="s">
        <v>5257</v>
      </c>
      <c r="E236" t="s">
        <v>21</v>
      </c>
      <c r="F236" t="s">
        <v>22</v>
      </c>
      <c r="G236" t="s">
        <v>135</v>
      </c>
      <c r="H236">
        <v>1</v>
      </c>
      <c r="I236" s="3">
        <v>12.23</v>
      </c>
      <c r="J236" t="s">
        <v>16</v>
      </c>
      <c r="K236" t="s">
        <v>40</v>
      </c>
      <c r="L236" s="4">
        <f>Table4[[#This Row],[quantity]]*Table4[[#This Row],[unit_price]]</f>
        <v>12.23</v>
      </c>
      <c r="M236">
        <f>COUNTIFS($C$2:$C$3934,Table4[[#This Row],[customer_id]])</f>
        <v>8</v>
      </c>
      <c r="N236" t="str">
        <f>IF(Table4[[#This Row],[customer_order_count]]=1,"New Customer","Repeat Customer")</f>
        <v>Repeat Customer</v>
      </c>
    </row>
    <row r="237" spans="1:14">
      <c r="A237" t="s">
        <v>3360</v>
      </c>
      <c r="B237" s="1">
        <v>45126</v>
      </c>
      <c r="C237" t="s">
        <v>3361</v>
      </c>
      <c r="D237" t="s">
        <v>327</v>
      </c>
      <c r="E237" t="s">
        <v>21</v>
      </c>
      <c r="F237" t="s">
        <v>66</v>
      </c>
      <c r="G237" t="s">
        <v>67</v>
      </c>
      <c r="H237">
        <v>1</v>
      </c>
      <c r="I237" s="3">
        <v>12.24</v>
      </c>
      <c r="J237" t="s">
        <v>16</v>
      </c>
      <c r="K237" t="s">
        <v>40</v>
      </c>
      <c r="L237" s="4">
        <f>Table4[[#This Row],[quantity]]*Table4[[#This Row],[unit_price]]</f>
        <v>12.24</v>
      </c>
      <c r="M237">
        <f>COUNTIFS($C$2:$C$3934,Table4[[#This Row],[customer_id]])</f>
        <v>6</v>
      </c>
      <c r="N237" t="str">
        <f>IF(Table4[[#This Row],[customer_order_count]]=1,"New Customer","Repeat Customer")</f>
        <v>Repeat Customer</v>
      </c>
    </row>
    <row r="238" spans="1:14">
      <c r="A238" t="s">
        <v>4778</v>
      </c>
      <c r="B238" s="1">
        <v>45264</v>
      </c>
      <c r="C238" t="s">
        <v>2008</v>
      </c>
      <c r="D238" t="s">
        <v>417</v>
      </c>
      <c r="E238" t="s">
        <v>21</v>
      </c>
      <c r="F238" t="s">
        <v>22</v>
      </c>
      <c r="G238" t="s">
        <v>162</v>
      </c>
      <c r="H238">
        <v>2</v>
      </c>
      <c r="I238" s="3">
        <v>12.24</v>
      </c>
      <c r="J238" t="s">
        <v>16</v>
      </c>
      <c r="K238" t="s">
        <v>40</v>
      </c>
      <c r="L238" s="4">
        <f>Table4[[#This Row],[quantity]]*Table4[[#This Row],[unit_price]]</f>
        <v>24.48</v>
      </c>
      <c r="M238">
        <f>COUNTIFS($C$2:$C$3934,Table4[[#This Row],[customer_id]])</f>
        <v>7</v>
      </c>
      <c r="N238" t="str">
        <f>IF(Table4[[#This Row],[customer_order_count]]=1,"New Customer","Repeat Customer")</f>
        <v>Repeat Customer</v>
      </c>
    </row>
    <row r="239" spans="1:14">
      <c r="A239" t="s">
        <v>4233</v>
      </c>
      <c r="B239" s="1">
        <v>45249</v>
      </c>
      <c r="C239" t="s">
        <v>1110</v>
      </c>
      <c r="D239" t="s">
        <v>602</v>
      </c>
      <c r="E239" t="s">
        <v>21</v>
      </c>
      <c r="F239" t="s">
        <v>22</v>
      </c>
      <c r="G239" t="s">
        <v>135</v>
      </c>
      <c r="H239">
        <v>3</v>
      </c>
      <c r="I239" s="3">
        <v>12.24</v>
      </c>
      <c r="J239" t="s">
        <v>85</v>
      </c>
      <c r="K239" s="2" t="s">
        <v>5256</v>
      </c>
      <c r="L239" s="4">
        <f>Table4[[#This Row],[quantity]]*Table4[[#This Row],[unit_price]]</f>
        <v>36.72</v>
      </c>
      <c r="M239">
        <f>COUNTIFS($C$2:$C$3934,Table4[[#This Row],[customer_id]])</f>
        <v>5</v>
      </c>
      <c r="N239" t="str">
        <f>IF(Table4[[#This Row],[customer_order_count]]=1,"New Customer","Repeat Customer")</f>
        <v>Repeat Customer</v>
      </c>
    </row>
    <row r="240" spans="1:14">
      <c r="A240" t="s">
        <v>5061</v>
      </c>
      <c r="B240" s="1">
        <v>45384</v>
      </c>
      <c r="C240" t="s">
        <v>303</v>
      </c>
      <c r="D240" t="s">
        <v>304</v>
      </c>
      <c r="E240" t="s">
        <v>21</v>
      </c>
      <c r="F240" t="s">
        <v>22</v>
      </c>
      <c r="G240" t="s">
        <v>135</v>
      </c>
      <c r="H240">
        <v>2</v>
      </c>
      <c r="I240" s="3">
        <v>12.26</v>
      </c>
      <c r="J240" t="s">
        <v>16</v>
      </c>
      <c r="K240" t="s">
        <v>40</v>
      </c>
      <c r="L240" s="4">
        <f>Table4[[#This Row],[quantity]]*Table4[[#This Row],[unit_price]]</f>
        <v>24.52</v>
      </c>
      <c r="M240">
        <f>COUNTIFS($C$2:$C$3934,Table4[[#This Row],[customer_id]])</f>
        <v>5</v>
      </c>
      <c r="N240" t="str">
        <f>IF(Table4[[#This Row],[customer_order_count]]=1,"New Customer","Repeat Customer")</f>
        <v>Repeat Customer</v>
      </c>
    </row>
    <row r="241" spans="1:14">
      <c r="A241" t="s">
        <v>5131</v>
      </c>
      <c r="B241" s="1">
        <v>45617</v>
      </c>
      <c r="C241" t="s">
        <v>82</v>
      </c>
      <c r="D241" t="s">
        <v>83</v>
      </c>
      <c r="E241" t="s">
        <v>21</v>
      </c>
      <c r="F241" t="s">
        <v>28</v>
      </c>
      <c r="G241" t="s">
        <v>29</v>
      </c>
      <c r="H241">
        <v>4</v>
      </c>
      <c r="I241" s="3">
        <v>12.27</v>
      </c>
      <c r="J241" t="s">
        <v>16</v>
      </c>
      <c r="K241" t="s">
        <v>30</v>
      </c>
      <c r="L241" s="4">
        <f>Table4[[#This Row],[quantity]]*Table4[[#This Row],[unit_price]]</f>
        <v>49.08</v>
      </c>
      <c r="M241">
        <f>COUNTIFS($C$2:$C$3934,Table4[[#This Row],[customer_id]])</f>
        <v>7</v>
      </c>
      <c r="N241" t="str">
        <f>IF(Table4[[#This Row],[customer_order_count]]=1,"New Customer","Repeat Customer")</f>
        <v>Repeat Customer</v>
      </c>
    </row>
    <row r="242" spans="1:14">
      <c r="A242" t="s">
        <v>2537</v>
      </c>
      <c r="B242" s="1">
        <v>45420</v>
      </c>
      <c r="C242" t="s">
        <v>2538</v>
      </c>
      <c r="D242" t="s">
        <v>2539</v>
      </c>
      <c r="E242" t="s">
        <v>44</v>
      </c>
      <c r="F242" t="s">
        <v>66</v>
      </c>
      <c r="G242" t="s">
        <v>67</v>
      </c>
      <c r="H242">
        <v>1</v>
      </c>
      <c r="I242" s="3">
        <v>12.28</v>
      </c>
      <c r="J242" t="s">
        <v>24</v>
      </c>
      <c r="K242" t="s">
        <v>30</v>
      </c>
      <c r="L242" s="4">
        <f>Table4[[#This Row],[quantity]]*Table4[[#This Row],[unit_price]]</f>
        <v>12.28</v>
      </c>
      <c r="M242">
        <f>COUNTIFS($C$2:$C$3934,Table4[[#This Row],[customer_id]])</f>
        <v>2</v>
      </c>
      <c r="N242" t="str">
        <f>IF(Table4[[#This Row],[customer_order_count]]=1,"New Customer","Repeat Customer")</f>
        <v>Repeat Customer</v>
      </c>
    </row>
    <row r="243" spans="1:14">
      <c r="A243" t="s">
        <v>2924</v>
      </c>
      <c r="B243" s="1">
        <v>45303</v>
      </c>
      <c r="C243" t="s">
        <v>553</v>
      </c>
      <c r="D243" t="s">
        <v>554</v>
      </c>
      <c r="E243" t="s">
        <v>21</v>
      </c>
      <c r="F243" t="s">
        <v>14</v>
      </c>
      <c r="G243" t="s">
        <v>258</v>
      </c>
      <c r="H243">
        <v>1</v>
      </c>
      <c r="I243" s="3">
        <v>12.29</v>
      </c>
      <c r="J243" t="s">
        <v>16</v>
      </c>
      <c r="K243" t="s">
        <v>40</v>
      </c>
      <c r="L243" s="4">
        <f>Table4[[#This Row],[quantity]]*Table4[[#This Row],[unit_price]]</f>
        <v>12.29</v>
      </c>
      <c r="M243">
        <f>COUNTIFS($C$2:$C$3934,Table4[[#This Row],[customer_id]])</f>
        <v>5</v>
      </c>
      <c r="N243" t="str">
        <f>IF(Table4[[#This Row],[customer_order_count]]=1,"New Customer","Repeat Customer")</f>
        <v>Repeat Customer</v>
      </c>
    </row>
    <row r="244" spans="1:14">
      <c r="A244" t="s">
        <v>766</v>
      </c>
      <c r="B244" s="1">
        <v>45316</v>
      </c>
      <c r="C244" t="s">
        <v>266</v>
      </c>
      <c r="D244" t="s">
        <v>152</v>
      </c>
      <c r="E244" t="s">
        <v>21</v>
      </c>
      <c r="F244" t="s">
        <v>28</v>
      </c>
      <c r="G244" t="s">
        <v>29</v>
      </c>
      <c r="H244">
        <v>1</v>
      </c>
      <c r="I244" s="3">
        <v>12.3</v>
      </c>
      <c r="J244" t="s">
        <v>16</v>
      </c>
      <c r="K244" t="s">
        <v>30</v>
      </c>
      <c r="L244" s="4">
        <f>Table4[[#This Row],[quantity]]*Table4[[#This Row],[unit_price]]</f>
        <v>12.3</v>
      </c>
      <c r="M244">
        <f>COUNTIFS($C$2:$C$3934,Table4[[#This Row],[customer_id]])</f>
        <v>6</v>
      </c>
      <c r="N244" t="str">
        <f>IF(Table4[[#This Row],[customer_order_count]]=1,"New Customer","Repeat Customer")</f>
        <v>Repeat Customer</v>
      </c>
    </row>
    <row r="245" spans="1:14">
      <c r="A245" t="s">
        <v>4527</v>
      </c>
      <c r="B245" s="1">
        <v>44960</v>
      </c>
      <c r="C245" t="s">
        <v>2002</v>
      </c>
      <c r="D245" t="s">
        <v>612</v>
      </c>
      <c r="E245" t="s">
        <v>21</v>
      </c>
      <c r="F245" t="s">
        <v>70</v>
      </c>
      <c r="G245" t="s">
        <v>146</v>
      </c>
      <c r="H245">
        <v>2</v>
      </c>
      <c r="I245" s="3">
        <v>12.32</v>
      </c>
      <c r="J245" t="s">
        <v>16</v>
      </c>
      <c r="K245" t="s">
        <v>35</v>
      </c>
      <c r="L245" s="4">
        <f>Table4[[#This Row],[quantity]]*Table4[[#This Row],[unit_price]]</f>
        <v>24.64</v>
      </c>
      <c r="M245">
        <f>COUNTIFS($C$2:$C$3934,Table4[[#This Row],[customer_id]])</f>
        <v>5</v>
      </c>
      <c r="N245" t="str">
        <f>IF(Table4[[#This Row],[customer_order_count]]=1,"New Customer","Repeat Customer")</f>
        <v>Repeat Customer</v>
      </c>
    </row>
    <row r="246" spans="1:14">
      <c r="A246" t="s">
        <v>2630</v>
      </c>
      <c r="B246" s="1">
        <v>45406</v>
      </c>
      <c r="C246" t="s">
        <v>2605</v>
      </c>
      <c r="D246" t="s">
        <v>2606</v>
      </c>
      <c r="E246" t="s">
        <v>21</v>
      </c>
      <c r="F246" t="s">
        <v>70</v>
      </c>
      <c r="G246" t="s">
        <v>526</v>
      </c>
      <c r="H246">
        <v>1</v>
      </c>
      <c r="I246" s="3">
        <v>12.33</v>
      </c>
      <c r="J246" t="s">
        <v>85</v>
      </c>
      <c r="K246" t="s">
        <v>40</v>
      </c>
      <c r="L246" s="4">
        <f>Table4[[#This Row],[quantity]]*Table4[[#This Row],[unit_price]]</f>
        <v>12.33</v>
      </c>
      <c r="M246">
        <f>COUNTIFS($C$2:$C$3934,Table4[[#This Row],[customer_id]])</f>
        <v>2</v>
      </c>
      <c r="N246" t="str">
        <f>IF(Table4[[#This Row],[customer_order_count]]=1,"New Customer","Repeat Customer")</f>
        <v>Repeat Customer</v>
      </c>
    </row>
    <row r="247" spans="1:14">
      <c r="A247" t="s">
        <v>3961</v>
      </c>
      <c r="B247" s="1">
        <v>45451</v>
      </c>
      <c r="C247" t="s">
        <v>2361</v>
      </c>
      <c r="D247" t="s">
        <v>244</v>
      </c>
      <c r="E247" t="s">
        <v>21</v>
      </c>
      <c r="F247" t="s">
        <v>22</v>
      </c>
      <c r="G247" t="s">
        <v>135</v>
      </c>
      <c r="H247">
        <v>1</v>
      </c>
      <c r="I247" s="3">
        <v>12.36</v>
      </c>
      <c r="J247" t="s">
        <v>16</v>
      </c>
      <c r="K247" t="s">
        <v>30</v>
      </c>
      <c r="L247" s="4">
        <f>Table4[[#This Row],[quantity]]*Table4[[#This Row],[unit_price]]</f>
        <v>12.36</v>
      </c>
      <c r="M247">
        <f>COUNTIFS($C$2:$C$3934,Table4[[#This Row],[customer_id]])</f>
        <v>6</v>
      </c>
      <c r="N247" t="str">
        <f>IF(Table4[[#This Row],[customer_order_count]]=1,"New Customer","Repeat Customer")</f>
        <v>Repeat Customer</v>
      </c>
    </row>
    <row r="248" spans="1:14">
      <c r="A248" t="s">
        <v>2370</v>
      </c>
      <c r="B248" s="1">
        <v>45045</v>
      </c>
      <c r="C248" t="s">
        <v>427</v>
      </c>
      <c r="D248" t="s">
        <v>428</v>
      </c>
      <c r="E248" t="s">
        <v>21</v>
      </c>
      <c r="F248" t="s">
        <v>22</v>
      </c>
      <c r="G248" t="s">
        <v>142</v>
      </c>
      <c r="H248">
        <v>1</v>
      </c>
      <c r="I248" s="3">
        <v>12.37</v>
      </c>
      <c r="J248" t="s">
        <v>16</v>
      </c>
      <c r="K248" t="s">
        <v>40</v>
      </c>
      <c r="L248" s="4">
        <f>Table4[[#This Row],[quantity]]*Table4[[#This Row],[unit_price]]</f>
        <v>12.37</v>
      </c>
      <c r="M248">
        <f>COUNTIFS($C$2:$C$3934,Table4[[#This Row],[customer_id]])</f>
        <v>6</v>
      </c>
      <c r="N248" t="str">
        <f>IF(Table4[[#This Row],[customer_order_count]]=1,"New Customer","Repeat Customer")</f>
        <v>Repeat Customer</v>
      </c>
    </row>
    <row r="249" spans="1:14">
      <c r="A249" t="s">
        <v>2463</v>
      </c>
      <c r="B249" s="1">
        <v>45436</v>
      </c>
      <c r="C249" t="s">
        <v>2144</v>
      </c>
      <c r="D249" t="s">
        <v>27</v>
      </c>
      <c r="E249" t="s">
        <v>21</v>
      </c>
      <c r="F249" t="s">
        <v>56</v>
      </c>
      <c r="G249" t="s">
        <v>422</v>
      </c>
      <c r="H249">
        <v>2</v>
      </c>
      <c r="I249" s="3">
        <v>12.41</v>
      </c>
      <c r="J249" t="s">
        <v>16</v>
      </c>
      <c r="K249" t="s">
        <v>17</v>
      </c>
      <c r="L249" s="4">
        <f>Table4[[#This Row],[quantity]]*Table4[[#This Row],[unit_price]]</f>
        <v>24.82</v>
      </c>
      <c r="M249">
        <f>COUNTIFS($C$2:$C$3934,Table4[[#This Row],[customer_id]])</f>
        <v>10</v>
      </c>
      <c r="N249" t="str">
        <f>IF(Table4[[#This Row],[customer_order_count]]=1,"New Customer","Repeat Customer")</f>
        <v>Repeat Customer</v>
      </c>
    </row>
    <row r="250" spans="1:14">
      <c r="A250" t="s">
        <v>2028</v>
      </c>
      <c r="B250" s="1">
        <v>45126</v>
      </c>
      <c r="C250" t="s">
        <v>424</v>
      </c>
      <c r="D250" t="s">
        <v>425</v>
      </c>
      <c r="E250" t="s">
        <v>21</v>
      </c>
      <c r="F250" t="s">
        <v>28</v>
      </c>
      <c r="G250" t="s">
        <v>114</v>
      </c>
      <c r="H250">
        <v>2</v>
      </c>
      <c r="I250" s="3">
        <v>12.42</v>
      </c>
      <c r="J250" t="s">
        <v>16</v>
      </c>
      <c r="K250" t="s">
        <v>35</v>
      </c>
      <c r="L250" s="4">
        <f>Table4[[#This Row],[quantity]]*Table4[[#This Row],[unit_price]]</f>
        <v>24.84</v>
      </c>
      <c r="M250">
        <f>COUNTIFS($C$2:$C$3934,Table4[[#This Row],[customer_id]])</f>
        <v>7</v>
      </c>
      <c r="N250" t="str">
        <f>IF(Table4[[#This Row],[customer_order_count]]=1,"New Customer","Repeat Customer")</f>
        <v>Repeat Customer</v>
      </c>
    </row>
    <row r="251" spans="1:14">
      <c r="A251" t="s">
        <v>4245</v>
      </c>
      <c r="B251" s="1">
        <v>45181</v>
      </c>
      <c r="C251" t="s">
        <v>623</v>
      </c>
      <c r="D251" t="s">
        <v>624</v>
      </c>
      <c r="E251" t="s">
        <v>61</v>
      </c>
      <c r="F251" t="s">
        <v>22</v>
      </c>
      <c r="G251" t="s">
        <v>23</v>
      </c>
      <c r="H251">
        <v>3</v>
      </c>
      <c r="I251" s="3">
        <v>12.42</v>
      </c>
      <c r="J251" t="s">
        <v>16</v>
      </c>
      <c r="K251" t="s">
        <v>17</v>
      </c>
      <c r="L251" s="4">
        <f>Table4[[#This Row],[quantity]]*Table4[[#This Row],[unit_price]]</f>
        <v>37.26</v>
      </c>
      <c r="M251">
        <f>COUNTIFS($C$2:$C$3934,Table4[[#This Row],[customer_id]])</f>
        <v>3</v>
      </c>
      <c r="N251" t="str">
        <f>IF(Table4[[#This Row],[customer_order_count]]=1,"New Customer","Repeat Customer")</f>
        <v>Repeat Customer</v>
      </c>
    </row>
    <row r="252" spans="1:14">
      <c r="A252" t="s">
        <v>235</v>
      </c>
      <c r="B252" s="1">
        <v>45020</v>
      </c>
      <c r="C252" t="s">
        <v>236</v>
      </c>
      <c r="D252" t="s">
        <v>237</v>
      </c>
      <c r="E252" t="s">
        <v>21</v>
      </c>
      <c r="F252" t="s">
        <v>66</v>
      </c>
      <c r="G252" t="s">
        <v>238</v>
      </c>
      <c r="H252">
        <v>3</v>
      </c>
      <c r="I252" s="3">
        <v>12.43</v>
      </c>
      <c r="J252" t="s">
        <v>16</v>
      </c>
      <c r="K252" t="s">
        <v>35</v>
      </c>
      <c r="L252" s="4">
        <f>Table4[[#This Row],[quantity]]*Table4[[#This Row],[unit_price]]</f>
        <v>37.29</v>
      </c>
      <c r="M252">
        <f>COUNTIFS($C$2:$C$3934,Table4[[#This Row],[customer_id]])</f>
        <v>3</v>
      </c>
      <c r="N252" t="str">
        <f>IF(Table4[[#This Row],[customer_order_count]]=1,"New Customer","Repeat Customer")</f>
        <v>Repeat Customer</v>
      </c>
    </row>
    <row r="253" spans="1:14">
      <c r="A253" t="s">
        <v>3942</v>
      </c>
      <c r="B253" s="1">
        <v>45003</v>
      </c>
      <c r="C253" t="s">
        <v>3686</v>
      </c>
      <c r="D253" t="s">
        <v>1241</v>
      </c>
      <c r="E253" t="s">
        <v>21</v>
      </c>
      <c r="F253" t="s">
        <v>66</v>
      </c>
      <c r="G253" t="s">
        <v>49</v>
      </c>
      <c r="H253">
        <v>1</v>
      </c>
      <c r="I253" s="3">
        <v>12.48</v>
      </c>
      <c r="J253" t="s">
        <v>16</v>
      </c>
      <c r="K253" t="s">
        <v>30</v>
      </c>
      <c r="L253" s="4">
        <f>Table4[[#This Row],[quantity]]*Table4[[#This Row],[unit_price]]</f>
        <v>12.48</v>
      </c>
      <c r="M253">
        <f>COUNTIFS($C$2:$C$3934,Table4[[#This Row],[customer_id]])</f>
        <v>2</v>
      </c>
      <c r="N253" t="str">
        <f>IF(Table4[[#This Row],[customer_order_count]]=1,"New Customer","Repeat Customer")</f>
        <v>Repeat Customer</v>
      </c>
    </row>
    <row r="254" spans="1:14">
      <c r="A254" t="s">
        <v>5137</v>
      </c>
      <c r="B254" s="1">
        <v>45624</v>
      </c>
      <c r="C254" t="s">
        <v>2004</v>
      </c>
      <c r="D254" t="s">
        <v>99</v>
      </c>
      <c r="E254" t="s">
        <v>44</v>
      </c>
      <c r="F254" t="s">
        <v>28</v>
      </c>
      <c r="G254" t="s">
        <v>139</v>
      </c>
      <c r="H254">
        <v>1</v>
      </c>
      <c r="I254" s="3">
        <v>12.49</v>
      </c>
      <c r="J254" t="s">
        <v>24</v>
      </c>
      <c r="K254" t="s">
        <v>17</v>
      </c>
      <c r="L254" s="4">
        <f>Table4[[#This Row],[quantity]]*Table4[[#This Row],[unit_price]]</f>
        <v>12.49</v>
      </c>
      <c r="M254">
        <f>COUNTIFS($C$2:$C$3934,Table4[[#This Row],[customer_id]])</f>
        <v>6</v>
      </c>
      <c r="N254" t="str">
        <f>IF(Table4[[#This Row],[customer_order_count]]=1,"New Customer","Repeat Customer")</f>
        <v>Repeat Customer</v>
      </c>
    </row>
    <row r="255" spans="1:14">
      <c r="A255" t="s">
        <v>1709</v>
      </c>
      <c r="B255" s="1">
        <v>45265</v>
      </c>
      <c r="C255" t="s">
        <v>1710</v>
      </c>
      <c r="D255" t="s">
        <v>396</v>
      </c>
      <c r="E255" t="s">
        <v>21</v>
      </c>
      <c r="F255" t="s">
        <v>66</v>
      </c>
      <c r="G255" t="s">
        <v>67</v>
      </c>
      <c r="H255">
        <v>2</v>
      </c>
      <c r="I255" s="3">
        <v>12.49</v>
      </c>
      <c r="J255" t="s">
        <v>85</v>
      </c>
      <c r="K255" t="s">
        <v>30</v>
      </c>
      <c r="L255" s="4">
        <f>Table4[[#This Row],[quantity]]*Table4[[#This Row],[unit_price]]</f>
        <v>24.98</v>
      </c>
      <c r="M255">
        <f>COUNTIFS($C$2:$C$3934,Table4[[#This Row],[customer_id]])</f>
        <v>10</v>
      </c>
      <c r="N255" t="str">
        <f>IF(Table4[[#This Row],[customer_order_count]]=1,"New Customer","Repeat Customer")</f>
        <v>Repeat Customer</v>
      </c>
    </row>
    <row r="256" spans="1:14">
      <c r="A256" t="s">
        <v>4786</v>
      </c>
      <c r="B256" s="1">
        <v>45082</v>
      </c>
      <c r="C256" t="s">
        <v>1831</v>
      </c>
      <c r="D256" t="s">
        <v>1832</v>
      </c>
      <c r="E256" t="s">
        <v>21</v>
      </c>
      <c r="F256" t="s">
        <v>66</v>
      </c>
      <c r="G256" t="s">
        <v>128</v>
      </c>
      <c r="H256">
        <v>2</v>
      </c>
      <c r="I256" s="3">
        <v>12.53</v>
      </c>
      <c r="J256" t="s">
        <v>85</v>
      </c>
      <c r="K256" t="s">
        <v>17</v>
      </c>
      <c r="L256" s="4">
        <f>Table4[[#This Row],[quantity]]*Table4[[#This Row],[unit_price]]</f>
        <v>25.06</v>
      </c>
      <c r="M256">
        <f>COUNTIFS($C$2:$C$3934,Table4[[#This Row],[customer_id]])</f>
        <v>5</v>
      </c>
      <c r="N256" t="str">
        <f>IF(Table4[[#This Row],[customer_order_count]]=1,"New Customer","Repeat Customer")</f>
        <v>Repeat Customer</v>
      </c>
    </row>
    <row r="257" spans="1:14">
      <c r="A257" t="s">
        <v>2195</v>
      </c>
      <c r="B257" s="1">
        <v>45474</v>
      </c>
      <c r="C257" t="s">
        <v>2008</v>
      </c>
      <c r="D257" t="s">
        <v>417</v>
      </c>
      <c r="E257" t="s">
        <v>21</v>
      </c>
      <c r="F257" t="s">
        <v>22</v>
      </c>
      <c r="G257" t="s">
        <v>135</v>
      </c>
      <c r="H257">
        <v>4</v>
      </c>
      <c r="I257" s="3">
        <v>12.56</v>
      </c>
      <c r="J257" t="s">
        <v>24</v>
      </c>
      <c r="K257" t="s">
        <v>35</v>
      </c>
      <c r="L257" s="4">
        <f>Table4[[#This Row],[quantity]]*Table4[[#This Row],[unit_price]]</f>
        <v>50.24</v>
      </c>
      <c r="M257">
        <f>COUNTIFS($C$2:$C$3934,Table4[[#This Row],[customer_id]])</f>
        <v>7</v>
      </c>
      <c r="N257" t="str">
        <f>IF(Table4[[#This Row],[customer_order_count]]=1,"New Customer","Repeat Customer")</f>
        <v>Repeat Customer</v>
      </c>
    </row>
    <row r="258" spans="1:14">
      <c r="A258" t="s">
        <v>1590</v>
      </c>
      <c r="B258" s="1">
        <v>45337</v>
      </c>
      <c r="C258" t="s">
        <v>98</v>
      </c>
      <c r="D258" t="s">
        <v>99</v>
      </c>
      <c r="E258" t="s">
        <v>21</v>
      </c>
      <c r="F258" t="s">
        <v>28</v>
      </c>
      <c r="G258" t="s">
        <v>45</v>
      </c>
      <c r="H258">
        <v>1</v>
      </c>
      <c r="I258" s="3">
        <v>12.59</v>
      </c>
      <c r="J258" t="s">
        <v>16</v>
      </c>
      <c r="K258" t="s">
        <v>35</v>
      </c>
      <c r="L258" s="4">
        <f>Table4[[#This Row],[quantity]]*Table4[[#This Row],[unit_price]]</f>
        <v>12.59</v>
      </c>
      <c r="M258">
        <f>COUNTIFS($C$2:$C$3934,Table4[[#This Row],[customer_id]])</f>
        <v>7</v>
      </c>
      <c r="N258" t="str">
        <f>IF(Table4[[#This Row],[customer_order_count]]=1,"New Customer","Repeat Customer")</f>
        <v>Repeat Customer</v>
      </c>
    </row>
    <row r="259" spans="1:14">
      <c r="A259" t="s">
        <v>3356</v>
      </c>
      <c r="B259" s="1">
        <v>45230</v>
      </c>
      <c r="C259" t="s">
        <v>824</v>
      </c>
      <c r="D259" t="s">
        <v>825</v>
      </c>
      <c r="E259" t="s">
        <v>44</v>
      </c>
      <c r="F259" t="s">
        <v>28</v>
      </c>
      <c r="G259" t="s">
        <v>139</v>
      </c>
      <c r="H259">
        <v>1</v>
      </c>
      <c r="I259" s="3">
        <v>12.66</v>
      </c>
      <c r="J259" t="s">
        <v>16</v>
      </c>
      <c r="K259" t="s">
        <v>40</v>
      </c>
      <c r="L259" s="4">
        <f>Table4[[#This Row],[quantity]]*Table4[[#This Row],[unit_price]]</f>
        <v>12.66</v>
      </c>
      <c r="M259">
        <f>COUNTIFS($C$2:$C$3934,Table4[[#This Row],[customer_id]])</f>
        <v>7</v>
      </c>
      <c r="N259" t="str">
        <f>IF(Table4[[#This Row],[customer_order_count]]=1,"New Customer","Repeat Customer")</f>
        <v>Repeat Customer</v>
      </c>
    </row>
    <row r="260" spans="1:14">
      <c r="A260" t="s">
        <v>2838</v>
      </c>
      <c r="B260" s="1">
        <v>45580</v>
      </c>
      <c r="C260" t="s">
        <v>1799</v>
      </c>
      <c r="D260" t="s">
        <v>186</v>
      </c>
      <c r="E260" t="s">
        <v>21</v>
      </c>
      <c r="F260" t="s">
        <v>70</v>
      </c>
      <c r="G260" t="s">
        <v>71</v>
      </c>
      <c r="H260">
        <v>1</v>
      </c>
      <c r="I260" s="3">
        <v>12.71</v>
      </c>
      <c r="J260" t="s">
        <v>16</v>
      </c>
      <c r="K260" t="s">
        <v>40</v>
      </c>
      <c r="L260" s="4">
        <f>Table4[[#This Row],[quantity]]*Table4[[#This Row],[unit_price]]</f>
        <v>12.71</v>
      </c>
      <c r="M260">
        <f>COUNTIFS($C$2:$C$3934,Table4[[#This Row],[customer_id]])</f>
        <v>4</v>
      </c>
      <c r="N260" t="str">
        <f>IF(Table4[[#This Row],[customer_order_count]]=1,"New Customer","Repeat Customer")</f>
        <v>Repeat Customer</v>
      </c>
    </row>
    <row r="261" spans="1:14">
      <c r="A261" t="s">
        <v>4583</v>
      </c>
      <c r="B261" s="1">
        <v>44933</v>
      </c>
      <c r="C261" t="s">
        <v>1353</v>
      </c>
      <c r="D261" t="s">
        <v>1057</v>
      </c>
      <c r="E261" t="s">
        <v>21</v>
      </c>
      <c r="F261" t="s">
        <v>22</v>
      </c>
      <c r="G261" t="s">
        <v>142</v>
      </c>
      <c r="H261">
        <v>1</v>
      </c>
      <c r="I261" s="3">
        <v>12.71</v>
      </c>
      <c r="J261" t="s">
        <v>16</v>
      </c>
      <c r="K261" t="s">
        <v>30</v>
      </c>
      <c r="L261" s="4">
        <f>Table4[[#This Row],[quantity]]*Table4[[#This Row],[unit_price]]</f>
        <v>12.71</v>
      </c>
      <c r="M261">
        <f>COUNTIFS($C$2:$C$3934,Table4[[#This Row],[customer_id]])</f>
        <v>4</v>
      </c>
      <c r="N261" t="str">
        <f>IF(Table4[[#This Row],[customer_order_count]]=1,"New Customer","Repeat Customer")</f>
        <v>Repeat Customer</v>
      </c>
    </row>
    <row r="262" spans="1:14">
      <c r="A262" t="s">
        <v>829</v>
      </c>
      <c r="B262" s="1">
        <v>45018</v>
      </c>
      <c r="C262" t="s">
        <v>830</v>
      </c>
      <c r="D262" t="s">
        <v>831</v>
      </c>
      <c r="E262" t="s">
        <v>21</v>
      </c>
      <c r="F262" t="s">
        <v>66</v>
      </c>
      <c r="G262" t="s">
        <v>217</v>
      </c>
      <c r="H262">
        <v>1</v>
      </c>
      <c r="I262" s="3">
        <v>12.72</v>
      </c>
      <c r="J262" t="s">
        <v>16</v>
      </c>
      <c r="K262" t="s">
        <v>35</v>
      </c>
      <c r="L262" s="4">
        <f>Table4[[#This Row],[quantity]]*Table4[[#This Row],[unit_price]]</f>
        <v>12.72</v>
      </c>
      <c r="M262">
        <f>COUNTIFS($C$2:$C$3934,Table4[[#This Row],[customer_id]])</f>
        <v>5</v>
      </c>
      <c r="N262" t="str">
        <f>IF(Table4[[#This Row],[customer_order_count]]=1,"New Customer","Repeat Customer")</f>
        <v>Repeat Customer</v>
      </c>
    </row>
    <row r="263" spans="1:14">
      <c r="A263" t="s">
        <v>4311</v>
      </c>
      <c r="B263" s="1">
        <v>44989</v>
      </c>
      <c r="C263" t="s">
        <v>1603</v>
      </c>
      <c r="D263" t="s">
        <v>226</v>
      </c>
      <c r="E263" t="s">
        <v>21</v>
      </c>
      <c r="F263" t="s">
        <v>28</v>
      </c>
      <c r="G263" t="s">
        <v>139</v>
      </c>
      <c r="H263">
        <v>1</v>
      </c>
      <c r="I263" s="3">
        <v>12.73</v>
      </c>
      <c r="J263" t="s">
        <v>24</v>
      </c>
      <c r="K263" t="s">
        <v>30</v>
      </c>
      <c r="L263" s="4">
        <f>Table4[[#This Row],[quantity]]*Table4[[#This Row],[unit_price]]</f>
        <v>12.73</v>
      </c>
      <c r="M263">
        <f>COUNTIFS($C$2:$C$3934,Table4[[#This Row],[customer_id]])</f>
        <v>6</v>
      </c>
      <c r="N263" t="str">
        <f>IF(Table4[[#This Row],[customer_order_count]]=1,"New Customer","Repeat Customer")</f>
        <v>Repeat Customer</v>
      </c>
    </row>
    <row r="264" spans="1:14">
      <c r="A264" t="s">
        <v>4617</v>
      </c>
      <c r="B264" s="1">
        <v>45163</v>
      </c>
      <c r="C264" t="s">
        <v>451</v>
      </c>
      <c r="D264" t="s">
        <v>452</v>
      </c>
      <c r="E264" t="s">
        <v>44</v>
      </c>
      <c r="F264" t="s">
        <v>66</v>
      </c>
      <c r="G264" t="s">
        <v>49</v>
      </c>
      <c r="H264">
        <v>1</v>
      </c>
      <c r="I264" s="3">
        <v>12.73</v>
      </c>
      <c r="J264" t="s">
        <v>16</v>
      </c>
      <c r="K264" t="s">
        <v>40</v>
      </c>
      <c r="L264" s="4">
        <f>Table4[[#This Row],[quantity]]*Table4[[#This Row],[unit_price]]</f>
        <v>12.73</v>
      </c>
      <c r="M264">
        <f>COUNTIFS($C$2:$C$3934,Table4[[#This Row],[customer_id]])</f>
        <v>8</v>
      </c>
      <c r="N264" t="str">
        <f>IF(Table4[[#This Row],[customer_order_count]]=1,"New Customer","Repeat Customer")</f>
        <v>Repeat Customer</v>
      </c>
    </row>
    <row r="265" spans="1:14">
      <c r="A265" t="s">
        <v>3789</v>
      </c>
      <c r="B265" s="1">
        <v>44954</v>
      </c>
      <c r="C265" t="s">
        <v>3211</v>
      </c>
      <c r="D265" t="s">
        <v>950</v>
      </c>
      <c r="E265" t="s">
        <v>21</v>
      </c>
      <c r="F265" t="s">
        <v>28</v>
      </c>
      <c r="G265" t="s">
        <v>84</v>
      </c>
      <c r="H265">
        <v>2</v>
      </c>
      <c r="I265" s="3">
        <v>12.74</v>
      </c>
      <c r="J265" t="s">
        <v>16</v>
      </c>
      <c r="K265" t="s">
        <v>40</v>
      </c>
      <c r="L265" s="4">
        <f>Table4[[#This Row],[quantity]]*Table4[[#This Row],[unit_price]]</f>
        <v>25.48</v>
      </c>
      <c r="M265">
        <f>COUNTIFS($C$2:$C$3934,Table4[[#This Row],[customer_id]])</f>
        <v>6</v>
      </c>
      <c r="N265" t="str">
        <f>IF(Table4[[#This Row],[customer_order_count]]=1,"New Customer","Repeat Customer")</f>
        <v>Repeat Customer</v>
      </c>
    </row>
    <row r="266" spans="1:14">
      <c r="A266" t="s">
        <v>2362</v>
      </c>
      <c r="B266" s="1">
        <v>45391</v>
      </c>
      <c r="C266" t="s">
        <v>1783</v>
      </c>
      <c r="D266" t="s">
        <v>333</v>
      </c>
      <c r="E266" t="s">
        <v>61</v>
      </c>
      <c r="F266" t="s">
        <v>14</v>
      </c>
      <c r="G266" t="s">
        <v>100</v>
      </c>
      <c r="H266">
        <v>2</v>
      </c>
      <c r="I266" s="3">
        <v>12.75</v>
      </c>
      <c r="J266" t="s">
        <v>16</v>
      </c>
      <c r="K266" t="s">
        <v>30</v>
      </c>
      <c r="L266" s="4">
        <f>Table4[[#This Row],[quantity]]*Table4[[#This Row],[unit_price]]</f>
        <v>25.5</v>
      </c>
      <c r="M266">
        <f>COUNTIFS($C$2:$C$3934,Table4[[#This Row],[customer_id]])</f>
        <v>3</v>
      </c>
      <c r="N266" t="str">
        <f>IF(Table4[[#This Row],[customer_order_count]]=1,"New Customer","Repeat Customer")</f>
        <v>Repeat Customer</v>
      </c>
    </row>
    <row r="267" spans="1:14">
      <c r="A267" t="s">
        <v>4406</v>
      </c>
      <c r="B267" s="1">
        <v>45166</v>
      </c>
      <c r="C267" t="s">
        <v>1294</v>
      </c>
      <c r="D267" t="s">
        <v>1241</v>
      </c>
      <c r="E267" t="s">
        <v>21</v>
      </c>
      <c r="F267" t="s">
        <v>28</v>
      </c>
      <c r="G267" t="s">
        <v>29</v>
      </c>
      <c r="H267">
        <v>3</v>
      </c>
      <c r="I267" s="3">
        <v>12.75</v>
      </c>
      <c r="J267" t="s">
        <v>16</v>
      </c>
      <c r="K267" t="s">
        <v>17</v>
      </c>
      <c r="L267" s="4">
        <f>Table4[[#This Row],[quantity]]*Table4[[#This Row],[unit_price]]</f>
        <v>38.25</v>
      </c>
      <c r="M267">
        <f>COUNTIFS($C$2:$C$3934,Table4[[#This Row],[customer_id]])</f>
        <v>6</v>
      </c>
      <c r="N267" t="str">
        <f>IF(Table4[[#This Row],[customer_order_count]]=1,"New Customer","Repeat Customer")</f>
        <v>Repeat Customer</v>
      </c>
    </row>
    <row r="268" spans="1:14">
      <c r="A268" t="s">
        <v>4831</v>
      </c>
      <c r="B268" s="1">
        <v>45408</v>
      </c>
      <c r="C268" t="s">
        <v>3495</v>
      </c>
      <c r="D268" t="s">
        <v>1176</v>
      </c>
      <c r="E268" t="s">
        <v>21</v>
      </c>
      <c r="F268" t="s">
        <v>56</v>
      </c>
      <c r="G268" t="s">
        <v>57</v>
      </c>
      <c r="H268">
        <v>4</v>
      </c>
      <c r="I268" s="3">
        <v>12.77</v>
      </c>
      <c r="J268" t="s">
        <v>16</v>
      </c>
      <c r="K268" t="s">
        <v>17</v>
      </c>
      <c r="L268" s="4">
        <f>Table4[[#This Row],[quantity]]*Table4[[#This Row],[unit_price]]</f>
        <v>51.08</v>
      </c>
      <c r="M268">
        <f>COUNTIFS($C$2:$C$3934,Table4[[#This Row],[customer_id]])</f>
        <v>2</v>
      </c>
      <c r="N268" t="str">
        <f>IF(Table4[[#This Row],[customer_order_count]]=1,"New Customer","Repeat Customer")</f>
        <v>Repeat Customer</v>
      </c>
    </row>
    <row r="269" spans="1:14">
      <c r="A269" t="s">
        <v>3518</v>
      </c>
      <c r="B269" s="1">
        <v>44931</v>
      </c>
      <c r="C269" t="s">
        <v>32</v>
      </c>
      <c r="D269" t="s">
        <v>33</v>
      </c>
      <c r="E269" t="s">
        <v>21</v>
      </c>
      <c r="F269" t="s">
        <v>70</v>
      </c>
      <c r="G269" t="s">
        <v>337</v>
      </c>
      <c r="H269">
        <v>2</v>
      </c>
      <c r="I269" s="3">
        <v>12.8</v>
      </c>
      <c r="J269" t="s">
        <v>24</v>
      </c>
      <c r="K269" t="s">
        <v>35</v>
      </c>
      <c r="L269" s="4">
        <f>Table4[[#This Row],[quantity]]*Table4[[#This Row],[unit_price]]</f>
        <v>25.6</v>
      </c>
      <c r="M269">
        <f>COUNTIFS($C$2:$C$3934,Table4[[#This Row],[customer_id]])</f>
        <v>5</v>
      </c>
      <c r="N269" t="str">
        <f>IF(Table4[[#This Row],[customer_order_count]]=1,"New Customer","Repeat Customer")</f>
        <v>Repeat Customer</v>
      </c>
    </row>
    <row r="270" spans="1:14">
      <c r="A270" t="s">
        <v>5093</v>
      </c>
      <c r="B270" s="1">
        <v>45391</v>
      </c>
      <c r="C270" t="s">
        <v>2908</v>
      </c>
      <c r="D270" t="s">
        <v>2909</v>
      </c>
      <c r="E270" t="s">
        <v>21</v>
      </c>
      <c r="F270" t="s">
        <v>28</v>
      </c>
      <c r="G270" t="s">
        <v>45</v>
      </c>
      <c r="H270">
        <v>1</v>
      </c>
      <c r="I270" s="3">
        <v>12.82</v>
      </c>
      <c r="J270" t="s">
        <v>85</v>
      </c>
      <c r="K270" t="s">
        <v>17</v>
      </c>
      <c r="L270" s="4">
        <f>Table4[[#This Row],[quantity]]*Table4[[#This Row],[unit_price]]</f>
        <v>12.82</v>
      </c>
      <c r="M270">
        <f>COUNTIFS($C$2:$C$3934,Table4[[#This Row],[customer_id]])</f>
        <v>3</v>
      </c>
      <c r="N270" t="str">
        <f>IF(Table4[[#This Row],[customer_order_count]]=1,"New Customer","Repeat Customer")</f>
        <v>Repeat Customer</v>
      </c>
    </row>
    <row r="271" spans="1:14">
      <c r="A271" t="s">
        <v>706</v>
      </c>
      <c r="B271" s="1">
        <v>44974</v>
      </c>
      <c r="C271" t="s">
        <v>177</v>
      </c>
      <c r="D271" t="s">
        <v>178</v>
      </c>
      <c r="E271" t="s">
        <v>21</v>
      </c>
      <c r="F271" t="s">
        <v>70</v>
      </c>
      <c r="G271" t="s">
        <v>89</v>
      </c>
      <c r="H271">
        <v>4</v>
      </c>
      <c r="I271" s="3">
        <v>12.85</v>
      </c>
      <c r="J271" t="s">
        <v>16</v>
      </c>
      <c r="K271" t="s">
        <v>17</v>
      </c>
      <c r="L271" s="4">
        <f>Table4[[#This Row],[quantity]]*Table4[[#This Row],[unit_price]]</f>
        <v>51.4</v>
      </c>
      <c r="M271">
        <f>COUNTIFS($C$2:$C$3934,Table4[[#This Row],[customer_id]])</f>
        <v>6</v>
      </c>
      <c r="N271" t="str">
        <f>IF(Table4[[#This Row],[customer_order_count]]=1,"New Customer","Repeat Customer")</f>
        <v>Repeat Customer</v>
      </c>
    </row>
    <row r="272" spans="1:14">
      <c r="A272" t="s">
        <v>4952</v>
      </c>
      <c r="B272" s="1">
        <v>45509</v>
      </c>
      <c r="C272" t="s">
        <v>112</v>
      </c>
      <c r="D272" t="s">
        <v>113</v>
      </c>
      <c r="E272" t="s">
        <v>21</v>
      </c>
      <c r="F272" t="s">
        <v>70</v>
      </c>
      <c r="G272" t="s">
        <v>71</v>
      </c>
      <c r="H272">
        <v>2</v>
      </c>
      <c r="I272" s="3">
        <v>12.86</v>
      </c>
      <c r="J272" t="s">
        <v>16</v>
      </c>
      <c r="K272" t="s">
        <v>40</v>
      </c>
      <c r="L272" s="4">
        <f>Table4[[#This Row],[quantity]]*Table4[[#This Row],[unit_price]]</f>
        <v>25.72</v>
      </c>
      <c r="M272">
        <f>COUNTIFS($C$2:$C$3934,Table4[[#This Row],[customer_id]])</f>
        <v>7</v>
      </c>
      <c r="N272" t="str">
        <f>IF(Table4[[#This Row],[customer_order_count]]=1,"New Customer","Repeat Customer")</f>
        <v>Repeat Customer</v>
      </c>
    </row>
    <row r="273" spans="1:14">
      <c r="A273" t="s">
        <v>1734</v>
      </c>
      <c r="B273" s="1">
        <v>45318</v>
      </c>
      <c r="C273" t="s">
        <v>1735</v>
      </c>
      <c r="D273" t="s">
        <v>1736</v>
      </c>
      <c r="E273" t="s">
        <v>21</v>
      </c>
      <c r="F273" t="s">
        <v>66</v>
      </c>
      <c r="G273" t="s">
        <v>128</v>
      </c>
      <c r="H273">
        <v>1</v>
      </c>
      <c r="I273" s="3">
        <v>12.89</v>
      </c>
      <c r="J273" t="s">
        <v>24</v>
      </c>
      <c r="K273" t="s">
        <v>40</v>
      </c>
      <c r="L273" s="4">
        <f>Table4[[#This Row],[quantity]]*Table4[[#This Row],[unit_price]]</f>
        <v>12.89</v>
      </c>
      <c r="M273">
        <f>COUNTIFS($C$2:$C$3934,Table4[[#This Row],[customer_id]])</f>
        <v>3</v>
      </c>
      <c r="N273" t="str">
        <f>IF(Table4[[#This Row],[customer_order_count]]=1,"New Customer","Repeat Customer")</f>
        <v>Repeat Customer</v>
      </c>
    </row>
    <row r="274" spans="1:14">
      <c r="A274" t="s">
        <v>3627</v>
      </c>
      <c r="B274" s="1">
        <v>45388</v>
      </c>
      <c r="C274" t="s">
        <v>1389</v>
      </c>
      <c r="D274" t="s">
        <v>1390</v>
      </c>
      <c r="E274" t="s">
        <v>21</v>
      </c>
      <c r="F274" t="s">
        <v>66</v>
      </c>
      <c r="G274" t="s">
        <v>238</v>
      </c>
      <c r="H274">
        <v>1</v>
      </c>
      <c r="I274" s="3">
        <v>12.89</v>
      </c>
      <c r="J274" t="s">
        <v>16</v>
      </c>
      <c r="K274" t="s">
        <v>30</v>
      </c>
      <c r="L274" s="4">
        <f>Table4[[#This Row],[quantity]]*Table4[[#This Row],[unit_price]]</f>
        <v>12.89</v>
      </c>
      <c r="M274">
        <f>COUNTIFS($C$2:$C$3934,Table4[[#This Row],[customer_id]])</f>
        <v>5</v>
      </c>
      <c r="N274" t="str">
        <f>IF(Table4[[#This Row],[customer_order_count]]=1,"New Customer","Repeat Customer")</f>
        <v>Repeat Customer</v>
      </c>
    </row>
    <row r="275" spans="1:14">
      <c r="A275" t="s">
        <v>4558</v>
      </c>
      <c r="B275" s="1">
        <v>45573</v>
      </c>
      <c r="C275" t="s">
        <v>317</v>
      </c>
      <c r="D275" t="s">
        <v>318</v>
      </c>
      <c r="E275" t="s">
        <v>44</v>
      </c>
      <c r="F275" t="s">
        <v>70</v>
      </c>
      <c r="G275" t="s">
        <v>337</v>
      </c>
      <c r="H275">
        <v>2</v>
      </c>
      <c r="I275" s="3">
        <v>12.94</v>
      </c>
      <c r="J275" t="s">
        <v>16</v>
      </c>
      <c r="K275" t="s">
        <v>30</v>
      </c>
      <c r="L275" s="4">
        <f>Table4[[#This Row],[quantity]]*Table4[[#This Row],[unit_price]]</f>
        <v>25.88</v>
      </c>
      <c r="M275">
        <f>COUNTIFS($C$2:$C$3934,Table4[[#This Row],[customer_id]])</f>
        <v>5</v>
      </c>
      <c r="N275" t="str">
        <f>IF(Table4[[#This Row],[customer_order_count]]=1,"New Customer","Repeat Customer")</f>
        <v>Repeat Customer</v>
      </c>
    </row>
    <row r="276" spans="1:14">
      <c r="A276" t="s">
        <v>31</v>
      </c>
      <c r="B276" s="1">
        <v>45526</v>
      </c>
      <c r="C276" t="s">
        <v>32</v>
      </c>
      <c r="D276" t="s">
        <v>33</v>
      </c>
      <c r="E276" t="s">
        <v>21</v>
      </c>
      <c r="F276" t="s">
        <v>14</v>
      </c>
      <c r="G276" t="s">
        <v>34</v>
      </c>
      <c r="H276">
        <v>2</v>
      </c>
      <c r="I276" s="3">
        <v>12.94</v>
      </c>
      <c r="J276" t="s">
        <v>16</v>
      </c>
      <c r="K276" t="s">
        <v>35</v>
      </c>
      <c r="L276" s="4">
        <f>Table4[[#This Row],[quantity]]*Table4[[#This Row],[unit_price]]</f>
        <v>25.88</v>
      </c>
      <c r="M276">
        <f>COUNTIFS($C$2:$C$3934,Table4[[#This Row],[customer_id]])</f>
        <v>5</v>
      </c>
      <c r="N276" t="str">
        <f>IF(Table4[[#This Row],[customer_order_count]]=1,"New Customer","Repeat Customer")</f>
        <v>Repeat Customer</v>
      </c>
    </row>
    <row r="277" spans="1:14">
      <c r="A277" t="s">
        <v>4934</v>
      </c>
      <c r="B277" s="1">
        <v>45080</v>
      </c>
      <c r="C277" t="s">
        <v>1842</v>
      </c>
      <c r="D277" t="s">
        <v>496</v>
      </c>
      <c r="E277" t="s">
        <v>44</v>
      </c>
      <c r="F277" t="s">
        <v>70</v>
      </c>
      <c r="G277" t="s">
        <v>170</v>
      </c>
      <c r="H277">
        <v>1</v>
      </c>
      <c r="I277" s="3">
        <v>12.96</v>
      </c>
      <c r="J277" t="s">
        <v>16</v>
      </c>
      <c r="K277" t="s">
        <v>35</v>
      </c>
      <c r="L277" s="4">
        <f>Table4[[#This Row],[quantity]]*Table4[[#This Row],[unit_price]]</f>
        <v>12.96</v>
      </c>
      <c r="M277">
        <f>COUNTIFS($C$2:$C$3934,Table4[[#This Row],[customer_id]])</f>
        <v>7</v>
      </c>
      <c r="N277" t="str">
        <f>IF(Table4[[#This Row],[customer_order_count]]=1,"New Customer","Repeat Customer")</f>
        <v>Repeat Customer</v>
      </c>
    </row>
    <row r="278" spans="1:14">
      <c r="A278" t="s">
        <v>4037</v>
      </c>
      <c r="B278" s="1">
        <v>45207</v>
      </c>
      <c r="C278" t="s">
        <v>1837</v>
      </c>
      <c r="D278" t="s">
        <v>1838</v>
      </c>
      <c r="E278" t="s">
        <v>21</v>
      </c>
      <c r="F278" t="s">
        <v>14</v>
      </c>
      <c r="G278" t="s">
        <v>100</v>
      </c>
      <c r="H278">
        <v>1</v>
      </c>
      <c r="I278" s="3">
        <v>12.96</v>
      </c>
      <c r="J278" t="s">
        <v>16</v>
      </c>
      <c r="K278" t="s">
        <v>35</v>
      </c>
      <c r="L278" s="4">
        <f>Table4[[#This Row],[quantity]]*Table4[[#This Row],[unit_price]]</f>
        <v>12.96</v>
      </c>
      <c r="M278">
        <f>COUNTIFS($C$2:$C$3934,Table4[[#This Row],[customer_id]])</f>
        <v>9</v>
      </c>
      <c r="N278" t="str">
        <f>IF(Table4[[#This Row],[customer_order_count]]=1,"New Customer","Repeat Customer")</f>
        <v>Repeat Customer</v>
      </c>
    </row>
    <row r="279" spans="1:14">
      <c r="A279" t="s">
        <v>2885</v>
      </c>
      <c r="B279" s="1">
        <v>45565</v>
      </c>
      <c r="C279" t="s">
        <v>1102</v>
      </c>
      <c r="D279" t="s">
        <v>1103</v>
      </c>
      <c r="E279" t="s">
        <v>21</v>
      </c>
      <c r="F279" t="s">
        <v>22</v>
      </c>
      <c r="G279" t="s">
        <v>142</v>
      </c>
      <c r="H279">
        <v>2</v>
      </c>
      <c r="I279" s="3">
        <v>12.96</v>
      </c>
      <c r="J279" t="s">
        <v>255</v>
      </c>
      <c r="K279" t="s">
        <v>35</v>
      </c>
      <c r="L279" s="4">
        <f>Table4[[#This Row],[quantity]]*Table4[[#This Row],[unit_price]]</f>
        <v>25.92</v>
      </c>
      <c r="M279">
        <f>COUNTIFS($C$2:$C$3934,Table4[[#This Row],[customer_id]])</f>
        <v>6</v>
      </c>
      <c r="N279" t="str">
        <f>IF(Table4[[#This Row],[customer_order_count]]=1,"New Customer","Repeat Customer")</f>
        <v>Repeat Customer</v>
      </c>
    </row>
    <row r="280" spans="1:14">
      <c r="A280" t="s">
        <v>4409</v>
      </c>
      <c r="B280" s="1">
        <v>45483</v>
      </c>
      <c r="C280" t="s">
        <v>2817</v>
      </c>
      <c r="D280" t="s">
        <v>1390</v>
      </c>
      <c r="E280" t="s">
        <v>21</v>
      </c>
      <c r="F280" t="s">
        <v>70</v>
      </c>
      <c r="G280" t="s">
        <v>170</v>
      </c>
      <c r="H280">
        <v>1</v>
      </c>
      <c r="I280" s="3">
        <v>12.97</v>
      </c>
      <c r="J280" t="s">
        <v>16</v>
      </c>
      <c r="K280" t="s">
        <v>40</v>
      </c>
      <c r="L280" s="4">
        <f>Table4[[#This Row],[quantity]]*Table4[[#This Row],[unit_price]]</f>
        <v>12.97</v>
      </c>
      <c r="M280">
        <f>COUNTIFS($C$2:$C$3934,Table4[[#This Row],[customer_id]])</f>
        <v>4</v>
      </c>
      <c r="N280" t="str">
        <f>IF(Table4[[#This Row],[customer_order_count]]=1,"New Customer","Repeat Customer")</f>
        <v>Repeat Customer</v>
      </c>
    </row>
    <row r="281" spans="1:14">
      <c r="A281" t="s">
        <v>4095</v>
      </c>
      <c r="B281" s="1">
        <v>45102</v>
      </c>
      <c r="C281" t="s">
        <v>2908</v>
      </c>
      <c r="D281" t="s">
        <v>2909</v>
      </c>
      <c r="E281" t="s">
        <v>21</v>
      </c>
      <c r="F281" t="s">
        <v>28</v>
      </c>
      <c r="G281" t="s">
        <v>114</v>
      </c>
      <c r="H281">
        <v>1</v>
      </c>
      <c r="I281" s="3">
        <v>12.98</v>
      </c>
      <c r="J281" t="s">
        <v>85</v>
      </c>
      <c r="K281" t="s">
        <v>35</v>
      </c>
      <c r="L281" s="4">
        <f>Table4[[#This Row],[quantity]]*Table4[[#This Row],[unit_price]]</f>
        <v>12.98</v>
      </c>
      <c r="M281">
        <f>COUNTIFS($C$2:$C$3934,Table4[[#This Row],[customer_id]])</f>
        <v>3</v>
      </c>
      <c r="N281" t="str">
        <f>IF(Table4[[#This Row],[customer_order_count]]=1,"New Customer","Repeat Customer")</f>
        <v>Repeat Customer</v>
      </c>
    </row>
    <row r="282" spans="1:14">
      <c r="A282" t="s">
        <v>4047</v>
      </c>
      <c r="B282" s="1">
        <v>45638</v>
      </c>
      <c r="C282" t="s">
        <v>1095</v>
      </c>
      <c r="D282" t="s">
        <v>229</v>
      </c>
      <c r="E282" t="s">
        <v>21</v>
      </c>
      <c r="F282" t="s">
        <v>66</v>
      </c>
      <c r="G282" t="s">
        <v>49</v>
      </c>
      <c r="H282">
        <v>1</v>
      </c>
      <c r="I282" s="3">
        <v>13</v>
      </c>
      <c r="J282" t="s">
        <v>16</v>
      </c>
      <c r="K282" t="s">
        <v>35</v>
      </c>
      <c r="L282" s="4">
        <f>Table4[[#This Row],[quantity]]*Table4[[#This Row],[unit_price]]</f>
        <v>13</v>
      </c>
      <c r="M282">
        <f>COUNTIFS($C$2:$C$3934,Table4[[#This Row],[customer_id]])</f>
        <v>7</v>
      </c>
      <c r="N282" t="str">
        <f>IF(Table4[[#This Row],[customer_order_count]]=1,"New Customer","Repeat Customer")</f>
        <v>Repeat Customer</v>
      </c>
    </row>
    <row r="283" spans="1:14">
      <c r="A283" t="s">
        <v>3244</v>
      </c>
      <c r="B283" s="1">
        <v>45294</v>
      </c>
      <c r="C283" t="s">
        <v>3245</v>
      </c>
      <c r="D283" t="s">
        <v>1189</v>
      </c>
      <c r="E283" t="s">
        <v>106</v>
      </c>
      <c r="F283" t="s">
        <v>28</v>
      </c>
      <c r="G283" t="s">
        <v>139</v>
      </c>
      <c r="H283">
        <v>1</v>
      </c>
      <c r="I283" s="3">
        <v>13.03</v>
      </c>
      <c r="J283" t="s">
        <v>24</v>
      </c>
      <c r="K283" t="s">
        <v>17</v>
      </c>
      <c r="L283" s="4">
        <f>Table4[[#This Row],[quantity]]*Table4[[#This Row],[unit_price]]</f>
        <v>13.03</v>
      </c>
      <c r="M283">
        <f>COUNTIFS($C$2:$C$3934,Table4[[#This Row],[customer_id]])</f>
        <v>1</v>
      </c>
      <c r="N283" t="str">
        <f>IF(Table4[[#This Row],[customer_order_count]]=1,"New Customer","Repeat Customer")</f>
        <v>New Customer</v>
      </c>
    </row>
    <row r="284" spans="1:14">
      <c r="A284" t="s">
        <v>355</v>
      </c>
      <c r="B284" s="1">
        <v>45444</v>
      </c>
      <c r="C284" t="s">
        <v>356</v>
      </c>
      <c r="D284" t="s">
        <v>244</v>
      </c>
      <c r="E284" t="s">
        <v>21</v>
      </c>
      <c r="F284" t="s">
        <v>14</v>
      </c>
      <c r="G284" t="s">
        <v>100</v>
      </c>
      <c r="H284">
        <v>1</v>
      </c>
      <c r="I284" s="3">
        <v>13.05</v>
      </c>
      <c r="J284" t="s">
        <v>16</v>
      </c>
      <c r="K284" t="s">
        <v>40</v>
      </c>
      <c r="L284" s="4">
        <f>Table4[[#This Row],[quantity]]*Table4[[#This Row],[unit_price]]</f>
        <v>13.05</v>
      </c>
      <c r="M284">
        <f>COUNTIFS($C$2:$C$3934,Table4[[#This Row],[customer_id]])</f>
        <v>3</v>
      </c>
      <c r="N284" t="str">
        <f>IF(Table4[[#This Row],[customer_order_count]]=1,"New Customer","Repeat Customer")</f>
        <v>Repeat Customer</v>
      </c>
    </row>
    <row r="285" spans="1:14">
      <c r="A285" t="s">
        <v>3407</v>
      </c>
      <c r="B285" s="1">
        <v>44973</v>
      </c>
      <c r="C285" t="s">
        <v>1131</v>
      </c>
      <c r="D285" t="s">
        <v>962</v>
      </c>
      <c r="E285" t="s">
        <v>21</v>
      </c>
      <c r="F285" t="s">
        <v>56</v>
      </c>
      <c r="G285" t="s">
        <v>57</v>
      </c>
      <c r="H285">
        <v>2</v>
      </c>
      <c r="I285" s="3">
        <v>13.06</v>
      </c>
      <c r="J285" t="s">
        <v>16</v>
      </c>
      <c r="K285" t="s">
        <v>40</v>
      </c>
      <c r="L285" s="4">
        <f>Table4[[#This Row],[quantity]]*Table4[[#This Row],[unit_price]]</f>
        <v>26.12</v>
      </c>
      <c r="M285">
        <f>COUNTIFS($C$2:$C$3934,Table4[[#This Row],[customer_id]])</f>
        <v>8</v>
      </c>
      <c r="N285" t="str">
        <f>IF(Table4[[#This Row],[customer_order_count]]=1,"New Customer","Repeat Customer")</f>
        <v>Repeat Customer</v>
      </c>
    </row>
    <row r="286" spans="1:14">
      <c r="A286" t="s">
        <v>2530</v>
      </c>
      <c r="B286" s="1">
        <v>45278</v>
      </c>
      <c r="C286" t="s">
        <v>2531</v>
      </c>
      <c r="D286" t="s">
        <v>372</v>
      </c>
      <c r="E286" t="s">
        <v>21</v>
      </c>
      <c r="F286" t="s">
        <v>28</v>
      </c>
      <c r="G286" t="s">
        <v>114</v>
      </c>
      <c r="H286">
        <v>3</v>
      </c>
      <c r="I286" s="3">
        <v>13.08</v>
      </c>
      <c r="J286" t="s">
        <v>85</v>
      </c>
      <c r="K286" t="s">
        <v>17</v>
      </c>
      <c r="L286" s="4">
        <f>Table4[[#This Row],[quantity]]*Table4[[#This Row],[unit_price]]</f>
        <v>39.24</v>
      </c>
      <c r="M286">
        <f>COUNTIFS($C$2:$C$3934,Table4[[#This Row],[customer_id]])</f>
        <v>7</v>
      </c>
      <c r="N286" t="str">
        <f>IF(Table4[[#This Row],[customer_order_count]]=1,"New Customer","Repeat Customer")</f>
        <v>Repeat Customer</v>
      </c>
    </row>
    <row r="287" spans="1:14">
      <c r="A287" t="s">
        <v>670</v>
      </c>
      <c r="B287" s="1">
        <v>45464</v>
      </c>
      <c r="C287" t="s">
        <v>671</v>
      </c>
      <c r="D287" t="s">
        <v>672</v>
      </c>
      <c r="E287" t="s">
        <v>61</v>
      </c>
      <c r="F287" t="s">
        <v>14</v>
      </c>
      <c r="G287" t="s">
        <v>62</v>
      </c>
      <c r="H287">
        <v>2</v>
      </c>
      <c r="I287" s="3">
        <v>13.09</v>
      </c>
      <c r="J287" t="s">
        <v>255</v>
      </c>
      <c r="K287" t="s">
        <v>30</v>
      </c>
      <c r="L287" s="4">
        <f>Table4[[#This Row],[quantity]]*Table4[[#This Row],[unit_price]]</f>
        <v>26.18</v>
      </c>
      <c r="M287">
        <f>COUNTIFS($C$2:$C$3934,Table4[[#This Row],[customer_id]])</f>
        <v>4</v>
      </c>
      <c r="N287" t="str">
        <f>IF(Table4[[#This Row],[customer_order_count]]=1,"New Customer","Repeat Customer")</f>
        <v>Repeat Customer</v>
      </c>
    </row>
    <row r="288" spans="1:14">
      <c r="A288" t="s">
        <v>4198</v>
      </c>
      <c r="B288" s="1">
        <v>45392</v>
      </c>
      <c r="C288" t="s">
        <v>559</v>
      </c>
      <c r="D288" t="s">
        <v>560</v>
      </c>
      <c r="E288" t="s">
        <v>21</v>
      </c>
      <c r="F288" t="s">
        <v>22</v>
      </c>
      <c r="G288" t="s">
        <v>23</v>
      </c>
      <c r="H288">
        <v>1</v>
      </c>
      <c r="I288" s="3">
        <v>13.11</v>
      </c>
      <c r="J288" t="s">
        <v>16</v>
      </c>
      <c r="K288" t="s">
        <v>35</v>
      </c>
      <c r="L288" s="4">
        <f>Table4[[#This Row],[quantity]]*Table4[[#This Row],[unit_price]]</f>
        <v>13.11</v>
      </c>
      <c r="M288">
        <f>COUNTIFS($C$2:$C$3934,Table4[[#This Row],[customer_id]])</f>
        <v>6</v>
      </c>
      <c r="N288" t="str">
        <f>IF(Table4[[#This Row],[customer_order_count]]=1,"New Customer","Repeat Customer")</f>
        <v>Repeat Customer</v>
      </c>
    </row>
    <row r="289" spans="1:14">
      <c r="A289" t="s">
        <v>1122</v>
      </c>
      <c r="B289" s="1">
        <v>45321</v>
      </c>
      <c r="C289" t="s">
        <v>1123</v>
      </c>
      <c r="D289" t="s">
        <v>1124</v>
      </c>
      <c r="E289" t="s">
        <v>44</v>
      </c>
      <c r="F289" t="s">
        <v>14</v>
      </c>
      <c r="G289" t="s">
        <v>34</v>
      </c>
      <c r="H289">
        <v>1</v>
      </c>
      <c r="I289" s="3">
        <v>13.12</v>
      </c>
      <c r="J289" t="s">
        <v>16</v>
      </c>
      <c r="K289" t="s">
        <v>30</v>
      </c>
      <c r="L289" s="4">
        <f>Table4[[#This Row],[quantity]]*Table4[[#This Row],[unit_price]]</f>
        <v>13.12</v>
      </c>
      <c r="M289">
        <f>COUNTIFS($C$2:$C$3934,Table4[[#This Row],[customer_id]])</f>
        <v>4</v>
      </c>
      <c r="N289" t="str">
        <f>IF(Table4[[#This Row],[customer_order_count]]=1,"New Customer","Repeat Customer")</f>
        <v>Repeat Customer</v>
      </c>
    </row>
    <row r="290" spans="1:14">
      <c r="A290" t="s">
        <v>3888</v>
      </c>
      <c r="B290" s="1">
        <v>45573</v>
      </c>
      <c r="C290" t="s">
        <v>775</v>
      </c>
      <c r="D290" t="s">
        <v>678</v>
      </c>
      <c r="E290" t="s">
        <v>44</v>
      </c>
      <c r="F290" t="s">
        <v>14</v>
      </c>
      <c r="G290" t="s">
        <v>258</v>
      </c>
      <c r="H290">
        <v>1</v>
      </c>
      <c r="I290" s="3">
        <v>13.13</v>
      </c>
      <c r="J290" t="s">
        <v>16</v>
      </c>
      <c r="K290" t="s">
        <v>40</v>
      </c>
      <c r="L290" s="4">
        <f>Table4[[#This Row],[quantity]]*Table4[[#This Row],[unit_price]]</f>
        <v>13.13</v>
      </c>
      <c r="M290">
        <f>COUNTIFS($C$2:$C$3934,Table4[[#This Row],[customer_id]])</f>
        <v>5</v>
      </c>
      <c r="N290" t="str">
        <f>IF(Table4[[#This Row],[customer_order_count]]=1,"New Customer","Repeat Customer")</f>
        <v>Repeat Customer</v>
      </c>
    </row>
    <row r="291" spans="1:14">
      <c r="A291" t="s">
        <v>4541</v>
      </c>
      <c r="B291" s="1">
        <v>45589</v>
      </c>
      <c r="C291" t="s">
        <v>4379</v>
      </c>
      <c r="D291" t="s">
        <v>289</v>
      </c>
      <c r="E291" t="s">
        <v>61</v>
      </c>
      <c r="F291" t="s">
        <v>14</v>
      </c>
      <c r="G291" t="s">
        <v>34</v>
      </c>
      <c r="H291">
        <v>1</v>
      </c>
      <c r="I291" s="3">
        <v>13.17</v>
      </c>
      <c r="J291" t="s">
        <v>24</v>
      </c>
      <c r="K291" t="s">
        <v>40</v>
      </c>
      <c r="L291" s="4">
        <f>Table4[[#This Row],[quantity]]*Table4[[#This Row],[unit_price]]</f>
        <v>13.17</v>
      </c>
      <c r="M291">
        <f>COUNTIFS($C$2:$C$3934,Table4[[#This Row],[customer_id]])</f>
        <v>2</v>
      </c>
      <c r="N291" t="str">
        <f>IF(Table4[[#This Row],[customer_order_count]]=1,"New Customer","Repeat Customer")</f>
        <v>Repeat Customer</v>
      </c>
    </row>
    <row r="292" spans="1:14">
      <c r="A292" t="s">
        <v>473</v>
      </c>
      <c r="B292" s="1">
        <v>45233</v>
      </c>
      <c r="C292" t="s">
        <v>474</v>
      </c>
      <c r="D292" t="s">
        <v>475</v>
      </c>
      <c r="E292" t="s">
        <v>21</v>
      </c>
      <c r="F292" t="s">
        <v>70</v>
      </c>
      <c r="G292" t="s">
        <v>170</v>
      </c>
      <c r="H292">
        <v>4</v>
      </c>
      <c r="I292" s="3">
        <v>13.17</v>
      </c>
      <c r="J292" t="s">
        <v>16</v>
      </c>
      <c r="K292" t="s">
        <v>17</v>
      </c>
      <c r="L292" s="4">
        <f>Table4[[#This Row],[quantity]]*Table4[[#This Row],[unit_price]]</f>
        <v>52.68</v>
      </c>
      <c r="M292">
        <f>COUNTIFS($C$2:$C$3934,Table4[[#This Row],[customer_id]])</f>
        <v>6</v>
      </c>
      <c r="N292" t="str">
        <f>IF(Table4[[#This Row],[customer_order_count]]=1,"New Customer","Repeat Customer")</f>
        <v>Repeat Customer</v>
      </c>
    </row>
    <row r="293" spans="1:14">
      <c r="A293" t="s">
        <v>3414</v>
      </c>
      <c r="B293" s="1">
        <v>45088</v>
      </c>
      <c r="C293" t="s">
        <v>437</v>
      </c>
      <c r="D293" t="s">
        <v>438</v>
      </c>
      <c r="E293" t="s">
        <v>21</v>
      </c>
      <c r="F293" t="s">
        <v>28</v>
      </c>
      <c r="G293" t="s">
        <v>84</v>
      </c>
      <c r="H293">
        <v>1</v>
      </c>
      <c r="I293" s="3">
        <v>13.18</v>
      </c>
      <c r="J293" t="s">
        <v>16</v>
      </c>
      <c r="K293" t="s">
        <v>30</v>
      </c>
      <c r="L293" s="4">
        <f>Table4[[#This Row],[quantity]]*Table4[[#This Row],[unit_price]]</f>
        <v>13.18</v>
      </c>
      <c r="M293">
        <f>COUNTIFS($C$2:$C$3934,Table4[[#This Row],[customer_id]])</f>
        <v>7</v>
      </c>
      <c r="N293" t="str">
        <f>IF(Table4[[#This Row],[customer_order_count]]=1,"New Customer","Repeat Customer")</f>
        <v>Repeat Customer</v>
      </c>
    </row>
    <row r="294" spans="1:14">
      <c r="A294" t="s">
        <v>5013</v>
      </c>
      <c r="B294" s="1">
        <v>45445</v>
      </c>
      <c r="C294" t="s">
        <v>1772</v>
      </c>
      <c r="D294" t="s">
        <v>452</v>
      </c>
      <c r="E294" t="s">
        <v>21</v>
      </c>
      <c r="F294" t="s">
        <v>22</v>
      </c>
      <c r="G294" t="s">
        <v>162</v>
      </c>
      <c r="H294">
        <v>2</v>
      </c>
      <c r="I294" s="3">
        <v>13.2</v>
      </c>
      <c r="J294" t="s">
        <v>16</v>
      </c>
      <c r="K294" t="s">
        <v>17</v>
      </c>
      <c r="L294" s="4">
        <f>Table4[[#This Row],[quantity]]*Table4[[#This Row],[unit_price]]</f>
        <v>26.4</v>
      </c>
      <c r="M294">
        <f>COUNTIFS($C$2:$C$3934,Table4[[#This Row],[customer_id]])</f>
        <v>4</v>
      </c>
      <c r="N294" t="str">
        <f>IF(Table4[[#This Row],[customer_order_count]]=1,"New Customer","Repeat Customer")</f>
        <v>Repeat Customer</v>
      </c>
    </row>
    <row r="295" spans="1:14">
      <c r="A295" t="s">
        <v>3685</v>
      </c>
      <c r="B295" s="1">
        <v>45080</v>
      </c>
      <c r="C295" t="s">
        <v>3686</v>
      </c>
      <c r="D295" t="s">
        <v>1241</v>
      </c>
      <c r="E295" t="s">
        <v>21</v>
      </c>
      <c r="F295" t="s">
        <v>28</v>
      </c>
      <c r="G295" t="s">
        <v>114</v>
      </c>
      <c r="H295">
        <v>1</v>
      </c>
      <c r="I295" s="3">
        <v>13.25</v>
      </c>
      <c r="J295" t="s">
        <v>255</v>
      </c>
      <c r="K295" t="s">
        <v>35</v>
      </c>
      <c r="L295" s="4">
        <f>Table4[[#This Row],[quantity]]*Table4[[#This Row],[unit_price]]</f>
        <v>13.25</v>
      </c>
      <c r="M295">
        <f>COUNTIFS($C$2:$C$3934,Table4[[#This Row],[customer_id]])</f>
        <v>2</v>
      </c>
      <c r="N295" t="str">
        <f>IF(Table4[[#This Row],[customer_order_count]]=1,"New Customer","Repeat Customer")</f>
        <v>Repeat Customer</v>
      </c>
    </row>
    <row r="296" spans="1:14">
      <c r="A296" t="s">
        <v>1753</v>
      </c>
      <c r="B296" s="1">
        <v>45375</v>
      </c>
      <c r="C296" t="s">
        <v>713</v>
      </c>
      <c r="D296" t="s">
        <v>714</v>
      </c>
      <c r="E296" t="s">
        <v>21</v>
      </c>
      <c r="F296" t="s">
        <v>28</v>
      </c>
      <c r="G296" t="s">
        <v>114</v>
      </c>
      <c r="H296">
        <v>2</v>
      </c>
      <c r="I296" s="3">
        <v>13.26</v>
      </c>
      <c r="J296" t="s">
        <v>16</v>
      </c>
      <c r="K296" t="s">
        <v>40</v>
      </c>
      <c r="L296" s="4">
        <f>Table4[[#This Row],[quantity]]*Table4[[#This Row],[unit_price]]</f>
        <v>26.52</v>
      </c>
      <c r="M296">
        <f>COUNTIFS($C$2:$C$3934,Table4[[#This Row],[customer_id]])</f>
        <v>6</v>
      </c>
      <c r="N296" t="str">
        <f>IF(Table4[[#This Row],[customer_order_count]]=1,"New Customer","Repeat Customer")</f>
        <v>Repeat Customer</v>
      </c>
    </row>
    <row r="297" spans="1:14">
      <c r="A297" t="s">
        <v>4484</v>
      </c>
      <c r="B297" s="1">
        <v>45132</v>
      </c>
      <c r="C297" t="s">
        <v>690</v>
      </c>
      <c r="D297" t="s">
        <v>281</v>
      </c>
      <c r="E297" t="s">
        <v>21</v>
      </c>
      <c r="F297" t="s">
        <v>28</v>
      </c>
      <c r="G297" t="s">
        <v>29</v>
      </c>
      <c r="H297">
        <v>1</v>
      </c>
      <c r="I297" s="3">
        <v>13.32</v>
      </c>
      <c r="J297" t="s">
        <v>16</v>
      </c>
      <c r="K297" t="s">
        <v>35</v>
      </c>
      <c r="L297" s="4">
        <f>Table4[[#This Row],[quantity]]*Table4[[#This Row],[unit_price]]</f>
        <v>13.32</v>
      </c>
      <c r="M297">
        <f>COUNTIFS($C$2:$C$3934,Table4[[#This Row],[customer_id]])</f>
        <v>5</v>
      </c>
      <c r="N297" t="str">
        <f>IF(Table4[[#This Row],[customer_order_count]]=1,"New Customer","Repeat Customer")</f>
        <v>Repeat Customer</v>
      </c>
    </row>
    <row r="298" spans="1:14">
      <c r="A298" t="s">
        <v>2722</v>
      </c>
      <c r="B298" s="1">
        <v>45264</v>
      </c>
      <c r="C298" t="s">
        <v>642</v>
      </c>
      <c r="D298" t="s">
        <v>643</v>
      </c>
      <c r="E298" t="s">
        <v>21</v>
      </c>
      <c r="F298" t="s">
        <v>66</v>
      </c>
      <c r="G298" t="s">
        <v>238</v>
      </c>
      <c r="H298">
        <v>1</v>
      </c>
      <c r="I298" s="3">
        <v>13.34</v>
      </c>
      <c r="J298" t="s">
        <v>16</v>
      </c>
      <c r="K298" t="s">
        <v>30</v>
      </c>
      <c r="L298" s="4">
        <f>Table4[[#This Row],[quantity]]*Table4[[#This Row],[unit_price]]</f>
        <v>13.34</v>
      </c>
      <c r="M298">
        <f>COUNTIFS($C$2:$C$3934,Table4[[#This Row],[customer_id]])</f>
        <v>7</v>
      </c>
      <c r="N298" t="str">
        <f>IF(Table4[[#This Row],[customer_order_count]]=1,"New Customer","Repeat Customer")</f>
        <v>Repeat Customer</v>
      </c>
    </row>
    <row r="299" spans="1:14">
      <c r="A299" t="s">
        <v>3265</v>
      </c>
      <c r="B299" s="1">
        <v>45086</v>
      </c>
      <c r="C299" t="s">
        <v>608</v>
      </c>
      <c r="D299" t="s">
        <v>609</v>
      </c>
      <c r="E299" t="s">
        <v>44</v>
      </c>
      <c r="F299" t="s">
        <v>28</v>
      </c>
      <c r="G299" t="s">
        <v>139</v>
      </c>
      <c r="H299">
        <v>1</v>
      </c>
      <c r="I299" s="3">
        <v>13.35</v>
      </c>
      <c r="J299" t="s">
        <v>16</v>
      </c>
      <c r="K299" t="s">
        <v>35</v>
      </c>
      <c r="L299" s="4">
        <f>Table4[[#This Row],[quantity]]*Table4[[#This Row],[unit_price]]</f>
        <v>13.35</v>
      </c>
      <c r="M299">
        <f>COUNTIFS($C$2:$C$3934,Table4[[#This Row],[customer_id]])</f>
        <v>3</v>
      </c>
      <c r="N299" t="str">
        <f>IF(Table4[[#This Row],[customer_order_count]]=1,"New Customer","Repeat Customer")</f>
        <v>Repeat Customer</v>
      </c>
    </row>
    <row r="300" spans="1:14">
      <c r="A300" t="s">
        <v>863</v>
      </c>
      <c r="B300" s="1">
        <v>45539</v>
      </c>
      <c r="C300" t="s">
        <v>864</v>
      </c>
      <c r="D300" t="s">
        <v>88</v>
      </c>
      <c r="E300" t="s">
        <v>61</v>
      </c>
      <c r="F300" t="s">
        <v>56</v>
      </c>
      <c r="G300" t="s">
        <v>422</v>
      </c>
      <c r="H300">
        <v>2</v>
      </c>
      <c r="I300" s="3">
        <v>13.37</v>
      </c>
      <c r="J300" t="s">
        <v>16</v>
      </c>
      <c r="K300" t="s">
        <v>40</v>
      </c>
      <c r="L300" s="4">
        <f>Table4[[#This Row],[quantity]]*Table4[[#This Row],[unit_price]]</f>
        <v>26.74</v>
      </c>
      <c r="M300">
        <f>COUNTIFS($C$2:$C$3934,Table4[[#This Row],[customer_id]])</f>
        <v>5</v>
      </c>
      <c r="N300" t="str">
        <f>IF(Table4[[#This Row],[customer_order_count]]=1,"New Customer","Repeat Customer")</f>
        <v>Repeat Customer</v>
      </c>
    </row>
    <row r="301" spans="1:14">
      <c r="A301" t="s">
        <v>4646</v>
      </c>
      <c r="B301" s="1">
        <v>44978</v>
      </c>
      <c r="C301" t="s">
        <v>1423</v>
      </c>
      <c r="D301" s="2" t="s">
        <v>5257</v>
      </c>
      <c r="E301" t="s">
        <v>21</v>
      </c>
      <c r="F301" t="s">
        <v>66</v>
      </c>
      <c r="G301" t="s">
        <v>67</v>
      </c>
      <c r="H301">
        <v>1</v>
      </c>
      <c r="I301" s="3">
        <v>13.38</v>
      </c>
      <c r="J301" t="s">
        <v>16</v>
      </c>
      <c r="K301" t="s">
        <v>17</v>
      </c>
      <c r="L301" s="4">
        <f>Table4[[#This Row],[quantity]]*Table4[[#This Row],[unit_price]]</f>
        <v>13.38</v>
      </c>
      <c r="M301">
        <f>COUNTIFS($C$2:$C$3934,Table4[[#This Row],[customer_id]])</f>
        <v>3</v>
      </c>
      <c r="N301" t="str">
        <f>IF(Table4[[#This Row],[customer_order_count]]=1,"New Customer","Repeat Customer")</f>
        <v>Repeat Customer</v>
      </c>
    </row>
    <row r="302" spans="1:14">
      <c r="A302" t="s">
        <v>4161</v>
      </c>
      <c r="B302" s="1">
        <v>45338</v>
      </c>
      <c r="C302" t="s">
        <v>4162</v>
      </c>
      <c r="D302" t="s">
        <v>307</v>
      </c>
      <c r="E302" t="s">
        <v>21</v>
      </c>
      <c r="F302" t="s">
        <v>14</v>
      </c>
      <c r="G302" t="s">
        <v>34</v>
      </c>
      <c r="H302">
        <v>1</v>
      </c>
      <c r="I302" s="3">
        <v>13.39</v>
      </c>
      <c r="J302" t="s">
        <v>16</v>
      </c>
      <c r="K302" t="s">
        <v>30</v>
      </c>
      <c r="L302" s="4">
        <f>Table4[[#This Row],[quantity]]*Table4[[#This Row],[unit_price]]</f>
        <v>13.39</v>
      </c>
      <c r="M302">
        <f>COUNTIFS($C$2:$C$3934,Table4[[#This Row],[customer_id]])</f>
        <v>4</v>
      </c>
      <c r="N302" t="str">
        <f>IF(Table4[[#This Row],[customer_order_count]]=1,"New Customer","Repeat Customer")</f>
        <v>Repeat Customer</v>
      </c>
    </row>
    <row r="303" spans="1:14">
      <c r="A303" t="s">
        <v>3986</v>
      </c>
      <c r="B303" s="1">
        <v>45191</v>
      </c>
      <c r="C303" t="s">
        <v>1620</v>
      </c>
      <c r="D303" t="s">
        <v>109</v>
      </c>
      <c r="E303" t="s">
        <v>21</v>
      </c>
      <c r="F303" t="s">
        <v>56</v>
      </c>
      <c r="G303" t="s">
        <v>75</v>
      </c>
      <c r="H303">
        <v>1</v>
      </c>
      <c r="I303" s="3">
        <v>13.42</v>
      </c>
      <c r="J303" t="s">
        <v>16</v>
      </c>
      <c r="K303" t="s">
        <v>35</v>
      </c>
      <c r="L303" s="4">
        <f>Table4[[#This Row],[quantity]]*Table4[[#This Row],[unit_price]]</f>
        <v>13.42</v>
      </c>
      <c r="M303">
        <f>COUNTIFS($C$2:$C$3934,Table4[[#This Row],[customer_id]])</f>
        <v>5</v>
      </c>
      <c r="N303" t="str">
        <f>IF(Table4[[#This Row],[customer_order_count]]=1,"New Customer","Repeat Customer")</f>
        <v>Repeat Customer</v>
      </c>
    </row>
    <row r="304" spans="1:14">
      <c r="A304" t="s">
        <v>1078</v>
      </c>
      <c r="B304" s="1">
        <v>45282</v>
      </c>
      <c r="C304" t="s">
        <v>1079</v>
      </c>
      <c r="D304" t="s">
        <v>1080</v>
      </c>
      <c r="E304" t="s">
        <v>21</v>
      </c>
      <c r="F304" t="s">
        <v>66</v>
      </c>
      <c r="G304" t="s">
        <v>217</v>
      </c>
      <c r="H304">
        <v>1</v>
      </c>
      <c r="I304" s="3">
        <v>13.43</v>
      </c>
      <c r="J304" t="s">
        <v>16</v>
      </c>
      <c r="K304" t="s">
        <v>17</v>
      </c>
      <c r="L304" s="4">
        <f>Table4[[#This Row],[quantity]]*Table4[[#This Row],[unit_price]]</f>
        <v>13.43</v>
      </c>
      <c r="M304">
        <f>COUNTIFS($C$2:$C$3934,Table4[[#This Row],[customer_id]])</f>
        <v>7</v>
      </c>
      <c r="N304" t="str">
        <f>IF(Table4[[#This Row],[customer_order_count]]=1,"New Customer","Repeat Customer")</f>
        <v>Repeat Customer</v>
      </c>
    </row>
    <row r="305" spans="1:14">
      <c r="A305" t="s">
        <v>4516</v>
      </c>
      <c r="B305" s="1">
        <v>45424</v>
      </c>
      <c r="C305" t="s">
        <v>3131</v>
      </c>
      <c r="D305" t="s">
        <v>145</v>
      </c>
      <c r="E305" t="s">
        <v>21</v>
      </c>
      <c r="F305" t="s">
        <v>66</v>
      </c>
      <c r="G305" t="s">
        <v>238</v>
      </c>
      <c r="H305">
        <v>3</v>
      </c>
      <c r="I305" s="3">
        <v>13.45</v>
      </c>
      <c r="J305" t="s">
        <v>16</v>
      </c>
      <c r="K305" t="s">
        <v>30</v>
      </c>
      <c r="L305" s="4">
        <f>Table4[[#This Row],[quantity]]*Table4[[#This Row],[unit_price]]</f>
        <v>40.349999999999994</v>
      </c>
      <c r="M305">
        <f>COUNTIFS($C$2:$C$3934,Table4[[#This Row],[customer_id]])</f>
        <v>3</v>
      </c>
      <c r="N305" t="str">
        <f>IF(Table4[[#This Row],[customer_order_count]]=1,"New Customer","Repeat Customer")</f>
        <v>Repeat Customer</v>
      </c>
    </row>
    <row r="306" spans="1:14">
      <c r="A306" t="s">
        <v>744</v>
      </c>
      <c r="B306" s="1">
        <v>45539</v>
      </c>
      <c r="C306" t="s">
        <v>745</v>
      </c>
      <c r="D306" t="s">
        <v>318</v>
      </c>
      <c r="E306" t="s">
        <v>21</v>
      </c>
      <c r="F306" t="s">
        <v>66</v>
      </c>
      <c r="G306" t="s">
        <v>128</v>
      </c>
      <c r="H306">
        <v>1</v>
      </c>
      <c r="I306" s="3">
        <v>13.46</v>
      </c>
      <c r="J306" t="s">
        <v>16</v>
      </c>
      <c r="K306" t="s">
        <v>17</v>
      </c>
      <c r="L306" s="4">
        <f>Table4[[#This Row],[quantity]]*Table4[[#This Row],[unit_price]]</f>
        <v>13.46</v>
      </c>
      <c r="M306">
        <f>COUNTIFS($C$2:$C$3934,Table4[[#This Row],[customer_id]])</f>
        <v>4</v>
      </c>
      <c r="N306" t="str">
        <f>IF(Table4[[#This Row],[customer_order_count]]=1,"New Customer","Repeat Customer")</f>
        <v>Repeat Customer</v>
      </c>
    </row>
    <row r="307" spans="1:14">
      <c r="A307" t="s">
        <v>4566</v>
      </c>
      <c r="B307" s="1">
        <v>45258</v>
      </c>
      <c r="C307" t="s">
        <v>2408</v>
      </c>
      <c r="D307" t="s">
        <v>2409</v>
      </c>
      <c r="E307" t="s">
        <v>21</v>
      </c>
      <c r="F307" t="s">
        <v>56</v>
      </c>
      <c r="G307" t="s">
        <v>210</v>
      </c>
      <c r="H307">
        <v>1</v>
      </c>
      <c r="I307" s="3">
        <v>13.48</v>
      </c>
      <c r="J307" t="s">
        <v>16</v>
      </c>
      <c r="K307" t="s">
        <v>30</v>
      </c>
      <c r="L307" s="4">
        <f>Table4[[#This Row],[quantity]]*Table4[[#This Row],[unit_price]]</f>
        <v>13.48</v>
      </c>
      <c r="M307">
        <f>COUNTIFS($C$2:$C$3934,Table4[[#This Row],[customer_id]])</f>
        <v>6</v>
      </c>
      <c r="N307" t="str">
        <f>IF(Table4[[#This Row],[customer_order_count]]=1,"New Customer","Repeat Customer")</f>
        <v>Repeat Customer</v>
      </c>
    </row>
    <row r="308" spans="1:14">
      <c r="A308" t="s">
        <v>4091</v>
      </c>
      <c r="B308" s="1">
        <v>45426</v>
      </c>
      <c r="C308" t="s">
        <v>332</v>
      </c>
      <c r="D308" t="s">
        <v>333</v>
      </c>
      <c r="E308" t="s">
        <v>44</v>
      </c>
      <c r="F308" t="s">
        <v>14</v>
      </c>
      <c r="G308" t="s">
        <v>39</v>
      </c>
      <c r="H308">
        <v>1</v>
      </c>
      <c r="I308" s="3">
        <v>13.48</v>
      </c>
      <c r="J308" t="s">
        <v>16</v>
      </c>
      <c r="K308" t="s">
        <v>35</v>
      </c>
      <c r="L308" s="4">
        <f>Table4[[#This Row],[quantity]]*Table4[[#This Row],[unit_price]]</f>
        <v>13.48</v>
      </c>
      <c r="M308">
        <f>COUNTIFS($C$2:$C$3934,Table4[[#This Row],[customer_id]])</f>
        <v>3</v>
      </c>
      <c r="N308" t="str">
        <f>IF(Table4[[#This Row],[customer_order_count]]=1,"New Customer","Repeat Customer")</f>
        <v>Repeat Customer</v>
      </c>
    </row>
    <row r="309" spans="1:14">
      <c r="A309" t="s">
        <v>411</v>
      </c>
      <c r="B309" s="1">
        <v>45184</v>
      </c>
      <c r="C309" t="s">
        <v>382</v>
      </c>
      <c r="D309" t="s">
        <v>383</v>
      </c>
      <c r="E309" t="s">
        <v>21</v>
      </c>
      <c r="F309" t="s">
        <v>22</v>
      </c>
      <c r="G309" t="s">
        <v>135</v>
      </c>
      <c r="H309">
        <v>1</v>
      </c>
      <c r="I309" s="3">
        <v>13.49</v>
      </c>
      <c r="J309" t="s">
        <v>85</v>
      </c>
      <c r="K309" t="s">
        <v>40</v>
      </c>
      <c r="L309" s="4">
        <f>Table4[[#This Row],[quantity]]*Table4[[#This Row],[unit_price]]</f>
        <v>13.49</v>
      </c>
      <c r="M309">
        <f>COUNTIFS($C$2:$C$3934,Table4[[#This Row],[customer_id]])</f>
        <v>6</v>
      </c>
      <c r="N309" t="str">
        <f>IF(Table4[[#This Row],[customer_order_count]]=1,"New Customer","Repeat Customer")</f>
        <v>Repeat Customer</v>
      </c>
    </row>
    <row r="310" spans="1:14">
      <c r="A310" t="s">
        <v>514</v>
      </c>
      <c r="B310" s="1">
        <v>45062</v>
      </c>
      <c r="C310" t="s">
        <v>515</v>
      </c>
      <c r="D310" t="s">
        <v>20</v>
      </c>
      <c r="E310" t="s">
        <v>21</v>
      </c>
      <c r="F310" t="s">
        <v>22</v>
      </c>
      <c r="G310" t="s">
        <v>135</v>
      </c>
      <c r="H310">
        <v>1</v>
      </c>
      <c r="I310" s="3">
        <v>13.5</v>
      </c>
      <c r="J310" t="s">
        <v>16</v>
      </c>
      <c r="K310" t="s">
        <v>17</v>
      </c>
      <c r="L310" s="4">
        <f>Table4[[#This Row],[quantity]]*Table4[[#This Row],[unit_price]]</f>
        <v>13.5</v>
      </c>
      <c r="M310">
        <f>COUNTIFS($C$2:$C$3934,Table4[[#This Row],[customer_id]])</f>
        <v>6</v>
      </c>
      <c r="N310" t="str">
        <f>IF(Table4[[#This Row],[customer_order_count]]=1,"New Customer","Repeat Customer")</f>
        <v>Repeat Customer</v>
      </c>
    </row>
    <row r="311" spans="1:14">
      <c r="A311" t="s">
        <v>1964</v>
      </c>
      <c r="B311" s="1">
        <v>45533</v>
      </c>
      <c r="C311" t="s">
        <v>342</v>
      </c>
      <c r="D311" t="s">
        <v>343</v>
      </c>
      <c r="E311" t="s">
        <v>44</v>
      </c>
      <c r="F311" t="s">
        <v>28</v>
      </c>
      <c r="G311" t="s">
        <v>45</v>
      </c>
      <c r="H311">
        <v>1</v>
      </c>
      <c r="I311" s="3">
        <v>13.5</v>
      </c>
      <c r="J311" t="s">
        <v>16</v>
      </c>
      <c r="K311" t="s">
        <v>17</v>
      </c>
      <c r="L311" s="4">
        <f>Table4[[#This Row],[quantity]]*Table4[[#This Row],[unit_price]]</f>
        <v>13.5</v>
      </c>
      <c r="M311">
        <f>COUNTIFS($C$2:$C$3934,Table4[[#This Row],[customer_id]])</f>
        <v>8</v>
      </c>
      <c r="N311" t="str">
        <f>IF(Table4[[#This Row],[customer_order_count]]=1,"New Customer","Repeat Customer")</f>
        <v>Repeat Customer</v>
      </c>
    </row>
    <row r="312" spans="1:14">
      <c r="A312" t="s">
        <v>462</v>
      </c>
      <c r="B312" s="1">
        <v>45591</v>
      </c>
      <c r="C312" t="s">
        <v>463</v>
      </c>
      <c r="D312" t="s">
        <v>464</v>
      </c>
      <c r="E312" t="s">
        <v>44</v>
      </c>
      <c r="F312" t="s">
        <v>66</v>
      </c>
      <c r="G312" t="s">
        <v>67</v>
      </c>
      <c r="H312">
        <v>2</v>
      </c>
      <c r="I312" s="3">
        <v>13.51</v>
      </c>
      <c r="J312" t="s">
        <v>16</v>
      </c>
      <c r="K312" t="s">
        <v>35</v>
      </c>
      <c r="L312" s="4">
        <f>Table4[[#This Row],[quantity]]*Table4[[#This Row],[unit_price]]</f>
        <v>27.02</v>
      </c>
      <c r="M312">
        <f>COUNTIFS($C$2:$C$3934,Table4[[#This Row],[customer_id]])</f>
        <v>4</v>
      </c>
      <c r="N312" t="str">
        <f>IF(Table4[[#This Row],[customer_order_count]]=1,"New Customer","Repeat Customer")</f>
        <v>Repeat Customer</v>
      </c>
    </row>
    <row r="313" spans="1:14">
      <c r="A313" t="s">
        <v>1619</v>
      </c>
      <c r="B313" s="1">
        <v>45535</v>
      </c>
      <c r="C313" t="s">
        <v>1620</v>
      </c>
      <c r="D313" t="s">
        <v>109</v>
      </c>
      <c r="E313" t="s">
        <v>21</v>
      </c>
      <c r="F313" t="s">
        <v>70</v>
      </c>
      <c r="G313" t="s">
        <v>110</v>
      </c>
      <c r="H313">
        <v>1</v>
      </c>
      <c r="I313" s="3">
        <v>13.53</v>
      </c>
      <c r="J313" t="s">
        <v>16</v>
      </c>
      <c r="K313" t="s">
        <v>17</v>
      </c>
      <c r="L313" s="4">
        <f>Table4[[#This Row],[quantity]]*Table4[[#This Row],[unit_price]]</f>
        <v>13.53</v>
      </c>
      <c r="M313">
        <f>COUNTIFS($C$2:$C$3934,Table4[[#This Row],[customer_id]])</f>
        <v>5</v>
      </c>
      <c r="N313" t="str">
        <f>IF(Table4[[#This Row],[customer_order_count]]=1,"New Customer","Repeat Customer")</f>
        <v>Repeat Customer</v>
      </c>
    </row>
    <row r="314" spans="1:14">
      <c r="A314" t="s">
        <v>1955</v>
      </c>
      <c r="B314" s="1">
        <v>45632</v>
      </c>
      <c r="C314" t="s">
        <v>853</v>
      </c>
      <c r="D314" t="s">
        <v>854</v>
      </c>
      <c r="E314" t="s">
        <v>21</v>
      </c>
      <c r="F314" t="s">
        <v>70</v>
      </c>
      <c r="G314" t="s">
        <v>146</v>
      </c>
      <c r="H314">
        <v>1</v>
      </c>
      <c r="I314" s="3">
        <v>13.54</v>
      </c>
      <c r="J314" t="s">
        <v>16</v>
      </c>
      <c r="K314" t="s">
        <v>17</v>
      </c>
      <c r="L314" s="4">
        <f>Table4[[#This Row],[quantity]]*Table4[[#This Row],[unit_price]]</f>
        <v>13.54</v>
      </c>
      <c r="M314">
        <f>COUNTIFS($C$2:$C$3934,Table4[[#This Row],[customer_id]])</f>
        <v>9</v>
      </c>
      <c r="N314" t="str">
        <f>IF(Table4[[#This Row],[customer_order_count]]=1,"New Customer","Repeat Customer")</f>
        <v>Repeat Customer</v>
      </c>
    </row>
    <row r="315" spans="1:14">
      <c r="A315" t="s">
        <v>4446</v>
      </c>
      <c r="B315" s="1">
        <v>45029</v>
      </c>
      <c r="C315" t="s">
        <v>2054</v>
      </c>
      <c r="D315" s="2" t="s">
        <v>5257</v>
      </c>
      <c r="E315" t="s">
        <v>21</v>
      </c>
      <c r="F315" t="s">
        <v>14</v>
      </c>
      <c r="G315" t="s">
        <v>15</v>
      </c>
      <c r="H315">
        <v>1</v>
      </c>
      <c r="I315" s="3">
        <v>13.56</v>
      </c>
      <c r="J315" t="s">
        <v>16</v>
      </c>
      <c r="K315" t="s">
        <v>35</v>
      </c>
      <c r="L315" s="4">
        <f>Table4[[#This Row],[quantity]]*Table4[[#This Row],[unit_price]]</f>
        <v>13.56</v>
      </c>
      <c r="M315">
        <f>COUNTIFS($C$2:$C$3934,Table4[[#This Row],[customer_id]])</f>
        <v>8</v>
      </c>
      <c r="N315" t="str">
        <f>IF(Table4[[#This Row],[customer_order_count]]=1,"New Customer","Repeat Customer")</f>
        <v>Repeat Customer</v>
      </c>
    </row>
    <row r="316" spans="1:14">
      <c r="A316" t="s">
        <v>2980</v>
      </c>
      <c r="B316" s="1">
        <v>45289</v>
      </c>
      <c r="C316" t="s">
        <v>1240</v>
      </c>
      <c r="D316" t="s">
        <v>1241</v>
      </c>
      <c r="E316" t="s">
        <v>21</v>
      </c>
      <c r="F316" t="s">
        <v>22</v>
      </c>
      <c r="G316" t="s">
        <v>162</v>
      </c>
      <c r="H316">
        <v>2</v>
      </c>
      <c r="I316" s="3">
        <v>13.57</v>
      </c>
      <c r="J316" t="s">
        <v>16</v>
      </c>
      <c r="K316" s="2" t="s">
        <v>5256</v>
      </c>
      <c r="L316" s="4">
        <f>Table4[[#This Row],[quantity]]*Table4[[#This Row],[unit_price]]</f>
        <v>27.14</v>
      </c>
      <c r="M316">
        <f>COUNTIFS($C$2:$C$3934,Table4[[#This Row],[customer_id]])</f>
        <v>12</v>
      </c>
      <c r="N316" t="str">
        <f>IF(Table4[[#This Row],[customer_order_count]]=1,"New Customer","Repeat Customer")</f>
        <v>Repeat Customer</v>
      </c>
    </row>
    <row r="317" spans="1:14">
      <c r="A317" t="s">
        <v>1368</v>
      </c>
      <c r="B317" s="1">
        <v>45473</v>
      </c>
      <c r="C317" t="s">
        <v>448</v>
      </c>
      <c r="D317" t="s">
        <v>449</v>
      </c>
      <c r="E317" t="s">
        <v>44</v>
      </c>
      <c r="F317" t="s">
        <v>22</v>
      </c>
      <c r="G317" t="s">
        <v>135</v>
      </c>
      <c r="H317">
        <v>3</v>
      </c>
      <c r="I317" s="3">
        <v>13.58</v>
      </c>
      <c r="J317" t="s">
        <v>16</v>
      </c>
      <c r="K317" t="s">
        <v>30</v>
      </c>
      <c r="L317" s="4">
        <f>Table4[[#This Row],[quantity]]*Table4[[#This Row],[unit_price]]</f>
        <v>40.74</v>
      </c>
      <c r="M317">
        <f>COUNTIFS($C$2:$C$3934,Table4[[#This Row],[customer_id]])</f>
        <v>6</v>
      </c>
      <c r="N317" t="str">
        <f>IF(Table4[[#This Row],[customer_order_count]]=1,"New Customer","Repeat Customer")</f>
        <v>Repeat Customer</v>
      </c>
    </row>
    <row r="318" spans="1:14">
      <c r="A318" t="s">
        <v>4226</v>
      </c>
      <c r="B318" s="1">
        <v>45307</v>
      </c>
      <c r="C318" t="s">
        <v>3324</v>
      </c>
      <c r="D318" s="2" t="s">
        <v>5257</v>
      </c>
      <c r="E318" t="s">
        <v>21</v>
      </c>
      <c r="F318" t="s">
        <v>14</v>
      </c>
      <c r="G318" t="s">
        <v>34</v>
      </c>
      <c r="H318">
        <v>1</v>
      </c>
      <c r="I318" s="3">
        <v>13.59</v>
      </c>
      <c r="J318" t="s">
        <v>16</v>
      </c>
      <c r="K318" t="s">
        <v>17</v>
      </c>
      <c r="L318" s="4">
        <f>Table4[[#This Row],[quantity]]*Table4[[#This Row],[unit_price]]</f>
        <v>13.59</v>
      </c>
      <c r="M318">
        <f>COUNTIFS($C$2:$C$3934,Table4[[#This Row],[customer_id]])</f>
        <v>5</v>
      </c>
      <c r="N318" t="str">
        <f>IF(Table4[[#This Row],[customer_order_count]]=1,"New Customer","Repeat Customer")</f>
        <v>Repeat Customer</v>
      </c>
    </row>
    <row r="319" spans="1:14">
      <c r="A319" t="s">
        <v>5125</v>
      </c>
      <c r="B319" s="1">
        <v>45516</v>
      </c>
      <c r="C319" t="s">
        <v>777</v>
      </c>
      <c r="D319" t="s">
        <v>778</v>
      </c>
      <c r="E319" t="s">
        <v>44</v>
      </c>
      <c r="F319" t="s">
        <v>28</v>
      </c>
      <c r="G319" t="s">
        <v>139</v>
      </c>
      <c r="H319">
        <v>5</v>
      </c>
      <c r="I319" s="3">
        <v>13.62</v>
      </c>
      <c r="J319" t="s">
        <v>16</v>
      </c>
      <c r="K319" t="s">
        <v>40</v>
      </c>
      <c r="L319" s="4">
        <f>Table4[[#This Row],[quantity]]*Table4[[#This Row],[unit_price]]</f>
        <v>68.099999999999994</v>
      </c>
      <c r="M319">
        <f>COUNTIFS($C$2:$C$3934,Table4[[#This Row],[customer_id]])</f>
        <v>3</v>
      </c>
      <c r="N319" t="str">
        <f>IF(Table4[[#This Row],[customer_order_count]]=1,"New Customer","Repeat Customer")</f>
        <v>Repeat Customer</v>
      </c>
    </row>
    <row r="320" spans="1:14">
      <c r="A320" t="s">
        <v>4013</v>
      </c>
      <c r="B320" s="1">
        <v>45556</v>
      </c>
      <c r="C320" t="s">
        <v>2204</v>
      </c>
      <c r="D320" t="s">
        <v>396</v>
      </c>
      <c r="E320" t="s">
        <v>21</v>
      </c>
      <c r="F320" t="s">
        <v>28</v>
      </c>
      <c r="G320" t="s">
        <v>29</v>
      </c>
      <c r="H320">
        <v>1</v>
      </c>
      <c r="I320" s="3">
        <v>13.64</v>
      </c>
      <c r="J320" t="s">
        <v>16</v>
      </c>
      <c r="K320" t="s">
        <v>17</v>
      </c>
      <c r="L320" s="4">
        <f>Table4[[#This Row],[quantity]]*Table4[[#This Row],[unit_price]]</f>
        <v>13.64</v>
      </c>
      <c r="M320">
        <f>COUNTIFS($C$2:$C$3934,Table4[[#This Row],[customer_id]])</f>
        <v>4</v>
      </c>
      <c r="N320" t="str">
        <f>IF(Table4[[#This Row],[customer_order_count]]=1,"New Customer","Repeat Customer")</f>
        <v>Repeat Customer</v>
      </c>
    </row>
    <row r="321" spans="1:14">
      <c r="A321" t="s">
        <v>2972</v>
      </c>
      <c r="B321" s="1">
        <v>45294</v>
      </c>
      <c r="C321" t="s">
        <v>1808</v>
      </c>
      <c r="D321" t="s">
        <v>124</v>
      </c>
      <c r="E321" t="s">
        <v>21</v>
      </c>
      <c r="F321" t="s">
        <v>22</v>
      </c>
      <c r="G321" t="s">
        <v>142</v>
      </c>
      <c r="H321">
        <v>1</v>
      </c>
      <c r="I321" s="3">
        <v>13.66</v>
      </c>
      <c r="J321" t="s">
        <v>24</v>
      </c>
      <c r="K321" t="s">
        <v>17</v>
      </c>
      <c r="L321" s="4">
        <f>Table4[[#This Row],[quantity]]*Table4[[#This Row],[unit_price]]</f>
        <v>13.66</v>
      </c>
      <c r="M321">
        <f>COUNTIFS($C$2:$C$3934,Table4[[#This Row],[customer_id]])</f>
        <v>4</v>
      </c>
      <c r="N321" t="str">
        <f>IF(Table4[[#This Row],[customer_order_count]]=1,"New Customer","Repeat Customer")</f>
        <v>Repeat Customer</v>
      </c>
    </row>
    <row r="322" spans="1:14">
      <c r="A322" t="s">
        <v>4163</v>
      </c>
      <c r="B322" s="1">
        <v>45214</v>
      </c>
      <c r="C322" t="s">
        <v>73</v>
      </c>
      <c r="D322" t="s">
        <v>74</v>
      </c>
      <c r="E322" t="s">
        <v>21</v>
      </c>
      <c r="F322" t="s">
        <v>28</v>
      </c>
      <c r="G322" t="s">
        <v>84</v>
      </c>
      <c r="H322">
        <v>1</v>
      </c>
      <c r="I322" s="3">
        <v>13.69</v>
      </c>
      <c r="J322" t="s">
        <v>16</v>
      </c>
      <c r="K322" t="s">
        <v>35</v>
      </c>
      <c r="L322" s="4">
        <f>Table4[[#This Row],[quantity]]*Table4[[#This Row],[unit_price]]</f>
        <v>13.69</v>
      </c>
      <c r="M322">
        <f>COUNTIFS($C$2:$C$3934,Table4[[#This Row],[customer_id]])</f>
        <v>5</v>
      </c>
      <c r="N322" t="str">
        <f>IF(Table4[[#This Row],[customer_order_count]]=1,"New Customer","Repeat Customer")</f>
        <v>Repeat Customer</v>
      </c>
    </row>
    <row r="323" spans="1:14">
      <c r="A323" t="s">
        <v>1733</v>
      </c>
      <c r="B323" s="1">
        <v>45203</v>
      </c>
      <c r="C323" t="s">
        <v>861</v>
      </c>
      <c r="D323" t="s">
        <v>787</v>
      </c>
      <c r="E323" t="s">
        <v>21</v>
      </c>
      <c r="F323" t="s">
        <v>70</v>
      </c>
      <c r="G323" t="s">
        <v>526</v>
      </c>
      <c r="H323">
        <v>1</v>
      </c>
      <c r="I323" s="3">
        <v>13.69</v>
      </c>
      <c r="J323" t="s">
        <v>16</v>
      </c>
      <c r="K323" t="s">
        <v>35</v>
      </c>
      <c r="L323" s="4">
        <f>Table4[[#This Row],[quantity]]*Table4[[#This Row],[unit_price]]</f>
        <v>13.69</v>
      </c>
      <c r="M323">
        <f>COUNTIFS($C$2:$C$3934,Table4[[#This Row],[customer_id]])</f>
        <v>9</v>
      </c>
      <c r="N323" t="str">
        <f>IF(Table4[[#This Row],[customer_order_count]]=1,"New Customer","Repeat Customer")</f>
        <v>Repeat Customer</v>
      </c>
    </row>
    <row r="324" spans="1:14">
      <c r="A324" t="s">
        <v>4458</v>
      </c>
      <c r="B324" s="1">
        <v>45225</v>
      </c>
      <c r="C324" t="s">
        <v>680</v>
      </c>
      <c r="D324" t="s">
        <v>681</v>
      </c>
      <c r="E324" t="s">
        <v>21</v>
      </c>
      <c r="F324" t="s">
        <v>22</v>
      </c>
      <c r="G324" t="s">
        <v>162</v>
      </c>
      <c r="H324">
        <v>1</v>
      </c>
      <c r="I324" s="3">
        <v>13.71</v>
      </c>
      <c r="J324" t="s">
        <v>16</v>
      </c>
      <c r="K324" t="s">
        <v>35</v>
      </c>
      <c r="L324" s="4">
        <f>Table4[[#This Row],[quantity]]*Table4[[#This Row],[unit_price]]</f>
        <v>13.71</v>
      </c>
      <c r="M324">
        <f>COUNTIFS($C$2:$C$3934,Table4[[#This Row],[customer_id]])</f>
        <v>11</v>
      </c>
      <c r="N324" t="str">
        <f>IF(Table4[[#This Row],[customer_order_count]]=1,"New Customer","Repeat Customer")</f>
        <v>Repeat Customer</v>
      </c>
    </row>
    <row r="325" spans="1:14">
      <c r="A325" t="s">
        <v>2156</v>
      </c>
      <c r="B325" s="1">
        <v>45069</v>
      </c>
      <c r="C325" t="s">
        <v>2157</v>
      </c>
      <c r="D325" t="s">
        <v>576</v>
      </c>
      <c r="E325" t="s">
        <v>44</v>
      </c>
      <c r="F325" t="s">
        <v>70</v>
      </c>
      <c r="G325" t="s">
        <v>170</v>
      </c>
      <c r="H325">
        <v>1</v>
      </c>
      <c r="I325" s="3">
        <v>13.72</v>
      </c>
      <c r="J325" t="s">
        <v>16</v>
      </c>
      <c r="K325" t="s">
        <v>40</v>
      </c>
      <c r="L325" s="4">
        <f>Table4[[#This Row],[quantity]]*Table4[[#This Row],[unit_price]]</f>
        <v>13.72</v>
      </c>
      <c r="M325">
        <f>COUNTIFS($C$2:$C$3934,Table4[[#This Row],[customer_id]])</f>
        <v>4</v>
      </c>
      <c r="N325" t="str">
        <f>IF(Table4[[#This Row],[customer_order_count]]=1,"New Customer","Repeat Customer")</f>
        <v>Repeat Customer</v>
      </c>
    </row>
    <row r="326" spans="1:14">
      <c r="A326" t="s">
        <v>2021</v>
      </c>
      <c r="B326" s="1">
        <v>45271</v>
      </c>
      <c r="C326" t="s">
        <v>626</v>
      </c>
      <c r="D326" t="s">
        <v>627</v>
      </c>
      <c r="E326" t="s">
        <v>21</v>
      </c>
      <c r="F326" t="s">
        <v>66</v>
      </c>
      <c r="G326" t="s">
        <v>67</v>
      </c>
      <c r="H326">
        <v>1</v>
      </c>
      <c r="I326" s="3">
        <v>13.73</v>
      </c>
      <c r="J326" t="s">
        <v>16</v>
      </c>
      <c r="K326" t="s">
        <v>30</v>
      </c>
      <c r="L326" s="4">
        <f>Table4[[#This Row],[quantity]]*Table4[[#This Row],[unit_price]]</f>
        <v>13.73</v>
      </c>
      <c r="M326">
        <f>COUNTIFS($C$2:$C$3934,Table4[[#This Row],[customer_id]])</f>
        <v>4</v>
      </c>
      <c r="N326" t="str">
        <f>IF(Table4[[#This Row],[customer_order_count]]=1,"New Customer","Repeat Customer")</f>
        <v>Repeat Customer</v>
      </c>
    </row>
    <row r="327" spans="1:14">
      <c r="A327" t="s">
        <v>1676</v>
      </c>
      <c r="B327" s="1">
        <v>45472</v>
      </c>
      <c r="C327" t="s">
        <v>249</v>
      </c>
      <c r="D327" t="s">
        <v>250</v>
      </c>
      <c r="E327" t="s">
        <v>21</v>
      </c>
      <c r="F327" t="s">
        <v>66</v>
      </c>
      <c r="G327" t="s">
        <v>238</v>
      </c>
      <c r="H327">
        <v>2</v>
      </c>
      <c r="I327" s="3">
        <v>13.74</v>
      </c>
      <c r="J327" t="s">
        <v>16</v>
      </c>
      <c r="K327" t="s">
        <v>17</v>
      </c>
      <c r="L327" s="4">
        <f>Table4[[#This Row],[quantity]]*Table4[[#This Row],[unit_price]]</f>
        <v>27.48</v>
      </c>
      <c r="M327">
        <f>COUNTIFS($C$2:$C$3934,Table4[[#This Row],[customer_id]])</f>
        <v>12</v>
      </c>
      <c r="N327" t="str">
        <f>IF(Table4[[#This Row],[customer_order_count]]=1,"New Customer","Repeat Customer")</f>
        <v>Repeat Customer</v>
      </c>
    </row>
    <row r="328" spans="1:14">
      <c r="A328" t="s">
        <v>5113</v>
      </c>
      <c r="B328" s="1">
        <v>45301</v>
      </c>
      <c r="C328" t="s">
        <v>876</v>
      </c>
      <c r="D328" t="s">
        <v>877</v>
      </c>
      <c r="E328" t="s">
        <v>21</v>
      </c>
      <c r="F328" t="s">
        <v>28</v>
      </c>
      <c r="G328" t="s">
        <v>114</v>
      </c>
      <c r="H328">
        <v>2</v>
      </c>
      <c r="I328" s="3">
        <v>13.76</v>
      </c>
      <c r="J328" t="s">
        <v>16</v>
      </c>
      <c r="K328" t="s">
        <v>40</v>
      </c>
      <c r="L328" s="4">
        <f>Table4[[#This Row],[quantity]]*Table4[[#This Row],[unit_price]]</f>
        <v>27.52</v>
      </c>
      <c r="M328">
        <f>COUNTIFS($C$2:$C$3934,Table4[[#This Row],[customer_id]])</f>
        <v>5</v>
      </c>
      <c r="N328" t="str">
        <f>IF(Table4[[#This Row],[customer_order_count]]=1,"New Customer","Repeat Customer")</f>
        <v>Repeat Customer</v>
      </c>
    </row>
    <row r="329" spans="1:14">
      <c r="A329" t="s">
        <v>1606</v>
      </c>
      <c r="B329" s="1">
        <v>45072</v>
      </c>
      <c r="C329" t="s">
        <v>1607</v>
      </c>
      <c r="D329" t="s">
        <v>1336</v>
      </c>
      <c r="E329" t="s">
        <v>106</v>
      </c>
      <c r="F329" t="s">
        <v>22</v>
      </c>
      <c r="G329" t="s">
        <v>264</v>
      </c>
      <c r="H329">
        <v>1</v>
      </c>
      <c r="I329" s="3">
        <v>13.78</v>
      </c>
      <c r="J329" t="s">
        <v>16</v>
      </c>
      <c r="K329" t="s">
        <v>35</v>
      </c>
      <c r="L329" s="4">
        <f>Table4[[#This Row],[quantity]]*Table4[[#This Row],[unit_price]]</f>
        <v>13.78</v>
      </c>
      <c r="M329">
        <f>COUNTIFS($C$2:$C$3934,Table4[[#This Row],[customer_id]])</f>
        <v>2</v>
      </c>
      <c r="N329" t="str">
        <f>IF(Table4[[#This Row],[customer_order_count]]=1,"New Customer","Repeat Customer")</f>
        <v>Repeat Customer</v>
      </c>
    </row>
    <row r="330" spans="1:14">
      <c r="A330" t="s">
        <v>2877</v>
      </c>
      <c r="B330" s="1">
        <v>45375</v>
      </c>
      <c r="C330" t="s">
        <v>400</v>
      </c>
      <c r="D330" t="s">
        <v>365</v>
      </c>
      <c r="E330" t="s">
        <v>21</v>
      </c>
      <c r="F330" t="s">
        <v>66</v>
      </c>
      <c r="G330" t="s">
        <v>217</v>
      </c>
      <c r="H330">
        <v>5</v>
      </c>
      <c r="I330" s="3">
        <v>13.78</v>
      </c>
      <c r="J330" t="s">
        <v>16</v>
      </c>
      <c r="K330" t="s">
        <v>30</v>
      </c>
      <c r="L330" s="4">
        <f>Table4[[#This Row],[quantity]]*Table4[[#This Row],[unit_price]]</f>
        <v>68.899999999999991</v>
      </c>
      <c r="M330">
        <f>COUNTIFS($C$2:$C$3934,Table4[[#This Row],[customer_id]])</f>
        <v>7</v>
      </c>
      <c r="N330" t="str">
        <f>IF(Table4[[#This Row],[customer_order_count]]=1,"New Customer","Repeat Customer")</f>
        <v>Repeat Customer</v>
      </c>
    </row>
    <row r="331" spans="1:14">
      <c r="A331" t="s">
        <v>1785</v>
      </c>
      <c r="B331" s="1">
        <v>45550</v>
      </c>
      <c r="C331" t="s">
        <v>1786</v>
      </c>
      <c r="D331" t="s">
        <v>1736</v>
      </c>
      <c r="E331" t="s">
        <v>44</v>
      </c>
      <c r="F331" t="s">
        <v>56</v>
      </c>
      <c r="G331" t="s">
        <v>153</v>
      </c>
      <c r="H331">
        <v>2</v>
      </c>
      <c r="I331" s="3">
        <v>13.79</v>
      </c>
      <c r="J331" t="s">
        <v>16</v>
      </c>
      <c r="K331" t="s">
        <v>40</v>
      </c>
      <c r="L331" s="4">
        <f>Table4[[#This Row],[quantity]]*Table4[[#This Row],[unit_price]]</f>
        <v>27.58</v>
      </c>
      <c r="M331">
        <f>COUNTIFS($C$2:$C$3934,Table4[[#This Row],[customer_id]])</f>
        <v>6</v>
      </c>
      <c r="N331" t="str">
        <f>IF(Table4[[#This Row],[customer_order_count]]=1,"New Customer","Repeat Customer")</f>
        <v>Repeat Customer</v>
      </c>
    </row>
    <row r="332" spans="1:14">
      <c r="A332" t="s">
        <v>4341</v>
      </c>
      <c r="B332" s="1">
        <v>45320</v>
      </c>
      <c r="C332" t="s">
        <v>3361</v>
      </c>
      <c r="D332" t="s">
        <v>327</v>
      </c>
      <c r="E332" t="s">
        <v>21</v>
      </c>
      <c r="F332" t="s">
        <v>66</v>
      </c>
      <c r="G332" t="s">
        <v>238</v>
      </c>
      <c r="H332">
        <v>5</v>
      </c>
      <c r="I332" s="3">
        <v>13.8</v>
      </c>
      <c r="J332" t="s">
        <v>16</v>
      </c>
      <c r="K332" t="s">
        <v>17</v>
      </c>
      <c r="L332" s="4">
        <f>Table4[[#This Row],[quantity]]*Table4[[#This Row],[unit_price]]</f>
        <v>69</v>
      </c>
      <c r="M332">
        <f>COUNTIFS($C$2:$C$3934,Table4[[#This Row],[customer_id]])</f>
        <v>6</v>
      </c>
      <c r="N332" t="str">
        <f>IF(Table4[[#This Row],[customer_order_count]]=1,"New Customer","Repeat Customer")</f>
        <v>Repeat Customer</v>
      </c>
    </row>
    <row r="333" spans="1:14">
      <c r="A333" t="s">
        <v>4923</v>
      </c>
      <c r="B333" s="1">
        <v>45646</v>
      </c>
      <c r="C333" t="s">
        <v>4162</v>
      </c>
      <c r="D333" t="s">
        <v>307</v>
      </c>
      <c r="E333" t="s">
        <v>21</v>
      </c>
      <c r="F333" t="s">
        <v>66</v>
      </c>
      <c r="G333" t="s">
        <v>49</v>
      </c>
      <c r="H333">
        <v>1</v>
      </c>
      <c r="I333" s="3">
        <v>13.82</v>
      </c>
      <c r="J333" t="s">
        <v>16</v>
      </c>
      <c r="K333" s="2" t="s">
        <v>5256</v>
      </c>
      <c r="L333" s="4">
        <f>Table4[[#This Row],[quantity]]*Table4[[#This Row],[unit_price]]</f>
        <v>13.82</v>
      </c>
      <c r="M333">
        <f>COUNTIFS($C$2:$C$3934,Table4[[#This Row],[customer_id]])</f>
        <v>4</v>
      </c>
      <c r="N333" t="str">
        <f>IF(Table4[[#This Row],[customer_order_count]]=1,"New Customer","Repeat Customer")</f>
        <v>Repeat Customer</v>
      </c>
    </row>
    <row r="334" spans="1:14">
      <c r="A334" t="s">
        <v>2398</v>
      </c>
      <c r="B334" s="1">
        <v>45545</v>
      </c>
      <c r="C334" t="s">
        <v>42</v>
      </c>
      <c r="D334" t="s">
        <v>43</v>
      </c>
      <c r="E334" t="s">
        <v>21</v>
      </c>
      <c r="F334" t="s">
        <v>22</v>
      </c>
      <c r="G334" t="s">
        <v>142</v>
      </c>
      <c r="H334">
        <v>2</v>
      </c>
      <c r="I334" s="3">
        <v>13.82</v>
      </c>
      <c r="J334" t="s">
        <v>16</v>
      </c>
      <c r="K334" t="s">
        <v>17</v>
      </c>
      <c r="L334" s="4">
        <f>Table4[[#This Row],[quantity]]*Table4[[#This Row],[unit_price]]</f>
        <v>27.64</v>
      </c>
      <c r="M334">
        <f>COUNTIFS($C$2:$C$3934,Table4[[#This Row],[customer_id]])</f>
        <v>8</v>
      </c>
      <c r="N334" t="str">
        <f>IF(Table4[[#This Row],[customer_order_count]]=1,"New Customer","Repeat Customer")</f>
        <v>Repeat Customer</v>
      </c>
    </row>
    <row r="335" spans="1:14">
      <c r="A335" t="s">
        <v>4033</v>
      </c>
      <c r="B335" s="1">
        <v>45209</v>
      </c>
      <c r="C335" t="s">
        <v>4034</v>
      </c>
      <c r="D335" t="s">
        <v>620</v>
      </c>
      <c r="E335" t="s">
        <v>44</v>
      </c>
      <c r="F335" t="s">
        <v>66</v>
      </c>
      <c r="G335" t="s">
        <v>67</v>
      </c>
      <c r="H335">
        <v>1</v>
      </c>
      <c r="I335" s="3">
        <v>13.83</v>
      </c>
      <c r="J335" t="s">
        <v>16</v>
      </c>
      <c r="K335" t="s">
        <v>40</v>
      </c>
      <c r="L335" s="4">
        <f>Table4[[#This Row],[quantity]]*Table4[[#This Row],[unit_price]]</f>
        <v>13.83</v>
      </c>
      <c r="M335">
        <f>COUNTIFS($C$2:$C$3934,Table4[[#This Row],[customer_id]])</f>
        <v>1</v>
      </c>
      <c r="N335" t="str">
        <f>IF(Table4[[#This Row],[customer_order_count]]=1,"New Customer","Repeat Customer")</f>
        <v>New Customer</v>
      </c>
    </row>
    <row r="336" spans="1:14">
      <c r="A336" t="s">
        <v>1101</v>
      </c>
      <c r="B336" s="1">
        <v>45211</v>
      </c>
      <c r="C336" t="s">
        <v>1102</v>
      </c>
      <c r="D336" t="s">
        <v>1103</v>
      </c>
      <c r="E336" t="s">
        <v>21</v>
      </c>
      <c r="F336" t="s">
        <v>70</v>
      </c>
      <c r="G336" t="s">
        <v>337</v>
      </c>
      <c r="H336">
        <v>1</v>
      </c>
      <c r="I336" s="3">
        <v>13.85</v>
      </c>
      <c r="J336" t="s">
        <v>16</v>
      </c>
      <c r="K336" t="s">
        <v>30</v>
      </c>
      <c r="L336" s="4">
        <f>Table4[[#This Row],[quantity]]*Table4[[#This Row],[unit_price]]</f>
        <v>13.85</v>
      </c>
      <c r="M336">
        <f>COUNTIFS($C$2:$C$3934,Table4[[#This Row],[customer_id]])</f>
        <v>6</v>
      </c>
      <c r="N336" t="str">
        <f>IF(Table4[[#This Row],[customer_order_count]]=1,"New Customer","Repeat Customer")</f>
        <v>Repeat Customer</v>
      </c>
    </row>
    <row r="337" spans="1:14">
      <c r="A337" t="s">
        <v>4057</v>
      </c>
      <c r="B337" s="1">
        <v>45065</v>
      </c>
      <c r="C337" t="s">
        <v>515</v>
      </c>
      <c r="D337" t="s">
        <v>20</v>
      </c>
      <c r="E337" t="s">
        <v>21</v>
      </c>
      <c r="F337" t="s">
        <v>22</v>
      </c>
      <c r="G337" t="s">
        <v>135</v>
      </c>
      <c r="H337">
        <v>1</v>
      </c>
      <c r="I337" s="3">
        <v>13.85</v>
      </c>
      <c r="J337" t="s">
        <v>16</v>
      </c>
      <c r="K337" t="s">
        <v>35</v>
      </c>
      <c r="L337" s="4">
        <f>Table4[[#This Row],[quantity]]*Table4[[#This Row],[unit_price]]</f>
        <v>13.85</v>
      </c>
      <c r="M337">
        <f>COUNTIFS($C$2:$C$3934,Table4[[#This Row],[customer_id]])</f>
        <v>6</v>
      </c>
      <c r="N337" t="str">
        <f>IF(Table4[[#This Row],[customer_order_count]]=1,"New Customer","Repeat Customer")</f>
        <v>Repeat Customer</v>
      </c>
    </row>
    <row r="338" spans="1:14">
      <c r="A338" t="s">
        <v>2874</v>
      </c>
      <c r="B338" s="1">
        <v>45109</v>
      </c>
      <c r="C338" t="s">
        <v>1312</v>
      </c>
      <c r="D338" t="s">
        <v>693</v>
      </c>
      <c r="E338" t="s">
        <v>21</v>
      </c>
      <c r="F338" t="s">
        <v>22</v>
      </c>
      <c r="G338" t="s">
        <v>264</v>
      </c>
      <c r="H338">
        <v>1</v>
      </c>
      <c r="I338" s="3">
        <v>13.87</v>
      </c>
      <c r="J338" t="s">
        <v>16</v>
      </c>
      <c r="K338" t="s">
        <v>30</v>
      </c>
      <c r="L338" s="4">
        <f>Table4[[#This Row],[quantity]]*Table4[[#This Row],[unit_price]]</f>
        <v>13.87</v>
      </c>
      <c r="M338">
        <f>COUNTIFS($C$2:$C$3934,Table4[[#This Row],[customer_id]])</f>
        <v>5</v>
      </c>
      <c r="N338" t="str">
        <f>IF(Table4[[#This Row],[customer_order_count]]=1,"New Customer","Repeat Customer")</f>
        <v>Repeat Customer</v>
      </c>
    </row>
    <row r="339" spans="1:14">
      <c r="A339" t="s">
        <v>715</v>
      </c>
      <c r="B339" s="1">
        <v>45453</v>
      </c>
      <c r="C339" t="s">
        <v>716</v>
      </c>
      <c r="D339" t="s">
        <v>717</v>
      </c>
      <c r="E339" t="s">
        <v>44</v>
      </c>
      <c r="F339" t="s">
        <v>28</v>
      </c>
      <c r="G339" t="s">
        <v>29</v>
      </c>
      <c r="H339">
        <v>1</v>
      </c>
      <c r="I339" s="3">
        <v>13.87</v>
      </c>
      <c r="J339" t="s">
        <v>16</v>
      </c>
      <c r="K339" t="s">
        <v>17</v>
      </c>
      <c r="L339" s="4">
        <f>Table4[[#This Row],[quantity]]*Table4[[#This Row],[unit_price]]</f>
        <v>13.87</v>
      </c>
      <c r="M339">
        <f>COUNTIFS($C$2:$C$3934,Table4[[#This Row],[customer_id]])</f>
        <v>3</v>
      </c>
      <c r="N339" t="str">
        <f>IF(Table4[[#This Row],[customer_order_count]]=1,"New Customer","Repeat Customer")</f>
        <v>Repeat Customer</v>
      </c>
    </row>
    <row r="340" spans="1:14">
      <c r="A340" t="s">
        <v>2263</v>
      </c>
      <c r="B340" s="1">
        <v>45061</v>
      </c>
      <c r="C340" t="s">
        <v>1188</v>
      </c>
      <c r="D340" t="s">
        <v>1189</v>
      </c>
      <c r="E340" t="s">
        <v>21</v>
      </c>
      <c r="F340" t="s">
        <v>66</v>
      </c>
      <c r="G340" t="s">
        <v>128</v>
      </c>
      <c r="H340">
        <v>2</v>
      </c>
      <c r="I340" s="3">
        <v>13.89</v>
      </c>
      <c r="J340" t="s">
        <v>16</v>
      </c>
      <c r="K340" t="s">
        <v>30</v>
      </c>
      <c r="L340" s="4">
        <f>Table4[[#This Row],[quantity]]*Table4[[#This Row],[unit_price]]</f>
        <v>27.78</v>
      </c>
      <c r="M340">
        <f>COUNTIFS($C$2:$C$3934,Table4[[#This Row],[customer_id]])</f>
        <v>7</v>
      </c>
      <c r="N340" t="str">
        <f>IF(Table4[[#This Row],[customer_order_count]]=1,"New Customer","Repeat Customer")</f>
        <v>Repeat Customer</v>
      </c>
    </row>
    <row r="341" spans="1:14">
      <c r="A341" t="s">
        <v>4256</v>
      </c>
      <c r="B341" s="1">
        <v>44992</v>
      </c>
      <c r="C341" t="s">
        <v>587</v>
      </c>
      <c r="D341" t="s">
        <v>475</v>
      </c>
      <c r="E341" t="s">
        <v>21</v>
      </c>
      <c r="F341" t="s">
        <v>14</v>
      </c>
      <c r="G341" t="s">
        <v>34</v>
      </c>
      <c r="H341">
        <v>1</v>
      </c>
      <c r="I341" s="3">
        <v>13.92</v>
      </c>
      <c r="J341" t="s">
        <v>16</v>
      </c>
      <c r="K341" t="s">
        <v>30</v>
      </c>
      <c r="L341" s="4">
        <f>Table4[[#This Row],[quantity]]*Table4[[#This Row],[unit_price]]</f>
        <v>13.92</v>
      </c>
      <c r="M341">
        <f>COUNTIFS($C$2:$C$3934,Table4[[#This Row],[customer_id]])</f>
        <v>6</v>
      </c>
      <c r="N341" t="str">
        <f>IF(Table4[[#This Row],[customer_order_count]]=1,"New Customer","Repeat Customer")</f>
        <v>Repeat Customer</v>
      </c>
    </row>
    <row r="342" spans="1:14">
      <c r="A342" t="s">
        <v>4950</v>
      </c>
      <c r="B342" s="1">
        <v>45174</v>
      </c>
      <c r="C342" t="s">
        <v>2018</v>
      </c>
      <c r="D342" s="2" t="s">
        <v>5257</v>
      </c>
      <c r="E342" t="s">
        <v>21</v>
      </c>
      <c r="F342" t="s">
        <v>56</v>
      </c>
      <c r="G342" t="s">
        <v>422</v>
      </c>
      <c r="H342">
        <v>2</v>
      </c>
      <c r="I342" s="3">
        <v>13.95</v>
      </c>
      <c r="J342" t="s">
        <v>16</v>
      </c>
      <c r="K342" t="s">
        <v>35</v>
      </c>
      <c r="L342" s="4">
        <f>Table4[[#This Row],[quantity]]*Table4[[#This Row],[unit_price]]</f>
        <v>27.9</v>
      </c>
      <c r="M342">
        <f>COUNTIFS($C$2:$C$3934,Table4[[#This Row],[customer_id]])</f>
        <v>2</v>
      </c>
      <c r="N342" t="str">
        <f>IF(Table4[[#This Row],[customer_order_count]]=1,"New Customer","Repeat Customer")</f>
        <v>Repeat Customer</v>
      </c>
    </row>
    <row r="343" spans="1:14">
      <c r="A343" t="s">
        <v>5069</v>
      </c>
      <c r="B343" s="1">
        <v>45155</v>
      </c>
      <c r="C343" t="s">
        <v>1144</v>
      </c>
      <c r="D343" t="s">
        <v>60</v>
      </c>
      <c r="E343" t="s">
        <v>21</v>
      </c>
      <c r="F343" t="s">
        <v>28</v>
      </c>
      <c r="G343" t="s">
        <v>45</v>
      </c>
      <c r="H343">
        <v>1</v>
      </c>
      <c r="I343" s="3">
        <v>13.96</v>
      </c>
      <c r="J343" t="s">
        <v>255</v>
      </c>
      <c r="K343" t="s">
        <v>40</v>
      </c>
      <c r="L343" s="4">
        <f>Table4[[#This Row],[quantity]]*Table4[[#This Row],[unit_price]]</f>
        <v>13.96</v>
      </c>
      <c r="M343">
        <f>COUNTIFS($C$2:$C$3934,Table4[[#This Row],[customer_id]])</f>
        <v>7</v>
      </c>
      <c r="N343" t="str">
        <f>IF(Table4[[#This Row],[customer_order_count]]=1,"New Customer","Repeat Customer")</f>
        <v>Repeat Customer</v>
      </c>
    </row>
    <row r="344" spans="1:14">
      <c r="A344" t="s">
        <v>4801</v>
      </c>
      <c r="B344" s="1">
        <v>45306</v>
      </c>
      <c r="C344" t="s">
        <v>4802</v>
      </c>
      <c r="D344" t="s">
        <v>409</v>
      </c>
      <c r="E344" t="s">
        <v>21</v>
      </c>
      <c r="F344" t="s">
        <v>56</v>
      </c>
      <c r="G344" t="s">
        <v>210</v>
      </c>
      <c r="H344">
        <v>1</v>
      </c>
      <c r="I344" s="3">
        <v>13.97</v>
      </c>
      <c r="J344" t="s">
        <v>16</v>
      </c>
      <c r="K344" t="s">
        <v>40</v>
      </c>
      <c r="L344" s="4">
        <f>Table4[[#This Row],[quantity]]*Table4[[#This Row],[unit_price]]</f>
        <v>13.97</v>
      </c>
      <c r="M344">
        <f>COUNTIFS($C$2:$C$3934,Table4[[#This Row],[customer_id]])</f>
        <v>1</v>
      </c>
      <c r="N344" t="str">
        <f>IF(Table4[[#This Row],[customer_order_count]]=1,"New Customer","Repeat Customer")</f>
        <v>New Customer</v>
      </c>
    </row>
    <row r="345" spans="1:14">
      <c r="A345" t="s">
        <v>3260</v>
      </c>
      <c r="B345" s="1">
        <v>45524</v>
      </c>
      <c r="C345" t="s">
        <v>572</v>
      </c>
      <c r="D345" t="s">
        <v>573</v>
      </c>
      <c r="E345" t="s">
        <v>21</v>
      </c>
      <c r="F345" t="s">
        <v>66</v>
      </c>
      <c r="G345" t="s">
        <v>217</v>
      </c>
      <c r="H345">
        <v>1</v>
      </c>
      <c r="I345" s="3">
        <v>13.97</v>
      </c>
      <c r="J345" t="s">
        <v>85</v>
      </c>
      <c r="K345" t="s">
        <v>40</v>
      </c>
      <c r="L345" s="4">
        <f>Table4[[#This Row],[quantity]]*Table4[[#This Row],[unit_price]]</f>
        <v>13.97</v>
      </c>
      <c r="M345">
        <f>COUNTIFS($C$2:$C$3934,Table4[[#This Row],[customer_id]])</f>
        <v>5</v>
      </c>
      <c r="N345" t="str">
        <f>IF(Table4[[#This Row],[customer_order_count]]=1,"New Customer","Repeat Customer")</f>
        <v>Repeat Customer</v>
      </c>
    </row>
    <row r="346" spans="1:14">
      <c r="A346" t="s">
        <v>2691</v>
      </c>
      <c r="B346" s="1">
        <v>45356</v>
      </c>
      <c r="C346" t="s">
        <v>493</v>
      </c>
      <c r="D346" t="s">
        <v>327</v>
      </c>
      <c r="E346" t="s">
        <v>44</v>
      </c>
      <c r="F346" t="s">
        <v>66</v>
      </c>
      <c r="G346" t="s">
        <v>128</v>
      </c>
      <c r="H346">
        <v>2</v>
      </c>
      <c r="I346" s="3">
        <v>13.97</v>
      </c>
      <c r="J346" t="s">
        <v>16</v>
      </c>
      <c r="K346" t="s">
        <v>35</v>
      </c>
      <c r="L346" s="4">
        <f>Table4[[#This Row],[quantity]]*Table4[[#This Row],[unit_price]]</f>
        <v>27.94</v>
      </c>
      <c r="M346">
        <f>COUNTIFS($C$2:$C$3934,Table4[[#This Row],[customer_id]])</f>
        <v>3</v>
      </c>
      <c r="N346" t="str">
        <f>IF(Table4[[#This Row],[customer_order_count]]=1,"New Customer","Repeat Customer")</f>
        <v>Repeat Customer</v>
      </c>
    </row>
    <row r="347" spans="1:14">
      <c r="A347" t="s">
        <v>4123</v>
      </c>
      <c r="B347" s="1">
        <v>45217</v>
      </c>
      <c r="C347" t="s">
        <v>474</v>
      </c>
      <c r="D347" t="s">
        <v>475</v>
      </c>
      <c r="E347" t="s">
        <v>21</v>
      </c>
      <c r="F347" t="s">
        <v>66</v>
      </c>
      <c r="G347" t="s">
        <v>67</v>
      </c>
      <c r="H347">
        <v>2</v>
      </c>
      <c r="I347" s="3">
        <v>14</v>
      </c>
      <c r="J347" t="s">
        <v>24</v>
      </c>
      <c r="K347" t="s">
        <v>30</v>
      </c>
      <c r="L347" s="4">
        <f>Table4[[#This Row],[quantity]]*Table4[[#This Row],[unit_price]]</f>
        <v>28</v>
      </c>
      <c r="M347">
        <f>COUNTIFS($C$2:$C$3934,Table4[[#This Row],[customer_id]])</f>
        <v>6</v>
      </c>
      <c r="N347" t="str">
        <f>IF(Table4[[#This Row],[customer_order_count]]=1,"New Customer","Repeat Customer")</f>
        <v>Repeat Customer</v>
      </c>
    </row>
    <row r="348" spans="1:14">
      <c r="A348" t="s">
        <v>1876</v>
      </c>
      <c r="B348" s="1">
        <v>45050</v>
      </c>
      <c r="C348" t="s">
        <v>1567</v>
      </c>
      <c r="D348" t="s">
        <v>109</v>
      </c>
      <c r="E348" t="s">
        <v>21</v>
      </c>
      <c r="F348" t="s">
        <v>70</v>
      </c>
      <c r="G348" t="s">
        <v>170</v>
      </c>
      <c r="H348">
        <v>1</v>
      </c>
      <c r="I348" s="3">
        <v>14.06</v>
      </c>
      <c r="J348" t="s">
        <v>85</v>
      </c>
      <c r="K348" t="s">
        <v>17</v>
      </c>
      <c r="L348" s="4">
        <f>Table4[[#This Row],[quantity]]*Table4[[#This Row],[unit_price]]</f>
        <v>14.06</v>
      </c>
      <c r="M348">
        <f>COUNTIFS($C$2:$C$3934,Table4[[#This Row],[customer_id]])</f>
        <v>6</v>
      </c>
      <c r="N348" t="str">
        <f>IF(Table4[[#This Row],[customer_order_count]]=1,"New Customer","Repeat Customer")</f>
        <v>Repeat Customer</v>
      </c>
    </row>
    <row r="349" spans="1:14">
      <c r="A349" t="s">
        <v>3259</v>
      </c>
      <c r="B349" s="1">
        <v>45616</v>
      </c>
      <c r="C349" t="s">
        <v>303</v>
      </c>
      <c r="D349" t="s">
        <v>304</v>
      </c>
      <c r="E349" t="s">
        <v>21</v>
      </c>
      <c r="F349" t="s">
        <v>70</v>
      </c>
      <c r="G349" t="s">
        <v>337</v>
      </c>
      <c r="H349">
        <v>1</v>
      </c>
      <c r="I349" s="3">
        <v>14.07</v>
      </c>
      <c r="J349" t="s">
        <v>16</v>
      </c>
      <c r="K349" t="s">
        <v>40</v>
      </c>
      <c r="L349" s="4">
        <f>Table4[[#This Row],[quantity]]*Table4[[#This Row],[unit_price]]</f>
        <v>14.07</v>
      </c>
      <c r="M349">
        <f>COUNTIFS($C$2:$C$3934,Table4[[#This Row],[customer_id]])</f>
        <v>5</v>
      </c>
      <c r="N349" t="str">
        <f>IF(Table4[[#This Row],[customer_order_count]]=1,"New Customer","Repeat Customer")</f>
        <v>Repeat Customer</v>
      </c>
    </row>
    <row r="350" spans="1:14">
      <c r="A350" t="s">
        <v>4143</v>
      </c>
      <c r="B350" s="1">
        <v>45221</v>
      </c>
      <c r="C350" t="s">
        <v>1585</v>
      </c>
      <c r="D350" t="s">
        <v>48</v>
      </c>
      <c r="E350" t="s">
        <v>44</v>
      </c>
      <c r="F350" t="s">
        <v>66</v>
      </c>
      <c r="G350" t="s">
        <v>67</v>
      </c>
      <c r="H350">
        <v>2</v>
      </c>
      <c r="I350" s="3">
        <v>14.07</v>
      </c>
      <c r="J350" t="s">
        <v>16</v>
      </c>
      <c r="K350" t="s">
        <v>30</v>
      </c>
      <c r="L350" s="4">
        <f>Table4[[#This Row],[quantity]]*Table4[[#This Row],[unit_price]]</f>
        <v>28.14</v>
      </c>
      <c r="M350">
        <f>COUNTIFS($C$2:$C$3934,Table4[[#This Row],[customer_id]])</f>
        <v>4</v>
      </c>
      <c r="N350" t="str">
        <f>IF(Table4[[#This Row],[customer_order_count]]=1,"New Customer","Repeat Customer")</f>
        <v>Repeat Customer</v>
      </c>
    </row>
    <row r="351" spans="1:14">
      <c r="A351" t="s">
        <v>3935</v>
      </c>
      <c r="B351" s="1">
        <v>45014</v>
      </c>
      <c r="C351" t="s">
        <v>649</v>
      </c>
      <c r="D351" t="s">
        <v>650</v>
      </c>
      <c r="E351" t="s">
        <v>21</v>
      </c>
      <c r="F351" t="s">
        <v>28</v>
      </c>
      <c r="G351" t="s">
        <v>29</v>
      </c>
      <c r="H351">
        <v>1</v>
      </c>
      <c r="I351" s="3">
        <v>14.08</v>
      </c>
      <c r="J351" t="s">
        <v>16</v>
      </c>
      <c r="K351" t="s">
        <v>17</v>
      </c>
      <c r="L351" s="4">
        <f>Table4[[#This Row],[quantity]]*Table4[[#This Row],[unit_price]]</f>
        <v>14.08</v>
      </c>
      <c r="M351">
        <f>COUNTIFS($C$2:$C$3934,Table4[[#This Row],[customer_id]])</f>
        <v>7</v>
      </c>
      <c r="N351" t="str">
        <f>IF(Table4[[#This Row],[customer_order_count]]=1,"New Customer","Repeat Customer")</f>
        <v>Repeat Customer</v>
      </c>
    </row>
    <row r="352" spans="1:14">
      <c r="A352" t="s">
        <v>3591</v>
      </c>
      <c r="B352" s="1">
        <v>45128</v>
      </c>
      <c r="C352" t="s">
        <v>534</v>
      </c>
      <c r="D352" t="s">
        <v>535</v>
      </c>
      <c r="E352" t="s">
        <v>21</v>
      </c>
      <c r="F352" t="s">
        <v>22</v>
      </c>
      <c r="G352" t="s">
        <v>23</v>
      </c>
      <c r="H352">
        <v>3</v>
      </c>
      <c r="I352" s="3">
        <v>14.08</v>
      </c>
      <c r="J352" t="s">
        <v>16</v>
      </c>
      <c r="K352" t="s">
        <v>17</v>
      </c>
      <c r="L352" s="4">
        <f>Table4[[#This Row],[quantity]]*Table4[[#This Row],[unit_price]]</f>
        <v>42.24</v>
      </c>
      <c r="M352">
        <f>COUNTIFS($C$2:$C$3934,Table4[[#This Row],[customer_id]])</f>
        <v>6</v>
      </c>
      <c r="N352" t="str">
        <f>IF(Table4[[#This Row],[customer_order_count]]=1,"New Customer","Repeat Customer")</f>
        <v>Repeat Customer</v>
      </c>
    </row>
    <row r="353" spans="1:14">
      <c r="A353" t="s">
        <v>5115</v>
      </c>
      <c r="B353" s="1">
        <v>44995</v>
      </c>
      <c r="C353" t="s">
        <v>1679</v>
      </c>
      <c r="D353" t="s">
        <v>65</v>
      </c>
      <c r="E353" t="s">
        <v>21</v>
      </c>
      <c r="F353" t="s">
        <v>56</v>
      </c>
      <c r="G353" t="s">
        <v>254</v>
      </c>
      <c r="H353">
        <v>1</v>
      </c>
      <c r="I353" s="3">
        <v>14.11</v>
      </c>
      <c r="J353" t="s">
        <v>16</v>
      </c>
      <c r="K353" t="s">
        <v>17</v>
      </c>
      <c r="L353" s="4">
        <f>Table4[[#This Row],[quantity]]*Table4[[#This Row],[unit_price]]</f>
        <v>14.11</v>
      </c>
      <c r="M353">
        <f>COUNTIFS($C$2:$C$3934,Table4[[#This Row],[customer_id]])</f>
        <v>8</v>
      </c>
      <c r="N353" t="str">
        <f>IF(Table4[[#This Row],[customer_order_count]]=1,"New Customer","Repeat Customer")</f>
        <v>Repeat Customer</v>
      </c>
    </row>
    <row r="354" spans="1:14">
      <c r="A354" t="s">
        <v>4419</v>
      </c>
      <c r="B354" s="1">
        <v>45296</v>
      </c>
      <c r="C354" t="s">
        <v>3096</v>
      </c>
      <c r="D354" t="s">
        <v>1208</v>
      </c>
      <c r="E354" t="s">
        <v>61</v>
      </c>
      <c r="F354" t="s">
        <v>66</v>
      </c>
      <c r="G354" t="s">
        <v>67</v>
      </c>
      <c r="H354">
        <v>1</v>
      </c>
      <c r="I354" s="3">
        <v>14.12</v>
      </c>
      <c r="J354" t="s">
        <v>16</v>
      </c>
      <c r="K354" t="s">
        <v>35</v>
      </c>
      <c r="L354" s="4">
        <f>Table4[[#This Row],[quantity]]*Table4[[#This Row],[unit_price]]</f>
        <v>14.12</v>
      </c>
      <c r="M354">
        <f>COUNTIFS($C$2:$C$3934,Table4[[#This Row],[customer_id]])</f>
        <v>3</v>
      </c>
      <c r="N354" t="str">
        <f>IF(Table4[[#This Row],[customer_order_count]]=1,"New Customer","Repeat Customer")</f>
        <v>Repeat Customer</v>
      </c>
    </row>
    <row r="355" spans="1:14">
      <c r="A355" t="s">
        <v>4214</v>
      </c>
      <c r="B355" s="1">
        <v>45415</v>
      </c>
      <c r="C355" t="s">
        <v>1269</v>
      </c>
      <c r="D355" t="s">
        <v>359</v>
      </c>
      <c r="E355" t="s">
        <v>21</v>
      </c>
      <c r="F355" t="s">
        <v>66</v>
      </c>
      <c r="G355" t="s">
        <v>217</v>
      </c>
      <c r="H355">
        <v>2</v>
      </c>
      <c r="I355" s="3">
        <v>14.14</v>
      </c>
      <c r="J355" t="s">
        <v>16</v>
      </c>
      <c r="K355" t="s">
        <v>35</v>
      </c>
      <c r="L355" s="4">
        <f>Table4[[#This Row],[quantity]]*Table4[[#This Row],[unit_price]]</f>
        <v>28.28</v>
      </c>
      <c r="M355">
        <f>COUNTIFS($C$2:$C$3934,Table4[[#This Row],[customer_id]])</f>
        <v>6</v>
      </c>
      <c r="N355" t="str">
        <f>IF(Table4[[#This Row],[customer_order_count]]=1,"New Customer","Repeat Customer")</f>
        <v>Repeat Customer</v>
      </c>
    </row>
    <row r="356" spans="1:14">
      <c r="A356" t="s">
        <v>3955</v>
      </c>
      <c r="B356" s="1">
        <v>45441</v>
      </c>
      <c r="C356" t="s">
        <v>82</v>
      </c>
      <c r="D356" t="s">
        <v>83</v>
      </c>
      <c r="E356" t="s">
        <v>21</v>
      </c>
      <c r="F356" t="s">
        <v>70</v>
      </c>
      <c r="G356" t="s">
        <v>89</v>
      </c>
      <c r="H356">
        <v>1</v>
      </c>
      <c r="I356" s="3">
        <v>14.17</v>
      </c>
      <c r="J356" t="s">
        <v>16</v>
      </c>
      <c r="K356" t="s">
        <v>40</v>
      </c>
      <c r="L356" s="4">
        <f>Table4[[#This Row],[quantity]]*Table4[[#This Row],[unit_price]]</f>
        <v>14.17</v>
      </c>
      <c r="M356">
        <f>COUNTIFS($C$2:$C$3934,Table4[[#This Row],[customer_id]])</f>
        <v>7</v>
      </c>
      <c r="N356" t="str">
        <f>IF(Table4[[#This Row],[customer_order_count]]=1,"New Customer","Repeat Customer")</f>
        <v>Repeat Customer</v>
      </c>
    </row>
    <row r="357" spans="1:14">
      <c r="A357" t="s">
        <v>4995</v>
      </c>
      <c r="B357" s="1">
        <v>45031</v>
      </c>
      <c r="C357" t="s">
        <v>1144</v>
      </c>
      <c r="D357" t="s">
        <v>60</v>
      </c>
      <c r="E357" t="s">
        <v>21</v>
      </c>
      <c r="F357" t="s">
        <v>66</v>
      </c>
      <c r="G357" t="s">
        <v>49</v>
      </c>
      <c r="H357">
        <v>1</v>
      </c>
      <c r="I357" s="3">
        <v>14.21</v>
      </c>
      <c r="J357" t="s">
        <v>16</v>
      </c>
      <c r="K357" t="s">
        <v>40</v>
      </c>
      <c r="L357" s="4">
        <f>Table4[[#This Row],[quantity]]*Table4[[#This Row],[unit_price]]</f>
        <v>14.21</v>
      </c>
      <c r="M357">
        <f>COUNTIFS($C$2:$C$3934,Table4[[#This Row],[customer_id]])</f>
        <v>7</v>
      </c>
      <c r="N357" t="str">
        <f>IF(Table4[[#This Row],[customer_order_count]]=1,"New Customer","Repeat Customer")</f>
        <v>Repeat Customer</v>
      </c>
    </row>
    <row r="358" spans="1:14">
      <c r="A358" t="s">
        <v>989</v>
      </c>
      <c r="B358" s="1">
        <v>45524</v>
      </c>
      <c r="C358" t="s">
        <v>990</v>
      </c>
      <c r="D358" t="s">
        <v>991</v>
      </c>
      <c r="E358" t="s">
        <v>21</v>
      </c>
      <c r="F358" t="s">
        <v>28</v>
      </c>
      <c r="G358" t="s">
        <v>29</v>
      </c>
      <c r="H358">
        <v>1</v>
      </c>
      <c r="I358" s="3">
        <v>14.22</v>
      </c>
      <c r="J358" t="s">
        <v>16</v>
      </c>
      <c r="K358" t="s">
        <v>40</v>
      </c>
      <c r="L358" s="4">
        <f>Table4[[#This Row],[quantity]]*Table4[[#This Row],[unit_price]]</f>
        <v>14.22</v>
      </c>
      <c r="M358">
        <f>COUNTIFS($C$2:$C$3934,Table4[[#This Row],[customer_id]])</f>
        <v>5</v>
      </c>
      <c r="N358" t="str">
        <f>IF(Table4[[#This Row],[customer_order_count]]=1,"New Customer","Repeat Customer")</f>
        <v>Repeat Customer</v>
      </c>
    </row>
    <row r="359" spans="1:14">
      <c r="A359" t="s">
        <v>4705</v>
      </c>
      <c r="B359" s="1">
        <v>45515</v>
      </c>
      <c r="C359" t="s">
        <v>342</v>
      </c>
      <c r="D359" t="s">
        <v>343</v>
      </c>
      <c r="E359" t="s">
        <v>44</v>
      </c>
      <c r="F359" t="s">
        <v>56</v>
      </c>
      <c r="G359" t="s">
        <v>118</v>
      </c>
      <c r="H359">
        <v>5</v>
      </c>
      <c r="I359" s="3">
        <v>14.22</v>
      </c>
      <c r="J359" t="s">
        <v>16</v>
      </c>
      <c r="K359" t="s">
        <v>40</v>
      </c>
      <c r="L359" s="4">
        <f>Table4[[#This Row],[quantity]]*Table4[[#This Row],[unit_price]]</f>
        <v>71.100000000000009</v>
      </c>
      <c r="M359">
        <f>COUNTIFS($C$2:$C$3934,Table4[[#This Row],[customer_id]])</f>
        <v>8</v>
      </c>
      <c r="N359" t="str">
        <f>IF(Table4[[#This Row],[customer_order_count]]=1,"New Customer","Repeat Customer")</f>
        <v>Repeat Customer</v>
      </c>
    </row>
    <row r="360" spans="1:14">
      <c r="A360" t="s">
        <v>5031</v>
      </c>
      <c r="B360" s="1">
        <v>45606</v>
      </c>
      <c r="C360" t="s">
        <v>724</v>
      </c>
      <c r="D360" t="s">
        <v>725</v>
      </c>
      <c r="E360" t="s">
        <v>44</v>
      </c>
      <c r="F360" t="s">
        <v>28</v>
      </c>
      <c r="G360" t="s">
        <v>84</v>
      </c>
      <c r="H360">
        <v>2</v>
      </c>
      <c r="I360" s="3">
        <v>14.24</v>
      </c>
      <c r="J360" t="s">
        <v>85</v>
      </c>
      <c r="K360" t="s">
        <v>40</v>
      </c>
      <c r="L360" s="4">
        <f>Table4[[#This Row],[quantity]]*Table4[[#This Row],[unit_price]]</f>
        <v>28.48</v>
      </c>
      <c r="M360">
        <f>COUNTIFS($C$2:$C$3934,Table4[[#This Row],[customer_id]])</f>
        <v>5</v>
      </c>
      <c r="N360" t="str">
        <f>IF(Table4[[#This Row],[customer_order_count]]=1,"New Customer","Repeat Customer")</f>
        <v>Repeat Customer</v>
      </c>
    </row>
    <row r="361" spans="1:14">
      <c r="A361" t="s">
        <v>2830</v>
      </c>
      <c r="B361" s="1">
        <v>45131</v>
      </c>
      <c r="C361" t="s">
        <v>524</v>
      </c>
      <c r="D361" t="s">
        <v>525</v>
      </c>
      <c r="E361" t="s">
        <v>21</v>
      </c>
      <c r="F361" t="s">
        <v>22</v>
      </c>
      <c r="G361" t="s">
        <v>264</v>
      </c>
      <c r="H361">
        <v>4</v>
      </c>
      <c r="I361" s="3">
        <v>14.3</v>
      </c>
      <c r="J361" t="s">
        <v>16</v>
      </c>
      <c r="K361" t="s">
        <v>40</v>
      </c>
      <c r="L361" s="4">
        <f>Table4[[#This Row],[quantity]]*Table4[[#This Row],[unit_price]]</f>
        <v>57.2</v>
      </c>
      <c r="M361">
        <f>COUNTIFS($C$2:$C$3934,Table4[[#This Row],[customer_id]])</f>
        <v>5</v>
      </c>
      <c r="N361" t="str">
        <f>IF(Table4[[#This Row],[customer_order_count]]=1,"New Customer","Repeat Customer")</f>
        <v>Repeat Customer</v>
      </c>
    </row>
    <row r="362" spans="1:14">
      <c r="A362" t="s">
        <v>3436</v>
      </c>
      <c r="B362" s="1">
        <v>45495</v>
      </c>
      <c r="C362" t="s">
        <v>655</v>
      </c>
      <c r="D362" t="s">
        <v>597</v>
      </c>
      <c r="E362" t="s">
        <v>21</v>
      </c>
      <c r="F362" t="s">
        <v>66</v>
      </c>
      <c r="G362" t="s">
        <v>238</v>
      </c>
      <c r="H362">
        <v>1</v>
      </c>
      <c r="I362" s="3">
        <v>14.33</v>
      </c>
      <c r="J362" t="s">
        <v>16</v>
      </c>
      <c r="K362" t="s">
        <v>17</v>
      </c>
      <c r="L362" s="4">
        <f>Table4[[#This Row],[quantity]]*Table4[[#This Row],[unit_price]]</f>
        <v>14.33</v>
      </c>
      <c r="M362">
        <f>COUNTIFS($C$2:$C$3934,Table4[[#This Row],[customer_id]])</f>
        <v>12</v>
      </c>
      <c r="N362" t="str">
        <f>IF(Table4[[#This Row],[customer_order_count]]=1,"New Customer","Repeat Customer")</f>
        <v>Repeat Customer</v>
      </c>
    </row>
    <row r="363" spans="1:14">
      <c r="A363" t="s">
        <v>5163</v>
      </c>
      <c r="B363" s="1">
        <v>45400</v>
      </c>
      <c r="C363" t="s">
        <v>2320</v>
      </c>
      <c r="D363" s="2" t="s">
        <v>5257</v>
      </c>
      <c r="E363" t="s">
        <v>44</v>
      </c>
      <c r="F363" t="s">
        <v>66</v>
      </c>
      <c r="G363" t="s">
        <v>67</v>
      </c>
      <c r="H363">
        <v>2</v>
      </c>
      <c r="I363" s="3">
        <v>14.33</v>
      </c>
      <c r="J363" t="s">
        <v>16</v>
      </c>
      <c r="K363" t="s">
        <v>35</v>
      </c>
      <c r="L363" s="4">
        <f>Table4[[#This Row],[quantity]]*Table4[[#This Row],[unit_price]]</f>
        <v>28.66</v>
      </c>
      <c r="M363">
        <f>COUNTIFS($C$2:$C$3934,Table4[[#This Row],[customer_id]])</f>
        <v>6</v>
      </c>
      <c r="N363" t="str">
        <f>IF(Table4[[#This Row],[customer_order_count]]=1,"New Customer","Repeat Customer")</f>
        <v>Repeat Customer</v>
      </c>
    </row>
    <row r="364" spans="1:14">
      <c r="A364" t="s">
        <v>1198</v>
      </c>
      <c r="B364" s="1">
        <v>45577</v>
      </c>
      <c r="C364" t="s">
        <v>104</v>
      </c>
      <c r="D364" t="s">
        <v>105</v>
      </c>
      <c r="E364" t="s">
        <v>21</v>
      </c>
      <c r="F364" t="s">
        <v>66</v>
      </c>
      <c r="G364" t="s">
        <v>67</v>
      </c>
      <c r="H364">
        <v>2</v>
      </c>
      <c r="I364" s="3">
        <v>14.35</v>
      </c>
      <c r="J364" t="s">
        <v>255</v>
      </c>
      <c r="K364" t="s">
        <v>17</v>
      </c>
      <c r="L364" s="4">
        <f>Table4[[#This Row],[quantity]]*Table4[[#This Row],[unit_price]]</f>
        <v>28.7</v>
      </c>
      <c r="M364">
        <f>COUNTIFS($C$2:$C$3934,Table4[[#This Row],[customer_id]])</f>
        <v>9</v>
      </c>
      <c r="N364" t="str">
        <f>IF(Table4[[#This Row],[customer_order_count]]=1,"New Customer","Repeat Customer")</f>
        <v>Repeat Customer</v>
      </c>
    </row>
    <row r="365" spans="1:14">
      <c r="A365" t="s">
        <v>4974</v>
      </c>
      <c r="B365" s="1">
        <v>45089</v>
      </c>
      <c r="C365" t="s">
        <v>925</v>
      </c>
      <c r="D365" t="s">
        <v>383</v>
      </c>
      <c r="E365" t="s">
        <v>21</v>
      </c>
      <c r="F365" t="s">
        <v>28</v>
      </c>
      <c r="G365" t="s">
        <v>45</v>
      </c>
      <c r="H365">
        <v>1</v>
      </c>
      <c r="I365" s="3">
        <v>14.36</v>
      </c>
      <c r="J365" t="s">
        <v>16</v>
      </c>
      <c r="K365" t="s">
        <v>40</v>
      </c>
      <c r="L365" s="4">
        <f>Table4[[#This Row],[quantity]]*Table4[[#This Row],[unit_price]]</f>
        <v>14.36</v>
      </c>
      <c r="M365">
        <f>COUNTIFS($C$2:$C$3934,Table4[[#This Row],[customer_id]])</f>
        <v>6</v>
      </c>
      <c r="N365" t="str">
        <f>IF(Table4[[#This Row],[customer_order_count]]=1,"New Customer","Repeat Customer")</f>
        <v>Repeat Customer</v>
      </c>
    </row>
    <row r="366" spans="1:14">
      <c r="A366" t="s">
        <v>4325</v>
      </c>
      <c r="B366" s="1">
        <v>45622</v>
      </c>
      <c r="C366" t="s">
        <v>215</v>
      </c>
      <c r="D366" t="s">
        <v>216</v>
      </c>
      <c r="E366" t="s">
        <v>21</v>
      </c>
      <c r="F366" t="s">
        <v>14</v>
      </c>
      <c r="G366" t="s">
        <v>39</v>
      </c>
      <c r="H366">
        <v>4</v>
      </c>
      <c r="I366" s="3">
        <v>14.39</v>
      </c>
      <c r="J366" t="s">
        <v>16</v>
      </c>
      <c r="K366" t="s">
        <v>30</v>
      </c>
      <c r="L366" s="4">
        <f>Table4[[#This Row],[quantity]]*Table4[[#This Row],[unit_price]]</f>
        <v>57.56</v>
      </c>
      <c r="M366">
        <f>COUNTIFS($C$2:$C$3934,Table4[[#This Row],[customer_id]])</f>
        <v>8</v>
      </c>
      <c r="N366" t="str">
        <f>IF(Table4[[#This Row],[customer_order_count]]=1,"New Customer","Repeat Customer")</f>
        <v>Repeat Customer</v>
      </c>
    </row>
    <row r="367" spans="1:14">
      <c r="A367" t="s">
        <v>5067</v>
      </c>
      <c r="B367" s="1">
        <v>45424</v>
      </c>
      <c r="C367" t="s">
        <v>589</v>
      </c>
      <c r="D367" t="s">
        <v>406</v>
      </c>
      <c r="E367" t="s">
        <v>21</v>
      </c>
      <c r="F367" t="s">
        <v>66</v>
      </c>
      <c r="G367" t="s">
        <v>67</v>
      </c>
      <c r="H367">
        <v>1</v>
      </c>
      <c r="I367" s="3">
        <v>14.41</v>
      </c>
      <c r="J367" t="s">
        <v>16</v>
      </c>
      <c r="K367" t="s">
        <v>17</v>
      </c>
      <c r="L367" s="4">
        <f>Table4[[#This Row],[quantity]]*Table4[[#This Row],[unit_price]]</f>
        <v>14.41</v>
      </c>
      <c r="M367">
        <f>COUNTIFS($C$2:$C$3934,Table4[[#This Row],[customer_id]])</f>
        <v>9</v>
      </c>
      <c r="N367" t="str">
        <f>IF(Table4[[#This Row],[customer_order_count]]=1,"New Customer","Repeat Customer")</f>
        <v>Repeat Customer</v>
      </c>
    </row>
    <row r="368" spans="1:14">
      <c r="A368" t="s">
        <v>3336</v>
      </c>
      <c r="B368" s="1">
        <v>45513</v>
      </c>
      <c r="C368" t="s">
        <v>1941</v>
      </c>
      <c r="D368" t="s">
        <v>1942</v>
      </c>
      <c r="E368" t="s">
        <v>61</v>
      </c>
      <c r="F368" t="s">
        <v>28</v>
      </c>
      <c r="G368" t="s">
        <v>114</v>
      </c>
      <c r="H368">
        <v>1</v>
      </c>
      <c r="I368" s="3">
        <v>14.41</v>
      </c>
      <c r="J368" t="s">
        <v>16</v>
      </c>
      <c r="K368" t="s">
        <v>40</v>
      </c>
      <c r="L368" s="4">
        <f>Table4[[#This Row],[quantity]]*Table4[[#This Row],[unit_price]]</f>
        <v>14.41</v>
      </c>
      <c r="M368">
        <f>COUNTIFS($C$2:$C$3934,Table4[[#This Row],[customer_id]])</f>
        <v>4</v>
      </c>
      <c r="N368" t="str">
        <f>IF(Table4[[#This Row],[customer_order_count]]=1,"New Customer","Repeat Customer")</f>
        <v>Repeat Customer</v>
      </c>
    </row>
    <row r="369" spans="1:14">
      <c r="A369" t="s">
        <v>4372</v>
      </c>
      <c r="B369" s="1">
        <v>45249</v>
      </c>
      <c r="C369" t="s">
        <v>1713</v>
      </c>
      <c r="D369" t="s">
        <v>1714</v>
      </c>
      <c r="E369" t="s">
        <v>21</v>
      </c>
      <c r="F369" t="s">
        <v>22</v>
      </c>
      <c r="G369" t="s">
        <v>162</v>
      </c>
      <c r="H369">
        <v>1</v>
      </c>
      <c r="I369" s="3">
        <v>14.43</v>
      </c>
      <c r="J369" t="s">
        <v>16</v>
      </c>
      <c r="K369" t="s">
        <v>40</v>
      </c>
      <c r="L369" s="4">
        <f>Table4[[#This Row],[quantity]]*Table4[[#This Row],[unit_price]]</f>
        <v>14.43</v>
      </c>
      <c r="M369">
        <f>COUNTIFS($C$2:$C$3934,Table4[[#This Row],[customer_id]])</f>
        <v>4</v>
      </c>
      <c r="N369" t="str">
        <f>IF(Table4[[#This Row],[customer_order_count]]=1,"New Customer","Repeat Customer")</f>
        <v>Repeat Customer</v>
      </c>
    </row>
    <row r="370" spans="1:14">
      <c r="A370" t="s">
        <v>4110</v>
      </c>
      <c r="B370" s="1">
        <v>45047</v>
      </c>
      <c r="C370" t="s">
        <v>844</v>
      </c>
      <c r="D370" t="s">
        <v>20</v>
      </c>
      <c r="E370" t="s">
        <v>61</v>
      </c>
      <c r="F370" t="s">
        <v>66</v>
      </c>
      <c r="G370" t="s">
        <v>67</v>
      </c>
      <c r="H370">
        <v>1</v>
      </c>
      <c r="I370" s="3">
        <v>14.43</v>
      </c>
      <c r="J370" t="s">
        <v>85</v>
      </c>
      <c r="K370" t="s">
        <v>17</v>
      </c>
      <c r="L370" s="4">
        <f>Table4[[#This Row],[quantity]]*Table4[[#This Row],[unit_price]]</f>
        <v>14.43</v>
      </c>
      <c r="M370">
        <f>COUNTIFS($C$2:$C$3934,Table4[[#This Row],[customer_id]])</f>
        <v>5</v>
      </c>
      <c r="N370" t="str">
        <f>IF(Table4[[#This Row],[customer_order_count]]=1,"New Customer","Repeat Customer")</f>
        <v>Repeat Customer</v>
      </c>
    </row>
    <row r="371" spans="1:14">
      <c r="A371" t="s">
        <v>4402</v>
      </c>
      <c r="B371" s="1">
        <v>45188</v>
      </c>
      <c r="C371" t="s">
        <v>880</v>
      </c>
      <c r="D371" t="s">
        <v>881</v>
      </c>
      <c r="E371" t="s">
        <v>21</v>
      </c>
      <c r="F371" t="s">
        <v>66</v>
      </c>
      <c r="G371" t="s">
        <v>67</v>
      </c>
      <c r="H371">
        <v>2</v>
      </c>
      <c r="I371" s="3">
        <v>14.44</v>
      </c>
      <c r="J371" t="s">
        <v>16</v>
      </c>
      <c r="K371" t="s">
        <v>17</v>
      </c>
      <c r="L371" s="4">
        <f>Table4[[#This Row],[quantity]]*Table4[[#This Row],[unit_price]]</f>
        <v>28.88</v>
      </c>
      <c r="M371">
        <f>COUNTIFS($C$2:$C$3934,Table4[[#This Row],[customer_id]])</f>
        <v>6</v>
      </c>
      <c r="N371" t="str">
        <f>IF(Table4[[#This Row],[customer_order_count]]=1,"New Customer","Repeat Customer")</f>
        <v>Repeat Customer</v>
      </c>
    </row>
    <row r="372" spans="1:14">
      <c r="A372" t="s">
        <v>3621</v>
      </c>
      <c r="B372" s="1">
        <v>45172</v>
      </c>
      <c r="C372" t="s">
        <v>1722</v>
      </c>
      <c r="D372" t="s">
        <v>138</v>
      </c>
      <c r="E372" t="s">
        <v>21</v>
      </c>
      <c r="F372" t="s">
        <v>66</v>
      </c>
      <c r="G372" t="s">
        <v>49</v>
      </c>
      <c r="H372">
        <v>3</v>
      </c>
      <c r="I372" s="3">
        <v>14.49</v>
      </c>
      <c r="J372" t="s">
        <v>85</v>
      </c>
      <c r="K372" t="s">
        <v>40</v>
      </c>
      <c r="L372" s="4">
        <f>Table4[[#This Row],[quantity]]*Table4[[#This Row],[unit_price]]</f>
        <v>43.47</v>
      </c>
      <c r="M372">
        <f>COUNTIFS($C$2:$C$3934,Table4[[#This Row],[customer_id]])</f>
        <v>4</v>
      </c>
      <c r="N372" t="str">
        <f>IF(Table4[[#This Row],[customer_order_count]]=1,"New Customer","Repeat Customer")</f>
        <v>Repeat Customer</v>
      </c>
    </row>
    <row r="373" spans="1:14">
      <c r="A373" t="s">
        <v>5203</v>
      </c>
      <c r="B373" s="1">
        <v>45325</v>
      </c>
      <c r="C373" t="s">
        <v>1545</v>
      </c>
      <c r="D373" t="s">
        <v>778</v>
      </c>
      <c r="E373" t="s">
        <v>44</v>
      </c>
      <c r="F373" t="s">
        <v>66</v>
      </c>
      <c r="G373" t="s">
        <v>67</v>
      </c>
      <c r="H373">
        <v>1</v>
      </c>
      <c r="I373" s="3">
        <v>14.5</v>
      </c>
      <c r="J373" t="s">
        <v>16</v>
      </c>
      <c r="K373" t="s">
        <v>17</v>
      </c>
      <c r="L373" s="4">
        <f>Table4[[#This Row],[quantity]]*Table4[[#This Row],[unit_price]]</f>
        <v>14.5</v>
      </c>
      <c r="M373">
        <f>COUNTIFS($C$2:$C$3934,Table4[[#This Row],[customer_id]])</f>
        <v>5</v>
      </c>
      <c r="N373" t="str">
        <f>IF(Table4[[#This Row],[customer_order_count]]=1,"New Customer","Repeat Customer")</f>
        <v>Repeat Customer</v>
      </c>
    </row>
    <row r="374" spans="1:14">
      <c r="A374" t="s">
        <v>3354</v>
      </c>
      <c r="B374" s="1">
        <v>45598</v>
      </c>
      <c r="C374" t="s">
        <v>3355</v>
      </c>
      <c r="D374" t="s">
        <v>1461</v>
      </c>
      <c r="E374" t="s">
        <v>21</v>
      </c>
      <c r="F374" t="s">
        <v>66</v>
      </c>
      <c r="G374" t="s">
        <v>49</v>
      </c>
      <c r="H374">
        <v>1</v>
      </c>
      <c r="I374" s="3">
        <v>14.52</v>
      </c>
      <c r="J374" t="s">
        <v>16</v>
      </c>
      <c r="K374" t="s">
        <v>30</v>
      </c>
      <c r="L374" s="4">
        <f>Table4[[#This Row],[quantity]]*Table4[[#This Row],[unit_price]]</f>
        <v>14.52</v>
      </c>
      <c r="M374">
        <f>COUNTIFS($C$2:$C$3934,Table4[[#This Row],[customer_id]])</f>
        <v>4</v>
      </c>
      <c r="N374" t="str">
        <f>IF(Table4[[#This Row],[customer_order_count]]=1,"New Customer","Repeat Customer")</f>
        <v>Repeat Customer</v>
      </c>
    </row>
    <row r="375" spans="1:14">
      <c r="A375" t="s">
        <v>1601</v>
      </c>
      <c r="B375" s="1">
        <v>45283</v>
      </c>
      <c r="C375" t="s">
        <v>1024</v>
      </c>
      <c r="D375" t="s">
        <v>881</v>
      </c>
      <c r="E375" t="s">
        <v>21</v>
      </c>
      <c r="F375" t="s">
        <v>66</v>
      </c>
      <c r="G375" t="s">
        <v>238</v>
      </c>
      <c r="H375">
        <v>1</v>
      </c>
      <c r="I375" s="3">
        <v>14.54</v>
      </c>
      <c r="J375" t="s">
        <v>16</v>
      </c>
      <c r="K375" t="s">
        <v>40</v>
      </c>
      <c r="L375" s="4">
        <f>Table4[[#This Row],[quantity]]*Table4[[#This Row],[unit_price]]</f>
        <v>14.54</v>
      </c>
      <c r="M375">
        <f>COUNTIFS($C$2:$C$3934,Table4[[#This Row],[customer_id]])</f>
        <v>6</v>
      </c>
      <c r="N375" t="str">
        <f>IF(Table4[[#This Row],[customer_order_count]]=1,"New Customer","Repeat Customer")</f>
        <v>Repeat Customer</v>
      </c>
    </row>
    <row r="376" spans="1:14">
      <c r="A376" t="s">
        <v>3226</v>
      </c>
      <c r="B376" s="1">
        <v>45088</v>
      </c>
      <c r="C376" t="s">
        <v>3227</v>
      </c>
      <c r="D376" s="2" t="s">
        <v>5257</v>
      </c>
      <c r="E376" t="s">
        <v>44</v>
      </c>
      <c r="F376" t="s">
        <v>66</v>
      </c>
      <c r="G376" t="s">
        <v>67</v>
      </c>
      <c r="H376">
        <v>1</v>
      </c>
      <c r="I376" s="3">
        <v>14.54</v>
      </c>
      <c r="J376" t="s">
        <v>24</v>
      </c>
      <c r="K376" t="s">
        <v>17</v>
      </c>
      <c r="L376" s="4">
        <f>Table4[[#This Row],[quantity]]*Table4[[#This Row],[unit_price]]</f>
        <v>14.54</v>
      </c>
      <c r="M376">
        <f>COUNTIFS($C$2:$C$3934,Table4[[#This Row],[customer_id]])</f>
        <v>3</v>
      </c>
      <c r="N376" t="str">
        <f>IF(Table4[[#This Row],[customer_order_count]]=1,"New Customer","Repeat Customer")</f>
        <v>Repeat Customer</v>
      </c>
    </row>
    <row r="377" spans="1:14">
      <c r="A377" t="s">
        <v>3858</v>
      </c>
      <c r="B377" s="1">
        <v>45065</v>
      </c>
      <c r="C377" t="s">
        <v>1770</v>
      </c>
      <c r="D377" t="s">
        <v>113</v>
      </c>
      <c r="E377" t="s">
        <v>44</v>
      </c>
      <c r="F377" t="s">
        <v>66</v>
      </c>
      <c r="G377" t="s">
        <v>128</v>
      </c>
      <c r="H377">
        <v>1</v>
      </c>
      <c r="I377" s="3">
        <v>14.55</v>
      </c>
      <c r="J377" t="s">
        <v>16</v>
      </c>
      <c r="K377" t="s">
        <v>40</v>
      </c>
      <c r="L377" s="4">
        <f>Table4[[#This Row],[quantity]]*Table4[[#This Row],[unit_price]]</f>
        <v>14.55</v>
      </c>
      <c r="M377">
        <f>COUNTIFS($C$2:$C$3934,Table4[[#This Row],[customer_id]])</f>
        <v>5</v>
      </c>
      <c r="N377" t="str">
        <f>IF(Table4[[#This Row],[customer_order_count]]=1,"New Customer","Repeat Customer")</f>
        <v>Repeat Customer</v>
      </c>
    </row>
    <row r="378" spans="1:14">
      <c r="A378" t="s">
        <v>2875</v>
      </c>
      <c r="B378" s="1">
        <v>45457</v>
      </c>
      <c r="C378" t="s">
        <v>342</v>
      </c>
      <c r="D378" t="s">
        <v>343</v>
      </c>
      <c r="E378" t="s">
        <v>44</v>
      </c>
      <c r="F378" t="s">
        <v>70</v>
      </c>
      <c r="G378" t="s">
        <v>170</v>
      </c>
      <c r="H378">
        <v>4</v>
      </c>
      <c r="I378" s="3">
        <v>14.55</v>
      </c>
      <c r="J378" t="s">
        <v>16</v>
      </c>
      <c r="K378" t="s">
        <v>17</v>
      </c>
      <c r="L378" s="4">
        <f>Table4[[#This Row],[quantity]]*Table4[[#This Row],[unit_price]]</f>
        <v>58.2</v>
      </c>
      <c r="M378">
        <f>COUNTIFS($C$2:$C$3934,Table4[[#This Row],[customer_id]])</f>
        <v>8</v>
      </c>
      <c r="N378" t="str">
        <f>IF(Table4[[#This Row],[customer_order_count]]=1,"New Customer","Repeat Customer")</f>
        <v>Repeat Customer</v>
      </c>
    </row>
    <row r="379" spans="1:14">
      <c r="A379" t="s">
        <v>2636</v>
      </c>
      <c r="B379" s="1">
        <v>45052</v>
      </c>
      <c r="C379" t="s">
        <v>1197</v>
      </c>
      <c r="D379" t="s">
        <v>152</v>
      </c>
      <c r="E379" t="s">
        <v>21</v>
      </c>
      <c r="F379" t="s">
        <v>66</v>
      </c>
      <c r="G379" t="s">
        <v>238</v>
      </c>
      <c r="H379">
        <v>4</v>
      </c>
      <c r="I379" s="3">
        <v>14.57</v>
      </c>
      <c r="J379" t="s">
        <v>255</v>
      </c>
      <c r="K379" t="s">
        <v>30</v>
      </c>
      <c r="L379" s="4">
        <f>Table4[[#This Row],[quantity]]*Table4[[#This Row],[unit_price]]</f>
        <v>58.28</v>
      </c>
      <c r="M379">
        <f>COUNTIFS($C$2:$C$3934,Table4[[#This Row],[customer_id]])</f>
        <v>3</v>
      </c>
      <c r="N379" t="str">
        <f>IF(Table4[[#This Row],[customer_order_count]]=1,"New Customer","Repeat Customer")</f>
        <v>Repeat Customer</v>
      </c>
    </row>
    <row r="380" spans="1:14">
      <c r="A380" t="s">
        <v>4574</v>
      </c>
      <c r="B380" s="1">
        <v>45057</v>
      </c>
      <c r="C380" t="s">
        <v>599</v>
      </c>
      <c r="D380" t="s">
        <v>432</v>
      </c>
      <c r="E380" t="s">
        <v>21</v>
      </c>
      <c r="F380" t="s">
        <v>66</v>
      </c>
      <c r="G380" t="s">
        <v>128</v>
      </c>
      <c r="H380">
        <v>1</v>
      </c>
      <c r="I380" s="3">
        <v>14.62</v>
      </c>
      <c r="J380" t="s">
        <v>85</v>
      </c>
      <c r="K380" t="s">
        <v>17</v>
      </c>
      <c r="L380" s="4">
        <f>Table4[[#This Row],[quantity]]*Table4[[#This Row],[unit_price]]</f>
        <v>14.62</v>
      </c>
      <c r="M380">
        <f>COUNTIFS($C$2:$C$3934,Table4[[#This Row],[customer_id]])</f>
        <v>5</v>
      </c>
      <c r="N380" t="str">
        <f>IF(Table4[[#This Row],[customer_order_count]]=1,"New Customer","Repeat Customer")</f>
        <v>Repeat Customer</v>
      </c>
    </row>
    <row r="381" spans="1:14">
      <c r="A381" t="s">
        <v>2322</v>
      </c>
      <c r="B381" s="1">
        <v>45122</v>
      </c>
      <c r="C381" t="s">
        <v>614</v>
      </c>
      <c r="D381" t="s">
        <v>286</v>
      </c>
      <c r="E381" t="s">
        <v>21</v>
      </c>
      <c r="F381" t="s">
        <v>66</v>
      </c>
      <c r="G381" t="s">
        <v>238</v>
      </c>
      <c r="H381">
        <v>1</v>
      </c>
      <c r="I381" s="3">
        <v>14.64</v>
      </c>
      <c r="J381" t="s">
        <v>16</v>
      </c>
      <c r="K381" t="s">
        <v>35</v>
      </c>
      <c r="L381" s="4">
        <f>Table4[[#This Row],[quantity]]*Table4[[#This Row],[unit_price]]</f>
        <v>14.64</v>
      </c>
      <c r="M381">
        <f>COUNTIFS($C$2:$C$3934,Table4[[#This Row],[customer_id]])</f>
        <v>4</v>
      </c>
      <c r="N381" t="str">
        <f>IF(Table4[[#This Row],[customer_order_count]]=1,"New Customer","Repeat Customer")</f>
        <v>Repeat Customer</v>
      </c>
    </row>
    <row r="382" spans="1:14">
      <c r="A382" t="s">
        <v>4638</v>
      </c>
      <c r="B382" s="1">
        <v>45409</v>
      </c>
      <c r="C382" t="s">
        <v>215</v>
      </c>
      <c r="D382" t="s">
        <v>216</v>
      </c>
      <c r="E382" t="s">
        <v>21</v>
      </c>
      <c r="F382" t="s">
        <v>70</v>
      </c>
      <c r="G382" t="s">
        <v>146</v>
      </c>
      <c r="H382">
        <v>2</v>
      </c>
      <c r="I382" s="3">
        <v>14.65</v>
      </c>
      <c r="J382" t="s">
        <v>16</v>
      </c>
      <c r="K382" t="s">
        <v>30</v>
      </c>
      <c r="L382" s="4">
        <f>Table4[[#This Row],[quantity]]*Table4[[#This Row],[unit_price]]</f>
        <v>29.3</v>
      </c>
      <c r="M382">
        <f>COUNTIFS($C$2:$C$3934,Table4[[#This Row],[customer_id]])</f>
        <v>8</v>
      </c>
      <c r="N382" t="str">
        <f>IF(Table4[[#This Row],[customer_order_count]]=1,"New Customer","Repeat Customer")</f>
        <v>Repeat Customer</v>
      </c>
    </row>
    <row r="383" spans="1:14">
      <c r="A383" t="s">
        <v>3397</v>
      </c>
      <c r="B383" s="1">
        <v>45182</v>
      </c>
      <c r="C383" t="s">
        <v>1948</v>
      </c>
      <c r="D383" t="s">
        <v>237</v>
      </c>
      <c r="E383" t="s">
        <v>21</v>
      </c>
      <c r="F383" t="s">
        <v>22</v>
      </c>
      <c r="G383" t="s">
        <v>23</v>
      </c>
      <c r="H383">
        <v>1</v>
      </c>
      <c r="I383" s="3">
        <v>14.66</v>
      </c>
      <c r="J383" t="s">
        <v>16</v>
      </c>
      <c r="K383" t="s">
        <v>17</v>
      </c>
      <c r="L383" s="4">
        <f>Table4[[#This Row],[quantity]]*Table4[[#This Row],[unit_price]]</f>
        <v>14.66</v>
      </c>
      <c r="M383">
        <f>COUNTIFS($C$2:$C$3934,Table4[[#This Row],[customer_id]])</f>
        <v>4</v>
      </c>
      <c r="N383" t="str">
        <f>IF(Table4[[#This Row],[customer_order_count]]=1,"New Customer","Repeat Customer")</f>
        <v>Repeat Customer</v>
      </c>
    </row>
    <row r="384" spans="1:14">
      <c r="A384" t="s">
        <v>221</v>
      </c>
      <c r="B384" s="1">
        <v>45201</v>
      </c>
      <c r="C384" t="s">
        <v>222</v>
      </c>
      <c r="D384" t="s">
        <v>223</v>
      </c>
      <c r="E384" t="s">
        <v>21</v>
      </c>
      <c r="F384" t="s">
        <v>66</v>
      </c>
      <c r="G384" t="s">
        <v>67</v>
      </c>
      <c r="H384">
        <v>1</v>
      </c>
      <c r="I384" s="3">
        <v>14.66</v>
      </c>
      <c r="J384" t="s">
        <v>16</v>
      </c>
      <c r="K384" t="s">
        <v>35</v>
      </c>
      <c r="L384" s="4">
        <f>Table4[[#This Row],[quantity]]*Table4[[#This Row],[unit_price]]</f>
        <v>14.66</v>
      </c>
      <c r="M384">
        <f>COUNTIFS($C$2:$C$3934,Table4[[#This Row],[customer_id]])</f>
        <v>6</v>
      </c>
      <c r="N384" t="str">
        <f>IF(Table4[[#This Row],[customer_order_count]]=1,"New Customer","Repeat Customer")</f>
        <v>Repeat Customer</v>
      </c>
    </row>
    <row r="385" spans="1:14">
      <c r="A385" t="s">
        <v>4863</v>
      </c>
      <c r="B385" s="1">
        <v>45154</v>
      </c>
      <c r="C385" t="s">
        <v>2331</v>
      </c>
      <c r="D385" t="s">
        <v>165</v>
      </c>
      <c r="E385" t="s">
        <v>21</v>
      </c>
      <c r="F385" t="s">
        <v>66</v>
      </c>
      <c r="G385" t="s">
        <v>238</v>
      </c>
      <c r="H385">
        <v>1</v>
      </c>
      <c r="I385" s="3">
        <v>14.67</v>
      </c>
      <c r="J385" t="s">
        <v>16</v>
      </c>
      <c r="K385" t="s">
        <v>30</v>
      </c>
      <c r="L385" s="4">
        <f>Table4[[#This Row],[quantity]]*Table4[[#This Row],[unit_price]]</f>
        <v>14.67</v>
      </c>
      <c r="M385">
        <f>COUNTIFS($C$2:$C$3934,Table4[[#This Row],[customer_id]])</f>
        <v>5</v>
      </c>
      <c r="N385" t="str">
        <f>IF(Table4[[#This Row],[customer_order_count]]=1,"New Customer","Repeat Customer")</f>
        <v>Repeat Customer</v>
      </c>
    </row>
    <row r="386" spans="1:14">
      <c r="A386" t="s">
        <v>4829</v>
      </c>
      <c r="B386" s="1">
        <v>44942</v>
      </c>
      <c r="C386" t="s">
        <v>1168</v>
      </c>
      <c r="D386" t="s">
        <v>452</v>
      </c>
      <c r="E386" t="s">
        <v>21</v>
      </c>
      <c r="F386" t="s">
        <v>56</v>
      </c>
      <c r="G386" t="s">
        <v>57</v>
      </c>
      <c r="H386">
        <v>1</v>
      </c>
      <c r="I386" s="3">
        <v>14.68</v>
      </c>
      <c r="J386" t="s">
        <v>16</v>
      </c>
      <c r="K386" t="s">
        <v>35</v>
      </c>
      <c r="L386" s="4">
        <f>Table4[[#This Row],[quantity]]*Table4[[#This Row],[unit_price]]</f>
        <v>14.68</v>
      </c>
      <c r="M386">
        <f>COUNTIFS($C$2:$C$3934,Table4[[#This Row],[customer_id]])</f>
        <v>5</v>
      </c>
      <c r="N386" t="str">
        <f>IF(Table4[[#This Row],[customer_order_count]]=1,"New Customer","Repeat Customer")</f>
        <v>Repeat Customer</v>
      </c>
    </row>
    <row r="387" spans="1:14">
      <c r="A387" t="s">
        <v>3143</v>
      </c>
      <c r="B387" s="1">
        <v>45059</v>
      </c>
      <c r="C387" t="s">
        <v>2531</v>
      </c>
      <c r="D387" t="s">
        <v>372</v>
      </c>
      <c r="E387" t="s">
        <v>21</v>
      </c>
      <c r="F387" t="s">
        <v>14</v>
      </c>
      <c r="G387" t="s">
        <v>39</v>
      </c>
      <c r="H387">
        <v>1</v>
      </c>
      <c r="I387" s="3">
        <v>14.69</v>
      </c>
      <c r="J387" t="s">
        <v>16</v>
      </c>
      <c r="K387" t="s">
        <v>35</v>
      </c>
      <c r="L387" s="4">
        <f>Table4[[#This Row],[quantity]]*Table4[[#This Row],[unit_price]]</f>
        <v>14.69</v>
      </c>
      <c r="M387">
        <f>COUNTIFS($C$2:$C$3934,Table4[[#This Row],[customer_id]])</f>
        <v>7</v>
      </c>
      <c r="N387" t="str">
        <f>IF(Table4[[#This Row],[customer_order_count]]=1,"New Customer","Repeat Customer")</f>
        <v>Repeat Customer</v>
      </c>
    </row>
    <row r="388" spans="1:14">
      <c r="A388" t="s">
        <v>1445</v>
      </c>
      <c r="B388" s="1">
        <v>45271</v>
      </c>
      <c r="C388" t="s">
        <v>663</v>
      </c>
      <c r="D388" t="s">
        <v>48</v>
      </c>
      <c r="E388" t="s">
        <v>21</v>
      </c>
      <c r="F388" t="s">
        <v>28</v>
      </c>
      <c r="G388" t="s">
        <v>84</v>
      </c>
      <c r="H388">
        <v>2</v>
      </c>
      <c r="I388" s="3">
        <v>14.7</v>
      </c>
      <c r="J388" t="s">
        <v>16</v>
      </c>
      <c r="K388" t="s">
        <v>17</v>
      </c>
      <c r="L388" s="4">
        <f>Table4[[#This Row],[quantity]]*Table4[[#This Row],[unit_price]]</f>
        <v>29.4</v>
      </c>
      <c r="M388">
        <f>COUNTIFS($C$2:$C$3934,Table4[[#This Row],[customer_id]])</f>
        <v>9</v>
      </c>
      <c r="N388" t="str">
        <f>IF(Table4[[#This Row],[customer_order_count]]=1,"New Customer","Repeat Customer")</f>
        <v>Repeat Customer</v>
      </c>
    </row>
    <row r="389" spans="1:14">
      <c r="A389" t="s">
        <v>5035</v>
      </c>
      <c r="B389" s="1">
        <v>45654</v>
      </c>
      <c r="C389" t="s">
        <v>543</v>
      </c>
      <c r="D389" t="s">
        <v>544</v>
      </c>
      <c r="E389" t="s">
        <v>21</v>
      </c>
      <c r="F389" t="s">
        <v>66</v>
      </c>
      <c r="G389" t="s">
        <v>128</v>
      </c>
      <c r="H389">
        <v>1</v>
      </c>
      <c r="I389" s="3">
        <v>14.72</v>
      </c>
      <c r="J389" t="s">
        <v>16</v>
      </c>
      <c r="K389" t="s">
        <v>40</v>
      </c>
      <c r="L389" s="4">
        <f>Table4[[#This Row],[quantity]]*Table4[[#This Row],[unit_price]]</f>
        <v>14.72</v>
      </c>
      <c r="M389">
        <f>COUNTIFS($C$2:$C$3934,Table4[[#This Row],[customer_id]])</f>
        <v>6</v>
      </c>
      <c r="N389" t="str">
        <f>IF(Table4[[#This Row],[customer_order_count]]=1,"New Customer","Repeat Customer")</f>
        <v>Repeat Customer</v>
      </c>
    </row>
    <row r="390" spans="1:14">
      <c r="A390" t="s">
        <v>344</v>
      </c>
      <c r="B390" s="1">
        <v>45346</v>
      </c>
      <c r="C390" t="s">
        <v>112</v>
      </c>
      <c r="D390" t="s">
        <v>113</v>
      </c>
      <c r="E390" t="s">
        <v>21</v>
      </c>
      <c r="F390" t="s">
        <v>70</v>
      </c>
      <c r="G390" t="s">
        <v>71</v>
      </c>
      <c r="H390">
        <v>1</v>
      </c>
      <c r="I390" s="3">
        <v>14.73</v>
      </c>
      <c r="J390" t="s">
        <v>16</v>
      </c>
      <c r="K390" t="s">
        <v>35</v>
      </c>
      <c r="L390" s="4">
        <f>Table4[[#This Row],[quantity]]*Table4[[#This Row],[unit_price]]</f>
        <v>14.73</v>
      </c>
      <c r="M390">
        <f>COUNTIFS($C$2:$C$3934,Table4[[#This Row],[customer_id]])</f>
        <v>7</v>
      </c>
      <c r="N390" t="str">
        <f>IF(Table4[[#This Row],[customer_order_count]]=1,"New Customer","Repeat Customer")</f>
        <v>Repeat Customer</v>
      </c>
    </row>
    <row r="391" spans="1:14">
      <c r="A391" t="s">
        <v>4750</v>
      </c>
      <c r="B391" s="1">
        <v>45351</v>
      </c>
      <c r="C391" t="s">
        <v>933</v>
      </c>
      <c r="D391" t="s">
        <v>934</v>
      </c>
      <c r="E391" t="s">
        <v>44</v>
      </c>
      <c r="F391" t="s">
        <v>22</v>
      </c>
      <c r="G391" t="s">
        <v>142</v>
      </c>
      <c r="H391">
        <v>1</v>
      </c>
      <c r="I391" s="3">
        <v>14.74</v>
      </c>
      <c r="J391" t="s">
        <v>85</v>
      </c>
      <c r="K391" t="s">
        <v>40</v>
      </c>
      <c r="L391" s="4">
        <f>Table4[[#This Row],[quantity]]*Table4[[#This Row],[unit_price]]</f>
        <v>14.74</v>
      </c>
      <c r="M391">
        <f>COUNTIFS($C$2:$C$3934,Table4[[#This Row],[customer_id]])</f>
        <v>7</v>
      </c>
      <c r="N391" t="str">
        <f>IF(Table4[[#This Row],[customer_order_count]]=1,"New Customer","Repeat Customer")</f>
        <v>Repeat Customer</v>
      </c>
    </row>
    <row r="392" spans="1:14">
      <c r="A392" t="s">
        <v>3136</v>
      </c>
      <c r="B392" s="1">
        <v>45239</v>
      </c>
      <c r="C392" t="s">
        <v>73</v>
      </c>
      <c r="D392" t="s">
        <v>74</v>
      </c>
      <c r="E392" t="s">
        <v>21</v>
      </c>
      <c r="F392" t="s">
        <v>14</v>
      </c>
      <c r="G392" t="s">
        <v>258</v>
      </c>
      <c r="H392">
        <v>1</v>
      </c>
      <c r="I392" s="3">
        <v>14.75</v>
      </c>
      <c r="J392" t="s">
        <v>16</v>
      </c>
      <c r="K392" t="s">
        <v>35</v>
      </c>
      <c r="L392" s="4">
        <f>Table4[[#This Row],[quantity]]*Table4[[#This Row],[unit_price]]</f>
        <v>14.75</v>
      </c>
      <c r="M392">
        <f>COUNTIFS($C$2:$C$3934,Table4[[#This Row],[customer_id]])</f>
        <v>5</v>
      </c>
      <c r="N392" t="str">
        <f>IF(Table4[[#This Row],[customer_order_count]]=1,"New Customer","Repeat Customer")</f>
        <v>Repeat Customer</v>
      </c>
    </row>
    <row r="393" spans="1:14">
      <c r="A393" t="s">
        <v>4026</v>
      </c>
      <c r="B393" s="1">
        <v>45029</v>
      </c>
      <c r="C393" t="s">
        <v>1884</v>
      </c>
      <c r="D393" t="s">
        <v>478</v>
      </c>
      <c r="E393" t="s">
        <v>21</v>
      </c>
      <c r="F393" t="s">
        <v>28</v>
      </c>
      <c r="G393" t="s">
        <v>84</v>
      </c>
      <c r="H393">
        <v>1</v>
      </c>
      <c r="I393" s="3">
        <v>14.75</v>
      </c>
      <c r="J393" t="s">
        <v>16</v>
      </c>
      <c r="K393" t="s">
        <v>17</v>
      </c>
      <c r="L393" s="4">
        <f>Table4[[#This Row],[quantity]]*Table4[[#This Row],[unit_price]]</f>
        <v>14.75</v>
      </c>
      <c r="M393">
        <f>COUNTIFS($C$2:$C$3934,Table4[[#This Row],[customer_id]])</f>
        <v>6</v>
      </c>
      <c r="N393" t="str">
        <f>IF(Table4[[#This Row],[customer_order_count]]=1,"New Customer","Repeat Customer")</f>
        <v>Repeat Customer</v>
      </c>
    </row>
    <row r="394" spans="1:14">
      <c r="A394" t="s">
        <v>4118</v>
      </c>
      <c r="B394" s="1">
        <v>45139</v>
      </c>
      <c r="C394" t="s">
        <v>2144</v>
      </c>
      <c r="D394" t="s">
        <v>27</v>
      </c>
      <c r="E394" t="s">
        <v>21</v>
      </c>
      <c r="F394" t="s">
        <v>28</v>
      </c>
      <c r="G394" t="s">
        <v>45</v>
      </c>
      <c r="H394">
        <v>2</v>
      </c>
      <c r="I394" s="3">
        <v>14.78</v>
      </c>
      <c r="J394" t="s">
        <v>16</v>
      </c>
      <c r="K394" t="s">
        <v>30</v>
      </c>
      <c r="L394" s="4">
        <f>Table4[[#This Row],[quantity]]*Table4[[#This Row],[unit_price]]</f>
        <v>29.56</v>
      </c>
      <c r="M394">
        <f>COUNTIFS($C$2:$C$3934,Table4[[#This Row],[customer_id]])</f>
        <v>10</v>
      </c>
      <c r="N394" t="str">
        <f>IF(Table4[[#This Row],[customer_order_count]]=1,"New Customer","Repeat Customer")</f>
        <v>Repeat Customer</v>
      </c>
    </row>
    <row r="395" spans="1:14">
      <c r="A395" t="s">
        <v>654</v>
      </c>
      <c r="B395" s="1">
        <v>45317</v>
      </c>
      <c r="C395" t="s">
        <v>655</v>
      </c>
      <c r="D395" t="s">
        <v>597</v>
      </c>
      <c r="E395" t="s">
        <v>21</v>
      </c>
      <c r="F395" t="s">
        <v>70</v>
      </c>
      <c r="G395" t="s">
        <v>71</v>
      </c>
      <c r="H395">
        <v>1</v>
      </c>
      <c r="I395" s="3">
        <v>14.79</v>
      </c>
      <c r="J395" t="s">
        <v>16</v>
      </c>
      <c r="K395" t="s">
        <v>30</v>
      </c>
      <c r="L395" s="4">
        <f>Table4[[#This Row],[quantity]]*Table4[[#This Row],[unit_price]]</f>
        <v>14.79</v>
      </c>
      <c r="M395">
        <f>COUNTIFS($C$2:$C$3934,Table4[[#This Row],[customer_id]])</f>
        <v>12</v>
      </c>
      <c r="N395" t="str">
        <f>IF(Table4[[#This Row],[customer_order_count]]=1,"New Customer","Repeat Customer")</f>
        <v>Repeat Customer</v>
      </c>
    </row>
    <row r="396" spans="1:14">
      <c r="A396" t="s">
        <v>2212</v>
      </c>
      <c r="B396" s="1">
        <v>45429</v>
      </c>
      <c r="C396" t="s">
        <v>94</v>
      </c>
      <c r="D396" t="s">
        <v>95</v>
      </c>
      <c r="E396" t="s">
        <v>21</v>
      </c>
      <c r="F396" t="s">
        <v>22</v>
      </c>
      <c r="G396" t="s">
        <v>135</v>
      </c>
      <c r="H396">
        <v>4</v>
      </c>
      <c r="I396" s="3">
        <v>14.81</v>
      </c>
      <c r="J396" t="s">
        <v>16</v>
      </c>
      <c r="K396" t="s">
        <v>40</v>
      </c>
      <c r="L396" s="4">
        <f>Table4[[#This Row],[quantity]]*Table4[[#This Row],[unit_price]]</f>
        <v>59.24</v>
      </c>
      <c r="M396">
        <f>COUNTIFS($C$2:$C$3934,Table4[[#This Row],[customer_id]])</f>
        <v>4</v>
      </c>
      <c r="N396" t="str">
        <f>IF(Table4[[#This Row],[customer_order_count]]=1,"New Customer","Repeat Customer")</f>
        <v>Repeat Customer</v>
      </c>
    </row>
    <row r="397" spans="1:14">
      <c r="A397" t="s">
        <v>4079</v>
      </c>
      <c r="B397" s="1">
        <v>45639</v>
      </c>
      <c r="C397" t="s">
        <v>1102</v>
      </c>
      <c r="D397" t="s">
        <v>1103</v>
      </c>
      <c r="E397" t="s">
        <v>21</v>
      </c>
      <c r="F397" t="s">
        <v>56</v>
      </c>
      <c r="G397" t="s">
        <v>75</v>
      </c>
      <c r="H397">
        <v>2</v>
      </c>
      <c r="I397" s="3">
        <v>14.82</v>
      </c>
      <c r="J397" t="s">
        <v>16</v>
      </c>
      <c r="K397" t="s">
        <v>35</v>
      </c>
      <c r="L397" s="4">
        <f>Table4[[#This Row],[quantity]]*Table4[[#This Row],[unit_price]]</f>
        <v>29.64</v>
      </c>
      <c r="M397">
        <f>COUNTIFS($C$2:$C$3934,Table4[[#This Row],[customer_id]])</f>
        <v>6</v>
      </c>
      <c r="N397" t="str">
        <f>IF(Table4[[#This Row],[customer_order_count]]=1,"New Customer","Repeat Customer")</f>
        <v>Repeat Customer</v>
      </c>
    </row>
    <row r="398" spans="1:14">
      <c r="A398" t="s">
        <v>4318</v>
      </c>
      <c r="B398" s="1">
        <v>45139</v>
      </c>
      <c r="C398" t="s">
        <v>2077</v>
      </c>
      <c r="D398" t="s">
        <v>2078</v>
      </c>
      <c r="E398" t="s">
        <v>21</v>
      </c>
      <c r="F398" t="s">
        <v>28</v>
      </c>
      <c r="G398" t="s">
        <v>84</v>
      </c>
      <c r="H398">
        <v>1</v>
      </c>
      <c r="I398" s="3">
        <v>14.84</v>
      </c>
      <c r="J398" t="s">
        <v>16</v>
      </c>
      <c r="K398" t="s">
        <v>30</v>
      </c>
      <c r="L398" s="4">
        <f>Table4[[#This Row],[quantity]]*Table4[[#This Row],[unit_price]]</f>
        <v>14.84</v>
      </c>
      <c r="M398">
        <f>COUNTIFS($C$2:$C$3934,Table4[[#This Row],[customer_id]])</f>
        <v>3</v>
      </c>
      <c r="N398" t="str">
        <f>IF(Table4[[#This Row],[customer_order_count]]=1,"New Customer","Repeat Customer")</f>
        <v>Repeat Customer</v>
      </c>
    </row>
    <row r="399" spans="1:14">
      <c r="A399" t="s">
        <v>5141</v>
      </c>
      <c r="B399" s="1">
        <v>45183</v>
      </c>
      <c r="C399" t="s">
        <v>1084</v>
      </c>
      <c r="D399" t="s">
        <v>953</v>
      </c>
      <c r="E399" t="s">
        <v>21</v>
      </c>
      <c r="F399" t="s">
        <v>66</v>
      </c>
      <c r="G399" t="s">
        <v>49</v>
      </c>
      <c r="H399">
        <v>1</v>
      </c>
      <c r="I399" s="3">
        <v>14.84</v>
      </c>
      <c r="J399" t="s">
        <v>16</v>
      </c>
      <c r="K399" t="s">
        <v>35</v>
      </c>
      <c r="L399" s="4">
        <f>Table4[[#This Row],[quantity]]*Table4[[#This Row],[unit_price]]</f>
        <v>14.84</v>
      </c>
      <c r="M399">
        <f>COUNTIFS($C$2:$C$3934,Table4[[#This Row],[customer_id]])</f>
        <v>6</v>
      </c>
      <c r="N399" t="str">
        <f>IF(Table4[[#This Row],[customer_order_count]]=1,"New Customer","Repeat Customer")</f>
        <v>Repeat Customer</v>
      </c>
    </row>
    <row r="400" spans="1:14">
      <c r="A400" t="s">
        <v>4005</v>
      </c>
      <c r="B400" s="1">
        <v>45656</v>
      </c>
      <c r="C400" t="s">
        <v>655</v>
      </c>
      <c r="D400" t="s">
        <v>597</v>
      </c>
      <c r="E400" t="s">
        <v>21</v>
      </c>
      <c r="F400" t="s">
        <v>14</v>
      </c>
      <c r="G400" t="s">
        <v>34</v>
      </c>
      <c r="H400">
        <v>2</v>
      </c>
      <c r="I400" s="3">
        <v>14.84</v>
      </c>
      <c r="J400" t="s">
        <v>255</v>
      </c>
      <c r="K400" t="s">
        <v>30</v>
      </c>
      <c r="L400" s="4">
        <f>Table4[[#This Row],[quantity]]*Table4[[#This Row],[unit_price]]</f>
        <v>29.68</v>
      </c>
      <c r="M400">
        <f>COUNTIFS($C$2:$C$3934,Table4[[#This Row],[customer_id]])</f>
        <v>12</v>
      </c>
      <c r="N400" t="str">
        <f>IF(Table4[[#This Row],[customer_order_count]]=1,"New Customer","Repeat Customer")</f>
        <v>Repeat Customer</v>
      </c>
    </row>
    <row r="401" spans="1:14">
      <c r="A401" t="s">
        <v>3048</v>
      </c>
      <c r="B401" s="1">
        <v>45500</v>
      </c>
      <c r="C401" t="s">
        <v>69</v>
      </c>
      <c r="D401" t="s">
        <v>820</v>
      </c>
      <c r="E401" t="s">
        <v>21</v>
      </c>
      <c r="F401" t="s">
        <v>56</v>
      </c>
      <c r="G401" t="s">
        <v>210</v>
      </c>
      <c r="H401">
        <v>1</v>
      </c>
      <c r="I401" s="3">
        <v>14.88</v>
      </c>
      <c r="J401" t="s">
        <v>16</v>
      </c>
      <c r="K401" t="s">
        <v>17</v>
      </c>
      <c r="L401" s="4">
        <f>Table4[[#This Row],[quantity]]*Table4[[#This Row],[unit_price]]</f>
        <v>14.88</v>
      </c>
      <c r="M401">
        <f>COUNTIFS($C$2:$C$3934,Table4[[#This Row],[customer_id]])</f>
        <v>8</v>
      </c>
      <c r="N401" t="str">
        <f>IF(Table4[[#This Row],[customer_order_count]]=1,"New Customer","Repeat Customer")</f>
        <v>Repeat Customer</v>
      </c>
    </row>
    <row r="402" spans="1:14">
      <c r="A402" t="s">
        <v>4978</v>
      </c>
      <c r="B402" s="1">
        <v>45570</v>
      </c>
      <c r="C402" t="s">
        <v>385</v>
      </c>
      <c r="D402" t="s">
        <v>278</v>
      </c>
      <c r="E402" t="s">
        <v>21</v>
      </c>
      <c r="F402" t="s">
        <v>66</v>
      </c>
      <c r="G402" t="s">
        <v>128</v>
      </c>
      <c r="H402">
        <v>1</v>
      </c>
      <c r="I402" s="3">
        <v>14.99</v>
      </c>
      <c r="J402" t="s">
        <v>255</v>
      </c>
      <c r="K402" t="s">
        <v>17</v>
      </c>
      <c r="L402" s="4">
        <f>Table4[[#This Row],[quantity]]*Table4[[#This Row],[unit_price]]</f>
        <v>14.99</v>
      </c>
      <c r="M402">
        <f>COUNTIFS($C$2:$C$3934,Table4[[#This Row],[customer_id]])</f>
        <v>6</v>
      </c>
      <c r="N402" t="str">
        <f>IF(Table4[[#This Row],[customer_order_count]]=1,"New Customer","Repeat Customer")</f>
        <v>Repeat Customer</v>
      </c>
    </row>
    <row r="403" spans="1:14">
      <c r="A403" t="s">
        <v>4061</v>
      </c>
      <c r="B403" s="1">
        <v>45202</v>
      </c>
      <c r="C403" t="s">
        <v>1152</v>
      </c>
      <c r="D403" t="s">
        <v>1153</v>
      </c>
      <c r="E403" t="s">
        <v>21</v>
      </c>
      <c r="F403" t="s">
        <v>28</v>
      </c>
      <c r="G403" t="s">
        <v>84</v>
      </c>
      <c r="H403">
        <v>5</v>
      </c>
      <c r="I403" s="3">
        <v>15</v>
      </c>
      <c r="J403" t="s">
        <v>85</v>
      </c>
      <c r="K403" t="s">
        <v>17</v>
      </c>
      <c r="L403" s="4">
        <f>Table4[[#This Row],[quantity]]*Table4[[#This Row],[unit_price]]</f>
        <v>75</v>
      </c>
      <c r="M403">
        <f>COUNTIFS($C$2:$C$3934,Table4[[#This Row],[customer_id]])</f>
        <v>4</v>
      </c>
      <c r="N403" t="str">
        <f>IF(Table4[[#This Row],[customer_order_count]]=1,"New Customer","Repeat Customer")</f>
        <v>Repeat Customer</v>
      </c>
    </row>
    <row r="404" spans="1:14">
      <c r="A404" t="s">
        <v>3169</v>
      </c>
      <c r="B404" s="1">
        <v>45657</v>
      </c>
      <c r="C404" t="s">
        <v>3170</v>
      </c>
      <c r="D404" t="s">
        <v>3171</v>
      </c>
      <c r="E404" t="s">
        <v>21</v>
      </c>
      <c r="F404" t="s">
        <v>66</v>
      </c>
      <c r="G404" t="s">
        <v>67</v>
      </c>
      <c r="H404">
        <v>1</v>
      </c>
      <c r="I404" s="3">
        <v>15.01</v>
      </c>
      <c r="J404" t="s">
        <v>16</v>
      </c>
      <c r="K404" t="s">
        <v>30</v>
      </c>
      <c r="L404" s="4">
        <f>Table4[[#This Row],[quantity]]*Table4[[#This Row],[unit_price]]</f>
        <v>15.01</v>
      </c>
      <c r="M404">
        <f>COUNTIFS($C$2:$C$3934,Table4[[#This Row],[customer_id]])</f>
        <v>2</v>
      </c>
      <c r="N404" t="str">
        <f>IF(Table4[[#This Row],[customer_order_count]]=1,"New Customer","Repeat Customer")</f>
        <v>Repeat Customer</v>
      </c>
    </row>
    <row r="405" spans="1:14">
      <c r="A405" t="s">
        <v>3634</v>
      </c>
      <c r="B405" s="1">
        <v>45535</v>
      </c>
      <c r="C405" t="s">
        <v>1884</v>
      </c>
      <c r="D405" t="s">
        <v>478</v>
      </c>
      <c r="E405" t="s">
        <v>21</v>
      </c>
      <c r="F405" t="s">
        <v>66</v>
      </c>
      <c r="G405" t="s">
        <v>238</v>
      </c>
      <c r="H405">
        <v>5</v>
      </c>
      <c r="I405" s="3">
        <v>15.01</v>
      </c>
      <c r="J405" t="s">
        <v>16</v>
      </c>
      <c r="K405" t="s">
        <v>17</v>
      </c>
      <c r="L405" s="4">
        <f>Table4[[#This Row],[quantity]]*Table4[[#This Row],[unit_price]]</f>
        <v>75.05</v>
      </c>
      <c r="M405">
        <f>COUNTIFS($C$2:$C$3934,Table4[[#This Row],[customer_id]])</f>
        <v>6</v>
      </c>
      <c r="N405" t="str">
        <f>IF(Table4[[#This Row],[customer_order_count]]=1,"New Customer","Repeat Customer")</f>
        <v>Repeat Customer</v>
      </c>
    </row>
    <row r="406" spans="1:14">
      <c r="A406" t="s">
        <v>5090</v>
      </c>
      <c r="B406" s="1">
        <v>44947</v>
      </c>
      <c r="C406" t="s">
        <v>663</v>
      </c>
      <c r="D406" t="s">
        <v>48</v>
      </c>
      <c r="E406" t="s">
        <v>21</v>
      </c>
      <c r="F406" t="s">
        <v>56</v>
      </c>
      <c r="G406" t="s">
        <v>118</v>
      </c>
      <c r="H406">
        <v>2</v>
      </c>
      <c r="I406" s="3">
        <v>15.04</v>
      </c>
      <c r="J406" t="s">
        <v>16</v>
      </c>
      <c r="K406" t="s">
        <v>40</v>
      </c>
      <c r="L406" s="4">
        <f>Table4[[#This Row],[quantity]]*Table4[[#This Row],[unit_price]]</f>
        <v>30.08</v>
      </c>
      <c r="M406">
        <f>COUNTIFS($C$2:$C$3934,Table4[[#This Row],[customer_id]])</f>
        <v>9</v>
      </c>
      <c r="N406" t="str">
        <f>IF(Table4[[#This Row],[customer_order_count]]=1,"New Customer","Repeat Customer")</f>
        <v>Repeat Customer</v>
      </c>
    </row>
    <row r="407" spans="1:14">
      <c r="A407" t="s">
        <v>2348</v>
      </c>
      <c r="B407" s="1">
        <v>45374</v>
      </c>
      <c r="C407" t="s">
        <v>199</v>
      </c>
      <c r="D407" t="s">
        <v>1414</v>
      </c>
      <c r="E407" t="s">
        <v>21</v>
      </c>
      <c r="F407" t="s">
        <v>70</v>
      </c>
      <c r="G407" t="s">
        <v>337</v>
      </c>
      <c r="H407">
        <v>1</v>
      </c>
      <c r="I407" s="3">
        <v>15.05</v>
      </c>
      <c r="J407" t="s">
        <v>16</v>
      </c>
      <c r="K407" t="s">
        <v>30</v>
      </c>
      <c r="L407" s="4">
        <f>Table4[[#This Row],[quantity]]*Table4[[#This Row],[unit_price]]</f>
        <v>15.05</v>
      </c>
      <c r="M407">
        <f>COUNTIFS($C$2:$C$3934,Table4[[#This Row],[customer_id]])</f>
        <v>5</v>
      </c>
      <c r="N407" t="str">
        <f>IF(Table4[[#This Row],[customer_order_count]]=1,"New Customer","Repeat Customer")</f>
        <v>Repeat Customer</v>
      </c>
    </row>
    <row r="408" spans="1:14">
      <c r="A408" t="s">
        <v>4784</v>
      </c>
      <c r="B408" s="1">
        <v>45355</v>
      </c>
      <c r="C408" t="s">
        <v>937</v>
      </c>
      <c r="D408" t="s">
        <v>566</v>
      </c>
      <c r="E408" t="s">
        <v>21</v>
      </c>
      <c r="F408" t="s">
        <v>56</v>
      </c>
      <c r="G408" t="s">
        <v>254</v>
      </c>
      <c r="H408">
        <v>1</v>
      </c>
      <c r="I408" s="3">
        <v>15.05</v>
      </c>
      <c r="J408" t="s">
        <v>16</v>
      </c>
      <c r="K408" t="s">
        <v>35</v>
      </c>
      <c r="L408" s="4">
        <f>Table4[[#This Row],[quantity]]*Table4[[#This Row],[unit_price]]</f>
        <v>15.05</v>
      </c>
      <c r="M408">
        <f>COUNTIFS($C$2:$C$3934,Table4[[#This Row],[customer_id]])</f>
        <v>7</v>
      </c>
      <c r="N408" t="str">
        <f>IF(Table4[[#This Row],[customer_order_count]]=1,"New Customer","Repeat Customer")</f>
        <v>Repeat Customer</v>
      </c>
    </row>
    <row r="409" spans="1:14">
      <c r="A409" t="s">
        <v>267</v>
      </c>
      <c r="B409" s="1">
        <v>45272</v>
      </c>
      <c r="C409" t="s">
        <v>268</v>
      </c>
      <c r="D409" t="s">
        <v>269</v>
      </c>
      <c r="E409" t="s">
        <v>21</v>
      </c>
      <c r="F409" t="s">
        <v>14</v>
      </c>
      <c r="G409" t="s">
        <v>258</v>
      </c>
      <c r="H409">
        <v>1</v>
      </c>
      <c r="I409" s="3">
        <v>15.05</v>
      </c>
      <c r="J409" t="s">
        <v>16</v>
      </c>
      <c r="K409" t="s">
        <v>35</v>
      </c>
      <c r="L409" s="4">
        <f>Table4[[#This Row],[quantity]]*Table4[[#This Row],[unit_price]]</f>
        <v>15.05</v>
      </c>
      <c r="M409">
        <f>COUNTIFS($C$2:$C$3934,Table4[[#This Row],[customer_id]])</f>
        <v>4</v>
      </c>
      <c r="N409" t="str">
        <f>IF(Table4[[#This Row],[customer_order_count]]=1,"New Customer","Repeat Customer")</f>
        <v>Repeat Customer</v>
      </c>
    </row>
    <row r="410" spans="1:14">
      <c r="A410" t="s">
        <v>3556</v>
      </c>
      <c r="B410" s="1">
        <v>45078</v>
      </c>
      <c r="C410" t="s">
        <v>1717</v>
      </c>
      <c r="D410" t="s">
        <v>573</v>
      </c>
      <c r="E410" t="s">
        <v>21</v>
      </c>
      <c r="F410" t="s">
        <v>70</v>
      </c>
      <c r="G410" t="s">
        <v>170</v>
      </c>
      <c r="H410">
        <v>1</v>
      </c>
      <c r="I410" s="3">
        <v>15.06</v>
      </c>
      <c r="J410" t="s">
        <v>16</v>
      </c>
      <c r="K410" t="s">
        <v>40</v>
      </c>
      <c r="L410" s="4">
        <f>Table4[[#This Row],[quantity]]*Table4[[#This Row],[unit_price]]</f>
        <v>15.06</v>
      </c>
      <c r="M410">
        <f>COUNTIFS($C$2:$C$3934,Table4[[#This Row],[customer_id]])</f>
        <v>7</v>
      </c>
      <c r="N410" t="str">
        <f>IF(Table4[[#This Row],[customer_order_count]]=1,"New Customer","Repeat Customer")</f>
        <v>Repeat Customer</v>
      </c>
    </row>
    <row r="411" spans="1:14">
      <c r="A411" t="s">
        <v>3953</v>
      </c>
      <c r="B411" s="1">
        <v>45259</v>
      </c>
      <c r="C411" t="s">
        <v>587</v>
      </c>
      <c r="D411" t="s">
        <v>475</v>
      </c>
      <c r="E411" t="s">
        <v>21</v>
      </c>
      <c r="F411" t="s">
        <v>66</v>
      </c>
      <c r="G411" t="s">
        <v>238</v>
      </c>
      <c r="H411">
        <v>2</v>
      </c>
      <c r="I411" s="3">
        <v>15.06</v>
      </c>
      <c r="J411" t="s">
        <v>16</v>
      </c>
      <c r="K411" t="s">
        <v>35</v>
      </c>
      <c r="L411" s="4">
        <f>Table4[[#This Row],[quantity]]*Table4[[#This Row],[unit_price]]</f>
        <v>30.12</v>
      </c>
      <c r="M411">
        <f>COUNTIFS($C$2:$C$3934,Table4[[#This Row],[customer_id]])</f>
        <v>6</v>
      </c>
      <c r="N411" t="str">
        <f>IF(Table4[[#This Row],[customer_order_count]]=1,"New Customer","Repeat Customer")</f>
        <v>Repeat Customer</v>
      </c>
    </row>
    <row r="412" spans="1:14">
      <c r="A412" t="s">
        <v>3144</v>
      </c>
      <c r="B412" s="1">
        <v>45381</v>
      </c>
      <c r="C412" t="s">
        <v>850</v>
      </c>
      <c r="D412" t="s">
        <v>851</v>
      </c>
      <c r="E412" t="s">
        <v>21</v>
      </c>
      <c r="F412" t="s">
        <v>22</v>
      </c>
      <c r="G412" t="s">
        <v>162</v>
      </c>
      <c r="H412">
        <v>1</v>
      </c>
      <c r="I412" s="3">
        <v>15.07</v>
      </c>
      <c r="J412" t="s">
        <v>16</v>
      </c>
      <c r="K412" t="s">
        <v>30</v>
      </c>
      <c r="L412" s="4">
        <f>Table4[[#This Row],[quantity]]*Table4[[#This Row],[unit_price]]</f>
        <v>15.07</v>
      </c>
      <c r="M412">
        <f>COUNTIFS($C$2:$C$3934,Table4[[#This Row],[customer_id]])</f>
        <v>9</v>
      </c>
      <c r="N412" t="str">
        <f>IF(Table4[[#This Row],[customer_order_count]]=1,"New Customer","Repeat Customer")</f>
        <v>Repeat Customer</v>
      </c>
    </row>
    <row r="413" spans="1:14">
      <c r="A413" t="s">
        <v>3960</v>
      </c>
      <c r="B413" s="1">
        <v>44969</v>
      </c>
      <c r="C413" t="s">
        <v>3364</v>
      </c>
      <c r="D413" t="s">
        <v>1832</v>
      </c>
      <c r="E413" t="s">
        <v>21</v>
      </c>
      <c r="F413" t="s">
        <v>28</v>
      </c>
      <c r="G413" t="s">
        <v>29</v>
      </c>
      <c r="H413">
        <v>2</v>
      </c>
      <c r="I413" s="3">
        <v>15.09</v>
      </c>
      <c r="J413" t="s">
        <v>255</v>
      </c>
      <c r="K413" t="s">
        <v>17</v>
      </c>
      <c r="L413" s="4">
        <f>Table4[[#This Row],[quantity]]*Table4[[#This Row],[unit_price]]</f>
        <v>30.18</v>
      </c>
      <c r="M413">
        <f>COUNTIFS($C$2:$C$3934,Table4[[#This Row],[customer_id]])</f>
        <v>3</v>
      </c>
      <c r="N413" t="str">
        <f>IF(Table4[[#This Row],[customer_order_count]]=1,"New Customer","Repeat Customer")</f>
        <v>Repeat Customer</v>
      </c>
    </row>
    <row r="414" spans="1:14">
      <c r="A414" t="s">
        <v>1415</v>
      </c>
      <c r="B414" s="1">
        <v>45211</v>
      </c>
      <c r="C414" t="s">
        <v>446</v>
      </c>
      <c r="D414" t="s">
        <v>117</v>
      </c>
      <c r="E414" t="s">
        <v>44</v>
      </c>
      <c r="F414" t="s">
        <v>70</v>
      </c>
      <c r="G414" t="s">
        <v>71</v>
      </c>
      <c r="H414">
        <v>1</v>
      </c>
      <c r="I414" s="3">
        <v>15.09</v>
      </c>
      <c r="J414" t="s">
        <v>16</v>
      </c>
      <c r="K414" t="s">
        <v>30</v>
      </c>
      <c r="L414" s="4">
        <f>Table4[[#This Row],[quantity]]*Table4[[#This Row],[unit_price]]</f>
        <v>15.09</v>
      </c>
      <c r="M414">
        <f>COUNTIFS($C$2:$C$3934,Table4[[#This Row],[customer_id]])</f>
        <v>3</v>
      </c>
      <c r="N414" t="str">
        <f>IF(Table4[[#This Row],[customer_order_count]]=1,"New Customer","Repeat Customer")</f>
        <v>Repeat Customer</v>
      </c>
    </row>
    <row r="415" spans="1:14">
      <c r="A415" t="s">
        <v>4873</v>
      </c>
      <c r="B415" s="1">
        <v>45603</v>
      </c>
      <c r="C415" t="s">
        <v>671</v>
      </c>
      <c r="D415" t="s">
        <v>672</v>
      </c>
      <c r="E415" t="s">
        <v>61</v>
      </c>
      <c r="F415" t="s">
        <v>28</v>
      </c>
      <c r="G415" t="s">
        <v>139</v>
      </c>
      <c r="H415">
        <v>1</v>
      </c>
      <c r="I415" s="3">
        <v>15.11</v>
      </c>
      <c r="J415" t="s">
        <v>16</v>
      </c>
      <c r="K415" t="s">
        <v>17</v>
      </c>
      <c r="L415" s="4">
        <f>Table4[[#This Row],[quantity]]*Table4[[#This Row],[unit_price]]</f>
        <v>15.11</v>
      </c>
      <c r="M415">
        <f>COUNTIFS($C$2:$C$3934,Table4[[#This Row],[customer_id]])</f>
        <v>4</v>
      </c>
      <c r="N415" t="str">
        <f>IF(Table4[[#This Row],[customer_order_count]]=1,"New Customer","Repeat Customer")</f>
        <v>Repeat Customer</v>
      </c>
    </row>
    <row r="416" spans="1:14">
      <c r="A416" t="s">
        <v>2615</v>
      </c>
      <c r="B416" s="1">
        <v>45435</v>
      </c>
      <c r="C416" t="s">
        <v>1516</v>
      </c>
      <c r="D416" t="s">
        <v>1517</v>
      </c>
      <c r="E416" t="s">
        <v>21</v>
      </c>
      <c r="F416" t="s">
        <v>66</v>
      </c>
      <c r="G416" t="s">
        <v>128</v>
      </c>
      <c r="H416">
        <v>1</v>
      </c>
      <c r="I416" s="3">
        <v>15.12</v>
      </c>
      <c r="J416" t="s">
        <v>255</v>
      </c>
      <c r="K416" t="s">
        <v>30</v>
      </c>
      <c r="L416" s="4">
        <f>Table4[[#This Row],[quantity]]*Table4[[#This Row],[unit_price]]</f>
        <v>15.12</v>
      </c>
      <c r="M416">
        <f>COUNTIFS($C$2:$C$3934,Table4[[#This Row],[customer_id]])</f>
        <v>6</v>
      </c>
      <c r="N416" t="str">
        <f>IF(Table4[[#This Row],[customer_order_count]]=1,"New Customer","Repeat Customer")</f>
        <v>Repeat Customer</v>
      </c>
    </row>
    <row r="417" spans="1:14">
      <c r="A417" t="s">
        <v>588</v>
      </c>
      <c r="B417" s="1">
        <v>45558</v>
      </c>
      <c r="C417" t="s">
        <v>589</v>
      </c>
      <c r="D417" t="s">
        <v>406</v>
      </c>
      <c r="E417" t="s">
        <v>21</v>
      </c>
      <c r="F417" t="s">
        <v>14</v>
      </c>
      <c r="G417" t="s">
        <v>62</v>
      </c>
      <c r="H417">
        <v>1</v>
      </c>
      <c r="I417" s="3">
        <v>15.13</v>
      </c>
      <c r="J417" t="s">
        <v>16</v>
      </c>
      <c r="K417" t="s">
        <v>35</v>
      </c>
      <c r="L417" s="4">
        <f>Table4[[#This Row],[quantity]]*Table4[[#This Row],[unit_price]]</f>
        <v>15.13</v>
      </c>
      <c r="M417">
        <f>COUNTIFS($C$2:$C$3934,Table4[[#This Row],[customer_id]])</f>
        <v>9</v>
      </c>
      <c r="N417" t="str">
        <f>IF(Table4[[#This Row],[customer_order_count]]=1,"New Customer","Repeat Customer")</f>
        <v>Repeat Customer</v>
      </c>
    </row>
    <row r="418" spans="1:14">
      <c r="A418" t="s">
        <v>5158</v>
      </c>
      <c r="B418" s="1">
        <v>45077</v>
      </c>
      <c r="C418" t="s">
        <v>1930</v>
      </c>
      <c r="D418" t="s">
        <v>525</v>
      </c>
      <c r="E418" t="s">
        <v>21</v>
      </c>
      <c r="F418" t="s">
        <v>22</v>
      </c>
      <c r="G418" t="s">
        <v>135</v>
      </c>
      <c r="H418">
        <v>2</v>
      </c>
      <c r="I418" s="3">
        <v>15.14</v>
      </c>
      <c r="J418" t="s">
        <v>16</v>
      </c>
      <c r="K418" t="s">
        <v>17</v>
      </c>
      <c r="L418" s="4">
        <f>Table4[[#This Row],[quantity]]*Table4[[#This Row],[unit_price]]</f>
        <v>30.28</v>
      </c>
      <c r="M418">
        <f>COUNTIFS($C$2:$C$3934,Table4[[#This Row],[customer_id]])</f>
        <v>3</v>
      </c>
      <c r="N418" t="str">
        <f>IF(Table4[[#This Row],[customer_order_count]]=1,"New Customer","Repeat Customer")</f>
        <v>Repeat Customer</v>
      </c>
    </row>
    <row r="419" spans="1:14">
      <c r="A419" t="s">
        <v>1332</v>
      </c>
      <c r="B419" s="1">
        <v>45181</v>
      </c>
      <c r="C419" t="s">
        <v>958</v>
      </c>
      <c r="D419" t="s">
        <v>959</v>
      </c>
      <c r="E419" t="s">
        <v>21</v>
      </c>
      <c r="F419" t="s">
        <v>66</v>
      </c>
      <c r="G419" t="s">
        <v>238</v>
      </c>
      <c r="H419">
        <v>2</v>
      </c>
      <c r="I419" s="3">
        <v>15.14</v>
      </c>
      <c r="J419" t="s">
        <v>24</v>
      </c>
      <c r="K419" t="s">
        <v>40</v>
      </c>
      <c r="L419" s="4">
        <f>Table4[[#This Row],[quantity]]*Table4[[#This Row],[unit_price]]</f>
        <v>30.28</v>
      </c>
      <c r="M419">
        <f>COUNTIFS($C$2:$C$3934,Table4[[#This Row],[customer_id]])</f>
        <v>5</v>
      </c>
      <c r="N419" t="str">
        <f>IF(Table4[[#This Row],[customer_order_count]]=1,"New Customer","Repeat Customer")</f>
        <v>Repeat Customer</v>
      </c>
    </row>
    <row r="420" spans="1:14">
      <c r="A420" t="s">
        <v>4224</v>
      </c>
      <c r="B420" s="1">
        <v>45471</v>
      </c>
      <c r="C420" t="s">
        <v>501</v>
      </c>
      <c r="D420" t="s">
        <v>502</v>
      </c>
      <c r="E420" t="s">
        <v>21</v>
      </c>
      <c r="F420" t="s">
        <v>56</v>
      </c>
      <c r="G420" t="s">
        <v>75</v>
      </c>
      <c r="H420">
        <v>1</v>
      </c>
      <c r="I420" s="3">
        <v>15.16</v>
      </c>
      <c r="J420" t="s">
        <v>16</v>
      </c>
      <c r="K420" t="s">
        <v>35</v>
      </c>
      <c r="L420" s="4">
        <f>Table4[[#This Row],[quantity]]*Table4[[#This Row],[unit_price]]</f>
        <v>15.16</v>
      </c>
      <c r="M420">
        <f>COUNTIFS($C$2:$C$3934,Table4[[#This Row],[customer_id]])</f>
        <v>6</v>
      </c>
      <c r="N420" t="str">
        <f>IF(Table4[[#This Row],[customer_order_count]]=1,"New Customer","Repeat Customer")</f>
        <v>Repeat Customer</v>
      </c>
    </row>
    <row r="421" spans="1:14">
      <c r="A421" t="s">
        <v>4116</v>
      </c>
      <c r="B421" s="1">
        <v>45565</v>
      </c>
      <c r="C421" t="s">
        <v>653</v>
      </c>
      <c r="D421" t="s">
        <v>117</v>
      </c>
      <c r="E421" t="s">
        <v>21</v>
      </c>
      <c r="F421" t="s">
        <v>14</v>
      </c>
      <c r="G421" t="s">
        <v>39</v>
      </c>
      <c r="H421">
        <v>1</v>
      </c>
      <c r="I421" s="3">
        <v>15.22</v>
      </c>
      <c r="J421" t="s">
        <v>85</v>
      </c>
      <c r="K421" t="s">
        <v>17</v>
      </c>
      <c r="L421" s="4">
        <f>Table4[[#This Row],[quantity]]*Table4[[#This Row],[unit_price]]</f>
        <v>15.22</v>
      </c>
      <c r="M421">
        <f>COUNTIFS($C$2:$C$3934,Table4[[#This Row],[customer_id]])</f>
        <v>6</v>
      </c>
      <c r="N421" t="str">
        <f>IF(Table4[[#This Row],[customer_order_count]]=1,"New Customer","Repeat Customer")</f>
        <v>Repeat Customer</v>
      </c>
    </row>
    <row r="422" spans="1:14">
      <c r="A422" t="s">
        <v>3115</v>
      </c>
      <c r="B422" s="1">
        <v>45075</v>
      </c>
      <c r="C422" t="s">
        <v>1452</v>
      </c>
      <c r="D422" t="s">
        <v>1453</v>
      </c>
      <c r="E422" t="s">
        <v>21</v>
      </c>
      <c r="F422" t="s">
        <v>56</v>
      </c>
      <c r="G422" t="s">
        <v>422</v>
      </c>
      <c r="H422">
        <v>1</v>
      </c>
      <c r="I422" s="3">
        <v>15.22</v>
      </c>
      <c r="J422" t="s">
        <v>255</v>
      </c>
      <c r="K422" t="s">
        <v>17</v>
      </c>
      <c r="L422" s="4">
        <f>Table4[[#This Row],[quantity]]*Table4[[#This Row],[unit_price]]</f>
        <v>15.22</v>
      </c>
      <c r="M422">
        <f>COUNTIFS($C$2:$C$3934,Table4[[#This Row],[customer_id]])</f>
        <v>7</v>
      </c>
      <c r="N422" t="str">
        <f>IF(Table4[[#This Row],[customer_order_count]]=1,"New Customer","Repeat Customer")</f>
        <v>Repeat Customer</v>
      </c>
    </row>
    <row r="423" spans="1:14">
      <c r="A423" t="s">
        <v>595</v>
      </c>
      <c r="B423" s="1">
        <v>45095</v>
      </c>
      <c r="C423" t="s">
        <v>596</v>
      </c>
      <c r="D423" t="s">
        <v>597</v>
      </c>
      <c r="E423" t="s">
        <v>21</v>
      </c>
      <c r="F423" t="s">
        <v>66</v>
      </c>
      <c r="G423" t="s">
        <v>67</v>
      </c>
      <c r="H423">
        <v>1</v>
      </c>
      <c r="I423" s="3">
        <v>15.22</v>
      </c>
      <c r="J423" t="s">
        <v>255</v>
      </c>
      <c r="K423" t="s">
        <v>40</v>
      </c>
      <c r="L423" s="4">
        <f>Table4[[#This Row],[quantity]]*Table4[[#This Row],[unit_price]]</f>
        <v>15.22</v>
      </c>
      <c r="M423">
        <f>COUNTIFS($C$2:$C$3934,Table4[[#This Row],[customer_id]])</f>
        <v>8</v>
      </c>
      <c r="N423" t="str">
        <f>IF(Table4[[#This Row],[customer_order_count]]=1,"New Customer","Repeat Customer")</f>
        <v>Repeat Customer</v>
      </c>
    </row>
    <row r="424" spans="1:14">
      <c r="A424" t="s">
        <v>2844</v>
      </c>
      <c r="B424" s="1">
        <v>45572</v>
      </c>
      <c r="C424" t="s">
        <v>1118</v>
      </c>
      <c r="D424" t="s">
        <v>881</v>
      </c>
      <c r="E424" t="s">
        <v>44</v>
      </c>
      <c r="F424" t="s">
        <v>28</v>
      </c>
      <c r="G424" t="s">
        <v>114</v>
      </c>
      <c r="H424">
        <v>1</v>
      </c>
      <c r="I424" s="3">
        <v>15.25</v>
      </c>
      <c r="J424" t="s">
        <v>16</v>
      </c>
      <c r="K424" t="s">
        <v>40</v>
      </c>
      <c r="L424" s="4">
        <f>Table4[[#This Row],[quantity]]*Table4[[#This Row],[unit_price]]</f>
        <v>15.25</v>
      </c>
      <c r="M424">
        <f>COUNTIFS($C$2:$C$3934,Table4[[#This Row],[customer_id]])</f>
        <v>6</v>
      </c>
      <c r="N424" t="str">
        <f>IF(Table4[[#This Row],[customer_order_count]]=1,"New Customer","Repeat Customer")</f>
        <v>Repeat Customer</v>
      </c>
    </row>
    <row r="425" spans="1:14">
      <c r="A425" t="s">
        <v>5053</v>
      </c>
      <c r="B425" s="1">
        <v>44960</v>
      </c>
      <c r="C425" t="s">
        <v>2347</v>
      </c>
      <c r="D425" t="s">
        <v>1036</v>
      </c>
      <c r="E425" t="s">
        <v>21</v>
      </c>
      <c r="F425" t="s">
        <v>56</v>
      </c>
      <c r="G425" t="s">
        <v>75</v>
      </c>
      <c r="H425">
        <v>1</v>
      </c>
      <c r="I425" s="3">
        <v>15.26</v>
      </c>
      <c r="J425" t="s">
        <v>16</v>
      </c>
      <c r="K425" t="s">
        <v>17</v>
      </c>
      <c r="L425" s="4">
        <f>Table4[[#This Row],[quantity]]*Table4[[#This Row],[unit_price]]</f>
        <v>15.26</v>
      </c>
      <c r="M425">
        <f>COUNTIFS($C$2:$C$3934,Table4[[#This Row],[customer_id]])</f>
        <v>7</v>
      </c>
      <c r="N425" t="str">
        <f>IF(Table4[[#This Row],[customer_order_count]]=1,"New Customer","Repeat Customer")</f>
        <v>Repeat Customer</v>
      </c>
    </row>
    <row r="426" spans="1:14">
      <c r="A426" t="s">
        <v>2628</v>
      </c>
      <c r="B426" s="1">
        <v>45055</v>
      </c>
      <c r="C426" t="s">
        <v>946</v>
      </c>
      <c r="D426" t="s">
        <v>947</v>
      </c>
      <c r="E426" t="s">
        <v>21</v>
      </c>
      <c r="F426" t="s">
        <v>66</v>
      </c>
      <c r="G426" t="s">
        <v>238</v>
      </c>
      <c r="H426">
        <v>1</v>
      </c>
      <c r="I426" s="3">
        <v>15.29</v>
      </c>
      <c r="J426" t="s">
        <v>85</v>
      </c>
      <c r="K426" t="s">
        <v>30</v>
      </c>
      <c r="L426" s="4">
        <f>Table4[[#This Row],[quantity]]*Table4[[#This Row],[unit_price]]</f>
        <v>15.29</v>
      </c>
      <c r="M426">
        <f>COUNTIFS($C$2:$C$3934,Table4[[#This Row],[customer_id]])</f>
        <v>4</v>
      </c>
      <c r="N426" t="str">
        <f>IF(Table4[[#This Row],[customer_order_count]]=1,"New Customer","Repeat Customer")</f>
        <v>Repeat Customer</v>
      </c>
    </row>
    <row r="427" spans="1:14">
      <c r="A427" t="s">
        <v>1875</v>
      </c>
      <c r="B427" s="1">
        <v>45047</v>
      </c>
      <c r="C427" t="s">
        <v>1146</v>
      </c>
      <c r="D427" t="s">
        <v>347</v>
      </c>
      <c r="E427" t="s">
        <v>21</v>
      </c>
      <c r="F427" t="s">
        <v>66</v>
      </c>
      <c r="G427" t="s">
        <v>128</v>
      </c>
      <c r="H427">
        <v>2</v>
      </c>
      <c r="I427" s="3">
        <v>15.32</v>
      </c>
      <c r="J427" t="s">
        <v>16</v>
      </c>
      <c r="K427" t="s">
        <v>40</v>
      </c>
      <c r="L427" s="4">
        <f>Table4[[#This Row],[quantity]]*Table4[[#This Row],[unit_price]]</f>
        <v>30.64</v>
      </c>
      <c r="M427">
        <f>COUNTIFS($C$2:$C$3934,Table4[[#This Row],[customer_id]])</f>
        <v>7</v>
      </c>
      <c r="N427" t="str">
        <f>IF(Table4[[#This Row],[customer_order_count]]=1,"New Customer","Repeat Customer")</f>
        <v>Repeat Customer</v>
      </c>
    </row>
    <row r="428" spans="1:14">
      <c r="A428" t="s">
        <v>4509</v>
      </c>
      <c r="B428" s="1">
        <v>45240</v>
      </c>
      <c r="C428" t="s">
        <v>2435</v>
      </c>
      <c r="D428" t="s">
        <v>758</v>
      </c>
      <c r="E428" t="s">
        <v>21</v>
      </c>
      <c r="F428" t="s">
        <v>66</v>
      </c>
      <c r="G428" t="s">
        <v>128</v>
      </c>
      <c r="H428">
        <v>2</v>
      </c>
      <c r="I428" s="3">
        <v>15.33</v>
      </c>
      <c r="J428" t="s">
        <v>16</v>
      </c>
      <c r="K428" t="s">
        <v>30</v>
      </c>
      <c r="L428" s="4">
        <f>Table4[[#This Row],[quantity]]*Table4[[#This Row],[unit_price]]</f>
        <v>30.66</v>
      </c>
      <c r="M428">
        <f>COUNTIFS($C$2:$C$3934,Table4[[#This Row],[customer_id]])</f>
        <v>5</v>
      </c>
      <c r="N428" t="str">
        <f>IF(Table4[[#This Row],[customer_order_count]]=1,"New Customer","Repeat Customer")</f>
        <v>Repeat Customer</v>
      </c>
    </row>
    <row r="429" spans="1:14">
      <c r="A429" t="s">
        <v>3363</v>
      </c>
      <c r="B429" s="1">
        <v>45479</v>
      </c>
      <c r="C429" t="s">
        <v>3364</v>
      </c>
      <c r="D429" t="s">
        <v>1832</v>
      </c>
      <c r="E429" t="s">
        <v>21</v>
      </c>
      <c r="F429" t="s">
        <v>28</v>
      </c>
      <c r="G429" t="s">
        <v>84</v>
      </c>
      <c r="H429">
        <v>2</v>
      </c>
      <c r="I429" s="3">
        <v>15.34</v>
      </c>
      <c r="J429" t="s">
        <v>16</v>
      </c>
      <c r="K429" t="s">
        <v>40</v>
      </c>
      <c r="L429" s="4">
        <f>Table4[[#This Row],[quantity]]*Table4[[#This Row],[unit_price]]</f>
        <v>30.68</v>
      </c>
      <c r="M429">
        <f>COUNTIFS($C$2:$C$3934,Table4[[#This Row],[customer_id]])</f>
        <v>3</v>
      </c>
      <c r="N429" t="str">
        <f>IF(Table4[[#This Row],[customer_order_count]]=1,"New Customer","Repeat Customer")</f>
        <v>Repeat Customer</v>
      </c>
    </row>
    <row r="430" spans="1:14">
      <c r="A430" t="s">
        <v>4074</v>
      </c>
      <c r="B430" s="1">
        <v>45266</v>
      </c>
      <c r="C430" t="s">
        <v>575</v>
      </c>
      <c r="D430" t="s">
        <v>576</v>
      </c>
      <c r="E430" t="s">
        <v>21</v>
      </c>
      <c r="F430" t="s">
        <v>14</v>
      </c>
      <c r="G430" t="s">
        <v>39</v>
      </c>
      <c r="H430">
        <v>5</v>
      </c>
      <c r="I430" s="3">
        <v>15.34</v>
      </c>
      <c r="J430" t="s">
        <v>16</v>
      </c>
      <c r="K430" t="s">
        <v>30</v>
      </c>
      <c r="L430" s="4">
        <f>Table4[[#This Row],[quantity]]*Table4[[#This Row],[unit_price]]</f>
        <v>76.7</v>
      </c>
      <c r="M430">
        <f>COUNTIFS($C$2:$C$3934,Table4[[#This Row],[customer_id]])</f>
        <v>4</v>
      </c>
      <c r="N430" t="str">
        <f>IF(Table4[[#This Row],[customer_order_count]]=1,"New Customer","Repeat Customer")</f>
        <v>Repeat Customer</v>
      </c>
    </row>
    <row r="431" spans="1:14">
      <c r="A431" t="s">
        <v>4992</v>
      </c>
      <c r="B431" s="1">
        <v>45133</v>
      </c>
      <c r="C431" t="s">
        <v>3464</v>
      </c>
      <c r="D431" t="s">
        <v>281</v>
      </c>
      <c r="E431" t="s">
        <v>21</v>
      </c>
      <c r="F431" t="s">
        <v>22</v>
      </c>
      <c r="G431" t="s">
        <v>142</v>
      </c>
      <c r="H431">
        <v>1</v>
      </c>
      <c r="I431" s="3">
        <v>15.37</v>
      </c>
      <c r="J431" t="s">
        <v>16</v>
      </c>
      <c r="K431" t="s">
        <v>35</v>
      </c>
      <c r="L431" s="4">
        <f>Table4[[#This Row],[quantity]]*Table4[[#This Row],[unit_price]]</f>
        <v>15.37</v>
      </c>
      <c r="M431">
        <f>COUNTIFS($C$2:$C$3934,Table4[[#This Row],[customer_id]])</f>
        <v>4</v>
      </c>
      <c r="N431" t="str">
        <f>IF(Table4[[#This Row],[customer_order_count]]=1,"New Customer","Repeat Customer")</f>
        <v>Repeat Customer</v>
      </c>
    </row>
    <row r="432" spans="1:14">
      <c r="A432" t="s">
        <v>3482</v>
      </c>
      <c r="B432" s="1">
        <v>45237</v>
      </c>
      <c r="C432" t="s">
        <v>537</v>
      </c>
      <c r="D432" t="s">
        <v>538</v>
      </c>
      <c r="E432" t="s">
        <v>21</v>
      </c>
      <c r="F432" t="s">
        <v>14</v>
      </c>
      <c r="G432" t="s">
        <v>34</v>
      </c>
      <c r="H432">
        <v>1</v>
      </c>
      <c r="I432" s="3">
        <v>15.39</v>
      </c>
      <c r="J432" t="s">
        <v>16</v>
      </c>
      <c r="K432" t="s">
        <v>40</v>
      </c>
      <c r="L432" s="4">
        <f>Table4[[#This Row],[quantity]]*Table4[[#This Row],[unit_price]]</f>
        <v>15.39</v>
      </c>
      <c r="M432">
        <f>COUNTIFS($C$2:$C$3934,Table4[[#This Row],[customer_id]])</f>
        <v>9</v>
      </c>
      <c r="N432" t="str">
        <f>IF(Table4[[#This Row],[customer_order_count]]=1,"New Customer","Repeat Customer")</f>
        <v>Repeat Customer</v>
      </c>
    </row>
    <row r="433" spans="1:14">
      <c r="A433" t="s">
        <v>404</v>
      </c>
      <c r="B433" s="1">
        <v>44989</v>
      </c>
      <c r="C433" t="s">
        <v>405</v>
      </c>
      <c r="D433" t="s">
        <v>406</v>
      </c>
      <c r="E433" t="s">
        <v>21</v>
      </c>
      <c r="F433" t="s">
        <v>66</v>
      </c>
      <c r="G433" t="s">
        <v>128</v>
      </c>
      <c r="H433">
        <v>1</v>
      </c>
      <c r="I433" s="3">
        <v>15.4</v>
      </c>
      <c r="J433" t="s">
        <v>24</v>
      </c>
      <c r="K433" t="s">
        <v>35</v>
      </c>
      <c r="L433" s="4">
        <f>Table4[[#This Row],[quantity]]*Table4[[#This Row],[unit_price]]</f>
        <v>15.4</v>
      </c>
      <c r="M433">
        <f>COUNTIFS($C$2:$C$3934,Table4[[#This Row],[customer_id]])</f>
        <v>5</v>
      </c>
      <c r="N433" t="str">
        <f>IF(Table4[[#This Row],[customer_order_count]]=1,"New Customer","Repeat Customer")</f>
        <v>Repeat Customer</v>
      </c>
    </row>
    <row r="434" spans="1:14">
      <c r="A434" t="s">
        <v>2971</v>
      </c>
      <c r="B434" s="1">
        <v>45237</v>
      </c>
      <c r="C434" t="s">
        <v>2740</v>
      </c>
      <c r="D434" t="s">
        <v>388</v>
      </c>
      <c r="E434" t="s">
        <v>44</v>
      </c>
      <c r="F434" t="s">
        <v>28</v>
      </c>
      <c r="G434" t="s">
        <v>29</v>
      </c>
      <c r="H434">
        <v>2</v>
      </c>
      <c r="I434" s="3">
        <v>15.41</v>
      </c>
      <c r="J434" t="s">
        <v>16</v>
      </c>
      <c r="K434" t="s">
        <v>35</v>
      </c>
      <c r="L434" s="4">
        <f>Table4[[#This Row],[quantity]]*Table4[[#This Row],[unit_price]]</f>
        <v>30.82</v>
      </c>
      <c r="M434">
        <f>COUNTIFS($C$2:$C$3934,Table4[[#This Row],[customer_id]])</f>
        <v>2</v>
      </c>
      <c r="N434" t="str">
        <f>IF(Table4[[#This Row],[customer_order_count]]=1,"New Customer","Repeat Customer")</f>
        <v>Repeat Customer</v>
      </c>
    </row>
    <row r="435" spans="1:14">
      <c r="A435" t="s">
        <v>4929</v>
      </c>
      <c r="B435" s="1">
        <v>45299</v>
      </c>
      <c r="C435" t="s">
        <v>1315</v>
      </c>
      <c r="D435" t="s">
        <v>887</v>
      </c>
      <c r="E435" t="s">
        <v>44</v>
      </c>
      <c r="F435" t="s">
        <v>70</v>
      </c>
      <c r="G435" t="s">
        <v>337</v>
      </c>
      <c r="H435">
        <v>4</v>
      </c>
      <c r="I435" s="3">
        <v>15.42</v>
      </c>
      <c r="J435" t="s">
        <v>16</v>
      </c>
      <c r="K435" t="s">
        <v>30</v>
      </c>
      <c r="L435" s="4">
        <f>Table4[[#This Row],[quantity]]*Table4[[#This Row],[unit_price]]</f>
        <v>61.68</v>
      </c>
      <c r="M435">
        <f>COUNTIFS($C$2:$C$3934,Table4[[#This Row],[customer_id]])</f>
        <v>4</v>
      </c>
      <c r="N435" t="str">
        <f>IF(Table4[[#This Row],[customer_order_count]]=1,"New Customer","Repeat Customer")</f>
        <v>Repeat Customer</v>
      </c>
    </row>
    <row r="436" spans="1:14">
      <c r="A436" t="s">
        <v>179</v>
      </c>
      <c r="B436" s="1">
        <v>45232</v>
      </c>
      <c r="C436" t="s">
        <v>180</v>
      </c>
      <c r="D436" t="s">
        <v>181</v>
      </c>
      <c r="E436" t="s">
        <v>21</v>
      </c>
      <c r="F436" t="s">
        <v>28</v>
      </c>
      <c r="G436" t="s">
        <v>45</v>
      </c>
      <c r="H436">
        <v>2</v>
      </c>
      <c r="I436" s="3">
        <v>15.43</v>
      </c>
      <c r="J436" t="s">
        <v>16</v>
      </c>
      <c r="K436" t="s">
        <v>35</v>
      </c>
      <c r="L436" s="4">
        <f>Table4[[#This Row],[quantity]]*Table4[[#This Row],[unit_price]]</f>
        <v>30.86</v>
      </c>
      <c r="M436">
        <f>COUNTIFS($C$2:$C$3934,Table4[[#This Row],[customer_id]])</f>
        <v>5</v>
      </c>
      <c r="N436" t="str">
        <f>IF(Table4[[#This Row],[customer_order_count]]=1,"New Customer","Repeat Customer")</f>
        <v>Repeat Customer</v>
      </c>
    </row>
    <row r="437" spans="1:14">
      <c r="A437" t="s">
        <v>3791</v>
      </c>
      <c r="B437" s="1">
        <v>45021</v>
      </c>
      <c r="C437" t="s">
        <v>1811</v>
      </c>
      <c r="D437" t="s">
        <v>672</v>
      </c>
      <c r="E437" t="s">
        <v>44</v>
      </c>
      <c r="F437" t="s">
        <v>22</v>
      </c>
      <c r="G437" t="s">
        <v>162</v>
      </c>
      <c r="H437">
        <v>1</v>
      </c>
      <c r="I437" s="3">
        <v>15.44</v>
      </c>
      <c r="J437" t="s">
        <v>16</v>
      </c>
      <c r="K437" t="s">
        <v>40</v>
      </c>
      <c r="L437" s="4">
        <f>Table4[[#This Row],[quantity]]*Table4[[#This Row],[unit_price]]</f>
        <v>15.44</v>
      </c>
      <c r="M437">
        <f>COUNTIFS($C$2:$C$3934,Table4[[#This Row],[customer_id]])</f>
        <v>2</v>
      </c>
      <c r="N437" t="str">
        <f>IF(Table4[[#This Row],[customer_order_count]]=1,"New Customer","Repeat Customer")</f>
        <v>Repeat Customer</v>
      </c>
    </row>
    <row r="438" spans="1:14">
      <c r="A438" t="s">
        <v>1591</v>
      </c>
      <c r="B438" s="1">
        <v>45565</v>
      </c>
      <c r="C438" t="s">
        <v>604</v>
      </c>
      <c r="D438" t="s">
        <v>38</v>
      </c>
      <c r="E438" t="s">
        <v>21</v>
      </c>
      <c r="F438" t="s">
        <v>79</v>
      </c>
      <c r="G438" t="s">
        <v>230</v>
      </c>
      <c r="H438">
        <v>1</v>
      </c>
      <c r="I438" s="3">
        <v>15.47</v>
      </c>
      <c r="J438" t="s">
        <v>16</v>
      </c>
      <c r="K438" t="s">
        <v>30</v>
      </c>
      <c r="L438" s="4">
        <f>Table4[[#This Row],[quantity]]*Table4[[#This Row],[unit_price]]</f>
        <v>15.47</v>
      </c>
      <c r="M438">
        <f>COUNTIFS($C$2:$C$3934,Table4[[#This Row],[customer_id]])</f>
        <v>7</v>
      </c>
      <c r="N438" t="str">
        <f>IF(Table4[[#This Row],[customer_order_count]]=1,"New Customer","Repeat Customer")</f>
        <v>Repeat Customer</v>
      </c>
    </row>
    <row r="439" spans="1:14">
      <c r="A439" t="s">
        <v>3805</v>
      </c>
      <c r="B439" s="1">
        <v>45457</v>
      </c>
      <c r="C439" t="s">
        <v>2726</v>
      </c>
      <c r="D439" t="s">
        <v>1578</v>
      </c>
      <c r="E439" t="s">
        <v>21</v>
      </c>
      <c r="F439" t="s">
        <v>66</v>
      </c>
      <c r="G439" t="s">
        <v>217</v>
      </c>
      <c r="H439">
        <v>2</v>
      </c>
      <c r="I439" s="3">
        <v>15.48</v>
      </c>
      <c r="J439" t="s">
        <v>16</v>
      </c>
      <c r="K439" t="s">
        <v>17</v>
      </c>
      <c r="L439" s="4">
        <f>Table4[[#This Row],[quantity]]*Table4[[#This Row],[unit_price]]</f>
        <v>30.96</v>
      </c>
      <c r="M439">
        <f>COUNTIFS($C$2:$C$3934,Table4[[#This Row],[customer_id]])</f>
        <v>5</v>
      </c>
      <c r="N439" t="str">
        <f>IF(Table4[[#This Row],[customer_order_count]]=1,"New Customer","Repeat Customer")</f>
        <v>Repeat Customer</v>
      </c>
    </row>
    <row r="440" spans="1:14">
      <c r="A440" t="s">
        <v>3892</v>
      </c>
      <c r="B440" s="1">
        <v>44969</v>
      </c>
      <c r="C440" t="s">
        <v>537</v>
      </c>
      <c r="D440" t="s">
        <v>538</v>
      </c>
      <c r="E440" t="s">
        <v>21</v>
      </c>
      <c r="F440" t="s">
        <v>56</v>
      </c>
      <c r="G440" t="s">
        <v>210</v>
      </c>
      <c r="H440">
        <v>2</v>
      </c>
      <c r="I440" s="3">
        <v>15.48</v>
      </c>
      <c r="J440" t="s">
        <v>16</v>
      </c>
      <c r="K440" t="s">
        <v>40</v>
      </c>
      <c r="L440" s="4">
        <f>Table4[[#This Row],[quantity]]*Table4[[#This Row],[unit_price]]</f>
        <v>30.96</v>
      </c>
      <c r="M440">
        <f>COUNTIFS($C$2:$C$3934,Table4[[#This Row],[customer_id]])</f>
        <v>9</v>
      </c>
      <c r="N440" t="str">
        <f>IF(Table4[[#This Row],[customer_order_count]]=1,"New Customer","Repeat Customer")</f>
        <v>Repeat Customer</v>
      </c>
    </row>
    <row r="441" spans="1:14">
      <c r="A441" t="s">
        <v>1242</v>
      </c>
      <c r="B441" s="1">
        <v>45087</v>
      </c>
      <c r="C441" t="s">
        <v>1243</v>
      </c>
      <c r="D441" t="s">
        <v>1244</v>
      </c>
      <c r="E441" t="s">
        <v>21</v>
      </c>
      <c r="F441" t="s">
        <v>70</v>
      </c>
      <c r="G441" t="s">
        <v>337</v>
      </c>
      <c r="H441">
        <v>3</v>
      </c>
      <c r="I441" s="3">
        <v>15.48</v>
      </c>
      <c r="J441" t="s">
        <v>85</v>
      </c>
      <c r="K441" t="s">
        <v>30</v>
      </c>
      <c r="L441" s="4">
        <f>Table4[[#This Row],[quantity]]*Table4[[#This Row],[unit_price]]</f>
        <v>46.44</v>
      </c>
      <c r="M441">
        <f>COUNTIFS($C$2:$C$3934,Table4[[#This Row],[customer_id]])</f>
        <v>6</v>
      </c>
      <c r="N441" t="str">
        <f>IF(Table4[[#This Row],[customer_order_count]]=1,"New Customer","Repeat Customer")</f>
        <v>Repeat Customer</v>
      </c>
    </row>
    <row r="442" spans="1:14">
      <c r="A442" t="s">
        <v>3089</v>
      </c>
      <c r="B442" s="1">
        <v>44984</v>
      </c>
      <c r="C442" t="s">
        <v>1175</v>
      </c>
      <c r="D442" t="s">
        <v>1176</v>
      </c>
      <c r="E442" t="s">
        <v>21</v>
      </c>
      <c r="F442" t="s">
        <v>22</v>
      </c>
      <c r="G442" t="s">
        <v>142</v>
      </c>
      <c r="H442">
        <v>1</v>
      </c>
      <c r="I442" s="3">
        <v>15.5</v>
      </c>
      <c r="J442" t="s">
        <v>16</v>
      </c>
      <c r="K442" t="s">
        <v>17</v>
      </c>
      <c r="L442" s="4">
        <f>Table4[[#This Row],[quantity]]*Table4[[#This Row],[unit_price]]</f>
        <v>15.5</v>
      </c>
      <c r="M442">
        <f>COUNTIFS($C$2:$C$3934,Table4[[#This Row],[customer_id]])</f>
        <v>4</v>
      </c>
      <c r="N442" t="str">
        <f>IF(Table4[[#This Row],[customer_order_count]]=1,"New Customer","Repeat Customer")</f>
        <v>Repeat Customer</v>
      </c>
    </row>
    <row r="443" spans="1:14">
      <c r="A443" t="s">
        <v>3091</v>
      </c>
      <c r="B443" s="1">
        <v>45041</v>
      </c>
      <c r="C443" t="s">
        <v>2383</v>
      </c>
      <c r="D443" t="s">
        <v>2384</v>
      </c>
      <c r="E443" t="s">
        <v>21</v>
      </c>
      <c r="F443" t="s">
        <v>56</v>
      </c>
      <c r="G443" t="s">
        <v>75</v>
      </c>
      <c r="H443">
        <v>1</v>
      </c>
      <c r="I443" s="3">
        <v>15.51</v>
      </c>
      <c r="J443" t="s">
        <v>16</v>
      </c>
      <c r="K443" t="s">
        <v>30</v>
      </c>
      <c r="L443" s="4">
        <f>Table4[[#This Row],[quantity]]*Table4[[#This Row],[unit_price]]</f>
        <v>15.51</v>
      </c>
      <c r="M443">
        <f>COUNTIFS($C$2:$C$3934,Table4[[#This Row],[customer_id]])</f>
        <v>4</v>
      </c>
      <c r="N443" t="str">
        <f>IF(Table4[[#This Row],[customer_order_count]]=1,"New Customer","Repeat Customer")</f>
        <v>Repeat Customer</v>
      </c>
    </row>
    <row r="444" spans="1:14">
      <c r="A444" t="s">
        <v>2056</v>
      </c>
      <c r="B444" s="1">
        <v>45461</v>
      </c>
      <c r="C444" t="s">
        <v>585</v>
      </c>
      <c r="D444" t="s">
        <v>560</v>
      </c>
      <c r="E444" t="s">
        <v>44</v>
      </c>
      <c r="F444" t="s">
        <v>79</v>
      </c>
      <c r="G444" t="s">
        <v>80</v>
      </c>
      <c r="H444">
        <v>4</v>
      </c>
      <c r="I444" s="3">
        <v>15.52</v>
      </c>
      <c r="J444" t="s">
        <v>255</v>
      </c>
      <c r="K444" t="s">
        <v>30</v>
      </c>
      <c r="L444" s="4">
        <f>Table4[[#This Row],[quantity]]*Table4[[#This Row],[unit_price]]</f>
        <v>62.08</v>
      </c>
      <c r="M444">
        <f>COUNTIFS($C$2:$C$3934,Table4[[#This Row],[customer_id]])</f>
        <v>3</v>
      </c>
      <c r="N444" t="str">
        <f>IF(Table4[[#This Row],[customer_order_count]]=1,"New Customer","Repeat Customer")</f>
        <v>Repeat Customer</v>
      </c>
    </row>
    <row r="445" spans="1:14">
      <c r="A445" t="s">
        <v>2828</v>
      </c>
      <c r="B445" s="1">
        <v>45338</v>
      </c>
      <c r="C445" t="s">
        <v>148</v>
      </c>
      <c r="D445" t="s">
        <v>149</v>
      </c>
      <c r="E445" t="s">
        <v>21</v>
      </c>
      <c r="F445" t="s">
        <v>66</v>
      </c>
      <c r="G445" t="s">
        <v>67</v>
      </c>
      <c r="H445">
        <v>3</v>
      </c>
      <c r="I445" s="3">
        <v>15.53</v>
      </c>
      <c r="J445" t="s">
        <v>16</v>
      </c>
      <c r="K445" t="s">
        <v>17</v>
      </c>
      <c r="L445" s="4">
        <f>Table4[[#This Row],[quantity]]*Table4[[#This Row],[unit_price]]</f>
        <v>46.589999999999996</v>
      </c>
      <c r="M445">
        <f>COUNTIFS($C$2:$C$3934,Table4[[#This Row],[customer_id]])</f>
        <v>6</v>
      </c>
      <c r="N445" t="str">
        <f>IF(Table4[[#This Row],[customer_order_count]]=1,"New Customer","Repeat Customer")</f>
        <v>Repeat Customer</v>
      </c>
    </row>
    <row r="446" spans="1:14">
      <c r="A446" t="s">
        <v>3156</v>
      </c>
      <c r="B446" s="1">
        <v>45375</v>
      </c>
      <c r="C446" t="s">
        <v>1425</v>
      </c>
      <c r="D446" t="s">
        <v>519</v>
      </c>
      <c r="E446" t="s">
        <v>21</v>
      </c>
      <c r="F446" t="s">
        <v>56</v>
      </c>
      <c r="G446" t="s">
        <v>118</v>
      </c>
      <c r="H446">
        <v>2</v>
      </c>
      <c r="I446" s="3">
        <v>15.55</v>
      </c>
      <c r="J446" t="s">
        <v>16</v>
      </c>
      <c r="K446" t="s">
        <v>40</v>
      </c>
      <c r="L446" s="4">
        <f>Table4[[#This Row],[quantity]]*Table4[[#This Row],[unit_price]]</f>
        <v>31.1</v>
      </c>
      <c r="M446">
        <f>COUNTIFS($C$2:$C$3934,Table4[[#This Row],[customer_id]])</f>
        <v>5</v>
      </c>
      <c r="N446" t="str">
        <f>IF(Table4[[#This Row],[customer_order_count]]=1,"New Customer","Repeat Customer")</f>
        <v>Repeat Customer</v>
      </c>
    </row>
    <row r="447" spans="1:14">
      <c r="A447" t="s">
        <v>637</v>
      </c>
      <c r="B447" s="1">
        <v>45568</v>
      </c>
      <c r="C447" t="s">
        <v>638</v>
      </c>
      <c r="D447" t="s">
        <v>639</v>
      </c>
      <c r="E447" t="s">
        <v>21</v>
      </c>
      <c r="F447" t="s">
        <v>66</v>
      </c>
      <c r="G447" t="s">
        <v>217</v>
      </c>
      <c r="H447">
        <v>1</v>
      </c>
      <c r="I447" s="3">
        <v>15.58</v>
      </c>
      <c r="J447" t="s">
        <v>255</v>
      </c>
      <c r="K447" t="s">
        <v>40</v>
      </c>
      <c r="L447" s="4">
        <f>Table4[[#This Row],[quantity]]*Table4[[#This Row],[unit_price]]</f>
        <v>15.58</v>
      </c>
      <c r="M447">
        <f>COUNTIFS($C$2:$C$3934,Table4[[#This Row],[customer_id]])</f>
        <v>4</v>
      </c>
      <c r="N447" t="str">
        <f>IF(Table4[[#This Row],[customer_order_count]]=1,"New Customer","Repeat Customer")</f>
        <v>Repeat Customer</v>
      </c>
    </row>
    <row r="448" spans="1:14">
      <c r="A448" t="s">
        <v>3602</v>
      </c>
      <c r="B448" s="1">
        <v>45215</v>
      </c>
      <c r="C448" t="s">
        <v>3603</v>
      </c>
      <c r="D448" t="s">
        <v>74</v>
      </c>
      <c r="E448" t="s">
        <v>61</v>
      </c>
      <c r="F448" t="s">
        <v>22</v>
      </c>
      <c r="G448" t="s">
        <v>142</v>
      </c>
      <c r="H448">
        <v>1</v>
      </c>
      <c r="I448" s="3">
        <v>15.58</v>
      </c>
      <c r="J448" t="s">
        <v>16</v>
      </c>
      <c r="K448" t="s">
        <v>30</v>
      </c>
      <c r="L448" s="4">
        <f>Table4[[#This Row],[quantity]]*Table4[[#This Row],[unit_price]]</f>
        <v>15.58</v>
      </c>
      <c r="M448">
        <f>COUNTIFS($C$2:$C$3934,Table4[[#This Row],[customer_id]])</f>
        <v>2</v>
      </c>
      <c r="N448" t="str">
        <f>IF(Table4[[#This Row],[customer_order_count]]=1,"New Customer","Repeat Customer")</f>
        <v>Repeat Customer</v>
      </c>
    </row>
    <row r="449" spans="1:14">
      <c r="A449" t="s">
        <v>4976</v>
      </c>
      <c r="B449" s="1">
        <v>45589</v>
      </c>
      <c r="C449" t="s">
        <v>1499</v>
      </c>
      <c r="D449" t="s">
        <v>1500</v>
      </c>
      <c r="E449" t="s">
        <v>44</v>
      </c>
      <c r="F449" t="s">
        <v>79</v>
      </c>
      <c r="G449" t="s">
        <v>80</v>
      </c>
      <c r="H449">
        <v>4</v>
      </c>
      <c r="I449" s="3">
        <v>15.58</v>
      </c>
      <c r="J449" t="s">
        <v>16</v>
      </c>
      <c r="K449" t="s">
        <v>40</v>
      </c>
      <c r="L449" s="4">
        <f>Table4[[#This Row],[quantity]]*Table4[[#This Row],[unit_price]]</f>
        <v>62.32</v>
      </c>
      <c r="M449">
        <f>COUNTIFS($C$2:$C$3934,Table4[[#This Row],[customer_id]])</f>
        <v>6</v>
      </c>
      <c r="N449" t="str">
        <f>IF(Table4[[#This Row],[customer_order_count]]=1,"New Customer","Repeat Customer")</f>
        <v>Repeat Customer</v>
      </c>
    </row>
    <row r="450" spans="1:14">
      <c r="A450" t="s">
        <v>1950</v>
      </c>
      <c r="B450" s="1">
        <v>44971</v>
      </c>
      <c r="C450" t="s">
        <v>312</v>
      </c>
      <c r="D450" t="s">
        <v>313</v>
      </c>
      <c r="E450" t="s">
        <v>21</v>
      </c>
      <c r="F450" t="s">
        <v>22</v>
      </c>
      <c r="G450" t="s">
        <v>264</v>
      </c>
      <c r="H450">
        <v>1</v>
      </c>
      <c r="I450" s="3">
        <v>15.61</v>
      </c>
      <c r="J450" t="s">
        <v>16</v>
      </c>
      <c r="K450" t="s">
        <v>40</v>
      </c>
      <c r="L450" s="4">
        <f>Table4[[#This Row],[quantity]]*Table4[[#This Row],[unit_price]]</f>
        <v>15.61</v>
      </c>
      <c r="M450">
        <f>COUNTIFS($C$2:$C$3934,Table4[[#This Row],[customer_id]])</f>
        <v>7</v>
      </c>
      <c r="N450" t="str">
        <f>IF(Table4[[#This Row],[customer_order_count]]=1,"New Customer","Repeat Customer")</f>
        <v>Repeat Customer</v>
      </c>
    </row>
    <row r="451" spans="1:14">
      <c r="A451" t="s">
        <v>2205</v>
      </c>
      <c r="B451" s="1">
        <v>45420</v>
      </c>
      <c r="C451" t="s">
        <v>1599</v>
      </c>
      <c r="D451" t="s">
        <v>1600</v>
      </c>
      <c r="E451" t="s">
        <v>21</v>
      </c>
      <c r="F451" t="s">
        <v>28</v>
      </c>
      <c r="G451" t="s">
        <v>84</v>
      </c>
      <c r="H451">
        <v>1</v>
      </c>
      <c r="I451" s="3">
        <v>15.61</v>
      </c>
      <c r="J451" t="s">
        <v>16</v>
      </c>
      <c r="K451" t="s">
        <v>30</v>
      </c>
      <c r="L451" s="4">
        <f>Table4[[#This Row],[quantity]]*Table4[[#This Row],[unit_price]]</f>
        <v>15.61</v>
      </c>
      <c r="M451">
        <f>COUNTIFS($C$2:$C$3934,Table4[[#This Row],[customer_id]])</f>
        <v>4</v>
      </c>
      <c r="N451" t="str">
        <f>IF(Table4[[#This Row],[customer_order_count]]=1,"New Customer","Repeat Customer")</f>
        <v>Repeat Customer</v>
      </c>
    </row>
    <row r="452" spans="1:14">
      <c r="A452" t="s">
        <v>3857</v>
      </c>
      <c r="B452" s="1">
        <v>45527</v>
      </c>
      <c r="C452" t="s">
        <v>1864</v>
      </c>
      <c r="D452" t="s">
        <v>1244</v>
      </c>
      <c r="E452" t="s">
        <v>21</v>
      </c>
      <c r="F452" t="s">
        <v>22</v>
      </c>
      <c r="G452" t="s">
        <v>135</v>
      </c>
      <c r="H452">
        <v>1</v>
      </c>
      <c r="I452" s="3">
        <v>15.61</v>
      </c>
      <c r="J452" t="s">
        <v>16</v>
      </c>
      <c r="K452" t="s">
        <v>40</v>
      </c>
      <c r="L452" s="4">
        <f>Table4[[#This Row],[quantity]]*Table4[[#This Row],[unit_price]]</f>
        <v>15.61</v>
      </c>
      <c r="M452">
        <f>COUNTIFS($C$2:$C$3934,Table4[[#This Row],[customer_id]])</f>
        <v>5</v>
      </c>
      <c r="N452" t="str">
        <f>IF(Table4[[#This Row],[customer_order_count]]=1,"New Customer","Repeat Customer")</f>
        <v>Repeat Customer</v>
      </c>
    </row>
    <row r="453" spans="1:14">
      <c r="A453" t="s">
        <v>3970</v>
      </c>
      <c r="B453" s="1">
        <v>45510</v>
      </c>
      <c r="C453" t="s">
        <v>283</v>
      </c>
      <c r="D453" s="2" t="s">
        <v>5257</v>
      </c>
      <c r="E453" t="s">
        <v>44</v>
      </c>
      <c r="F453" t="s">
        <v>79</v>
      </c>
      <c r="G453" t="s">
        <v>96</v>
      </c>
      <c r="H453">
        <v>2</v>
      </c>
      <c r="I453" s="3">
        <v>15.61</v>
      </c>
      <c r="J453" t="s">
        <v>16</v>
      </c>
      <c r="K453" s="2" t="s">
        <v>5256</v>
      </c>
      <c r="L453" s="4">
        <f>Table4[[#This Row],[quantity]]*Table4[[#This Row],[unit_price]]</f>
        <v>31.22</v>
      </c>
      <c r="M453">
        <f>COUNTIFS($C$2:$C$3934,Table4[[#This Row],[customer_id]])</f>
        <v>3</v>
      </c>
      <c r="N453" t="str">
        <f>IF(Table4[[#This Row],[customer_order_count]]=1,"New Customer","Repeat Customer")</f>
        <v>Repeat Customer</v>
      </c>
    </row>
    <row r="454" spans="1:14">
      <c r="A454" t="s">
        <v>2729</v>
      </c>
      <c r="B454" s="1">
        <v>45610</v>
      </c>
      <c r="C454" t="s">
        <v>2536</v>
      </c>
      <c r="D454" s="5" t="s">
        <v>1514</v>
      </c>
      <c r="E454" t="s">
        <v>21</v>
      </c>
      <c r="F454" t="s">
        <v>22</v>
      </c>
      <c r="G454" t="s">
        <v>264</v>
      </c>
      <c r="H454">
        <v>3</v>
      </c>
      <c r="I454" s="3">
        <v>15.62</v>
      </c>
      <c r="J454" t="s">
        <v>16</v>
      </c>
      <c r="K454" s="2" t="s">
        <v>5256</v>
      </c>
      <c r="L454" s="4">
        <f>Table4[[#This Row],[quantity]]*Table4[[#This Row],[unit_price]]</f>
        <v>46.86</v>
      </c>
      <c r="M454">
        <f>COUNTIFS($C$2:$C$3934,Table4[[#This Row],[customer_id]])</f>
        <v>5</v>
      </c>
      <c r="N454" t="str">
        <f>IF(Table4[[#This Row],[customer_order_count]]=1,"New Customer","Repeat Customer")</f>
        <v>Repeat Customer</v>
      </c>
    </row>
    <row r="455" spans="1:14">
      <c r="A455" t="s">
        <v>2613</v>
      </c>
      <c r="B455" s="1">
        <v>45078</v>
      </c>
      <c r="C455" t="s">
        <v>104</v>
      </c>
      <c r="D455" t="s">
        <v>105</v>
      </c>
      <c r="E455" t="s">
        <v>21</v>
      </c>
      <c r="F455" t="s">
        <v>66</v>
      </c>
      <c r="G455" t="s">
        <v>49</v>
      </c>
      <c r="H455">
        <v>1</v>
      </c>
      <c r="I455" s="3">
        <v>15.63</v>
      </c>
      <c r="J455" t="s">
        <v>16</v>
      </c>
      <c r="K455" s="5" t="s">
        <v>40</v>
      </c>
      <c r="L455" s="4">
        <f>Table4[[#This Row],[quantity]]*Table4[[#This Row],[unit_price]]</f>
        <v>15.63</v>
      </c>
      <c r="M455">
        <f>COUNTIFS($C$2:$C$3934,Table4[[#This Row],[customer_id]])</f>
        <v>9</v>
      </c>
      <c r="N455" t="str">
        <f>IF(Table4[[#This Row],[customer_order_count]]=1,"New Customer","Repeat Customer")</f>
        <v>Repeat Customer</v>
      </c>
    </row>
    <row r="456" spans="1:14">
      <c r="A456" t="s">
        <v>870</v>
      </c>
      <c r="B456" s="1">
        <v>45644</v>
      </c>
      <c r="C456" t="s">
        <v>871</v>
      </c>
      <c r="D456" t="s">
        <v>872</v>
      </c>
      <c r="E456" t="s">
        <v>21</v>
      </c>
      <c r="F456" t="s">
        <v>28</v>
      </c>
      <c r="G456" t="s">
        <v>139</v>
      </c>
      <c r="H456">
        <v>3</v>
      </c>
      <c r="I456" s="3">
        <v>15.66</v>
      </c>
      <c r="J456" t="s">
        <v>16</v>
      </c>
      <c r="K456" t="s">
        <v>40</v>
      </c>
      <c r="L456" s="4">
        <f>Table4[[#This Row],[quantity]]*Table4[[#This Row],[unit_price]]</f>
        <v>46.980000000000004</v>
      </c>
      <c r="M456">
        <f>COUNTIFS($C$2:$C$3934,Table4[[#This Row],[customer_id]])</f>
        <v>5</v>
      </c>
      <c r="N456" t="str">
        <f>IF(Table4[[#This Row],[customer_order_count]]=1,"New Customer","Repeat Customer")</f>
        <v>Repeat Customer</v>
      </c>
    </row>
    <row r="457" spans="1:14">
      <c r="A457" t="s">
        <v>5108</v>
      </c>
      <c r="B457" s="1">
        <v>45589</v>
      </c>
      <c r="C457" t="s">
        <v>1033</v>
      </c>
      <c r="D457" t="s">
        <v>839</v>
      </c>
      <c r="E457" t="s">
        <v>21</v>
      </c>
      <c r="F457" t="s">
        <v>22</v>
      </c>
      <c r="G457" t="s">
        <v>135</v>
      </c>
      <c r="H457">
        <v>1</v>
      </c>
      <c r="I457" s="3">
        <v>15.67</v>
      </c>
      <c r="J457" t="s">
        <v>16</v>
      </c>
      <c r="K457" t="s">
        <v>30</v>
      </c>
      <c r="L457" s="4">
        <f>Table4[[#This Row],[quantity]]*Table4[[#This Row],[unit_price]]</f>
        <v>15.67</v>
      </c>
      <c r="M457">
        <f>COUNTIFS($C$2:$C$3934,Table4[[#This Row],[customer_id]])</f>
        <v>2</v>
      </c>
      <c r="N457" t="str">
        <f>IF(Table4[[#This Row],[customer_order_count]]=1,"New Customer","Repeat Customer")</f>
        <v>Repeat Customer</v>
      </c>
    </row>
    <row r="458" spans="1:14">
      <c r="A458" t="s">
        <v>3381</v>
      </c>
      <c r="B458" s="1">
        <v>45484</v>
      </c>
      <c r="C458" t="s">
        <v>655</v>
      </c>
      <c r="D458" t="s">
        <v>597</v>
      </c>
      <c r="E458" t="s">
        <v>21</v>
      </c>
      <c r="F458" t="s">
        <v>66</v>
      </c>
      <c r="G458" t="s">
        <v>49</v>
      </c>
      <c r="H458">
        <v>1</v>
      </c>
      <c r="I458" s="3">
        <v>15.67</v>
      </c>
      <c r="J458" t="s">
        <v>16</v>
      </c>
      <c r="K458" t="s">
        <v>17</v>
      </c>
      <c r="L458" s="4">
        <f>Table4[[#This Row],[quantity]]*Table4[[#This Row],[unit_price]]</f>
        <v>15.67</v>
      </c>
      <c r="M458">
        <f>COUNTIFS($C$2:$C$3934,Table4[[#This Row],[customer_id]])</f>
        <v>12</v>
      </c>
      <c r="N458" t="str">
        <f>IF(Table4[[#This Row],[customer_order_count]]=1,"New Customer","Repeat Customer")</f>
        <v>Repeat Customer</v>
      </c>
    </row>
    <row r="459" spans="1:14">
      <c r="A459" t="s">
        <v>2870</v>
      </c>
      <c r="B459" s="1">
        <v>44961</v>
      </c>
      <c r="C459" t="s">
        <v>1291</v>
      </c>
      <c r="D459" s="2" t="s">
        <v>5257</v>
      </c>
      <c r="E459" t="s">
        <v>21</v>
      </c>
      <c r="F459" t="s">
        <v>66</v>
      </c>
      <c r="G459" t="s">
        <v>49</v>
      </c>
      <c r="H459">
        <v>2</v>
      </c>
      <c r="I459" s="3">
        <v>15.67</v>
      </c>
      <c r="J459" t="s">
        <v>16</v>
      </c>
      <c r="K459" t="s">
        <v>35</v>
      </c>
      <c r="L459" s="4">
        <f>Table4[[#This Row],[quantity]]*Table4[[#This Row],[unit_price]]</f>
        <v>31.34</v>
      </c>
      <c r="M459">
        <f>COUNTIFS($C$2:$C$3934,Table4[[#This Row],[customer_id]])</f>
        <v>6</v>
      </c>
      <c r="N459" t="str">
        <f>IF(Table4[[#This Row],[customer_order_count]]=1,"New Customer","Repeat Customer")</f>
        <v>Repeat Customer</v>
      </c>
    </row>
    <row r="460" spans="1:14">
      <c r="A460" t="s">
        <v>2294</v>
      </c>
      <c r="B460" s="1">
        <v>44930</v>
      </c>
      <c r="C460" t="s">
        <v>731</v>
      </c>
      <c r="D460" s="5" t="s">
        <v>1804</v>
      </c>
      <c r="E460" t="s">
        <v>21</v>
      </c>
      <c r="F460" t="s">
        <v>70</v>
      </c>
      <c r="G460" t="s">
        <v>89</v>
      </c>
      <c r="H460">
        <v>2</v>
      </c>
      <c r="I460" s="3">
        <v>15.69</v>
      </c>
      <c r="J460" t="s">
        <v>16</v>
      </c>
      <c r="K460" t="s">
        <v>17</v>
      </c>
      <c r="L460" s="4">
        <f>Table4[[#This Row],[quantity]]*Table4[[#This Row],[unit_price]]</f>
        <v>31.38</v>
      </c>
      <c r="M460">
        <f>COUNTIFS($C$2:$C$3934,Table4[[#This Row],[customer_id]])</f>
        <v>5</v>
      </c>
      <c r="N460" t="str">
        <f>IF(Table4[[#This Row],[customer_order_count]]=1,"New Customer","Repeat Customer")</f>
        <v>Repeat Customer</v>
      </c>
    </row>
    <row r="461" spans="1:14">
      <c r="A461" t="s">
        <v>2178</v>
      </c>
      <c r="B461" s="1">
        <v>45299</v>
      </c>
      <c r="C461" t="s">
        <v>1522</v>
      </c>
      <c r="D461" t="s">
        <v>1523</v>
      </c>
      <c r="E461" t="s">
        <v>21</v>
      </c>
      <c r="F461" t="s">
        <v>28</v>
      </c>
      <c r="G461" t="s">
        <v>114</v>
      </c>
      <c r="H461">
        <v>2</v>
      </c>
      <c r="I461" s="3">
        <v>15.69</v>
      </c>
      <c r="J461" t="s">
        <v>255</v>
      </c>
      <c r="K461" t="s">
        <v>40</v>
      </c>
      <c r="L461" s="4">
        <f>Table4[[#This Row],[quantity]]*Table4[[#This Row],[unit_price]]</f>
        <v>31.38</v>
      </c>
      <c r="M461">
        <f>COUNTIFS($C$2:$C$3934,Table4[[#This Row],[customer_id]])</f>
        <v>11</v>
      </c>
      <c r="N461" t="str">
        <f>IF(Table4[[#This Row],[customer_order_count]]=1,"New Customer","Repeat Customer")</f>
        <v>Repeat Customer</v>
      </c>
    </row>
    <row r="462" spans="1:14">
      <c r="A462" t="s">
        <v>1139</v>
      </c>
      <c r="B462" s="1">
        <v>45647</v>
      </c>
      <c r="C462" t="s">
        <v>1140</v>
      </c>
      <c r="D462" t="s">
        <v>684</v>
      </c>
      <c r="E462" t="s">
        <v>44</v>
      </c>
      <c r="F462" t="s">
        <v>66</v>
      </c>
      <c r="G462" t="s">
        <v>67</v>
      </c>
      <c r="H462">
        <v>1</v>
      </c>
      <c r="I462" s="3">
        <v>15.7</v>
      </c>
      <c r="J462" t="s">
        <v>16</v>
      </c>
      <c r="K462" t="s">
        <v>35</v>
      </c>
      <c r="L462" s="4">
        <f>Table4[[#This Row],[quantity]]*Table4[[#This Row],[unit_price]]</f>
        <v>15.7</v>
      </c>
      <c r="M462">
        <f>COUNTIFS($C$2:$C$3934,Table4[[#This Row],[customer_id]])</f>
        <v>4</v>
      </c>
      <c r="N462" t="str">
        <f>IF(Table4[[#This Row],[customer_order_count]]=1,"New Customer","Repeat Customer")</f>
        <v>Repeat Customer</v>
      </c>
    </row>
    <row r="463" spans="1:14">
      <c r="A463" t="s">
        <v>2479</v>
      </c>
      <c r="B463" s="1">
        <v>45461</v>
      </c>
      <c r="C463" t="s">
        <v>1472</v>
      </c>
      <c r="D463" t="s">
        <v>1473</v>
      </c>
      <c r="E463" t="s">
        <v>21</v>
      </c>
      <c r="F463" t="s">
        <v>14</v>
      </c>
      <c r="G463" t="s">
        <v>15</v>
      </c>
      <c r="H463">
        <v>1</v>
      </c>
      <c r="I463" s="3">
        <v>15.72</v>
      </c>
      <c r="J463" t="s">
        <v>85</v>
      </c>
      <c r="K463" t="s">
        <v>35</v>
      </c>
      <c r="L463" s="4">
        <f>Table4[[#This Row],[quantity]]*Table4[[#This Row],[unit_price]]</f>
        <v>15.72</v>
      </c>
      <c r="M463">
        <f>COUNTIFS($C$2:$C$3934,Table4[[#This Row],[customer_id]])</f>
        <v>5</v>
      </c>
      <c r="N463" t="str">
        <f>IF(Table4[[#This Row],[customer_order_count]]=1,"New Customer","Repeat Customer")</f>
        <v>Repeat Customer</v>
      </c>
    </row>
    <row r="464" spans="1:14">
      <c r="A464" t="s">
        <v>214</v>
      </c>
      <c r="B464" s="1">
        <v>44972</v>
      </c>
      <c r="C464" t="s">
        <v>215</v>
      </c>
      <c r="D464" t="s">
        <v>216</v>
      </c>
      <c r="E464" t="s">
        <v>21</v>
      </c>
      <c r="F464" t="s">
        <v>66</v>
      </c>
      <c r="G464" t="s">
        <v>217</v>
      </c>
      <c r="H464">
        <v>1</v>
      </c>
      <c r="I464" s="3">
        <v>15.77</v>
      </c>
      <c r="J464" t="s">
        <v>16</v>
      </c>
      <c r="K464" t="s">
        <v>17</v>
      </c>
      <c r="L464" s="4">
        <f>Table4[[#This Row],[quantity]]*Table4[[#This Row],[unit_price]]</f>
        <v>15.77</v>
      </c>
      <c r="M464">
        <f>COUNTIFS($C$2:$C$3934,Table4[[#This Row],[customer_id]])</f>
        <v>8</v>
      </c>
      <c r="N464" t="str">
        <f>IF(Table4[[#This Row],[customer_order_count]]=1,"New Customer","Repeat Customer")</f>
        <v>Repeat Customer</v>
      </c>
    </row>
    <row r="465" spans="1:14">
      <c r="A465" t="s">
        <v>3527</v>
      </c>
      <c r="B465" s="1">
        <v>45613</v>
      </c>
      <c r="C465" t="s">
        <v>1903</v>
      </c>
      <c r="D465" t="s">
        <v>646</v>
      </c>
      <c r="E465" t="s">
        <v>21</v>
      </c>
      <c r="F465" t="s">
        <v>56</v>
      </c>
      <c r="G465" t="s">
        <v>254</v>
      </c>
      <c r="H465">
        <v>1</v>
      </c>
      <c r="I465" s="3">
        <v>15.78</v>
      </c>
      <c r="J465" t="s">
        <v>16</v>
      </c>
      <c r="K465" t="s">
        <v>30</v>
      </c>
      <c r="L465" s="4">
        <f>Table4[[#This Row],[quantity]]*Table4[[#This Row],[unit_price]]</f>
        <v>15.78</v>
      </c>
      <c r="M465">
        <f>COUNTIFS($C$2:$C$3934,Table4[[#This Row],[customer_id]])</f>
        <v>4</v>
      </c>
      <c r="N465" t="str">
        <f>IF(Table4[[#This Row],[customer_order_count]]=1,"New Customer","Repeat Customer")</f>
        <v>Repeat Customer</v>
      </c>
    </row>
    <row r="466" spans="1:14">
      <c r="A466" t="s">
        <v>231</v>
      </c>
      <c r="B466" s="1">
        <v>45610</v>
      </c>
      <c r="C466" t="s">
        <v>77</v>
      </c>
      <c r="D466" t="s">
        <v>78</v>
      </c>
      <c r="E466" t="s">
        <v>21</v>
      </c>
      <c r="F466" t="s">
        <v>28</v>
      </c>
      <c r="G466" t="s">
        <v>29</v>
      </c>
      <c r="H466">
        <v>1</v>
      </c>
      <c r="I466" s="3">
        <v>15.78</v>
      </c>
      <c r="J466" t="s">
        <v>16</v>
      </c>
      <c r="K466" t="s">
        <v>35</v>
      </c>
      <c r="L466" s="4">
        <f>Table4[[#This Row],[quantity]]*Table4[[#This Row],[unit_price]]</f>
        <v>15.78</v>
      </c>
      <c r="M466">
        <f>COUNTIFS($C$2:$C$3934,Table4[[#This Row],[customer_id]])</f>
        <v>6</v>
      </c>
      <c r="N466" t="str">
        <f>IF(Table4[[#This Row],[customer_order_count]]=1,"New Customer","Repeat Customer")</f>
        <v>Repeat Customer</v>
      </c>
    </row>
    <row r="467" spans="1:14">
      <c r="A467" t="s">
        <v>4985</v>
      </c>
      <c r="B467" s="1">
        <v>45629</v>
      </c>
      <c r="C467" t="s">
        <v>752</v>
      </c>
      <c r="D467" t="s">
        <v>452</v>
      </c>
      <c r="E467" t="s">
        <v>21</v>
      </c>
      <c r="F467" t="s">
        <v>14</v>
      </c>
      <c r="G467" t="s">
        <v>34</v>
      </c>
      <c r="H467">
        <v>1</v>
      </c>
      <c r="I467" s="3">
        <v>15.8</v>
      </c>
      <c r="J467" t="s">
        <v>16</v>
      </c>
      <c r="K467" t="s">
        <v>40</v>
      </c>
      <c r="L467" s="4">
        <f>Table4[[#This Row],[quantity]]*Table4[[#This Row],[unit_price]]</f>
        <v>15.8</v>
      </c>
      <c r="M467">
        <f>COUNTIFS($C$2:$C$3934,Table4[[#This Row],[customer_id]])</f>
        <v>7</v>
      </c>
      <c r="N467" t="str">
        <f>IF(Table4[[#This Row],[customer_order_count]]=1,"New Customer","Repeat Customer")</f>
        <v>Repeat Customer</v>
      </c>
    </row>
    <row r="468" spans="1:14">
      <c r="A468" t="s">
        <v>1696</v>
      </c>
      <c r="B468" s="1">
        <v>45021</v>
      </c>
      <c r="C468" t="s">
        <v>716</v>
      </c>
      <c r="D468" t="s">
        <v>717</v>
      </c>
      <c r="E468" t="s">
        <v>44</v>
      </c>
      <c r="F468" t="s">
        <v>56</v>
      </c>
      <c r="G468" t="s">
        <v>118</v>
      </c>
      <c r="H468">
        <v>1</v>
      </c>
      <c r="I468" s="3">
        <v>15.8</v>
      </c>
      <c r="J468" t="s">
        <v>16</v>
      </c>
      <c r="K468" t="s">
        <v>35</v>
      </c>
      <c r="L468" s="4">
        <f>Table4[[#This Row],[quantity]]*Table4[[#This Row],[unit_price]]</f>
        <v>15.8</v>
      </c>
      <c r="M468">
        <f>COUNTIFS($C$2:$C$3934,Table4[[#This Row],[customer_id]])</f>
        <v>3</v>
      </c>
      <c r="N468" t="str">
        <f>IF(Table4[[#This Row],[customer_order_count]]=1,"New Customer","Repeat Customer")</f>
        <v>Repeat Customer</v>
      </c>
    </row>
    <row r="469" spans="1:14">
      <c r="A469" t="s">
        <v>4955</v>
      </c>
      <c r="B469" s="1">
        <v>45555</v>
      </c>
      <c r="C469" t="s">
        <v>413</v>
      </c>
      <c r="D469" t="s">
        <v>414</v>
      </c>
      <c r="E469" t="s">
        <v>21</v>
      </c>
      <c r="F469" t="s">
        <v>28</v>
      </c>
      <c r="G469" t="s">
        <v>139</v>
      </c>
      <c r="H469">
        <v>1</v>
      </c>
      <c r="I469" s="3">
        <v>15.81</v>
      </c>
      <c r="J469" t="s">
        <v>16</v>
      </c>
      <c r="K469" t="s">
        <v>35</v>
      </c>
      <c r="L469" s="4">
        <f>Table4[[#This Row],[quantity]]*Table4[[#This Row],[unit_price]]</f>
        <v>15.81</v>
      </c>
      <c r="M469">
        <f>COUNTIFS($C$2:$C$3934,Table4[[#This Row],[customer_id]])</f>
        <v>8</v>
      </c>
      <c r="N469" t="str">
        <f>IF(Table4[[#This Row],[customer_order_count]]=1,"New Customer","Repeat Customer")</f>
        <v>Repeat Customer</v>
      </c>
    </row>
    <row r="470" spans="1:14">
      <c r="A470" t="s">
        <v>2737</v>
      </c>
      <c r="B470" s="1">
        <v>45475</v>
      </c>
      <c r="C470" t="s">
        <v>833</v>
      </c>
      <c r="D470" t="s">
        <v>834</v>
      </c>
      <c r="E470" t="s">
        <v>44</v>
      </c>
      <c r="F470" t="s">
        <v>28</v>
      </c>
      <c r="G470" t="s">
        <v>45</v>
      </c>
      <c r="H470">
        <v>1</v>
      </c>
      <c r="I470" s="3">
        <v>15.83</v>
      </c>
      <c r="J470" t="s">
        <v>24</v>
      </c>
      <c r="K470" t="s">
        <v>35</v>
      </c>
      <c r="L470" s="4">
        <f>Table4[[#This Row],[quantity]]*Table4[[#This Row],[unit_price]]</f>
        <v>15.83</v>
      </c>
      <c r="M470">
        <f>COUNTIFS($C$2:$C$3934,Table4[[#This Row],[customer_id]])</f>
        <v>5</v>
      </c>
      <c r="N470" t="str">
        <f>IF(Table4[[#This Row],[customer_order_count]]=1,"New Customer","Repeat Customer")</f>
        <v>Repeat Customer</v>
      </c>
    </row>
    <row r="471" spans="1:14">
      <c r="A471" t="s">
        <v>1498</v>
      </c>
      <c r="B471" s="1">
        <v>45267</v>
      </c>
      <c r="C471" t="s">
        <v>1499</v>
      </c>
      <c r="D471" t="s">
        <v>1500</v>
      </c>
      <c r="E471" t="s">
        <v>44</v>
      </c>
      <c r="F471" t="s">
        <v>22</v>
      </c>
      <c r="G471" t="s">
        <v>23</v>
      </c>
      <c r="H471">
        <v>1</v>
      </c>
      <c r="I471" s="3">
        <v>15.83</v>
      </c>
      <c r="J471" t="s">
        <v>255</v>
      </c>
      <c r="K471" s="2" t="s">
        <v>5256</v>
      </c>
      <c r="L471" s="4">
        <f>Table4[[#This Row],[quantity]]*Table4[[#This Row],[unit_price]]</f>
        <v>15.83</v>
      </c>
      <c r="M471">
        <f>COUNTIFS($C$2:$C$3934,Table4[[#This Row],[customer_id]])</f>
        <v>6</v>
      </c>
      <c r="N471" t="str">
        <f>IF(Table4[[#This Row],[customer_order_count]]=1,"New Customer","Repeat Customer")</f>
        <v>Repeat Customer</v>
      </c>
    </row>
    <row r="472" spans="1:14">
      <c r="A472" t="s">
        <v>3614</v>
      </c>
      <c r="B472" s="1">
        <v>45388</v>
      </c>
      <c r="C472" t="s">
        <v>985</v>
      </c>
      <c r="D472" t="s">
        <v>986</v>
      </c>
      <c r="E472" t="s">
        <v>44</v>
      </c>
      <c r="F472" t="s">
        <v>28</v>
      </c>
      <c r="G472" t="s">
        <v>139</v>
      </c>
      <c r="H472">
        <v>4</v>
      </c>
      <c r="I472" s="3">
        <v>15.83</v>
      </c>
      <c r="J472" t="s">
        <v>24</v>
      </c>
      <c r="K472" s="5" t="s">
        <v>40</v>
      </c>
      <c r="L472" s="4">
        <f>Table4[[#This Row],[quantity]]*Table4[[#This Row],[unit_price]]</f>
        <v>63.32</v>
      </c>
      <c r="M472">
        <f>COUNTIFS($C$2:$C$3934,Table4[[#This Row],[customer_id]])</f>
        <v>3</v>
      </c>
      <c r="N472" t="str">
        <f>IF(Table4[[#This Row],[customer_order_count]]=1,"New Customer","Repeat Customer")</f>
        <v>Repeat Customer</v>
      </c>
    </row>
    <row r="473" spans="1:14">
      <c r="A473" t="s">
        <v>4973</v>
      </c>
      <c r="B473" s="1">
        <v>45016</v>
      </c>
      <c r="C473" t="s">
        <v>2266</v>
      </c>
      <c r="D473" t="s">
        <v>464</v>
      </c>
      <c r="E473" t="s">
        <v>44</v>
      </c>
      <c r="F473" t="s">
        <v>66</v>
      </c>
      <c r="G473" t="s">
        <v>128</v>
      </c>
      <c r="H473">
        <v>1</v>
      </c>
      <c r="I473" s="3">
        <v>15.85</v>
      </c>
      <c r="J473" t="s">
        <v>16</v>
      </c>
      <c r="K473" t="s">
        <v>40</v>
      </c>
      <c r="L473" s="4">
        <f>Table4[[#This Row],[quantity]]*Table4[[#This Row],[unit_price]]</f>
        <v>15.85</v>
      </c>
      <c r="M473">
        <f>COUNTIFS($C$2:$C$3934,Table4[[#This Row],[customer_id]])</f>
        <v>5</v>
      </c>
      <c r="N473" t="str">
        <f>IF(Table4[[#This Row],[customer_order_count]]=1,"New Customer","Repeat Customer")</f>
        <v>Repeat Customer</v>
      </c>
    </row>
    <row r="474" spans="1:14">
      <c r="A474" t="s">
        <v>3081</v>
      </c>
      <c r="B474" s="1">
        <v>45189</v>
      </c>
      <c r="C474" t="s">
        <v>2086</v>
      </c>
      <c r="D474" t="s">
        <v>650</v>
      </c>
      <c r="E474" t="s">
        <v>44</v>
      </c>
      <c r="F474" t="s">
        <v>28</v>
      </c>
      <c r="G474" t="s">
        <v>114</v>
      </c>
      <c r="H474">
        <v>2</v>
      </c>
      <c r="I474" s="3">
        <v>15.86</v>
      </c>
      <c r="J474" t="s">
        <v>16</v>
      </c>
      <c r="K474" t="s">
        <v>40</v>
      </c>
      <c r="L474" s="4">
        <f>Table4[[#This Row],[quantity]]*Table4[[#This Row],[unit_price]]</f>
        <v>31.72</v>
      </c>
      <c r="M474">
        <f>COUNTIFS($C$2:$C$3934,Table4[[#This Row],[customer_id]])</f>
        <v>7</v>
      </c>
      <c r="N474" t="str">
        <f>IF(Table4[[#This Row],[customer_order_count]]=1,"New Customer","Repeat Customer")</f>
        <v>Repeat Customer</v>
      </c>
    </row>
    <row r="475" spans="1:14">
      <c r="A475" t="s">
        <v>5110</v>
      </c>
      <c r="B475" s="1">
        <v>45190</v>
      </c>
      <c r="C475" t="s">
        <v>1934</v>
      </c>
      <c r="D475" t="s">
        <v>1935</v>
      </c>
      <c r="E475" t="s">
        <v>44</v>
      </c>
      <c r="F475" t="s">
        <v>79</v>
      </c>
      <c r="G475" t="s">
        <v>541</v>
      </c>
      <c r="H475">
        <v>2</v>
      </c>
      <c r="I475" s="3">
        <v>15.88</v>
      </c>
      <c r="J475" t="s">
        <v>16</v>
      </c>
      <c r="K475" t="s">
        <v>40</v>
      </c>
      <c r="L475" s="4">
        <f>Table4[[#This Row],[quantity]]*Table4[[#This Row],[unit_price]]</f>
        <v>31.76</v>
      </c>
      <c r="M475">
        <f>COUNTIFS($C$2:$C$3934,Table4[[#This Row],[customer_id]])</f>
        <v>5</v>
      </c>
      <c r="N475" t="str">
        <f>IF(Table4[[#This Row],[customer_order_count]]=1,"New Customer","Repeat Customer")</f>
        <v>Repeat Customer</v>
      </c>
    </row>
    <row r="476" spans="1:14">
      <c r="A476" t="s">
        <v>1172</v>
      </c>
      <c r="B476" s="1">
        <v>45069</v>
      </c>
      <c r="C476" t="s">
        <v>1173</v>
      </c>
      <c r="D476" t="s">
        <v>1153</v>
      </c>
      <c r="E476" t="s">
        <v>21</v>
      </c>
      <c r="F476" t="s">
        <v>66</v>
      </c>
      <c r="G476" t="s">
        <v>67</v>
      </c>
      <c r="H476">
        <v>1</v>
      </c>
      <c r="I476" s="3">
        <v>15.89</v>
      </c>
      <c r="J476" t="s">
        <v>16</v>
      </c>
      <c r="K476" t="s">
        <v>17</v>
      </c>
      <c r="L476" s="4">
        <f>Table4[[#This Row],[quantity]]*Table4[[#This Row],[unit_price]]</f>
        <v>15.89</v>
      </c>
      <c r="M476">
        <f>COUNTIFS($C$2:$C$3934,Table4[[#This Row],[customer_id]])</f>
        <v>8</v>
      </c>
      <c r="N476" t="str">
        <f>IF(Table4[[#This Row],[customer_order_count]]=1,"New Customer","Repeat Customer")</f>
        <v>Repeat Customer</v>
      </c>
    </row>
    <row r="477" spans="1:14">
      <c r="A477" t="s">
        <v>2937</v>
      </c>
      <c r="B477" s="1">
        <v>45423</v>
      </c>
      <c r="C477" t="s">
        <v>1620</v>
      </c>
      <c r="D477" t="s">
        <v>109</v>
      </c>
      <c r="E477" t="s">
        <v>21</v>
      </c>
      <c r="F477" t="s">
        <v>66</v>
      </c>
      <c r="G477" t="s">
        <v>128</v>
      </c>
      <c r="H477">
        <v>2</v>
      </c>
      <c r="I477" s="3">
        <v>15.91</v>
      </c>
      <c r="J477" t="s">
        <v>16</v>
      </c>
      <c r="K477" t="s">
        <v>35</v>
      </c>
      <c r="L477" s="4">
        <f>Table4[[#This Row],[quantity]]*Table4[[#This Row],[unit_price]]</f>
        <v>31.82</v>
      </c>
      <c r="M477">
        <f>COUNTIFS($C$2:$C$3934,Table4[[#This Row],[customer_id]])</f>
        <v>5</v>
      </c>
      <c r="N477" t="str">
        <f>IF(Table4[[#This Row],[customer_order_count]]=1,"New Customer","Repeat Customer")</f>
        <v>Repeat Customer</v>
      </c>
    </row>
    <row r="478" spans="1:14">
      <c r="A478" t="s">
        <v>2399</v>
      </c>
      <c r="B478" s="1">
        <v>44983</v>
      </c>
      <c r="C478" t="s">
        <v>711</v>
      </c>
      <c r="D478" t="s">
        <v>505</v>
      </c>
      <c r="E478" t="s">
        <v>21</v>
      </c>
      <c r="F478" t="s">
        <v>22</v>
      </c>
      <c r="G478" t="s">
        <v>23</v>
      </c>
      <c r="H478">
        <v>1</v>
      </c>
      <c r="I478" s="3">
        <v>15.93</v>
      </c>
      <c r="J478" t="s">
        <v>16</v>
      </c>
      <c r="K478" t="s">
        <v>40</v>
      </c>
      <c r="L478" s="4">
        <f>Table4[[#This Row],[quantity]]*Table4[[#This Row],[unit_price]]</f>
        <v>15.93</v>
      </c>
      <c r="M478">
        <f>COUNTIFS($C$2:$C$3934,Table4[[#This Row],[customer_id]])</f>
        <v>8</v>
      </c>
      <c r="N478" t="str">
        <f>IF(Table4[[#This Row],[customer_order_count]]=1,"New Customer","Repeat Customer")</f>
        <v>Repeat Customer</v>
      </c>
    </row>
    <row r="479" spans="1:14">
      <c r="A479" t="s">
        <v>3167</v>
      </c>
      <c r="B479" s="1">
        <v>45320</v>
      </c>
      <c r="C479" t="s">
        <v>1679</v>
      </c>
      <c r="D479" t="s">
        <v>65</v>
      </c>
      <c r="E479" t="s">
        <v>21</v>
      </c>
      <c r="F479" t="s">
        <v>79</v>
      </c>
      <c r="G479" t="s">
        <v>398</v>
      </c>
      <c r="H479">
        <v>1</v>
      </c>
      <c r="I479" s="3">
        <v>15.96</v>
      </c>
      <c r="J479" t="s">
        <v>16</v>
      </c>
      <c r="K479" t="s">
        <v>35</v>
      </c>
      <c r="L479" s="4">
        <f>Table4[[#This Row],[quantity]]*Table4[[#This Row],[unit_price]]</f>
        <v>15.96</v>
      </c>
      <c r="M479">
        <f>COUNTIFS($C$2:$C$3934,Table4[[#This Row],[customer_id]])</f>
        <v>8</v>
      </c>
      <c r="N479" t="str">
        <f>IF(Table4[[#This Row],[customer_order_count]]=1,"New Customer","Repeat Customer")</f>
        <v>Repeat Customer</v>
      </c>
    </row>
    <row r="480" spans="1:14">
      <c r="A480" t="s">
        <v>3339</v>
      </c>
      <c r="B480" s="1">
        <v>45154</v>
      </c>
      <c r="C480" t="s">
        <v>1690</v>
      </c>
      <c r="D480" t="s">
        <v>1691</v>
      </c>
      <c r="E480" t="s">
        <v>44</v>
      </c>
      <c r="F480" t="s">
        <v>22</v>
      </c>
      <c r="G480" t="s">
        <v>23</v>
      </c>
      <c r="H480">
        <v>1</v>
      </c>
      <c r="I480" s="3">
        <v>15.98</v>
      </c>
      <c r="J480" t="s">
        <v>85</v>
      </c>
      <c r="K480" t="s">
        <v>30</v>
      </c>
      <c r="L480" s="4">
        <f>Table4[[#This Row],[quantity]]*Table4[[#This Row],[unit_price]]</f>
        <v>15.98</v>
      </c>
      <c r="M480">
        <f>COUNTIFS($C$2:$C$3934,Table4[[#This Row],[customer_id]])</f>
        <v>5</v>
      </c>
      <c r="N480" t="str">
        <f>IF(Table4[[#This Row],[customer_order_count]]=1,"New Customer","Repeat Customer")</f>
        <v>Repeat Customer</v>
      </c>
    </row>
    <row r="481" spans="1:14">
      <c r="A481" t="s">
        <v>1521</v>
      </c>
      <c r="B481" s="1">
        <v>45267</v>
      </c>
      <c r="C481" t="s">
        <v>1522</v>
      </c>
      <c r="D481" t="s">
        <v>1523</v>
      </c>
      <c r="E481" t="s">
        <v>21</v>
      </c>
      <c r="F481" t="s">
        <v>66</v>
      </c>
      <c r="G481" t="s">
        <v>128</v>
      </c>
      <c r="H481">
        <v>1</v>
      </c>
      <c r="I481" s="3">
        <v>15.99</v>
      </c>
      <c r="J481" t="s">
        <v>16</v>
      </c>
      <c r="K481" t="s">
        <v>30</v>
      </c>
      <c r="L481" s="4">
        <f>Table4[[#This Row],[quantity]]*Table4[[#This Row],[unit_price]]</f>
        <v>15.99</v>
      </c>
      <c r="M481">
        <f>COUNTIFS($C$2:$C$3934,Table4[[#This Row],[customer_id]])</f>
        <v>11</v>
      </c>
      <c r="N481" t="str">
        <f>IF(Table4[[#This Row],[customer_order_count]]=1,"New Customer","Repeat Customer")</f>
        <v>Repeat Customer</v>
      </c>
    </row>
    <row r="482" spans="1:14">
      <c r="A482" t="s">
        <v>1329</v>
      </c>
      <c r="B482" s="1">
        <v>45293</v>
      </c>
      <c r="C482" t="s">
        <v>1330</v>
      </c>
      <c r="D482" t="s">
        <v>1331</v>
      </c>
      <c r="E482" t="s">
        <v>21</v>
      </c>
      <c r="F482" t="s">
        <v>66</v>
      </c>
      <c r="G482" t="s">
        <v>67</v>
      </c>
      <c r="H482">
        <v>1</v>
      </c>
      <c r="I482" s="3">
        <v>16.02</v>
      </c>
      <c r="J482" t="s">
        <v>16</v>
      </c>
      <c r="K482" t="s">
        <v>17</v>
      </c>
      <c r="L482" s="4">
        <f>Table4[[#This Row],[quantity]]*Table4[[#This Row],[unit_price]]</f>
        <v>16.02</v>
      </c>
      <c r="M482">
        <f>COUNTIFS($C$2:$C$3934,Table4[[#This Row],[customer_id]])</f>
        <v>5</v>
      </c>
      <c r="N482" t="str">
        <f>IF(Table4[[#This Row],[customer_order_count]]=1,"New Customer","Repeat Customer")</f>
        <v>Repeat Customer</v>
      </c>
    </row>
    <row r="483" spans="1:14">
      <c r="A483" t="s">
        <v>3735</v>
      </c>
      <c r="B483" s="1">
        <v>45273</v>
      </c>
      <c r="C483" t="s">
        <v>850</v>
      </c>
      <c r="D483" t="s">
        <v>851</v>
      </c>
      <c r="E483" t="s">
        <v>21</v>
      </c>
      <c r="F483" t="s">
        <v>66</v>
      </c>
      <c r="G483" t="s">
        <v>128</v>
      </c>
      <c r="H483">
        <v>1</v>
      </c>
      <c r="I483" s="3">
        <v>16.04</v>
      </c>
      <c r="J483" t="s">
        <v>16</v>
      </c>
      <c r="K483" t="s">
        <v>35</v>
      </c>
      <c r="L483" s="4">
        <f>Table4[[#This Row],[quantity]]*Table4[[#This Row],[unit_price]]</f>
        <v>16.04</v>
      </c>
      <c r="M483">
        <f>COUNTIFS($C$2:$C$3934,Table4[[#This Row],[customer_id]])</f>
        <v>9</v>
      </c>
      <c r="N483" t="str">
        <f>IF(Table4[[#This Row],[customer_order_count]]=1,"New Customer","Repeat Customer")</f>
        <v>Repeat Customer</v>
      </c>
    </row>
    <row r="484" spans="1:14">
      <c r="A484" t="s">
        <v>2049</v>
      </c>
      <c r="B484" s="1">
        <v>45611</v>
      </c>
      <c r="C484" t="s">
        <v>1801</v>
      </c>
      <c r="D484" t="s">
        <v>569</v>
      </c>
      <c r="E484" t="s">
        <v>21</v>
      </c>
      <c r="F484" t="s">
        <v>22</v>
      </c>
      <c r="G484" t="s">
        <v>264</v>
      </c>
      <c r="H484">
        <v>1</v>
      </c>
      <c r="I484" s="3">
        <v>16.059999999999999</v>
      </c>
      <c r="J484" t="s">
        <v>16</v>
      </c>
      <c r="K484" t="s">
        <v>35</v>
      </c>
      <c r="L484" s="4">
        <f>Table4[[#This Row],[quantity]]*Table4[[#This Row],[unit_price]]</f>
        <v>16.059999999999999</v>
      </c>
      <c r="M484">
        <f>COUNTIFS($C$2:$C$3934,Table4[[#This Row],[customer_id]])</f>
        <v>6</v>
      </c>
      <c r="N484" t="str">
        <f>IF(Table4[[#This Row],[customer_order_count]]=1,"New Customer","Repeat Customer")</f>
        <v>Repeat Customer</v>
      </c>
    </row>
    <row r="485" spans="1:14">
      <c r="A485" t="s">
        <v>4618</v>
      </c>
      <c r="B485" s="1">
        <v>45138</v>
      </c>
      <c r="C485" t="s">
        <v>1374</v>
      </c>
      <c r="D485" t="s">
        <v>1000</v>
      </c>
      <c r="E485" t="s">
        <v>21</v>
      </c>
      <c r="F485" t="s">
        <v>28</v>
      </c>
      <c r="G485" t="s">
        <v>114</v>
      </c>
      <c r="H485">
        <v>1</v>
      </c>
      <c r="I485" s="3">
        <v>16.07</v>
      </c>
      <c r="J485" t="s">
        <v>16</v>
      </c>
      <c r="K485" t="s">
        <v>17</v>
      </c>
      <c r="L485" s="4">
        <f>Table4[[#This Row],[quantity]]*Table4[[#This Row],[unit_price]]</f>
        <v>16.07</v>
      </c>
      <c r="M485">
        <f>COUNTIFS($C$2:$C$3934,Table4[[#This Row],[customer_id]])</f>
        <v>6</v>
      </c>
      <c r="N485" t="str">
        <f>IF(Table4[[#This Row],[customer_order_count]]=1,"New Customer","Repeat Customer")</f>
        <v>Repeat Customer</v>
      </c>
    </row>
    <row r="486" spans="1:14">
      <c r="A486" t="s">
        <v>4711</v>
      </c>
      <c r="B486" s="1">
        <v>45500</v>
      </c>
      <c r="C486" t="s">
        <v>810</v>
      </c>
      <c r="D486" t="s">
        <v>811</v>
      </c>
      <c r="E486" t="s">
        <v>21</v>
      </c>
      <c r="F486" t="s">
        <v>66</v>
      </c>
      <c r="G486" t="s">
        <v>238</v>
      </c>
      <c r="H486">
        <v>3</v>
      </c>
      <c r="I486" s="3">
        <v>16.07</v>
      </c>
      <c r="J486" t="s">
        <v>16</v>
      </c>
      <c r="K486" t="s">
        <v>30</v>
      </c>
      <c r="L486" s="4">
        <f>Table4[[#This Row],[quantity]]*Table4[[#This Row],[unit_price]]</f>
        <v>48.21</v>
      </c>
      <c r="M486">
        <f>COUNTIFS($C$2:$C$3934,Table4[[#This Row],[customer_id]])</f>
        <v>7</v>
      </c>
      <c r="N486" t="str">
        <f>IF(Table4[[#This Row],[customer_order_count]]=1,"New Customer","Repeat Customer")</f>
        <v>Repeat Customer</v>
      </c>
    </row>
    <row r="487" spans="1:14">
      <c r="A487" t="s">
        <v>527</v>
      </c>
      <c r="B487" s="1">
        <v>45639</v>
      </c>
      <c r="C487" t="s">
        <v>528</v>
      </c>
      <c r="D487" t="s">
        <v>529</v>
      </c>
      <c r="E487" t="s">
        <v>21</v>
      </c>
      <c r="F487" t="s">
        <v>14</v>
      </c>
      <c r="G487" t="s">
        <v>258</v>
      </c>
      <c r="H487">
        <v>1</v>
      </c>
      <c r="I487" s="3">
        <v>16.11</v>
      </c>
      <c r="J487" t="s">
        <v>16</v>
      </c>
      <c r="K487" t="s">
        <v>35</v>
      </c>
      <c r="L487" s="4">
        <f>Table4[[#This Row],[quantity]]*Table4[[#This Row],[unit_price]]</f>
        <v>16.11</v>
      </c>
      <c r="M487">
        <f>COUNTIFS($C$2:$C$3934,Table4[[#This Row],[customer_id]])</f>
        <v>3</v>
      </c>
      <c r="N487" t="str">
        <f>IF(Table4[[#This Row],[customer_order_count]]=1,"New Customer","Repeat Customer")</f>
        <v>Repeat Customer</v>
      </c>
    </row>
    <row r="488" spans="1:14">
      <c r="A488" t="s">
        <v>3691</v>
      </c>
      <c r="B488" s="1">
        <v>44929</v>
      </c>
      <c r="C488" t="s">
        <v>914</v>
      </c>
      <c r="D488" t="s">
        <v>95</v>
      </c>
      <c r="E488" t="s">
        <v>21</v>
      </c>
      <c r="F488" t="s">
        <v>22</v>
      </c>
      <c r="G488" t="s">
        <v>162</v>
      </c>
      <c r="H488">
        <v>1</v>
      </c>
      <c r="I488" s="3">
        <v>16.14</v>
      </c>
      <c r="J488" t="s">
        <v>16</v>
      </c>
      <c r="K488" t="s">
        <v>40</v>
      </c>
      <c r="L488" s="4">
        <f>Table4[[#This Row],[quantity]]*Table4[[#This Row],[unit_price]]</f>
        <v>16.14</v>
      </c>
      <c r="M488">
        <f>COUNTIFS($C$2:$C$3934,Table4[[#This Row],[customer_id]])</f>
        <v>10</v>
      </c>
      <c r="N488" t="str">
        <f>IF(Table4[[#This Row],[customer_order_count]]=1,"New Customer","Repeat Customer")</f>
        <v>Repeat Customer</v>
      </c>
    </row>
    <row r="489" spans="1:14">
      <c r="A489" t="s">
        <v>688</v>
      </c>
      <c r="B489" s="1">
        <v>45382</v>
      </c>
      <c r="C489" t="s">
        <v>490</v>
      </c>
      <c r="D489" t="s">
        <v>491</v>
      </c>
      <c r="E489" t="s">
        <v>21</v>
      </c>
      <c r="F489" t="s">
        <v>66</v>
      </c>
      <c r="G489" t="s">
        <v>49</v>
      </c>
      <c r="H489">
        <v>3</v>
      </c>
      <c r="I489" s="3">
        <v>16.18</v>
      </c>
      <c r="J489" t="s">
        <v>16</v>
      </c>
      <c r="K489" t="s">
        <v>35</v>
      </c>
      <c r="L489" s="4">
        <f>Table4[[#This Row],[quantity]]*Table4[[#This Row],[unit_price]]</f>
        <v>48.54</v>
      </c>
      <c r="M489">
        <f>COUNTIFS($C$2:$C$3934,Table4[[#This Row],[customer_id]])</f>
        <v>5</v>
      </c>
      <c r="N489" t="str">
        <f>IF(Table4[[#This Row],[customer_order_count]]=1,"New Customer","Repeat Customer")</f>
        <v>Repeat Customer</v>
      </c>
    </row>
    <row r="490" spans="1:14">
      <c r="A490" t="s">
        <v>3284</v>
      </c>
      <c r="B490" s="1">
        <v>45271</v>
      </c>
      <c r="C490" t="s">
        <v>3170</v>
      </c>
      <c r="D490" t="s">
        <v>3171</v>
      </c>
      <c r="E490" t="s">
        <v>21</v>
      </c>
      <c r="F490" t="s">
        <v>70</v>
      </c>
      <c r="G490" t="s">
        <v>89</v>
      </c>
      <c r="H490">
        <v>1</v>
      </c>
      <c r="I490" s="3">
        <v>16.190000000000001</v>
      </c>
      <c r="J490" t="s">
        <v>16</v>
      </c>
      <c r="K490" t="s">
        <v>35</v>
      </c>
      <c r="L490" s="4">
        <f>Table4[[#This Row],[quantity]]*Table4[[#This Row],[unit_price]]</f>
        <v>16.190000000000001</v>
      </c>
      <c r="M490">
        <f>COUNTIFS($C$2:$C$3934,Table4[[#This Row],[customer_id]])</f>
        <v>2</v>
      </c>
      <c r="N490" t="str">
        <f>IF(Table4[[#This Row],[customer_order_count]]=1,"New Customer","Repeat Customer")</f>
        <v>Repeat Customer</v>
      </c>
    </row>
    <row r="491" spans="1:14">
      <c r="A491" t="s">
        <v>2364</v>
      </c>
      <c r="B491" s="1">
        <v>45067</v>
      </c>
      <c r="C491" t="s">
        <v>1389</v>
      </c>
      <c r="D491" t="s">
        <v>1390</v>
      </c>
      <c r="E491" t="s">
        <v>21</v>
      </c>
      <c r="F491" t="s">
        <v>70</v>
      </c>
      <c r="G491" t="s">
        <v>71</v>
      </c>
      <c r="H491">
        <v>1</v>
      </c>
      <c r="I491" s="3">
        <v>16.2</v>
      </c>
      <c r="J491" t="s">
        <v>255</v>
      </c>
      <c r="K491" t="s">
        <v>30</v>
      </c>
      <c r="L491" s="4">
        <f>Table4[[#This Row],[quantity]]*Table4[[#This Row],[unit_price]]</f>
        <v>16.2</v>
      </c>
      <c r="M491">
        <f>COUNTIFS($C$2:$C$3934,Table4[[#This Row],[customer_id]])</f>
        <v>5</v>
      </c>
      <c r="N491" t="str">
        <f>IF(Table4[[#This Row],[customer_order_count]]=1,"New Customer","Repeat Customer")</f>
        <v>Repeat Customer</v>
      </c>
    </row>
    <row r="492" spans="1:14">
      <c r="A492" t="s">
        <v>4232</v>
      </c>
      <c r="B492" s="1">
        <v>45289</v>
      </c>
      <c r="C492" t="s">
        <v>775</v>
      </c>
      <c r="D492" t="s">
        <v>678</v>
      </c>
      <c r="E492" t="s">
        <v>44</v>
      </c>
      <c r="F492" t="s">
        <v>66</v>
      </c>
      <c r="G492" t="s">
        <v>67</v>
      </c>
      <c r="H492">
        <v>1</v>
      </c>
      <c r="I492" s="3">
        <v>16.2</v>
      </c>
      <c r="J492" t="s">
        <v>16</v>
      </c>
      <c r="K492" t="s">
        <v>40</v>
      </c>
      <c r="L492" s="4">
        <f>Table4[[#This Row],[quantity]]*Table4[[#This Row],[unit_price]]</f>
        <v>16.2</v>
      </c>
      <c r="M492">
        <f>COUNTIFS($C$2:$C$3934,Table4[[#This Row],[customer_id]])</f>
        <v>5</v>
      </c>
      <c r="N492" t="str">
        <f>IF(Table4[[#This Row],[customer_order_count]]=1,"New Customer","Repeat Customer")</f>
        <v>Repeat Customer</v>
      </c>
    </row>
    <row r="493" spans="1:14">
      <c r="A493" t="s">
        <v>2680</v>
      </c>
      <c r="B493" s="1">
        <v>45017</v>
      </c>
      <c r="C493" t="s">
        <v>591</v>
      </c>
      <c r="D493" t="s">
        <v>592</v>
      </c>
      <c r="E493" t="s">
        <v>21</v>
      </c>
      <c r="F493" t="s">
        <v>66</v>
      </c>
      <c r="G493" t="s">
        <v>128</v>
      </c>
      <c r="H493">
        <v>1</v>
      </c>
      <c r="I493" s="3">
        <v>16.21</v>
      </c>
      <c r="J493" t="s">
        <v>16</v>
      </c>
      <c r="K493" t="s">
        <v>35</v>
      </c>
      <c r="L493" s="4">
        <f>Table4[[#This Row],[quantity]]*Table4[[#This Row],[unit_price]]</f>
        <v>16.21</v>
      </c>
      <c r="M493">
        <f>COUNTIFS($C$2:$C$3934,Table4[[#This Row],[customer_id]])</f>
        <v>6</v>
      </c>
      <c r="N493" t="str">
        <f>IF(Table4[[#This Row],[customer_order_count]]=1,"New Customer","Repeat Customer")</f>
        <v>Repeat Customer</v>
      </c>
    </row>
    <row r="494" spans="1:14">
      <c r="A494" t="s">
        <v>4729</v>
      </c>
      <c r="B494" s="1">
        <v>45453</v>
      </c>
      <c r="C494" t="s">
        <v>1648</v>
      </c>
      <c r="D494" t="s">
        <v>1208</v>
      </c>
      <c r="E494" t="s">
        <v>61</v>
      </c>
      <c r="F494" t="s">
        <v>70</v>
      </c>
      <c r="G494" t="s">
        <v>526</v>
      </c>
      <c r="H494">
        <v>1</v>
      </c>
      <c r="I494" s="3">
        <v>16.23</v>
      </c>
      <c r="J494" t="s">
        <v>16</v>
      </c>
      <c r="K494" t="s">
        <v>17</v>
      </c>
      <c r="L494" s="4">
        <f>Table4[[#This Row],[quantity]]*Table4[[#This Row],[unit_price]]</f>
        <v>16.23</v>
      </c>
      <c r="M494">
        <f>COUNTIFS($C$2:$C$3934,Table4[[#This Row],[customer_id]])</f>
        <v>6</v>
      </c>
      <c r="N494" t="str">
        <f>IF(Table4[[#This Row],[customer_order_count]]=1,"New Customer","Repeat Customer")</f>
        <v>Repeat Customer</v>
      </c>
    </row>
    <row r="495" spans="1:14">
      <c r="A495" t="s">
        <v>5128</v>
      </c>
      <c r="B495" s="1">
        <v>45397</v>
      </c>
      <c r="C495" t="s">
        <v>2342</v>
      </c>
      <c r="D495" t="s">
        <v>2343</v>
      </c>
      <c r="E495" t="s">
        <v>21</v>
      </c>
      <c r="F495" t="s">
        <v>66</v>
      </c>
      <c r="G495" t="s">
        <v>128</v>
      </c>
      <c r="H495">
        <v>1</v>
      </c>
      <c r="I495" s="3">
        <v>16.239999999999998</v>
      </c>
      <c r="J495" t="s">
        <v>16</v>
      </c>
      <c r="K495" t="s">
        <v>17</v>
      </c>
      <c r="L495" s="4">
        <f>Table4[[#This Row],[quantity]]*Table4[[#This Row],[unit_price]]</f>
        <v>16.239999999999998</v>
      </c>
      <c r="M495">
        <f>COUNTIFS($C$2:$C$3934,Table4[[#This Row],[customer_id]])</f>
        <v>7</v>
      </c>
      <c r="N495" t="str">
        <f>IF(Table4[[#This Row],[customer_order_count]]=1,"New Customer","Repeat Customer")</f>
        <v>Repeat Customer</v>
      </c>
    </row>
    <row r="496" spans="1:14">
      <c r="A496" t="s">
        <v>284</v>
      </c>
      <c r="B496" s="1">
        <v>45317</v>
      </c>
      <c r="C496" t="s">
        <v>285</v>
      </c>
      <c r="D496" t="s">
        <v>286</v>
      </c>
      <c r="E496" t="s">
        <v>21</v>
      </c>
      <c r="F496" t="s">
        <v>56</v>
      </c>
      <c r="G496" t="s">
        <v>210</v>
      </c>
      <c r="H496">
        <v>2</v>
      </c>
      <c r="I496" s="3">
        <v>16.260000000000002</v>
      </c>
      <c r="J496" t="s">
        <v>16</v>
      </c>
      <c r="K496" t="s">
        <v>40</v>
      </c>
      <c r="L496" s="4">
        <f>Table4[[#This Row],[quantity]]*Table4[[#This Row],[unit_price]]</f>
        <v>32.520000000000003</v>
      </c>
      <c r="M496">
        <f>COUNTIFS($C$2:$C$3934,Table4[[#This Row],[customer_id]])</f>
        <v>9</v>
      </c>
      <c r="N496" t="str">
        <f>IF(Table4[[#This Row],[customer_order_count]]=1,"New Customer","Repeat Customer")</f>
        <v>Repeat Customer</v>
      </c>
    </row>
    <row r="497" spans="1:14">
      <c r="A497" t="s">
        <v>2128</v>
      </c>
      <c r="B497" s="1">
        <v>44985</v>
      </c>
      <c r="C497" t="s">
        <v>1215</v>
      </c>
      <c r="D497" t="s">
        <v>761</v>
      </c>
      <c r="E497" t="s">
        <v>44</v>
      </c>
      <c r="F497" t="s">
        <v>66</v>
      </c>
      <c r="G497" t="s">
        <v>49</v>
      </c>
      <c r="H497">
        <v>1</v>
      </c>
      <c r="I497" s="3">
        <v>16.27</v>
      </c>
      <c r="J497" t="s">
        <v>16</v>
      </c>
      <c r="K497" s="2" t="s">
        <v>5256</v>
      </c>
      <c r="L497" s="4">
        <f>Table4[[#This Row],[quantity]]*Table4[[#This Row],[unit_price]]</f>
        <v>16.27</v>
      </c>
      <c r="M497">
        <f>COUNTIFS($C$2:$C$3934,Table4[[#This Row],[customer_id]])</f>
        <v>3</v>
      </c>
      <c r="N497" t="str">
        <f>IF(Table4[[#This Row],[customer_order_count]]=1,"New Customer","Repeat Customer")</f>
        <v>Repeat Customer</v>
      </c>
    </row>
    <row r="498" spans="1:14">
      <c r="A498" t="s">
        <v>1109</v>
      </c>
      <c r="B498" s="1">
        <v>45530</v>
      </c>
      <c r="C498" t="s">
        <v>1110</v>
      </c>
      <c r="D498" t="s">
        <v>602</v>
      </c>
      <c r="E498" t="s">
        <v>21</v>
      </c>
      <c r="F498" t="s">
        <v>66</v>
      </c>
      <c r="G498" t="s">
        <v>67</v>
      </c>
      <c r="H498">
        <v>1</v>
      </c>
      <c r="I498" s="3">
        <v>16.28</v>
      </c>
      <c r="J498" t="s">
        <v>16</v>
      </c>
      <c r="K498" s="5" t="s">
        <v>30</v>
      </c>
      <c r="L498" s="4">
        <f>Table4[[#This Row],[quantity]]*Table4[[#This Row],[unit_price]]</f>
        <v>16.28</v>
      </c>
      <c r="M498">
        <f>COUNTIFS($C$2:$C$3934,Table4[[#This Row],[customer_id]])</f>
        <v>5</v>
      </c>
      <c r="N498" t="str">
        <f>IF(Table4[[#This Row],[customer_order_count]]=1,"New Customer","Repeat Customer")</f>
        <v>Repeat Customer</v>
      </c>
    </row>
    <row r="499" spans="1:14">
      <c r="A499" t="s">
        <v>5107</v>
      </c>
      <c r="B499" s="1">
        <v>45280</v>
      </c>
      <c r="C499" t="s">
        <v>745</v>
      </c>
      <c r="D499" t="s">
        <v>318</v>
      </c>
      <c r="E499" t="s">
        <v>21</v>
      </c>
      <c r="F499" t="s">
        <v>56</v>
      </c>
      <c r="G499" t="s">
        <v>422</v>
      </c>
      <c r="H499">
        <v>1</v>
      </c>
      <c r="I499" s="3">
        <v>16.28</v>
      </c>
      <c r="J499" t="s">
        <v>16</v>
      </c>
      <c r="K499" t="s">
        <v>17</v>
      </c>
      <c r="L499" s="4">
        <f>Table4[[#This Row],[quantity]]*Table4[[#This Row],[unit_price]]</f>
        <v>16.28</v>
      </c>
      <c r="M499">
        <f>COUNTIFS($C$2:$C$3934,Table4[[#This Row],[customer_id]])</f>
        <v>4</v>
      </c>
      <c r="N499" t="str">
        <f>IF(Table4[[#This Row],[customer_order_count]]=1,"New Customer","Repeat Customer")</f>
        <v>Repeat Customer</v>
      </c>
    </row>
    <row r="500" spans="1:14">
      <c r="A500" t="s">
        <v>3037</v>
      </c>
      <c r="B500" s="1">
        <v>45354</v>
      </c>
      <c r="C500" t="s">
        <v>817</v>
      </c>
      <c r="D500" t="s">
        <v>213</v>
      </c>
      <c r="E500" t="s">
        <v>21</v>
      </c>
      <c r="F500" t="s">
        <v>70</v>
      </c>
      <c r="G500" t="s">
        <v>170</v>
      </c>
      <c r="H500">
        <v>1</v>
      </c>
      <c r="I500" s="3">
        <v>16.29</v>
      </c>
      <c r="J500" t="s">
        <v>255</v>
      </c>
      <c r="K500" t="s">
        <v>17</v>
      </c>
      <c r="L500" s="4">
        <f>Table4[[#This Row],[quantity]]*Table4[[#This Row],[unit_price]]</f>
        <v>16.29</v>
      </c>
      <c r="M500">
        <f>COUNTIFS($C$2:$C$3934,Table4[[#This Row],[customer_id]])</f>
        <v>5</v>
      </c>
      <c r="N500" t="str">
        <f>IF(Table4[[#This Row],[customer_order_count]]=1,"New Customer","Repeat Customer")</f>
        <v>Repeat Customer</v>
      </c>
    </row>
    <row r="501" spans="1:14">
      <c r="A501" t="s">
        <v>951</v>
      </c>
      <c r="B501" s="1">
        <v>45605</v>
      </c>
      <c r="C501" t="s">
        <v>952</v>
      </c>
      <c r="D501" t="s">
        <v>953</v>
      </c>
      <c r="E501" t="s">
        <v>21</v>
      </c>
      <c r="F501" t="s">
        <v>79</v>
      </c>
      <c r="G501" t="s">
        <v>204</v>
      </c>
      <c r="H501">
        <v>3</v>
      </c>
      <c r="I501" s="3">
        <v>16.29</v>
      </c>
      <c r="J501" t="s">
        <v>16</v>
      </c>
      <c r="K501" t="s">
        <v>30</v>
      </c>
      <c r="L501" s="4">
        <f>Table4[[#This Row],[quantity]]*Table4[[#This Row],[unit_price]]</f>
        <v>48.87</v>
      </c>
      <c r="M501">
        <f>COUNTIFS($C$2:$C$3934,Table4[[#This Row],[customer_id]])</f>
        <v>3</v>
      </c>
      <c r="N501" t="str">
        <f>IF(Table4[[#This Row],[customer_order_count]]=1,"New Customer","Repeat Customer")</f>
        <v>Repeat Customer</v>
      </c>
    </row>
    <row r="502" spans="1:14">
      <c r="A502" t="s">
        <v>3346</v>
      </c>
      <c r="B502" s="1">
        <v>45434</v>
      </c>
      <c r="C502" t="s">
        <v>1218</v>
      </c>
      <c r="D502" t="s">
        <v>869</v>
      </c>
      <c r="E502" t="s">
        <v>21</v>
      </c>
      <c r="F502" t="s">
        <v>56</v>
      </c>
      <c r="G502" t="s">
        <v>210</v>
      </c>
      <c r="H502">
        <v>2</v>
      </c>
      <c r="I502" s="3">
        <v>16.309999999999999</v>
      </c>
      <c r="J502" t="s">
        <v>16</v>
      </c>
      <c r="K502" t="s">
        <v>30</v>
      </c>
      <c r="L502" s="4">
        <f>Table4[[#This Row],[quantity]]*Table4[[#This Row],[unit_price]]</f>
        <v>32.619999999999997</v>
      </c>
      <c r="M502">
        <f>COUNTIFS($C$2:$C$3934,Table4[[#This Row],[customer_id]])</f>
        <v>4</v>
      </c>
      <c r="N502" t="str">
        <f>IF(Table4[[#This Row],[customer_order_count]]=1,"New Customer","Repeat Customer")</f>
        <v>Repeat Customer</v>
      </c>
    </row>
    <row r="503" spans="1:14">
      <c r="A503" t="s">
        <v>1395</v>
      </c>
      <c r="B503" s="1">
        <v>45360</v>
      </c>
      <c r="C503" t="s">
        <v>1012</v>
      </c>
      <c r="D503" t="s">
        <v>372</v>
      </c>
      <c r="E503" t="s">
        <v>21</v>
      </c>
      <c r="F503" t="s">
        <v>14</v>
      </c>
      <c r="G503" t="s">
        <v>15</v>
      </c>
      <c r="H503">
        <v>1</v>
      </c>
      <c r="I503" s="3">
        <v>16.329999999999998</v>
      </c>
      <c r="J503" t="s">
        <v>16</v>
      </c>
      <c r="K503" t="s">
        <v>30</v>
      </c>
      <c r="L503" s="4">
        <f>Table4[[#This Row],[quantity]]*Table4[[#This Row],[unit_price]]</f>
        <v>16.329999999999998</v>
      </c>
      <c r="M503">
        <f>COUNTIFS($C$2:$C$3934,Table4[[#This Row],[customer_id]])</f>
        <v>6</v>
      </c>
      <c r="N503" t="str">
        <f>IF(Table4[[#This Row],[customer_order_count]]=1,"New Customer","Repeat Customer")</f>
        <v>Repeat Customer</v>
      </c>
    </row>
    <row r="504" spans="1:14">
      <c r="A504" t="s">
        <v>2592</v>
      </c>
      <c r="B504" s="1">
        <v>45054</v>
      </c>
      <c r="C504" t="s">
        <v>2593</v>
      </c>
      <c r="D504" t="s">
        <v>2594</v>
      </c>
      <c r="E504" t="s">
        <v>21</v>
      </c>
      <c r="F504" t="s">
        <v>56</v>
      </c>
      <c r="G504" t="s">
        <v>153</v>
      </c>
      <c r="H504">
        <v>1</v>
      </c>
      <c r="I504" s="3">
        <v>16.34</v>
      </c>
      <c r="J504" t="s">
        <v>16</v>
      </c>
      <c r="K504" t="s">
        <v>17</v>
      </c>
      <c r="L504" s="4">
        <f>Table4[[#This Row],[quantity]]*Table4[[#This Row],[unit_price]]</f>
        <v>16.34</v>
      </c>
      <c r="M504">
        <f>COUNTIFS($C$2:$C$3934,Table4[[#This Row],[customer_id]])</f>
        <v>2</v>
      </c>
      <c r="N504" t="str">
        <f>IF(Table4[[#This Row],[customer_order_count]]=1,"New Customer","Repeat Customer")</f>
        <v>Repeat Customer</v>
      </c>
    </row>
    <row r="505" spans="1:14">
      <c r="A505" t="s">
        <v>1645</v>
      </c>
      <c r="B505" s="1">
        <v>45178</v>
      </c>
      <c r="C505" t="s">
        <v>1646</v>
      </c>
      <c r="D505" t="s">
        <v>313</v>
      </c>
      <c r="E505" t="s">
        <v>21</v>
      </c>
      <c r="F505" t="s">
        <v>14</v>
      </c>
      <c r="G505" t="s">
        <v>15</v>
      </c>
      <c r="H505">
        <v>1</v>
      </c>
      <c r="I505" s="3">
        <v>16.34</v>
      </c>
      <c r="J505" t="s">
        <v>16</v>
      </c>
      <c r="K505" t="s">
        <v>35</v>
      </c>
      <c r="L505" s="4">
        <f>Table4[[#This Row],[quantity]]*Table4[[#This Row],[unit_price]]</f>
        <v>16.34</v>
      </c>
      <c r="M505">
        <f>COUNTIFS($C$2:$C$3934,Table4[[#This Row],[customer_id]])</f>
        <v>4</v>
      </c>
      <c r="N505" t="str">
        <f>IF(Table4[[#This Row],[customer_order_count]]=1,"New Customer","Repeat Customer")</f>
        <v>Repeat Customer</v>
      </c>
    </row>
    <row r="506" spans="1:14">
      <c r="A506" t="s">
        <v>1459</v>
      </c>
      <c r="B506" s="1">
        <v>45450</v>
      </c>
      <c r="C506" t="s">
        <v>1460</v>
      </c>
      <c r="D506" t="s">
        <v>1461</v>
      </c>
      <c r="E506" t="s">
        <v>21</v>
      </c>
      <c r="F506" t="s">
        <v>14</v>
      </c>
      <c r="G506" t="s">
        <v>34</v>
      </c>
      <c r="H506">
        <v>2</v>
      </c>
      <c r="I506" s="3">
        <v>16.350000000000001</v>
      </c>
      <c r="J506" t="s">
        <v>16</v>
      </c>
      <c r="K506" t="s">
        <v>17</v>
      </c>
      <c r="L506" s="4">
        <f>Table4[[#This Row],[quantity]]*Table4[[#This Row],[unit_price]]</f>
        <v>32.700000000000003</v>
      </c>
      <c r="M506">
        <f>COUNTIFS($C$2:$C$3934,Table4[[#This Row],[customer_id]])</f>
        <v>1</v>
      </c>
      <c r="N506" t="str">
        <f>IF(Table4[[#This Row],[customer_order_count]]=1,"New Customer","Repeat Customer")</f>
        <v>New Customer</v>
      </c>
    </row>
    <row r="507" spans="1:14">
      <c r="A507" t="s">
        <v>4983</v>
      </c>
      <c r="B507" s="1">
        <v>45429</v>
      </c>
      <c r="C507" t="s">
        <v>1079</v>
      </c>
      <c r="D507" t="s">
        <v>1080</v>
      </c>
      <c r="E507" t="s">
        <v>21</v>
      </c>
      <c r="F507" t="s">
        <v>66</v>
      </c>
      <c r="G507" t="s">
        <v>238</v>
      </c>
      <c r="H507">
        <v>5</v>
      </c>
      <c r="I507" s="3">
        <v>16.350000000000001</v>
      </c>
      <c r="J507" t="s">
        <v>16</v>
      </c>
      <c r="K507" t="s">
        <v>17</v>
      </c>
      <c r="L507" s="4">
        <f>Table4[[#This Row],[quantity]]*Table4[[#This Row],[unit_price]]</f>
        <v>81.75</v>
      </c>
      <c r="M507">
        <f>COUNTIFS($C$2:$C$3934,Table4[[#This Row],[customer_id]])</f>
        <v>7</v>
      </c>
      <c r="N507" t="str">
        <f>IF(Table4[[#This Row],[customer_order_count]]=1,"New Customer","Repeat Customer")</f>
        <v>Repeat Customer</v>
      </c>
    </row>
    <row r="508" spans="1:14">
      <c r="A508" t="s">
        <v>4416</v>
      </c>
      <c r="B508" s="1">
        <v>45280</v>
      </c>
      <c r="C508" t="s">
        <v>4417</v>
      </c>
      <c r="D508" t="s">
        <v>1244</v>
      </c>
      <c r="E508" t="s">
        <v>21</v>
      </c>
      <c r="F508" t="s">
        <v>22</v>
      </c>
      <c r="G508" t="s">
        <v>135</v>
      </c>
      <c r="H508">
        <v>3</v>
      </c>
      <c r="I508" s="3">
        <v>16.36</v>
      </c>
      <c r="J508" t="s">
        <v>16</v>
      </c>
      <c r="K508" t="s">
        <v>35</v>
      </c>
      <c r="L508" s="4">
        <f>Table4[[#This Row],[quantity]]*Table4[[#This Row],[unit_price]]</f>
        <v>49.08</v>
      </c>
      <c r="M508">
        <f>COUNTIFS($C$2:$C$3934,Table4[[#This Row],[customer_id]])</f>
        <v>1</v>
      </c>
      <c r="N508" t="str">
        <f>IF(Table4[[#This Row],[customer_order_count]]=1,"New Customer","Repeat Customer")</f>
        <v>New Customer</v>
      </c>
    </row>
    <row r="509" spans="1:14">
      <c r="A509" t="s">
        <v>4059</v>
      </c>
      <c r="B509" s="1">
        <v>45267</v>
      </c>
      <c r="C509" t="s">
        <v>2155</v>
      </c>
      <c r="D509" t="s">
        <v>105</v>
      </c>
      <c r="E509" t="s">
        <v>21</v>
      </c>
      <c r="F509" t="s">
        <v>22</v>
      </c>
      <c r="G509" t="s">
        <v>23</v>
      </c>
      <c r="H509">
        <v>2</v>
      </c>
      <c r="I509" s="3">
        <v>16.37</v>
      </c>
      <c r="J509" t="s">
        <v>16</v>
      </c>
      <c r="K509" t="s">
        <v>35</v>
      </c>
      <c r="L509" s="4">
        <f>Table4[[#This Row],[quantity]]*Table4[[#This Row],[unit_price]]</f>
        <v>32.74</v>
      </c>
      <c r="M509">
        <f>COUNTIFS($C$2:$C$3934,Table4[[#This Row],[customer_id]])</f>
        <v>5</v>
      </c>
      <c r="N509" t="str">
        <f>IF(Table4[[#This Row],[customer_order_count]]=1,"New Customer","Repeat Customer")</f>
        <v>Repeat Customer</v>
      </c>
    </row>
    <row r="510" spans="1:14">
      <c r="A510" t="s">
        <v>4121</v>
      </c>
      <c r="B510" s="1">
        <v>45590</v>
      </c>
      <c r="C510" t="s">
        <v>1095</v>
      </c>
      <c r="D510" t="s">
        <v>229</v>
      </c>
      <c r="E510" t="s">
        <v>21</v>
      </c>
      <c r="F510" t="s">
        <v>22</v>
      </c>
      <c r="G510" t="s">
        <v>264</v>
      </c>
      <c r="H510">
        <v>1</v>
      </c>
      <c r="I510" s="3">
        <v>16.39</v>
      </c>
      <c r="J510" t="s">
        <v>16</v>
      </c>
      <c r="K510" s="2" t="s">
        <v>5256</v>
      </c>
      <c r="L510" s="4">
        <f>Table4[[#This Row],[quantity]]*Table4[[#This Row],[unit_price]]</f>
        <v>16.39</v>
      </c>
      <c r="M510">
        <f>COUNTIFS($C$2:$C$3934,Table4[[#This Row],[customer_id]])</f>
        <v>7</v>
      </c>
      <c r="N510" t="str">
        <f>IF(Table4[[#This Row],[customer_order_count]]=1,"New Customer","Repeat Customer")</f>
        <v>Repeat Customer</v>
      </c>
    </row>
    <row r="511" spans="1:14">
      <c r="A511" t="s">
        <v>1653</v>
      </c>
      <c r="B511" s="1">
        <v>45552</v>
      </c>
      <c r="C511" t="s">
        <v>611</v>
      </c>
      <c r="D511" t="s">
        <v>612</v>
      </c>
      <c r="E511" t="s">
        <v>21</v>
      </c>
      <c r="F511" t="s">
        <v>28</v>
      </c>
      <c r="G511" t="s">
        <v>45</v>
      </c>
      <c r="H511">
        <v>2</v>
      </c>
      <c r="I511" s="3">
        <v>16.399999999999999</v>
      </c>
      <c r="J511" t="s">
        <v>16</v>
      </c>
      <c r="K511" s="5" t="s">
        <v>30</v>
      </c>
      <c r="L511" s="4">
        <f>Table4[[#This Row],[quantity]]*Table4[[#This Row],[unit_price]]</f>
        <v>32.799999999999997</v>
      </c>
      <c r="M511">
        <f>COUNTIFS($C$2:$C$3934,Table4[[#This Row],[customer_id]])</f>
        <v>6</v>
      </c>
      <c r="N511" t="str">
        <f>IF(Table4[[#This Row],[customer_order_count]]=1,"New Customer","Repeat Customer")</f>
        <v>Repeat Customer</v>
      </c>
    </row>
    <row r="512" spans="1:14">
      <c r="A512" t="s">
        <v>2352</v>
      </c>
      <c r="B512" s="1">
        <v>45181</v>
      </c>
      <c r="C512" t="s">
        <v>2353</v>
      </c>
      <c r="D512" t="s">
        <v>576</v>
      </c>
      <c r="E512" t="s">
        <v>21</v>
      </c>
      <c r="F512" t="s">
        <v>14</v>
      </c>
      <c r="G512" t="s">
        <v>258</v>
      </c>
      <c r="H512">
        <v>1</v>
      </c>
      <c r="I512" s="3">
        <v>16.41</v>
      </c>
      <c r="J512" t="s">
        <v>16</v>
      </c>
      <c r="K512" t="s">
        <v>17</v>
      </c>
      <c r="L512" s="4">
        <f>Table4[[#This Row],[quantity]]*Table4[[#This Row],[unit_price]]</f>
        <v>16.41</v>
      </c>
      <c r="M512">
        <f>COUNTIFS($C$2:$C$3934,Table4[[#This Row],[customer_id]])</f>
        <v>3</v>
      </c>
      <c r="N512" t="str">
        <f>IF(Table4[[#This Row],[customer_order_count]]=1,"New Customer","Repeat Customer")</f>
        <v>Repeat Customer</v>
      </c>
    </row>
    <row r="513" spans="1:14">
      <c r="A513" t="s">
        <v>3121</v>
      </c>
      <c r="B513" s="1">
        <v>45434</v>
      </c>
      <c r="C513" t="s">
        <v>3122</v>
      </c>
      <c r="D513" t="s">
        <v>1832</v>
      </c>
      <c r="E513" t="s">
        <v>61</v>
      </c>
      <c r="F513" t="s">
        <v>66</v>
      </c>
      <c r="G513" t="s">
        <v>238</v>
      </c>
      <c r="H513">
        <v>2</v>
      </c>
      <c r="I513" s="3">
        <v>16.41</v>
      </c>
      <c r="J513" t="s">
        <v>16</v>
      </c>
      <c r="K513" t="s">
        <v>40</v>
      </c>
      <c r="L513" s="4">
        <f>Table4[[#This Row],[quantity]]*Table4[[#This Row],[unit_price]]</f>
        <v>32.82</v>
      </c>
      <c r="M513">
        <f>COUNTIFS($C$2:$C$3934,Table4[[#This Row],[customer_id]])</f>
        <v>4</v>
      </c>
      <c r="N513" t="str">
        <f>IF(Table4[[#This Row],[customer_order_count]]=1,"New Customer","Repeat Customer")</f>
        <v>Repeat Customer</v>
      </c>
    </row>
    <row r="514" spans="1:14">
      <c r="A514" t="s">
        <v>2103</v>
      </c>
      <c r="B514" s="1">
        <v>45260</v>
      </c>
      <c r="C514" t="s">
        <v>2104</v>
      </c>
      <c r="D514" t="s">
        <v>1674</v>
      </c>
      <c r="E514" t="s">
        <v>21</v>
      </c>
      <c r="F514" t="s">
        <v>22</v>
      </c>
      <c r="G514" t="s">
        <v>162</v>
      </c>
      <c r="H514">
        <v>3</v>
      </c>
      <c r="I514" s="3">
        <v>16.420000000000002</v>
      </c>
      <c r="J514" t="s">
        <v>16</v>
      </c>
      <c r="K514" t="s">
        <v>40</v>
      </c>
      <c r="L514" s="4">
        <f>Table4[[#This Row],[quantity]]*Table4[[#This Row],[unit_price]]</f>
        <v>49.260000000000005</v>
      </c>
      <c r="M514">
        <f>COUNTIFS($C$2:$C$3934,Table4[[#This Row],[customer_id]])</f>
        <v>7</v>
      </c>
      <c r="N514" t="str">
        <f>IF(Table4[[#This Row],[customer_order_count]]=1,"New Customer","Repeat Customer")</f>
        <v>Repeat Customer</v>
      </c>
    </row>
    <row r="515" spans="1:14">
      <c r="A515" t="s">
        <v>4991</v>
      </c>
      <c r="B515" s="1">
        <v>45573</v>
      </c>
      <c r="C515" t="s">
        <v>804</v>
      </c>
      <c r="D515" t="s">
        <v>805</v>
      </c>
      <c r="E515" t="s">
        <v>21</v>
      </c>
      <c r="F515" t="s">
        <v>28</v>
      </c>
      <c r="G515" t="s">
        <v>29</v>
      </c>
      <c r="H515">
        <v>1</v>
      </c>
      <c r="I515" s="3">
        <v>16.440000000000001</v>
      </c>
      <c r="J515" t="s">
        <v>16</v>
      </c>
      <c r="K515" t="s">
        <v>30</v>
      </c>
      <c r="L515" s="4">
        <f>Table4[[#This Row],[quantity]]*Table4[[#This Row],[unit_price]]</f>
        <v>16.440000000000001</v>
      </c>
      <c r="M515">
        <f>COUNTIFS($C$2:$C$3934,Table4[[#This Row],[customer_id]])</f>
        <v>6</v>
      </c>
      <c r="N515" t="str">
        <f>IF(Table4[[#This Row],[customer_order_count]]=1,"New Customer","Repeat Customer")</f>
        <v>Repeat Customer</v>
      </c>
    </row>
    <row r="516" spans="1:14">
      <c r="A516" t="s">
        <v>4797</v>
      </c>
      <c r="B516" s="1">
        <v>45647</v>
      </c>
      <c r="C516" t="s">
        <v>443</v>
      </c>
      <c r="D516" t="s">
        <v>444</v>
      </c>
      <c r="E516" t="s">
        <v>21</v>
      </c>
      <c r="F516" t="s">
        <v>28</v>
      </c>
      <c r="G516" t="s">
        <v>114</v>
      </c>
      <c r="H516">
        <v>2</v>
      </c>
      <c r="I516" s="3">
        <v>16.46</v>
      </c>
      <c r="J516" t="s">
        <v>16</v>
      </c>
      <c r="K516" t="s">
        <v>40</v>
      </c>
      <c r="L516" s="4">
        <f>Table4[[#This Row],[quantity]]*Table4[[#This Row],[unit_price]]</f>
        <v>32.92</v>
      </c>
      <c r="M516">
        <f>COUNTIFS($C$2:$C$3934,Table4[[#This Row],[customer_id]])</f>
        <v>5</v>
      </c>
      <c r="N516" t="str">
        <f>IF(Table4[[#This Row],[customer_order_count]]=1,"New Customer","Repeat Customer")</f>
        <v>Repeat Customer</v>
      </c>
    </row>
    <row r="517" spans="1:14">
      <c r="A517" t="s">
        <v>3387</v>
      </c>
      <c r="B517" s="1">
        <v>45649</v>
      </c>
      <c r="C517" t="s">
        <v>850</v>
      </c>
      <c r="D517" t="s">
        <v>851</v>
      </c>
      <c r="E517" t="s">
        <v>21</v>
      </c>
      <c r="F517" t="s">
        <v>56</v>
      </c>
      <c r="G517" t="s">
        <v>254</v>
      </c>
      <c r="H517">
        <v>2</v>
      </c>
      <c r="I517" s="3">
        <v>16.53</v>
      </c>
      <c r="J517" t="s">
        <v>16</v>
      </c>
      <c r="K517" t="s">
        <v>40</v>
      </c>
      <c r="L517" s="4">
        <f>Table4[[#This Row],[quantity]]*Table4[[#This Row],[unit_price]]</f>
        <v>33.06</v>
      </c>
      <c r="M517">
        <f>COUNTIFS($C$2:$C$3934,Table4[[#This Row],[customer_id]])</f>
        <v>9</v>
      </c>
      <c r="N517" t="str">
        <f>IF(Table4[[#This Row],[customer_order_count]]=1,"New Customer","Repeat Customer")</f>
        <v>Repeat Customer</v>
      </c>
    </row>
    <row r="518" spans="1:14">
      <c r="A518" t="s">
        <v>1159</v>
      </c>
      <c r="B518" s="1">
        <v>45548</v>
      </c>
      <c r="C518" t="s">
        <v>148</v>
      </c>
      <c r="D518" t="s">
        <v>149</v>
      </c>
      <c r="E518" t="s">
        <v>21</v>
      </c>
      <c r="F518" t="s">
        <v>70</v>
      </c>
      <c r="G518" t="s">
        <v>71</v>
      </c>
      <c r="H518">
        <v>2</v>
      </c>
      <c r="I518" s="3">
        <v>16.54</v>
      </c>
      <c r="J518" t="s">
        <v>16</v>
      </c>
      <c r="K518" t="s">
        <v>17</v>
      </c>
      <c r="L518" s="4">
        <f>Table4[[#This Row],[quantity]]*Table4[[#This Row],[unit_price]]</f>
        <v>33.08</v>
      </c>
      <c r="M518">
        <f>COUNTIFS($C$2:$C$3934,Table4[[#This Row],[customer_id]])</f>
        <v>6</v>
      </c>
      <c r="N518" t="str">
        <f>IF(Table4[[#This Row],[customer_order_count]]=1,"New Customer","Repeat Customer")</f>
        <v>Repeat Customer</v>
      </c>
    </row>
    <row r="519" spans="1:14">
      <c r="A519" t="s">
        <v>4444</v>
      </c>
      <c r="B519" s="1">
        <v>45592</v>
      </c>
      <c r="C519" t="s">
        <v>195</v>
      </c>
      <c r="D519" t="s">
        <v>196</v>
      </c>
      <c r="E519" t="s">
        <v>21</v>
      </c>
      <c r="F519" t="s">
        <v>14</v>
      </c>
      <c r="G519" t="s">
        <v>15</v>
      </c>
      <c r="H519">
        <v>1</v>
      </c>
      <c r="I519" s="3">
        <v>16.55</v>
      </c>
      <c r="J519" t="s">
        <v>16</v>
      </c>
      <c r="K519" t="s">
        <v>17</v>
      </c>
      <c r="L519" s="4">
        <f>Table4[[#This Row],[quantity]]*Table4[[#This Row],[unit_price]]</f>
        <v>16.55</v>
      </c>
      <c r="M519">
        <f>COUNTIFS($C$2:$C$3934,Table4[[#This Row],[customer_id]])</f>
        <v>5</v>
      </c>
      <c r="N519" t="str">
        <f>IF(Table4[[#This Row],[customer_order_count]]=1,"New Customer","Repeat Customer")</f>
        <v>Repeat Customer</v>
      </c>
    </row>
    <row r="520" spans="1:14">
      <c r="A520" t="s">
        <v>4539</v>
      </c>
      <c r="B520" s="1">
        <v>45443</v>
      </c>
      <c r="C520" t="s">
        <v>1685</v>
      </c>
      <c r="D520" t="s">
        <v>1686</v>
      </c>
      <c r="E520" t="s">
        <v>44</v>
      </c>
      <c r="F520" t="s">
        <v>66</v>
      </c>
      <c r="G520" t="s">
        <v>67</v>
      </c>
      <c r="H520">
        <v>4</v>
      </c>
      <c r="I520" s="3">
        <v>16.559999999999999</v>
      </c>
      <c r="J520" t="s">
        <v>16</v>
      </c>
      <c r="K520" s="2" t="s">
        <v>5256</v>
      </c>
      <c r="L520" s="4">
        <f>Table4[[#This Row],[quantity]]*Table4[[#This Row],[unit_price]]</f>
        <v>66.239999999999995</v>
      </c>
      <c r="M520">
        <f>COUNTIFS($C$2:$C$3934,Table4[[#This Row],[customer_id]])</f>
        <v>4</v>
      </c>
      <c r="N520" t="str">
        <f>IF(Table4[[#This Row],[customer_order_count]]=1,"New Customer","Repeat Customer")</f>
        <v>Repeat Customer</v>
      </c>
    </row>
    <row r="521" spans="1:14">
      <c r="A521" t="s">
        <v>2327</v>
      </c>
      <c r="B521" s="1">
        <v>45031</v>
      </c>
      <c r="C521" t="s">
        <v>690</v>
      </c>
      <c r="D521" t="s">
        <v>281</v>
      </c>
      <c r="E521" t="s">
        <v>21</v>
      </c>
      <c r="F521" t="s">
        <v>79</v>
      </c>
      <c r="G521" t="s">
        <v>166</v>
      </c>
      <c r="H521">
        <v>3</v>
      </c>
      <c r="I521" s="3">
        <v>16.57</v>
      </c>
      <c r="J521" t="s">
        <v>16</v>
      </c>
      <c r="K521" s="5" t="s">
        <v>35</v>
      </c>
      <c r="L521" s="4">
        <f>Table4[[#This Row],[quantity]]*Table4[[#This Row],[unit_price]]</f>
        <v>49.71</v>
      </c>
      <c r="M521">
        <f>COUNTIFS($C$2:$C$3934,Table4[[#This Row],[customer_id]])</f>
        <v>5</v>
      </c>
      <c r="N521" t="str">
        <f>IF(Table4[[#This Row],[customer_order_count]]=1,"New Customer","Repeat Customer")</f>
        <v>Repeat Customer</v>
      </c>
    </row>
    <row r="522" spans="1:14">
      <c r="A522" t="s">
        <v>2557</v>
      </c>
      <c r="B522" s="1">
        <v>45352</v>
      </c>
      <c r="C522" t="s">
        <v>1599</v>
      </c>
      <c r="D522" t="s">
        <v>1600</v>
      </c>
      <c r="E522" t="s">
        <v>21</v>
      </c>
      <c r="F522" t="s">
        <v>14</v>
      </c>
      <c r="G522" t="s">
        <v>39</v>
      </c>
      <c r="H522">
        <v>3</v>
      </c>
      <c r="I522" s="3">
        <v>16.57</v>
      </c>
      <c r="J522" t="s">
        <v>16</v>
      </c>
      <c r="K522" t="s">
        <v>40</v>
      </c>
      <c r="L522" s="4">
        <f>Table4[[#This Row],[quantity]]*Table4[[#This Row],[unit_price]]</f>
        <v>49.71</v>
      </c>
      <c r="M522">
        <f>COUNTIFS($C$2:$C$3934,Table4[[#This Row],[customer_id]])</f>
        <v>4</v>
      </c>
      <c r="N522" t="str">
        <f>IF(Table4[[#This Row],[customer_order_count]]=1,"New Customer","Repeat Customer")</f>
        <v>Repeat Customer</v>
      </c>
    </row>
    <row r="523" spans="1:14">
      <c r="A523" t="s">
        <v>4350</v>
      </c>
      <c r="B523" s="1">
        <v>45508</v>
      </c>
      <c r="C523" t="s">
        <v>764</v>
      </c>
      <c r="D523" t="s">
        <v>765</v>
      </c>
      <c r="E523" t="s">
        <v>21</v>
      </c>
      <c r="F523" t="s">
        <v>56</v>
      </c>
      <c r="G523" t="s">
        <v>75</v>
      </c>
      <c r="H523">
        <v>1</v>
      </c>
      <c r="I523" s="3">
        <v>16.59</v>
      </c>
      <c r="J523" t="s">
        <v>16</v>
      </c>
      <c r="K523" t="s">
        <v>35</v>
      </c>
      <c r="L523" s="4">
        <f>Table4[[#This Row],[quantity]]*Table4[[#This Row],[unit_price]]</f>
        <v>16.59</v>
      </c>
      <c r="M523">
        <f>COUNTIFS($C$2:$C$3934,Table4[[#This Row],[customer_id]])</f>
        <v>4</v>
      </c>
      <c r="N523" t="str">
        <f>IF(Table4[[#This Row],[customer_order_count]]=1,"New Customer","Repeat Customer")</f>
        <v>Repeat Customer</v>
      </c>
    </row>
    <row r="524" spans="1:14">
      <c r="A524" t="s">
        <v>1068</v>
      </c>
      <c r="B524" s="1">
        <v>45307</v>
      </c>
      <c r="C524" t="s">
        <v>1069</v>
      </c>
      <c r="D524" t="s">
        <v>1070</v>
      </c>
      <c r="E524" t="s">
        <v>21</v>
      </c>
      <c r="F524" t="s">
        <v>70</v>
      </c>
      <c r="G524" t="s">
        <v>110</v>
      </c>
      <c r="H524">
        <v>1</v>
      </c>
      <c r="I524" s="3">
        <v>16.600000000000001</v>
      </c>
      <c r="J524" t="s">
        <v>24</v>
      </c>
      <c r="K524" t="s">
        <v>40</v>
      </c>
      <c r="L524" s="4">
        <f>Table4[[#This Row],[quantity]]*Table4[[#This Row],[unit_price]]</f>
        <v>16.600000000000001</v>
      </c>
      <c r="M524">
        <f>COUNTIFS($C$2:$C$3934,Table4[[#This Row],[customer_id]])</f>
        <v>4</v>
      </c>
      <c r="N524" t="str">
        <f>IF(Table4[[#This Row],[customer_order_count]]=1,"New Customer","Repeat Customer")</f>
        <v>Repeat Customer</v>
      </c>
    </row>
    <row r="525" spans="1:14">
      <c r="A525" t="s">
        <v>666</v>
      </c>
      <c r="B525" s="1">
        <v>45037</v>
      </c>
      <c r="C525" t="s">
        <v>361</v>
      </c>
      <c r="D525" t="s">
        <v>362</v>
      </c>
      <c r="E525" t="s">
        <v>21</v>
      </c>
      <c r="F525" t="s">
        <v>79</v>
      </c>
      <c r="G525" t="s">
        <v>80</v>
      </c>
      <c r="H525">
        <v>1</v>
      </c>
      <c r="I525" s="3">
        <v>16.62</v>
      </c>
      <c r="J525" t="s">
        <v>24</v>
      </c>
      <c r="K525" t="s">
        <v>35</v>
      </c>
      <c r="L525" s="4">
        <f>Table4[[#This Row],[quantity]]*Table4[[#This Row],[unit_price]]</f>
        <v>16.62</v>
      </c>
      <c r="M525">
        <f>COUNTIFS($C$2:$C$3934,Table4[[#This Row],[customer_id]])</f>
        <v>8</v>
      </c>
      <c r="N525" t="str">
        <f>IF(Table4[[#This Row],[customer_order_count]]=1,"New Customer","Repeat Customer")</f>
        <v>Repeat Customer</v>
      </c>
    </row>
    <row r="526" spans="1:14">
      <c r="A526" t="s">
        <v>1700</v>
      </c>
      <c r="B526" s="1">
        <v>45393</v>
      </c>
      <c r="C526" t="s">
        <v>240</v>
      </c>
      <c r="D526" t="s">
        <v>241</v>
      </c>
      <c r="E526" t="s">
        <v>21</v>
      </c>
      <c r="F526" t="s">
        <v>70</v>
      </c>
      <c r="G526" t="s">
        <v>526</v>
      </c>
      <c r="H526">
        <v>1</v>
      </c>
      <c r="I526" s="3">
        <v>16.649999999999999</v>
      </c>
      <c r="J526" t="s">
        <v>16</v>
      </c>
      <c r="K526" t="s">
        <v>40</v>
      </c>
      <c r="L526" s="4">
        <f>Table4[[#This Row],[quantity]]*Table4[[#This Row],[unit_price]]</f>
        <v>16.649999999999999</v>
      </c>
      <c r="M526">
        <f>COUNTIFS($C$2:$C$3934,Table4[[#This Row],[customer_id]])</f>
        <v>5</v>
      </c>
      <c r="N526" t="str">
        <f>IF(Table4[[#This Row],[customer_order_count]]=1,"New Customer","Repeat Customer")</f>
        <v>Repeat Customer</v>
      </c>
    </row>
    <row r="527" spans="1:14">
      <c r="A527" t="s">
        <v>5235</v>
      </c>
      <c r="B527" s="1">
        <v>45614</v>
      </c>
      <c r="C527" t="s">
        <v>2732</v>
      </c>
      <c r="D527" t="s">
        <v>582</v>
      </c>
      <c r="E527" t="s">
        <v>21</v>
      </c>
      <c r="F527" t="s">
        <v>56</v>
      </c>
      <c r="G527" t="s">
        <v>118</v>
      </c>
      <c r="H527">
        <v>1</v>
      </c>
      <c r="I527" s="3">
        <v>16.649999999999999</v>
      </c>
      <c r="J527" t="s">
        <v>16</v>
      </c>
      <c r="K527" t="s">
        <v>17</v>
      </c>
      <c r="L527" s="4">
        <f>Table4[[#This Row],[quantity]]*Table4[[#This Row],[unit_price]]</f>
        <v>16.649999999999999</v>
      </c>
      <c r="M527">
        <f>COUNTIFS($C$2:$C$3934,Table4[[#This Row],[customer_id]])</f>
        <v>3</v>
      </c>
      <c r="N527" t="str">
        <f>IF(Table4[[#This Row],[customer_order_count]]=1,"New Customer","Repeat Customer")</f>
        <v>Repeat Customer</v>
      </c>
    </row>
    <row r="528" spans="1:14">
      <c r="A528" t="s">
        <v>1328</v>
      </c>
      <c r="B528" s="1">
        <v>45588</v>
      </c>
      <c r="C528" t="s">
        <v>718</v>
      </c>
      <c r="D528" t="s">
        <v>719</v>
      </c>
      <c r="E528" t="s">
        <v>21</v>
      </c>
      <c r="F528" t="s">
        <v>14</v>
      </c>
      <c r="G528" t="s">
        <v>62</v>
      </c>
      <c r="H528">
        <v>1</v>
      </c>
      <c r="I528" s="3">
        <v>16.7</v>
      </c>
      <c r="J528" t="s">
        <v>16</v>
      </c>
      <c r="K528" t="s">
        <v>35</v>
      </c>
      <c r="L528" s="4">
        <f>Table4[[#This Row],[quantity]]*Table4[[#This Row],[unit_price]]</f>
        <v>16.7</v>
      </c>
      <c r="M528">
        <f>COUNTIFS($C$2:$C$3934,Table4[[#This Row],[customer_id]])</f>
        <v>2</v>
      </c>
      <c r="N528" t="str">
        <f>IF(Table4[[#This Row],[customer_order_count]]=1,"New Customer","Repeat Customer")</f>
        <v>Repeat Customer</v>
      </c>
    </row>
    <row r="529" spans="1:14">
      <c r="A529" t="s">
        <v>4529</v>
      </c>
      <c r="B529" s="1">
        <v>45253</v>
      </c>
      <c r="C529" t="s">
        <v>160</v>
      </c>
      <c r="D529" t="s">
        <v>161</v>
      </c>
      <c r="E529" t="s">
        <v>21</v>
      </c>
      <c r="F529" t="s">
        <v>28</v>
      </c>
      <c r="G529" t="s">
        <v>45</v>
      </c>
      <c r="H529">
        <v>1</v>
      </c>
      <c r="I529" s="3">
        <v>16.71</v>
      </c>
      <c r="J529" t="s">
        <v>16</v>
      </c>
      <c r="K529" t="s">
        <v>30</v>
      </c>
      <c r="L529" s="4">
        <f>Table4[[#This Row],[quantity]]*Table4[[#This Row],[unit_price]]</f>
        <v>16.71</v>
      </c>
      <c r="M529">
        <f>COUNTIFS($C$2:$C$3934,Table4[[#This Row],[customer_id]])</f>
        <v>6</v>
      </c>
      <c r="N529" t="str">
        <f>IF(Table4[[#This Row],[customer_order_count]]=1,"New Customer","Repeat Customer")</f>
        <v>Repeat Customer</v>
      </c>
    </row>
    <row r="530" spans="1:14">
      <c r="A530" t="s">
        <v>2267</v>
      </c>
      <c r="B530" s="1">
        <v>44960</v>
      </c>
      <c r="C530" t="s">
        <v>1042</v>
      </c>
      <c r="D530" t="s">
        <v>1043</v>
      </c>
      <c r="E530" t="s">
        <v>21</v>
      </c>
      <c r="F530" t="s">
        <v>66</v>
      </c>
      <c r="G530" t="s">
        <v>128</v>
      </c>
      <c r="H530">
        <v>1</v>
      </c>
      <c r="I530" s="3">
        <v>16.71</v>
      </c>
      <c r="J530" t="s">
        <v>255</v>
      </c>
      <c r="K530" t="s">
        <v>40</v>
      </c>
      <c r="L530" s="4">
        <f>Table4[[#This Row],[quantity]]*Table4[[#This Row],[unit_price]]</f>
        <v>16.71</v>
      </c>
      <c r="M530">
        <f>COUNTIFS($C$2:$C$3934,Table4[[#This Row],[customer_id]])</f>
        <v>4</v>
      </c>
      <c r="N530" t="str">
        <f>IF(Table4[[#This Row],[customer_order_count]]=1,"New Customer","Repeat Customer")</f>
        <v>Repeat Customer</v>
      </c>
    </row>
    <row r="531" spans="1:14">
      <c r="A531" t="s">
        <v>3814</v>
      </c>
      <c r="B531" s="1">
        <v>44984</v>
      </c>
      <c r="C531" t="s">
        <v>1894</v>
      </c>
      <c r="D531" t="s">
        <v>145</v>
      </c>
      <c r="E531" t="s">
        <v>21</v>
      </c>
      <c r="F531" t="s">
        <v>22</v>
      </c>
      <c r="G531" t="s">
        <v>135</v>
      </c>
      <c r="H531">
        <v>3</v>
      </c>
      <c r="I531" s="3">
        <v>16.71</v>
      </c>
      <c r="J531" t="s">
        <v>85</v>
      </c>
      <c r="K531" t="s">
        <v>35</v>
      </c>
      <c r="L531" s="4">
        <f>Table4[[#This Row],[quantity]]*Table4[[#This Row],[unit_price]]</f>
        <v>50.13</v>
      </c>
      <c r="M531">
        <f>COUNTIFS($C$2:$C$3934,Table4[[#This Row],[customer_id]])</f>
        <v>6</v>
      </c>
      <c r="N531" t="str">
        <f>IF(Table4[[#This Row],[customer_order_count]]=1,"New Customer","Repeat Customer")</f>
        <v>Repeat Customer</v>
      </c>
    </row>
    <row r="532" spans="1:14">
      <c r="A532" t="s">
        <v>3695</v>
      </c>
      <c r="B532" s="1">
        <v>45623</v>
      </c>
      <c r="C532" t="s">
        <v>3199</v>
      </c>
      <c r="D532" t="s">
        <v>3200</v>
      </c>
      <c r="E532" t="s">
        <v>21</v>
      </c>
      <c r="F532" t="s">
        <v>14</v>
      </c>
      <c r="G532" t="s">
        <v>258</v>
      </c>
      <c r="H532">
        <v>1</v>
      </c>
      <c r="I532" s="3">
        <v>16.72</v>
      </c>
      <c r="J532" t="s">
        <v>16</v>
      </c>
      <c r="K532" t="s">
        <v>30</v>
      </c>
      <c r="L532" s="4">
        <f>Table4[[#This Row],[quantity]]*Table4[[#This Row],[unit_price]]</f>
        <v>16.72</v>
      </c>
      <c r="M532">
        <f>COUNTIFS($C$2:$C$3934,Table4[[#This Row],[customer_id]])</f>
        <v>4</v>
      </c>
      <c r="N532" t="str">
        <f>IF(Table4[[#This Row],[customer_order_count]]=1,"New Customer","Repeat Customer")</f>
        <v>Repeat Customer</v>
      </c>
    </row>
    <row r="533" spans="1:14">
      <c r="A533" t="s">
        <v>1370</v>
      </c>
      <c r="B533" s="1">
        <v>45234</v>
      </c>
      <c r="C533" t="s">
        <v>495</v>
      </c>
      <c r="D533" t="s">
        <v>496</v>
      </c>
      <c r="E533" t="s">
        <v>44</v>
      </c>
      <c r="F533" t="s">
        <v>22</v>
      </c>
      <c r="G533" t="s">
        <v>142</v>
      </c>
      <c r="H533">
        <v>1</v>
      </c>
      <c r="I533" s="3">
        <v>16.73</v>
      </c>
      <c r="J533" t="s">
        <v>16</v>
      </c>
      <c r="K533" t="s">
        <v>30</v>
      </c>
      <c r="L533" s="4">
        <f>Table4[[#This Row],[quantity]]*Table4[[#This Row],[unit_price]]</f>
        <v>16.73</v>
      </c>
      <c r="M533">
        <f>COUNTIFS($C$2:$C$3934,Table4[[#This Row],[customer_id]])</f>
        <v>4</v>
      </c>
      <c r="N533" t="str">
        <f>IF(Table4[[#This Row],[customer_order_count]]=1,"New Customer","Repeat Customer")</f>
        <v>Repeat Customer</v>
      </c>
    </row>
    <row r="534" spans="1:14">
      <c r="A534" t="s">
        <v>2050</v>
      </c>
      <c r="B534" s="1">
        <v>45348</v>
      </c>
      <c r="C534" t="s">
        <v>91</v>
      </c>
      <c r="D534" t="s">
        <v>92</v>
      </c>
      <c r="E534" t="s">
        <v>21</v>
      </c>
      <c r="F534" t="s">
        <v>66</v>
      </c>
      <c r="G534" t="s">
        <v>128</v>
      </c>
      <c r="H534">
        <v>2</v>
      </c>
      <c r="I534" s="3">
        <v>16.73</v>
      </c>
      <c r="J534" t="s">
        <v>16</v>
      </c>
      <c r="K534" t="s">
        <v>35</v>
      </c>
      <c r="L534" s="4">
        <f>Table4[[#This Row],[quantity]]*Table4[[#This Row],[unit_price]]</f>
        <v>33.46</v>
      </c>
      <c r="M534">
        <f>COUNTIFS($C$2:$C$3934,Table4[[#This Row],[customer_id]])</f>
        <v>6</v>
      </c>
      <c r="N534" t="str">
        <f>IF(Table4[[#This Row],[customer_order_count]]=1,"New Customer","Repeat Customer")</f>
        <v>Repeat Customer</v>
      </c>
    </row>
    <row r="535" spans="1:14">
      <c r="A535" t="s">
        <v>2608</v>
      </c>
      <c r="B535" s="1">
        <v>45641</v>
      </c>
      <c r="C535" t="s">
        <v>661</v>
      </c>
      <c r="D535" t="s">
        <v>359</v>
      </c>
      <c r="E535" t="s">
        <v>44</v>
      </c>
      <c r="F535" t="s">
        <v>66</v>
      </c>
      <c r="G535" t="s">
        <v>128</v>
      </c>
      <c r="H535">
        <v>1</v>
      </c>
      <c r="I535" s="3">
        <v>16.739999999999998</v>
      </c>
      <c r="J535" t="s">
        <v>16</v>
      </c>
      <c r="K535" t="s">
        <v>30</v>
      </c>
      <c r="L535" s="4">
        <f>Table4[[#This Row],[quantity]]*Table4[[#This Row],[unit_price]]</f>
        <v>16.739999999999998</v>
      </c>
      <c r="M535">
        <f>COUNTIFS($C$2:$C$3934,Table4[[#This Row],[customer_id]])</f>
        <v>3</v>
      </c>
      <c r="N535" t="str">
        <f>IF(Table4[[#This Row],[customer_order_count]]=1,"New Customer","Repeat Customer")</f>
        <v>Repeat Customer</v>
      </c>
    </row>
    <row r="536" spans="1:14">
      <c r="A536" t="s">
        <v>4640</v>
      </c>
      <c r="B536" s="1">
        <v>44933</v>
      </c>
      <c r="C536" t="s">
        <v>155</v>
      </c>
      <c r="D536" t="s">
        <v>99</v>
      </c>
      <c r="E536" t="s">
        <v>21</v>
      </c>
      <c r="F536" t="s">
        <v>66</v>
      </c>
      <c r="G536" t="s">
        <v>49</v>
      </c>
      <c r="H536">
        <v>3</v>
      </c>
      <c r="I536" s="3">
        <v>16.75</v>
      </c>
      <c r="J536" t="s">
        <v>16</v>
      </c>
      <c r="K536" t="s">
        <v>17</v>
      </c>
      <c r="L536" s="4">
        <f>Table4[[#This Row],[quantity]]*Table4[[#This Row],[unit_price]]</f>
        <v>50.25</v>
      </c>
      <c r="M536">
        <f>COUNTIFS($C$2:$C$3934,Table4[[#This Row],[customer_id]])</f>
        <v>6</v>
      </c>
      <c r="N536" t="str">
        <f>IF(Table4[[#This Row],[customer_order_count]]=1,"New Customer","Repeat Customer")</f>
        <v>Repeat Customer</v>
      </c>
    </row>
    <row r="537" spans="1:14">
      <c r="A537" t="s">
        <v>3500</v>
      </c>
      <c r="B537" s="1">
        <v>45365</v>
      </c>
      <c r="C537" t="s">
        <v>1163</v>
      </c>
      <c r="D537" t="s">
        <v>1164</v>
      </c>
      <c r="E537" t="s">
        <v>21</v>
      </c>
      <c r="F537" t="s">
        <v>28</v>
      </c>
      <c r="G537" t="s">
        <v>114</v>
      </c>
      <c r="H537">
        <v>2</v>
      </c>
      <c r="I537" s="3">
        <v>16.760000000000002</v>
      </c>
      <c r="J537" t="s">
        <v>16</v>
      </c>
      <c r="K537" t="s">
        <v>30</v>
      </c>
      <c r="L537" s="4">
        <f>Table4[[#This Row],[quantity]]*Table4[[#This Row],[unit_price]]</f>
        <v>33.520000000000003</v>
      </c>
      <c r="M537">
        <f>COUNTIFS($C$2:$C$3934,Table4[[#This Row],[customer_id]])</f>
        <v>6</v>
      </c>
      <c r="N537" t="str">
        <f>IF(Table4[[#This Row],[customer_order_count]]=1,"New Customer","Repeat Customer")</f>
        <v>Repeat Customer</v>
      </c>
    </row>
    <row r="538" spans="1:14">
      <c r="A538" t="s">
        <v>3449</v>
      </c>
      <c r="B538" s="1">
        <v>45553</v>
      </c>
      <c r="C538" t="s">
        <v>3450</v>
      </c>
      <c r="D538" t="s">
        <v>1054</v>
      </c>
      <c r="E538" t="s">
        <v>21</v>
      </c>
      <c r="F538" t="s">
        <v>56</v>
      </c>
      <c r="G538" t="s">
        <v>422</v>
      </c>
      <c r="H538">
        <v>1</v>
      </c>
      <c r="I538" s="3">
        <v>16.78</v>
      </c>
      <c r="J538" t="s">
        <v>16</v>
      </c>
      <c r="K538" t="s">
        <v>35</v>
      </c>
      <c r="L538" s="4">
        <f>Table4[[#This Row],[quantity]]*Table4[[#This Row],[unit_price]]</f>
        <v>16.78</v>
      </c>
      <c r="M538">
        <f>COUNTIFS($C$2:$C$3934,Table4[[#This Row],[customer_id]])</f>
        <v>3</v>
      </c>
      <c r="N538" t="str">
        <f>IF(Table4[[#This Row],[customer_order_count]]=1,"New Customer","Repeat Customer")</f>
        <v>Repeat Customer</v>
      </c>
    </row>
    <row r="539" spans="1:14">
      <c r="A539" t="s">
        <v>4421</v>
      </c>
      <c r="B539" s="1">
        <v>45032</v>
      </c>
      <c r="C539" t="s">
        <v>2277</v>
      </c>
      <c r="D539" t="s">
        <v>1440</v>
      </c>
      <c r="E539" t="s">
        <v>44</v>
      </c>
      <c r="F539" t="s">
        <v>70</v>
      </c>
      <c r="G539" t="s">
        <v>526</v>
      </c>
      <c r="H539">
        <v>5</v>
      </c>
      <c r="I539" s="3">
        <v>16.79</v>
      </c>
      <c r="J539" t="s">
        <v>16</v>
      </c>
      <c r="K539" t="s">
        <v>17</v>
      </c>
      <c r="L539" s="4">
        <f>Table4[[#This Row],[quantity]]*Table4[[#This Row],[unit_price]]</f>
        <v>83.949999999999989</v>
      </c>
      <c r="M539">
        <f>COUNTIFS($C$2:$C$3934,Table4[[#This Row],[customer_id]])</f>
        <v>4</v>
      </c>
      <c r="N539" t="str">
        <f>IF(Table4[[#This Row],[customer_order_count]]=1,"New Customer","Repeat Customer")</f>
        <v>Repeat Customer</v>
      </c>
    </row>
    <row r="540" spans="1:14">
      <c r="A540" t="s">
        <v>5068</v>
      </c>
      <c r="B540" s="1">
        <v>45598</v>
      </c>
      <c r="C540" t="s">
        <v>1616</v>
      </c>
      <c r="D540" t="s">
        <v>544</v>
      </c>
      <c r="E540" t="s">
        <v>21</v>
      </c>
      <c r="F540" t="s">
        <v>28</v>
      </c>
      <c r="G540" t="s">
        <v>45</v>
      </c>
      <c r="H540">
        <v>2</v>
      </c>
      <c r="I540" s="3">
        <v>16.8</v>
      </c>
      <c r="J540" t="s">
        <v>16</v>
      </c>
      <c r="K540" t="s">
        <v>40</v>
      </c>
      <c r="L540" s="4">
        <f>Table4[[#This Row],[quantity]]*Table4[[#This Row],[unit_price]]</f>
        <v>33.6</v>
      </c>
      <c r="M540">
        <f>COUNTIFS($C$2:$C$3934,Table4[[#This Row],[customer_id]])</f>
        <v>5</v>
      </c>
      <c r="N540" t="str">
        <f>IF(Table4[[#This Row],[customer_order_count]]=1,"New Customer","Repeat Customer")</f>
        <v>Repeat Customer</v>
      </c>
    </row>
    <row r="541" spans="1:14">
      <c r="A541" t="s">
        <v>2324</v>
      </c>
      <c r="B541" s="1">
        <v>45041</v>
      </c>
      <c r="C541" t="s">
        <v>883</v>
      </c>
      <c r="D541" t="s">
        <v>181</v>
      </c>
      <c r="E541" t="s">
        <v>21</v>
      </c>
      <c r="F541" t="s">
        <v>79</v>
      </c>
      <c r="G541" t="s">
        <v>230</v>
      </c>
      <c r="H541">
        <v>5</v>
      </c>
      <c r="I541" s="3">
        <v>16.809999999999999</v>
      </c>
      <c r="J541" t="s">
        <v>16</v>
      </c>
      <c r="K541" t="s">
        <v>30</v>
      </c>
      <c r="L541" s="4">
        <f>Table4[[#This Row],[quantity]]*Table4[[#This Row],[unit_price]]</f>
        <v>84.05</v>
      </c>
      <c r="M541">
        <f>COUNTIFS($C$2:$C$3934,Table4[[#This Row],[customer_id]])</f>
        <v>11</v>
      </c>
      <c r="N541" t="str">
        <f>IF(Table4[[#This Row],[customer_order_count]]=1,"New Customer","Repeat Customer")</f>
        <v>Repeat Customer</v>
      </c>
    </row>
    <row r="542" spans="1:14">
      <c r="A542" t="s">
        <v>1400</v>
      </c>
      <c r="B542" s="1">
        <v>45156</v>
      </c>
      <c r="C542" t="s">
        <v>1401</v>
      </c>
      <c r="D542" t="s">
        <v>1402</v>
      </c>
      <c r="E542" t="s">
        <v>21</v>
      </c>
      <c r="F542" t="s">
        <v>22</v>
      </c>
      <c r="G542" t="s">
        <v>135</v>
      </c>
      <c r="H542">
        <v>2</v>
      </c>
      <c r="I542" s="3">
        <v>16.829999999999998</v>
      </c>
      <c r="J542" t="s">
        <v>16</v>
      </c>
      <c r="K542" t="s">
        <v>30</v>
      </c>
      <c r="L542" s="4">
        <f>Table4[[#This Row],[quantity]]*Table4[[#This Row],[unit_price]]</f>
        <v>33.659999999999997</v>
      </c>
      <c r="M542">
        <f>COUNTIFS($C$2:$C$3934,Table4[[#This Row],[customer_id]])</f>
        <v>3</v>
      </c>
      <c r="N542" t="str">
        <f>IF(Table4[[#This Row],[customer_order_count]]=1,"New Customer","Repeat Customer")</f>
        <v>Repeat Customer</v>
      </c>
    </row>
    <row r="543" spans="1:14">
      <c r="A543" t="s">
        <v>4887</v>
      </c>
      <c r="B543" s="1">
        <v>45568</v>
      </c>
      <c r="C543" t="s">
        <v>1134</v>
      </c>
      <c r="D543" t="s">
        <v>253</v>
      </c>
      <c r="E543" t="s">
        <v>44</v>
      </c>
      <c r="F543" t="s">
        <v>28</v>
      </c>
      <c r="G543" t="s">
        <v>29</v>
      </c>
      <c r="H543">
        <v>3</v>
      </c>
      <c r="I543" s="3">
        <v>16.86</v>
      </c>
      <c r="J543" t="s">
        <v>16</v>
      </c>
      <c r="K543" t="s">
        <v>40</v>
      </c>
      <c r="L543" s="4">
        <f>Table4[[#This Row],[quantity]]*Table4[[#This Row],[unit_price]]</f>
        <v>50.58</v>
      </c>
      <c r="M543">
        <f>COUNTIFS($C$2:$C$3934,Table4[[#This Row],[customer_id]])</f>
        <v>3</v>
      </c>
      <c r="N543" t="str">
        <f>IF(Table4[[#This Row],[customer_order_count]]=1,"New Customer","Repeat Customer")</f>
        <v>Repeat Customer</v>
      </c>
    </row>
    <row r="544" spans="1:14">
      <c r="A544" t="s">
        <v>4430</v>
      </c>
      <c r="B544" s="1">
        <v>45095</v>
      </c>
      <c r="C544" t="s">
        <v>971</v>
      </c>
      <c r="D544" t="s">
        <v>569</v>
      </c>
      <c r="E544" t="s">
        <v>21</v>
      </c>
      <c r="F544" t="s">
        <v>66</v>
      </c>
      <c r="G544" t="s">
        <v>238</v>
      </c>
      <c r="H544">
        <v>1</v>
      </c>
      <c r="I544" s="3">
        <v>16.89</v>
      </c>
      <c r="J544" t="s">
        <v>85</v>
      </c>
      <c r="K544" t="s">
        <v>30</v>
      </c>
      <c r="L544" s="4">
        <f>Table4[[#This Row],[quantity]]*Table4[[#This Row],[unit_price]]</f>
        <v>16.89</v>
      </c>
      <c r="M544">
        <f>COUNTIFS($C$2:$C$3934,Table4[[#This Row],[customer_id]])</f>
        <v>7</v>
      </c>
      <c r="N544" t="str">
        <f>IF(Table4[[#This Row],[customer_order_count]]=1,"New Customer","Repeat Customer")</f>
        <v>Repeat Customer</v>
      </c>
    </row>
    <row r="545" spans="1:14">
      <c r="A545" t="s">
        <v>5205</v>
      </c>
      <c r="B545" s="1">
        <v>45297</v>
      </c>
      <c r="C545" t="s">
        <v>5206</v>
      </c>
      <c r="D545" t="s">
        <v>196</v>
      </c>
      <c r="E545" t="s">
        <v>21</v>
      </c>
      <c r="F545" t="s">
        <v>66</v>
      </c>
      <c r="G545" t="s">
        <v>238</v>
      </c>
      <c r="H545">
        <v>1</v>
      </c>
      <c r="I545" s="3">
        <v>16.91</v>
      </c>
      <c r="J545" t="s">
        <v>16</v>
      </c>
      <c r="K545" s="2" t="s">
        <v>5256</v>
      </c>
      <c r="L545" s="4">
        <f>Table4[[#This Row],[quantity]]*Table4[[#This Row],[unit_price]]</f>
        <v>16.91</v>
      </c>
      <c r="M545">
        <f>COUNTIFS($C$2:$C$3934,Table4[[#This Row],[customer_id]])</f>
        <v>1</v>
      </c>
      <c r="N545" t="str">
        <f>IF(Table4[[#This Row],[customer_order_count]]=1,"New Customer","Repeat Customer")</f>
        <v>New Customer</v>
      </c>
    </row>
    <row r="546" spans="1:14">
      <c r="A546" t="s">
        <v>2561</v>
      </c>
      <c r="B546" s="1">
        <v>44982</v>
      </c>
      <c r="C546" t="s">
        <v>2562</v>
      </c>
      <c r="D546" t="s">
        <v>808</v>
      </c>
      <c r="E546" t="s">
        <v>21</v>
      </c>
      <c r="F546" t="s">
        <v>66</v>
      </c>
      <c r="G546" t="s">
        <v>217</v>
      </c>
      <c r="H546">
        <v>2</v>
      </c>
      <c r="I546" s="3">
        <v>16.91</v>
      </c>
      <c r="J546" t="s">
        <v>16</v>
      </c>
      <c r="K546" s="5" t="s">
        <v>35</v>
      </c>
      <c r="L546" s="4">
        <f>Table4[[#This Row],[quantity]]*Table4[[#This Row],[unit_price]]</f>
        <v>33.82</v>
      </c>
      <c r="M546">
        <f>COUNTIFS($C$2:$C$3934,Table4[[#This Row],[customer_id]])</f>
        <v>3</v>
      </c>
      <c r="N546" t="str">
        <f>IF(Table4[[#This Row],[customer_order_count]]=1,"New Customer","Repeat Customer")</f>
        <v>Repeat Customer</v>
      </c>
    </row>
    <row r="547" spans="1:14">
      <c r="A547" t="s">
        <v>4113</v>
      </c>
      <c r="B547" s="1">
        <v>45095</v>
      </c>
      <c r="C547" t="s">
        <v>3110</v>
      </c>
      <c r="D547" t="s">
        <v>1889</v>
      </c>
      <c r="E547" t="s">
        <v>21</v>
      </c>
      <c r="F547" t="s">
        <v>70</v>
      </c>
      <c r="G547" t="s">
        <v>110</v>
      </c>
      <c r="H547">
        <v>2</v>
      </c>
      <c r="I547" s="3">
        <v>16.91</v>
      </c>
      <c r="J547" t="s">
        <v>16</v>
      </c>
      <c r="K547" t="s">
        <v>30</v>
      </c>
      <c r="L547" s="4">
        <f>Table4[[#This Row],[quantity]]*Table4[[#This Row],[unit_price]]</f>
        <v>33.82</v>
      </c>
      <c r="M547">
        <f>COUNTIFS($C$2:$C$3934,Table4[[#This Row],[customer_id]])</f>
        <v>4</v>
      </c>
      <c r="N547" t="str">
        <f>IF(Table4[[#This Row],[customer_order_count]]=1,"New Customer","Repeat Customer")</f>
        <v>Repeat Customer</v>
      </c>
    </row>
    <row r="548" spans="1:14">
      <c r="A548" t="s">
        <v>1543</v>
      </c>
      <c r="B548" s="1">
        <v>45613</v>
      </c>
      <c r="C548" t="s">
        <v>419</v>
      </c>
      <c r="D548" t="s">
        <v>420</v>
      </c>
      <c r="E548" t="s">
        <v>21</v>
      </c>
      <c r="F548" t="s">
        <v>28</v>
      </c>
      <c r="G548" t="s">
        <v>84</v>
      </c>
      <c r="H548">
        <v>1</v>
      </c>
      <c r="I548" s="3">
        <v>16.920000000000002</v>
      </c>
      <c r="J548" t="s">
        <v>16</v>
      </c>
      <c r="K548" t="s">
        <v>30</v>
      </c>
      <c r="L548" s="4">
        <f>Table4[[#This Row],[quantity]]*Table4[[#This Row],[unit_price]]</f>
        <v>16.920000000000002</v>
      </c>
      <c r="M548">
        <f>COUNTIFS($C$2:$C$3934,Table4[[#This Row],[customer_id]])</f>
        <v>5</v>
      </c>
      <c r="N548" t="str">
        <f>IF(Table4[[#This Row],[customer_order_count]]=1,"New Customer","Repeat Customer")</f>
        <v>Repeat Customer</v>
      </c>
    </row>
    <row r="549" spans="1:14">
      <c r="A549" t="s">
        <v>4518</v>
      </c>
      <c r="B549" s="1">
        <v>45217</v>
      </c>
      <c r="C549" t="s">
        <v>1921</v>
      </c>
      <c r="D549" t="s">
        <v>1922</v>
      </c>
      <c r="E549" t="s">
        <v>21</v>
      </c>
      <c r="F549" t="s">
        <v>28</v>
      </c>
      <c r="G549" t="s">
        <v>84</v>
      </c>
      <c r="H549">
        <v>3</v>
      </c>
      <c r="I549" s="3">
        <v>16.920000000000002</v>
      </c>
      <c r="J549" t="s">
        <v>16</v>
      </c>
      <c r="K549" t="s">
        <v>40</v>
      </c>
      <c r="L549" s="4">
        <f>Table4[[#This Row],[quantity]]*Table4[[#This Row],[unit_price]]</f>
        <v>50.760000000000005</v>
      </c>
      <c r="M549">
        <f>COUNTIFS($C$2:$C$3934,Table4[[#This Row],[customer_id]])</f>
        <v>5</v>
      </c>
      <c r="N549" t="str">
        <f>IF(Table4[[#This Row],[customer_order_count]]=1,"New Customer","Repeat Customer")</f>
        <v>Repeat Customer</v>
      </c>
    </row>
    <row r="550" spans="1:14">
      <c r="A550" t="s">
        <v>4043</v>
      </c>
      <c r="B550" s="1">
        <v>45328</v>
      </c>
      <c r="C550" t="s">
        <v>742</v>
      </c>
      <c r="D550" t="s">
        <v>743</v>
      </c>
      <c r="E550" t="s">
        <v>21</v>
      </c>
      <c r="F550" t="s">
        <v>28</v>
      </c>
      <c r="G550" t="s">
        <v>139</v>
      </c>
      <c r="H550">
        <v>2</v>
      </c>
      <c r="I550" s="3">
        <v>16.93</v>
      </c>
      <c r="J550" t="s">
        <v>85</v>
      </c>
      <c r="K550" t="s">
        <v>40</v>
      </c>
      <c r="L550" s="4">
        <f>Table4[[#This Row],[quantity]]*Table4[[#This Row],[unit_price]]</f>
        <v>33.86</v>
      </c>
      <c r="M550">
        <f>COUNTIFS($C$2:$C$3934,Table4[[#This Row],[customer_id]])</f>
        <v>8</v>
      </c>
      <c r="N550" t="str">
        <f>IF(Table4[[#This Row],[customer_order_count]]=1,"New Customer","Repeat Customer")</f>
        <v>Repeat Customer</v>
      </c>
    </row>
    <row r="551" spans="1:14">
      <c r="A551" t="s">
        <v>2425</v>
      </c>
      <c r="B551" s="1">
        <v>45147</v>
      </c>
      <c r="C551" t="s">
        <v>2426</v>
      </c>
      <c r="D551" t="s">
        <v>2427</v>
      </c>
      <c r="E551" t="s">
        <v>21</v>
      </c>
      <c r="F551" t="s">
        <v>66</v>
      </c>
      <c r="G551" t="s">
        <v>49</v>
      </c>
      <c r="H551">
        <v>1</v>
      </c>
      <c r="I551" s="3">
        <v>16.97</v>
      </c>
      <c r="J551" t="s">
        <v>24</v>
      </c>
      <c r="K551" t="s">
        <v>35</v>
      </c>
      <c r="L551" s="4">
        <f>Table4[[#This Row],[quantity]]*Table4[[#This Row],[unit_price]]</f>
        <v>16.97</v>
      </c>
      <c r="M551">
        <f>COUNTIFS($C$2:$C$3934,Table4[[#This Row],[customer_id]])</f>
        <v>5</v>
      </c>
      <c r="N551" t="str">
        <f>IF(Table4[[#This Row],[customer_order_count]]=1,"New Customer","Repeat Customer")</f>
        <v>Repeat Customer</v>
      </c>
    </row>
    <row r="552" spans="1:14">
      <c r="A552" t="s">
        <v>2153</v>
      </c>
      <c r="B552" s="1">
        <v>45387</v>
      </c>
      <c r="C552" t="s">
        <v>814</v>
      </c>
      <c r="D552" t="s">
        <v>815</v>
      </c>
      <c r="E552" t="s">
        <v>21</v>
      </c>
      <c r="F552" t="s">
        <v>22</v>
      </c>
      <c r="G552" t="s">
        <v>162</v>
      </c>
      <c r="H552">
        <v>1</v>
      </c>
      <c r="I552" s="3">
        <v>17.04</v>
      </c>
      <c r="J552" t="s">
        <v>16</v>
      </c>
      <c r="K552" t="s">
        <v>35</v>
      </c>
      <c r="L552" s="4">
        <f>Table4[[#This Row],[quantity]]*Table4[[#This Row],[unit_price]]</f>
        <v>17.04</v>
      </c>
      <c r="M552">
        <f>COUNTIFS($C$2:$C$3934,Table4[[#This Row],[customer_id]])</f>
        <v>5</v>
      </c>
      <c r="N552" t="str">
        <f>IF(Table4[[#This Row],[customer_order_count]]=1,"New Customer","Repeat Customer")</f>
        <v>Repeat Customer</v>
      </c>
    </row>
    <row r="553" spans="1:14">
      <c r="A553" t="s">
        <v>4699</v>
      </c>
      <c r="B553" s="1">
        <v>45360</v>
      </c>
      <c r="C553" t="s">
        <v>3306</v>
      </c>
      <c r="D553" t="s">
        <v>669</v>
      </c>
      <c r="E553" t="s">
        <v>44</v>
      </c>
      <c r="F553" t="s">
        <v>79</v>
      </c>
      <c r="G553" t="s">
        <v>80</v>
      </c>
      <c r="H553">
        <v>2</v>
      </c>
      <c r="I553" s="3">
        <v>17.059999999999999</v>
      </c>
      <c r="J553" t="s">
        <v>16</v>
      </c>
      <c r="K553" t="s">
        <v>35</v>
      </c>
      <c r="L553" s="4">
        <f>Table4[[#This Row],[quantity]]*Table4[[#This Row],[unit_price]]</f>
        <v>34.119999999999997</v>
      </c>
      <c r="M553">
        <f>COUNTIFS($C$2:$C$3934,Table4[[#This Row],[customer_id]])</f>
        <v>4</v>
      </c>
      <c r="N553" t="str">
        <f>IF(Table4[[#This Row],[customer_order_count]]=1,"New Customer","Repeat Customer")</f>
        <v>Repeat Customer</v>
      </c>
    </row>
    <row r="554" spans="1:14">
      <c r="A554" t="s">
        <v>4693</v>
      </c>
      <c r="B554" s="1">
        <v>45115</v>
      </c>
      <c r="C554" t="s">
        <v>3209</v>
      </c>
      <c r="D554" t="s">
        <v>1430</v>
      </c>
      <c r="E554" t="s">
        <v>21</v>
      </c>
      <c r="F554" t="s">
        <v>28</v>
      </c>
      <c r="G554" t="s">
        <v>45</v>
      </c>
      <c r="H554">
        <v>1</v>
      </c>
      <c r="I554" s="3">
        <v>17.11</v>
      </c>
      <c r="J554" t="s">
        <v>16</v>
      </c>
      <c r="K554" t="s">
        <v>35</v>
      </c>
      <c r="L554" s="4">
        <f>Table4[[#This Row],[quantity]]*Table4[[#This Row],[unit_price]]</f>
        <v>17.11</v>
      </c>
      <c r="M554">
        <f>COUNTIFS($C$2:$C$3934,Table4[[#This Row],[customer_id]])</f>
        <v>7</v>
      </c>
      <c r="N554" t="str">
        <f>IF(Table4[[#This Row],[customer_order_count]]=1,"New Customer","Repeat Customer")</f>
        <v>Repeat Customer</v>
      </c>
    </row>
    <row r="555" spans="1:14">
      <c r="A555" t="s">
        <v>1746</v>
      </c>
      <c r="B555" s="1">
        <v>45252</v>
      </c>
      <c r="C555" t="s">
        <v>1747</v>
      </c>
      <c r="D555" t="s">
        <v>1748</v>
      </c>
      <c r="E555" t="s">
        <v>21</v>
      </c>
      <c r="F555" t="s">
        <v>22</v>
      </c>
      <c r="G555" t="s">
        <v>264</v>
      </c>
      <c r="H555">
        <v>3</v>
      </c>
      <c r="I555" s="3">
        <v>17.12</v>
      </c>
      <c r="J555" t="s">
        <v>16</v>
      </c>
      <c r="K555" t="s">
        <v>40</v>
      </c>
      <c r="L555" s="4">
        <f>Table4[[#This Row],[quantity]]*Table4[[#This Row],[unit_price]]</f>
        <v>51.36</v>
      </c>
      <c r="M555">
        <f>COUNTIFS($C$2:$C$3934,Table4[[#This Row],[customer_id]])</f>
        <v>8</v>
      </c>
      <c r="N555" t="str">
        <f>IF(Table4[[#This Row],[customer_order_count]]=1,"New Customer","Repeat Customer")</f>
        <v>Repeat Customer</v>
      </c>
    </row>
    <row r="556" spans="1:14">
      <c r="A556" t="s">
        <v>2389</v>
      </c>
      <c r="B556" s="1">
        <v>45298</v>
      </c>
      <c r="C556" t="s">
        <v>1248</v>
      </c>
      <c r="D556" t="s">
        <v>787</v>
      </c>
      <c r="E556" t="s">
        <v>21</v>
      </c>
      <c r="F556" t="s">
        <v>66</v>
      </c>
      <c r="G556" t="s">
        <v>217</v>
      </c>
      <c r="H556">
        <v>1</v>
      </c>
      <c r="I556" s="3">
        <v>17.13</v>
      </c>
      <c r="J556" t="s">
        <v>16</v>
      </c>
      <c r="K556" t="s">
        <v>30</v>
      </c>
      <c r="L556" s="4">
        <f>Table4[[#This Row],[quantity]]*Table4[[#This Row],[unit_price]]</f>
        <v>17.13</v>
      </c>
      <c r="M556">
        <f>COUNTIFS($C$2:$C$3934,Table4[[#This Row],[customer_id]])</f>
        <v>6</v>
      </c>
      <c r="N556" t="str">
        <f>IF(Table4[[#This Row],[customer_order_count]]=1,"New Customer","Repeat Customer")</f>
        <v>Repeat Customer</v>
      </c>
    </row>
    <row r="557" spans="1:14">
      <c r="A557" t="s">
        <v>2804</v>
      </c>
      <c r="B557" s="1">
        <v>44982</v>
      </c>
      <c r="C557" t="s">
        <v>98</v>
      </c>
      <c r="D557" t="s">
        <v>99</v>
      </c>
      <c r="E557" t="s">
        <v>21</v>
      </c>
      <c r="F557" t="s">
        <v>66</v>
      </c>
      <c r="G557" t="s">
        <v>238</v>
      </c>
      <c r="H557">
        <v>1</v>
      </c>
      <c r="I557" s="3">
        <v>17.170000000000002</v>
      </c>
      <c r="J557" t="s">
        <v>16</v>
      </c>
      <c r="K557" t="s">
        <v>35</v>
      </c>
      <c r="L557" s="4">
        <f>Table4[[#This Row],[quantity]]*Table4[[#This Row],[unit_price]]</f>
        <v>17.170000000000002</v>
      </c>
      <c r="M557">
        <f>COUNTIFS($C$2:$C$3934,Table4[[#This Row],[customer_id]])</f>
        <v>7</v>
      </c>
      <c r="N557" t="str">
        <f>IF(Table4[[#This Row],[customer_order_count]]=1,"New Customer","Repeat Customer")</f>
        <v>Repeat Customer</v>
      </c>
    </row>
    <row r="558" spans="1:14">
      <c r="A558" t="s">
        <v>5159</v>
      </c>
      <c r="B558" s="1">
        <v>45260</v>
      </c>
      <c r="C558" t="s">
        <v>814</v>
      </c>
      <c r="D558" t="s">
        <v>815</v>
      </c>
      <c r="E558" t="s">
        <v>21</v>
      </c>
      <c r="F558" t="s">
        <v>66</v>
      </c>
      <c r="G558" t="s">
        <v>217</v>
      </c>
      <c r="H558">
        <v>5</v>
      </c>
      <c r="I558" s="3">
        <v>17.190000000000001</v>
      </c>
      <c r="J558" t="s">
        <v>16</v>
      </c>
      <c r="K558" t="s">
        <v>30</v>
      </c>
      <c r="L558" s="4">
        <f>Table4[[#This Row],[quantity]]*Table4[[#This Row],[unit_price]]</f>
        <v>85.95</v>
      </c>
      <c r="M558">
        <f>COUNTIFS($C$2:$C$3934,Table4[[#This Row],[customer_id]])</f>
        <v>5</v>
      </c>
      <c r="N558" t="str">
        <f>IF(Table4[[#This Row],[customer_order_count]]=1,"New Customer","Repeat Customer")</f>
        <v>Repeat Customer</v>
      </c>
    </row>
    <row r="559" spans="1:14">
      <c r="A559" t="s">
        <v>1491</v>
      </c>
      <c r="B559" s="1">
        <v>45296</v>
      </c>
      <c r="C559" t="s">
        <v>1492</v>
      </c>
      <c r="D559" t="s">
        <v>1070</v>
      </c>
      <c r="E559" t="s">
        <v>44</v>
      </c>
      <c r="F559" t="s">
        <v>70</v>
      </c>
      <c r="G559" t="s">
        <v>170</v>
      </c>
      <c r="H559">
        <v>1</v>
      </c>
      <c r="I559" s="3">
        <v>17.21</v>
      </c>
      <c r="J559" t="s">
        <v>16</v>
      </c>
      <c r="K559" t="s">
        <v>30</v>
      </c>
      <c r="L559" s="4">
        <f>Table4[[#This Row],[quantity]]*Table4[[#This Row],[unit_price]]</f>
        <v>17.21</v>
      </c>
      <c r="M559">
        <f>COUNTIFS($C$2:$C$3934,Table4[[#This Row],[customer_id]])</f>
        <v>5</v>
      </c>
      <c r="N559" t="str">
        <f>IF(Table4[[#This Row],[customer_order_count]]=1,"New Customer","Repeat Customer")</f>
        <v>Repeat Customer</v>
      </c>
    </row>
    <row r="560" spans="1:14">
      <c r="A560" t="s">
        <v>4384</v>
      </c>
      <c r="B560" s="1">
        <v>45563</v>
      </c>
      <c r="C560" t="s">
        <v>1381</v>
      </c>
      <c r="D560" t="s">
        <v>510</v>
      </c>
      <c r="E560" t="s">
        <v>21</v>
      </c>
      <c r="F560" t="s">
        <v>66</v>
      </c>
      <c r="G560" t="s">
        <v>49</v>
      </c>
      <c r="H560">
        <v>5</v>
      </c>
      <c r="I560" s="3">
        <v>17.22</v>
      </c>
      <c r="J560" t="s">
        <v>24</v>
      </c>
      <c r="K560" t="s">
        <v>30</v>
      </c>
      <c r="L560" s="4">
        <f>Table4[[#This Row],[quantity]]*Table4[[#This Row],[unit_price]]</f>
        <v>86.1</v>
      </c>
      <c r="M560">
        <f>COUNTIFS($C$2:$C$3934,Table4[[#This Row],[customer_id]])</f>
        <v>5</v>
      </c>
      <c r="N560" t="str">
        <f>IF(Table4[[#This Row],[customer_order_count]]=1,"New Customer","Repeat Customer")</f>
        <v>Repeat Customer</v>
      </c>
    </row>
    <row r="561" spans="1:14">
      <c r="A561" t="s">
        <v>5140</v>
      </c>
      <c r="B561" s="1">
        <v>44991</v>
      </c>
      <c r="C561" t="s">
        <v>2843</v>
      </c>
      <c r="D561" t="s">
        <v>2427</v>
      </c>
      <c r="E561" t="s">
        <v>44</v>
      </c>
      <c r="F561" t="s">
        <v>66</v>
      </c>
      <c r="G561" t="s">
        <v>128</v>
      </c>
      <c r="H561">
        <v>1</v>
      </c>
      <c r="I561" s="3">
        <v>17.23</v>
      </c>
      <c r="J561" t="s">
        <v>85</v>
      </c>
      <c r="K561" t="s">
        <v>35</v>
      </c>
      <c r="L561" s="4">
        <f>Table4[[#This Row],[quantity]]*Table4[[#This Row],[unit_price]]</f>
        <v>17.23</v>
      </c>
      <c r="M561">
        <f>COUNTIFS($C$2:$C$3934,Table4[[#This Row],[customer_id]])</f>
        <v>3</v>
      </c>
      <c r="N561" t="str">
        <f>IF(Table4[[#This Row],[customer_order_count]]=1,"New Customer","Repeat Customer")</f>
        <v>Repeat Customer</v>
      </c>
    </row>
    <row r="562" spans="1:14">
      <c r="A562" t="s">
        <v>3616</v>
      </c>
      <c r="B562" s="1">
        <v>44961</v>
      </c>
      <c r="C562" t="s">
        <v>921</v>
      </c>
      <c r="D562" t="s">
        <v>181</v>
      </c>
      <c r="E562" t="s">
        <v>21</v>
      </c>
      <c r="F562" t="s">
        <v>66</v>
      </c>
      <c r="G562" t="s">
        <v>49</v>
      </c>
      <c r="H562">
        <v>1</v>
      </c>
      <c r="I562" s="3">
        <v>17.239999999999998</v>
      </c>
      <c r="J562" t="s">
        <v>16</v>
      </c>
      <c r="K562" t="s">
        <v>30</v>
      </c>
      <c r="L562" s="4">
        <f>Table4[[#This Row],[quantity]]*Table4[[#This Row],[unit_price]]</f>
        <v>17.239999999999998</v>
      </c>
      <c r="M562">
        <f>COUNTIFS($C$2:$C$3934,Table4[[#This Row],[customer_id]])</f>
        <v>6</v>
      </c>
      <c r="N562" t="str">
        <f>IF(Table4[[#This Row],[customer_order_count]]=1,"New Customer","Repeat Customer")</f>
        <v>Repeat Customer</v>
      </c>
    </row>
    <row r="563" spans="1:14">
      <c r="A563" t="s">
        <v>4677</v>
      </c>
      <c r="B563" s="1">
        <v>45091</v>
      </c>
      <c r="C563" t="s">
        <v>1379</v>
      </c>
      <c r="D563" t="s">
        <v>1054</v>
      </c>
      <c r="E563" t="s">
        <v>21</v>
      </c>
      <c r="F563" t="s">
        <v>66</v>
      </c>
      <c r="G563" t="s">
        <v>238</v>
      </c>
      <c r="H563">
        <v>2</v>
      </c>
      <c r="I563" s="3">
        <v>17.239999999999998</v>
      </c>
      <c r="J563" t="s">
        <v>16</v>
      </c>
      <c r="K563" t="s">
        <v>40</v>
      </c>
      <c r="L563" s="4">
        <f>Table4[[#This Row],[quantity]]*Table4[[#This Row],[unit_price]]</f>
        <v>34.479999999999997</v>
      </c>
      <c r="M563">
        <f>COUNTIFS($C$2:$C$3934,Table4[[#This Row],[customer_id]])</f>
        <v>5</v>
      </c>
      <c r="N563" t="str">
        <f>IF(Table4[[#This Row],[customer_order_count]]=1,"New Customer","Repeat Customer")</f>
        <v>Repeat Customer</v>
      </c>
    </row>
    <row r="564" spans="1:14">
      <c r="A564" t="s">
        <v>5055</v>
      </c>
      <c r="B564" s="1">
        <v>44928</v>
      </c>
      <c r="C564" t="s">
        <v>955</v>
      </c>
      <c r="D564" t="s">
        <v>956</v>
      </c>
      <c r="E564" t="s">
        <v>21</v>
      </c>
      <c r="F564" t="s">
        <v>66</v>
      </c>
      <c r="G564" t="s">
        <v>217</v>
      </c>
      <c r="H564">
        <v>2</v>
      </c>
      <c r="I564" s="3">
        <v>17.3</v>
      </c>
      <c r="J564" t="s">
        <v>16</v>
      </c>
      <c r="K564" t="s">
        <v>40</v>
      </c>
      <c r="L564" s="4">
        <f>Table4[[#This Row],[quantity]]*Table4[[#This Row],[unit_price]]</f>
        <v>34.6</v>
      </c>
      <c r="M564">
        <f>COUNTIFS($C$2:$C$3934,Table4[[#This Row],[customer_id]])</f>
        <v>5</v>
      </c>
      <c r="N564" t="str">
        <f>IF(Table4[[#This Row],[customer_order_count]]=1,"New Customer","Repeat Customer")</f>
        <v>Repeat Customer</v>
      </c>
    </row>
    <row r="565" spans="1:14">
      <c r="A565" t="s">
        <v>4365</v>
      </c>
      <c r="B565" s="1">
        <v>45268</v>
      </c>
      <c r="C565" t="s">
        <v>1530</v>
      </c>
      <c r="D565" t="s">
        <v>834</v>
      </c>
      <c r="E565" t="s">
        <v>21</v>
      </c>
      <c r="F565" t="s">
        <v>66</v>
      </c>
      <c r="G565" t="s">
        <v>217</v>
      </c>
      <c r="H565">
        <v>4</v>
      </c>
      <c r="I565" s="3">
        <v>17.32</v>
      </c>
      <c r="J565" t="s">
        <v>16</v>
      </c>
      <c r="K565" t="s">
        <v>40</v>
      </c>
      <c r="L565" s="4">
        <f>Table4[[#This Row],[quantity]]*Table4[[#This Row],[unit_price]]</f>
        <v>69.28</v>
      </c>
      <c r="M565">
        <f>COUNTIFS($C$2:$C$3934,Table4[[#This Row],[customer_id]])</f>
        <v>8</v>
      </c>
      <c r="N565" t="str">
        <f>IF(Table4[[#This Row],[customer_order_count]]=1,"New Customer","Repeat Customer")</f>
        <v>Repeat Customer</v>
      </c>
    </row>
    <row r="566" spans="1:14">
      <c r="A566" t="s">
        <v>976</v>
      </c>
      <c r="B566" s="1">
        <v>45552</v>
      </c>
      <c r="C566" t="s">
        <v>12</v>
      </c>
      <c r="D566" t="s">
        <v>13</v>
      </c>
      <c r="E566" t="s">
        <v>21</v>
      </c>
      <c r="F566" t="s">
        <v>79</v>
      </c>
      <c r="G566" t="s">
        <v>230</v>
      </c>
      <c r="H566">
        <v>1</v>
      </c>
      <c r="I566" s="3">
        <v>17.329999999999998</v>
      </c>
      <c r="J566" t="s">
        <v>255</v>
      </c>
      <c r="K566" t="s">
        <v>17</v>
      </c>
      <c r="L566" s="4">
        <f>Table4[[#This Row],[quantity]]*Table4[[#This Row],[unit_price]]</f>
        <v>17.329999999999998</v>
      </c>
      <c r="M566">
        <f>COUNTIFS($C$2:$C$3934,Table4[[#This Row],[customer_id]])</f>
        <v>10</v>
      </c>
      <c r="N566" t="str">
        <f>IF(Table4[[#This Row],[customer_order_count]]=1,"New Customer","Repeat Customer")</f>
        <v>Repeat Customer</v>
      </c>
    </row>
    <row r="567" spans="1:14">
      <c r="A567" t="s">
        <v>429</v>
      </c>
      <c r="B567" s="1">
        <v>45640</v>
      </c>
      <c r="C567" t="s">
        <v>104</v>
      </c>
      <c r="D567" t="s">
        <v>105</v>
      </c>
      <c r="E567" t="s">
        <v>21</v>
      </c>
      <c r="F567" t="s">
        <v>28</v>
      </c>
      <c r="G567" t="s">
        <v>114</v>
      </c>
      <c r="H567">
        <v>1</v>
      </c>
      <c r="I567" s="3">
        <v>17.36</v>
      </c>
      <c r="J567" t="s">
        <v>24</v>
      </c>
      <c r="K567" t="s">
        <v>40</v>
      </c>
      <c r="L567" s="4">
        <f>Table4[[#This Row],[quantity]]*Table4[[#This Row],[unit_price]]</f>
        <v>17.36</v>
      </c>
      <c r="M567">
        <f>COUNTIFS($C$2:$C$3934,Table4[[#This Row],[customer_id]])</f>
        <v>9</v>
      </c>
      <c r="N567" t="str">
        <f>IF(Table4[[#This Row],[customer_order_count]]=1,"New Customer","Repeat Customer")</f>
        <v>Repeat Customer</v>
      </c>
    </row>
    <row r="568" spans="1:14">
      <c r="A568" t="s">
        <v>5076</v>
      </c>
      <c r="B568" s="1">
        <v>45543</v>
      </c>
      <c r="C568" t="s">
        <v>2650</v>
      </c>
      <c r="D568" t="s">
        <v>2024</v>
      </c>
      <c r="E568" t="s">
        <v>21</v>
      </c>
      <c r="F568" t="s">
        <v>28</v>
      </c>
      <c r="G568" t="s">
        <v>139</v>
      </c>
      <c r="H568">
        <v>1</v>
      </c>
      <c r="I568" s="3">
        <v>17.39</v>
      </c>
      <c r="J568" t="s">
        <v>255</v>
      </c>
      <c r="K568" t="s">
        <v>40</v>
      </c>
      <c r="L568" s="4">
        <f>Table4[[#This Row],[quantity]]*Table4[[#This Row],[unit_price]]</f>
        <v>17.39</v>
      </c>
      <c r="M568">
        <f>COUNTIFS($C$2:$C$3934,Table4[[#This Row],[customer_id]])</f>
        <v>4</v>
      </c>
      <c r="N568" t="str">
        <f>IF(Table4[[#This Row],[customer_order_count]]=1,"New Customer","Repeat Customer")</f>
        <v>Repeat Customer</v>
      </c>
    </row>
    <row r="569" spans="1:14">
      <c r="A569" t="s">
        <v>3443</v>
      </c>
      <c r="B569" s="1">
        <v>45154</v>
      </c>
      <c r="C569" t="s">
        <v>1490</v>
      </c>
      <c r="D569" t="s">
        <v>261</v>
      </c>
      <c r="E569" t="s">
        <v>21</v>
      </c>
      <c r="F569" t="s">
        <v>66</v>
      </c>
      <c r="G569" t="s">
        <v>128</v>
      </c>
      <c r="H569">
        <v>1</v>
      </c>
      <c r="I569" s="3">
        <v>17.39</v>
      </c>
      <c r="J569" t="s">
        <v>16</v>
      </c>
      <c r="K569" t="s">
        <v>17</v>
      </c>
      <c r="L569" s="4">
        <f>Table4[[#This Row],[quantity]]*Table4[[#This Row],[unit_price]]</f>
        <v>17.39</v>
      </c>
      <c r="M569">
        <f>COUNTIFS($C$2:$C$3934,Table4[[#This Row],[customer_id]])</f>
        <v>5</v>
      </c>
      <c r="N569" t="str">
        <f>IF(Table4[[#This Row],[customer_order_count]]=1,"New Customer","Repeat Customer")</f>
        <v>Repeat Customer</v>
      </c>
    </row>
    <row r="570" spans="1:14">
      <c r="A570" t="s">
        <v>1720</v>
      </c>
      <c r="B570" s="1">
        <v>45204</v>
      </c>
      <c r="C570" t="s">
        <v>752</v>
      </c>
      <c r="D570" t="s">
        <v>452</v>
      </c>
      <c r="E570" t="s">
        <v>21</v>
      </c>
      <c r="F570" t="s">
        <v>66</v>
      </c>
      <c r="G570" t="s">
        <v>217</v>
      </c>
      <c r="H570">
        <v>2</v>
      </c>
      <c r="I570" s="3">
        <v>17.41</v>
      </c>
      <c r="J570" t="s">
        <v>16</v>
      </c>
      <c r="K570" t="s">
        <v>40</v>
      </c>
      <c r="L570" s="4">
        <f>Table4[[#This Row],[quantity]]*Table4[[#This Row],[unit_price]]</f>
        <v>34.82</v>
      </c>
      <c r="M570">
        <f>COUNTIFS($C$2:$C$3934,Table4[[#This Row],[customer_id]])</f>
        <v>7</v>
      </c>
      <c r="N570" t="str">
        <f>IF(Table4[[#This Row],[customer_order_count]]=1,"New Customer","Repeat Customer")</f>
        <v>Repeat Customer</v>
      </c>
    </row>
    <row r="571" spans="1:14">
      <c r="A571" t="s">
        <v>3291</v>
      </c>
      <c r="B571" s="1">
        <v>45623</v>
      </c>
      <c r="C571" t="s">
        <v>642</v>
      </c>
      <c r="D571" s="2" t="s">
        <v>5257</v>
      </c>
      <c r="E571" t="s">
        <v>21</v>
      </c>
      <c r="F571" t="s">
        <v>66</v>
      </c>
      <c r="G571" t="s">
        <v>67</v>
      </c>
      <c r="H571">
        <v>1</v>
      </c>
      <c r="I571" s="3">
        <v>17.420000000000002</v>
      </c>
      <c r="J571" t="s">
        <v>16</v>
      </c>
      <c r="K571" t="s">
        <v>30</v>
      </c>
      <c r="L571" s="4">
        <f>Table4[[#This Row],[quantity]]*Table4[[#This Row],[unit_price]]</f>
        <v>17.420000000000002</v>
      </c>
      <c r="M571">
        <f>COUNTIFS($C$2:$C$3934,Table4[[#This Row],[customer_id]])</f>
        <v>7</v>
      </c>
      <c r="N571" t="str">
        <f>IF(Table4[[#This Row],[customer_order_count]]=1,"New Customer","Repeat Customer")</f>
        <v>Repeat Customer</v>
      </c>
    </row>
    <row r="572" spans="1:14">
      <c r="A572" t="s">
        <v>232</v>
      </c>
      <c r="B572" s="1">
        <v>45384</v>
      </c>
      <c r="C572" t="s">
        <v>233</v>
      </c>
      <c r="D572" s="5" t="s">
        <v>234</v>
      </c>
      <c r="E572" t="s">
        <v>21</v>
      </c>
      <c r="F572" t="s">
        <v>28</v>
      </c>
      <c r="G572" t="s">
        <v>139</v>
      </c>
      <c r="H572">
        <v>4</v>
      </c>
      <c r="I572" s="3">
        <v>17.420000000000002</v>
      </c>
      <c r="J572" t="s">
        <v>16</v>
      </c>
      <c r="K572" t="s">
        <v>30</v>
      </c>
      <c r="L572" s="4">
        <f>Table4[[#This Row],[quantity]]*Table4[[#This Row],[unit_price]]</f>
        <v>69.680000000000007</v>
      </c>
      <c r="M572">
        <f>COUNTIFS($C$2:$C$3934,Table4[[#This Row],[customer_id]])</f>
        <v>3</v>
      </c>
      <c r="N572" t="str">
        <f>IF(Table4[[#This Row],[customer_order_count]]=1,"New Customer","Repeat Customer")</f>
        <v>Repeat Customer</v>
      </c>
    </row>
    <row r="573" spans="1:14">
      <c r="A573" t="s">
        <v>4030</v>
      </c>
      <c r="B573" s="1">
        <v>45046</v>
      </c>
      <c r="C573" t="s">
        <v>266</v>
      </c>
      <c r="D573" t="s">
        <v>152</v>
      </c>
      <c r="E573" t="s">
        <v>21</v>
      </c>
      <c r="F573" t="s">
        <v>28</v>
      </c>
      <c r="G573" t="s">
        <v>139</v>
      </c>
      <c r="H573">
        <v>1</v>
      </c>
      <c r="I573" s="3">
        <v>17.43</v>
      </c>
      <c r="J573" t="s">
        <v>16</v>
      </c>
      <c r="K573" t="s">
        <v>40</v>
      </c>
      <c r="L573" s="4">
        <f>Table4[[#This Row],[quantity]]*Table4[[#This Row],[unit_price]]</f>
        <v>17.43</v>
      </c>
      <c r="M573">
        <f>COUNTIFS($C$2:$C$3934,Table4[[#This Row],[customer_id]])</f>
        <v>6</v>
      </c>
      <c r="N573" t="str">
        <f>IF(Table4[[#This Row],[customer_order_count]]=1,"New Customer","Repeat Customer")</f>
        <v>Repeat Customer</v>
      </c>
    </row>
    <row r="574" spans="1:14">
      <c r="A574" t="s">
        <v>3844</v>
      </c>
      <c r="B574" s="1">
        <v>45162</v>
      </c>
      <c r="C574" t="s">
        <v>42</v>
      </c>
      <c r="D574" t="s">
        <v>43</v>
      </c>
      <c r="E574" t="s">
        <v>21</v>
      </c>
      <c r="F574" t="s">
        <v>28</v>
      </c>
      <c r="G574" t="s">
        <v>84</v>
      </c>
      <c r="H574">
        <v>2</v>
      </c>
      <c r="I574" s="3">
        <v>17.45</v>
      </c>
      <c r="J574" t="s">
        <v>16</v>
      </c>
      <c r="K574" t="s">
        <v>17</v>
      </c>
      <c r="L574" s="4">
        <f>Table4[[#This Row],[quantity]]*Table4[[#This Row],[unit_price]]</f>
        <v>34.9</v>
      </c>
      <c r="M574">
        <f>COUNTIFS($C$2:$C$3934,Table4[[#This Row],[customer_id]])</f>
        <v>8</v>
      </c>
      <c r="N574" t="str">
        <f>IF(Table4[[#This Row],[customer_order_count]]=1,"New Customer","Repeat Customer")</f>
        <v>Repeat Customer</v>
      </c>
    </row>
    <row r="575" spans="1:14">
      <c r="A575" t="s">
        <v>3314</v>
      </c>
      <c r="B575" s="1">
        <v>45379</v>
      </c>
      <c r="C575" t="s">
        <v>1801</v>
      </c>
      <c r="D575" t="s">
        <v>569</v>
      </c>
      <c r="E575" t="s">
        <v>21</v>
      </c>
      <c r="F575" t="s">
        <v>14</v>
      </c>
      <c r="G575" t="s">
        <v>34</v>
      </c>
      <c r="H575">
        <v>1</v>
      </c>
      <c r="I575" s="3">
        <v>17.489999999999998</v>
      </c>
      <c r="J575" t="s">
        <v>16</v>
      </c>
      <c r="K575" t="s">
        <v>35</v>
      </c>
      <c r="L575" s="4">
        <f>Table4[[#This Row],[quantity]]*Table4[[#This Row],[unit_price]]</f>
        <v>17.489999999999998</v>
      </c>
      <c r="M575">
        <f>COUNTIFS($C$2:$C$3934,Table4[[#This Row],[customer_id]])</f>
        <v>6</v>
      </c>
      <c r="N575" t="str">
        <f>IF(Table4[[#This Row],[customer_order_count]]=1,"New Customer","Repeat Customer")</f>
        <v>Repeat Customer</v>
      </c>
    </row>
    <row r="576" spans="1:14">
      <c r="A576" t="s">
        <v>4959</v>
      </c>
      <c r="B576" s="1">
        <v>45242</v>
      </c>
      <c r="C576" t="s">
        <v>1575</v>
      </c>
      <c r="D576" t="s">
        <v>449</v>
      </c>
      <c r="E576" t="s">
        <v>44</v>
      </c>
      <c r="F576" t="s">
        <v>66</v>
      </c>
      <c r="G576" t="s">
        <v>217</v>
      </c>
      <c r="H576">
        <v>2</v>
      </c>
      <c r="I576" s="3">
        <v>17.489999999999998</v>
      </c>
      <c r="J576" t="s">
        <v>16</v>
      </c>
      <c r="K576" t="s">
        <v>35</v>
      </c>
      <c r="L576" s="4">
        <f>Table4[[#This Row],[quantity]]*Table4[[#This Row],[unit_price]]</f>
        <v>34.979999999999997</v>
      </c>
      <c r="M576">
        <f>COUNTIFS($C$2:$C$3934,Table4[[#This Row],[customer_id]])</f>
        <v>5</v>
      </c>
      <c r="N576" t="str">
        <f>IF(Table4[[#This Row],[customer_order_count]]=1,"New Customer","Repeat Customer")</f>
        <v>Repeat Customer</v>
      </c>
    </row>
    <row r="577" spans="1:14">
      <c r="A577" t="s">
        <v>4610</v>
      </c>
      <c r="B577" s="1">
        <v>45505</v>
      </c>
      <c r="C577" t="s">
        <v>1766</v>
      </c>
      <c r="D577" t="s">
        <v>1767</v>
      </c>
      <c r="E577" t="s">
        <v>21</v>
      </c>
      <c r="F577" t="s">
        <v>70</v>
      </c>
      <c r="G577" t="s">
        <v>337</v>
      </c>
      <c r="H577">
        <v>2</v>
      </c>
      <c r="I577" s="3">
        <v>17.5</v>
      </c>
      <c r="J577" t="s">
        <v>16</v>
      </c>
      <c r="K577" t="s">
        <v>35</v>
      </c>
      <c r="L577" s="4">
        <f>Table4[[#This Row],[quantity]]*Table4[[#This Row],[unit_price]]</f>
        <v>35</v>
      </c>
      <c r="M577">
        <f>COUNTIFS($C$2:$C$3934,Table4[[#This Row],[customer_id]])</f>
        <v>7</v>
      </c>
      <c r="N577" t="str">
        <f>IF(Table4[[#This Row],[customer_order_count]]=1,"New Customer","Repeat Customer")</f>
        <v>Repeat Customer</v>
      </c>
    </row>
    <row r="578" spans="1:14">
      <c r="A578" t="s">
        <v>2350</v>
      </c>
      <c r="B578" s="1">
        <v>45248</v>
      </c>
      <c r="C578" t="s">
        <v>1374</v>
      </c>
      <c r="D578" t="s">
        <v>1000</v>
      </c>
      <c r="E578" t="s">
        <v>21</v>
      </c>
      <c r="F578" t="s">
        <v>28</v>
      </c>
      <c r="G578" t="s">
        <v>84</v>
      </c>
      <c r="H578">
        <v>1</v>
      </c>
      <c r="I578" s="3">
        <v>17.510000000000002</v>
      </c>
      <c r="J578" t="s">
        <v>16</v>
      </c>
      <c r="K578" t="s">
        <v>17</v>
      </c>
      <c r="L578" s="4">
        <f>Table4[[#This Row],[quantity]]*Table4[[#This Row],[unit_price]]</f>
        <v>17.510000000000002</v>
      </c>
      <c r="M578">
        <f>COUNTIFS($C$2:$C$3934,Table4[[#This Row],[customer_id]])</f>
        <v>6</v>
      </c>
      <c r="N578" t="str">
        <f>IF(Table4[[#This Row],[customer_order_count]]=1,"New Customer","Repeat Customer")</f>
        <v>Repeat Customer</v>
      </c>
    </row>
    <row r="579" spans="1:14">
      <c r="A579" t="s">
        <v>4181</v>
      </c>
      <c r="B579" s="1">
        <v>44957</v>
      </c>
      <c r="C579" t="s">
        <v>721</v>
      </c>
      <c r="D579" t="s">
        <v>722</v>
      </c>
      <c r="E579" t="s">
        <v>21</v>
      </c>
      <c r="F579" t="s">
        <v>66</v>
      </c>
      <c r="G579" t="s">
        <v>238</v>
      </c>
      <c r="H579">
        <v>1</v>
      </c>
      <c r="I579" s="3">
        <v>17.53</v>
      </c>
      <c r="J579" t="s">
        <v>16</v>
      </c>
      <c r="K579" t="s">
        <v>40</v>
      </c>
      <c r="L579" s="4">
        <f>Table4[[#This Row],[quantity]]*Table4[[#This Row],[unit_price]]</f>
        <v>17.53</v>
      </c>
      <c r="M579">
        <f>COUNTIFS($C$2:$C$3934,Table4[[#This Row],[customer_id]])</f>
        <v>6</v>
      </c>
      <c r="N579" t="str">
        <f>IF(Table4[[#This Row],[customer_order_count]]=1,"New Customer","Repeat Customer")</f>
        <v>Repeat Customer</v>
      </c>
    </row>
    <row r="580" spans="1:14">
      <c r="A580" t="s">
        <v>3477</v>
      </c>
      <c r="B580" s="1">
        <v>45380</v>
      </c>
      <c r="C580" t="s">
        <v>914</v>
      </c>
      <c r="D580" t="s">
        <v>95</v>
      </c>
      <c r="E580" t="s">
        <v>21</v>
      </c>
      <c r="F580" t="s">
        <v>14</v>
      </c>
      <c r="G580" t="s">
        <v>34</v>
      </c>
      <c r="H580">
        <v>1</v>
      </c>
      <c r="I580" s="3">
        <v>17.53</v>
      </c>
      <c r="J580" t="s">
        <v>16</v>
      </c>
      <c r="K580" t="s">
        <v>40</v>
      </c>
      <c r="L580" s="4">
        <f>Table4[[#This Row],[quantity]]*Table4[[#This Row],[unit_price]]</f>
        <v>17.53</v>
      </c>
      <c r="M580">
        <f>COUNTIFS($C$2:$C$3934,Table4[[#This Row],[customer_id]])</f>
        <v>10</v>
      </c>
      <c r="N580" t="str">
        <f>IF(Table4[[#This Row],[customer_order_count]]=1,"New Customer","Repeat Customer")</f>
        <v>Repeat Customer</v>
      </c>
    </row>
    <row r="581" spans="1:14">
      <c r="A581" t="s">
        <v>3541</v>
      </c>
      <c r="B581" s="1">
        <v>45239</v>
      </c>
      <c r="C581" t="s">
        <v>2766</v>
      </c>
      <c r="D581" t="s">
        <v>181</v>
      </c>
      <c r="E581" t="s">
        <v>21</v>
      </c>
      <c r="F581" t="s">
        <v>22</v>
      </c>
      <c r="G581" t="s">
        <v>264</v>
      </c>
      <c r="H581">
        <v>2</v>
      </c>
      <c r="I581" s="3">
        <v>17.54</v>
      </c>
      <c r="J581" t="s">
        <v>255</v>
      </c>
      <c r="K581" t="s">
        <v>30</v>
      </c>
      <c r="L581" s="4">
        <f>Table4[[#This Row],[quantity]]*Table4[[#This Row],[unit_price]]</f>
        <v>35.08</v>
      </c>
      <c r="M581">
        <f>COUNTIFS($C$2:$C$3934,Table4[[#This Row],[customer_id]])</f>
        <v>4</v>
      </c>
      <c r="N581" t="str">
        <f>IF(Table4[[#This Row],[customer_order_count]]=1,"New Customer","Repeat Customer")</f>
        <v>Repeat Customer</v>
      </c>
    </row>
    <row r="582" spans="1:14">
      <c r="A582" t="s">
        <v>4657</v>
      </c>
      <c r="B582" s="1">
        <v>45368</v>
      </c>
      <c r="C582" t="s">
        <v>51</v>
      </c>
      <c r="D582" t="s">
        <v>52</v>
      </c>
      <c r="E582" t="s">
        <v>21</v>
      </c>
      <c r="F582" t="s">
        <v>66</v>
      </c>
      <c r="G582" t="s">
        <v>128</v>
      </c>
      <c r="H582">
        <v>2</v>
      </c>
      <c r="I582" s="3">
        <v>17.57</v>
      </c>
      <c r="J582" t="s">
        <v>85</v>
      </c>
      <c r="K582" t="s">
        <v>40</v>
      </c>
      <c r="L582" s="4">
        <f>Table4[[#This Row],[quantity]]*Table4[[#This Row],[unit_price]]</f>
        <v>35.14</v>
      </c>
      <c r="M582">
        <f>COUNTIFS($C$2:$C$3934,Table4[[#This Row],[customer_id]])</f>
        <v>9</v>
      </c>
      <c r="N582" t="str">
        <f>IF(Table4[[#This Row],[customer_order_count]]=1,"New Customer","Repeat Customer")</f>
        <v>Repeat Customer</v>
      </c>
    </row>
    <row r="583" spans="1:14">
      <c r="A583" t="s">
        <v>3658</v>
      </c>
      <c r="B583" s="1">
        <v>45284</v>
      </c>
      <c r="C583" t="s">
        <v>1136</v>
      </c>
      <c r="D583" t="s">
        <v>525</v>
      </c>
      <c r="E583" t="s">
        <v>44</v>
      </c>
      <c r="F583" t="s">
        <v>66</v>
      </c>
      <c r="G583" t="s">
        <v>128</v>
      </c>
      <c r="H583">
        <v>4</v>
      </c>
      <c r="I583" s="3">
        <v>17.57</v>
      </c>
      <c r="J583" t="s">
        <v>24</v>
      </c>
      <c r="K583" t="s">
        <v>30</v>
      </c>
      <c r="L583" s="4">
        <f>Table4[[#This Row],[quantity]]*Table4[[#This Row],[unit_price]]</f>
        <v>70.28</v>
      </c>
      <c r="M583">
        <f>COUNTIFS($C$2:$C$3934,Table4[[#This Row],[customer_id]])</f>
        <v>8</v>
      </c>
      <c r="N583" t="str">
        <f>IF(Table4[[#This Row],[customer_order_count]]=1,"New Customer","Repeat Customer")</f>
        <v>Repeat Customer</v>
      </c>
    </row>
    <row r="584" spans="1:14">
      <c r="A584" t="s">
        <v>2357</v>
      </c>
      <c r="B584" s="1">
        <v>45361</v>
      </c>
      <c r="C584" t="s">
        <v>1698</v>
      </c>
      <c r="D584" t="s">
        <v>1440</v>
      </c>
      <c r="E584" t="s">
        <v>21</v>
      </c>
      <c r="F584" t="s">
        <v>28</v>
      </c>
      <c r="G584" t="s">
        <v>29</v>
      </c>
      <c r="H584">
        <v>4</v>
      </c>
      <c r="I584" s="3">
        <v>17.59</v>
      </c>
      <c r="J584" t="s">
        <v>16</v>
      </c>
      <c r="K584" t="s">
        <v>17</v>
      </c>
      <c r="L584" s="4">
        <f>Table4[[#This Row],[quantity]]*Table4[[#This Row],[unit_price]]</f>
        <v>70.36</v>
      </c>
      <c r="M584">
        <f>COUNTIFS($C$2:$C$3934,Table4[[#This Row],[customer_id]])</f>
        <v>2</v>
      </c>
      <c r="N584" t="str">
        <f>IF(Table4[[#This Row],[customer_order_count]]=1,"New Customer","Repeat Customer")</f>
        <v>Repeat Customer</v>
      </c>
    </row>
    <row r="585" spans="1:14">
      <c r="A585" t="s">
        <v>1515</v>
      </c>
      <c r="B585" s="1">
        <v>44970</v>
      </c>
      <c r="C585" t="s">
        <v>1516</v>
      </c>
      <c r="D585" t="s">
        <v>1517</v>
      </c>
      <c r="E585" t="s">
        <v>21</v>
      </c>
      <c r="F585" t="s">
        <v>28</v>
      </c>
      <c r="G585" t="s">
        <v>84</v>
      </c>
      <c r="H585">
        <v>2</v>
      </c>
      <c r="I585" s="3">
        <v>17.600000000000001</v>
      </c>
      <c r="J585" t="s">
        <v>16</v>
      </c>
      <c r="K585" s="2" t="s">
        <v>5256</v>
      </c>
      <c r="L585" s="4">
        <f>Table4[[#This Row],[quantity]]*Table4[[#This Row],[unit_price]]</f>
        <v>35.200000000000003</v>
      </c>
      <c r="M585">
        <f>COUNTIFS($C$2:$C$3934,Table4[[#This Row],[customer_id]])</f>
        <v>6</v>
      </c>
      <c r="N585" t="str">
        <f>IF(Table4[[#This Row],[customer_order_count]]=1,"New Customer","Repeat Customer")</f>
        <v>Repeat Customer</v>
      </c>
    </row>
    <row r="586" spans="1:14">
      <c r="A586" t="s">
        <v>2898</v>
      </c>
      <c r="B586" s="1">
        <v>44969</v>
      </c>
      <c r="C586" t="s">
        <v>2899</v>
      </c>
      <c r="D586" t="s">
        <v>650</v>
      </c>
      <c r="E586" t="s">
        <v>61</v>
      </c>
      <c r="F586" t="s">
        <v>79</v>
      </c>
      <c r="G586" t="s">
        <v>230</v>
      </c>
      <c r="H586">
        <v>4</v>
      </c>
      <c r="I586" s="3">
        <v>17.61</v>
      </c>
      <c r="J586" t="s">
        <v>16</v>
      </c>
      <c r="K586" s="5" t="s">
        <v>35</v>
      </c>
      <c r="L586" s="4">
        <f>Table4[[#This Row],[quantity]]*Table4[[#This Row],[unit_price]]</f>
        <v>70.44</v>
      </c>
      <c r="M586">
        <f>COUNTIFS($C$2:$C$3934,Table4[[#This Row],[customer_id]])</f>
        <v>3</v>
      </c>
      <c r="N586" t="str">
        <f>IF(Table4[[#This Row],[customer_order_count]]=1,"New Customer","Repeat Customer")</f>
        <v>Repeat Customer</v>
      </c>
    </row>
    <row r="587" spans="1:14">
      <c r="A587" t="s">
        <v>3622</v>
      </c>
      <c r="B587" s="1">
        <v>44937</v>
      </c>
      <c r="C587" t="s">
        <v>1120</v>
      </c>
      <c r="D587" t="s">
        <v>1121</v>
      </c>
      <c r="E587" t="s">
        <v>21</v>
      </c>
      <c r="F587" t="s">
        <v>14</v>
      </c>
      <c r="G587" t="s">
        <v>39</v>
      </c>
      <c r="H587">
        <v>1</v>
      </c>
      <c r="I587" s="3">
        <v>17.66</v>
      </c>
      <c r="J587" t="s">
        <v>16</v>
      </c>
      <c r="K587" t="s">
        <v>35</v>
      </c>
      <c r="L587" s="4">
        <f>Table4[[#This Row],[quantity]]*Table4[[#This Row],[unit_price]]</f>
        <v>17.66</v>
      </c>
      <c r="M587">
        <f>COUNTIFS($C$2:$C$3934,Table4[[#This Row],[customer_id]])</f>
        <v>4</v>
      </c>
      <c r="N587" t="str">
        <f>IF(Table4[[#This Row],[customer_order_count]]=1,"New Customer","Repeat Customer")</f>
        <v>Repeat Customer</v>
      </c>
    </row>
    <row r="588" spans="1:14">
      <c r="A588" t="s">
        <v>2418</v>
      </c>
      <c r="B588" s="1">
        <v>45210</v>
      </c>
      <c r="C588" t="s">
        <v>188</v>
      </c>
      <c r="D588" t="s">
        <v>189</v>
      </c>
      <c r="E588" t="s">
        <v>21</v>
      </c>
      <c r="F588" t="s">
        <v>14</v>
      </c>
      <c r="G588" t="s">
        <v>34</v>
      </c>
      <c r="H588">
        <v>1</v>
      </c>
      <c r="I588" s="3">
        <v>17.68</v>
      </c>
      <c r="J588" t="s">
        <v>16</v>
      </c>
      <c r="K588" t="s">
        <v>30</v>
      </c>
      <c r="L588" s="4">
        <f>Table4[[#This Row],[quantity]]*Table4[[#This Row],[unit_price]]</f>
        <v>17.68</v>
      </c>
      <c r="M588">
        <f>COUNTIFS($C$2:$C$3934,Table4[[#This Row],[customer_id]])</f>
        <v>6</v>
      </c>
      <c r="N588" t="str">
        <f>IF(Table4[[#This Row],[customer_order_count]]=1,"New Customer","Repeat Customer")</f>
        <v>Repeat Customer</v>
      </c>
    </row>
    <row r="589" spans="1:14">
      <c r="A589" t="s">
        <v>4491</v>
      </c>
      <c r="B589" s="1">
        <v>45507</v>
      </c>
      <c r="C589" t="s">
        <v>1482</v>
      </c>
      <c r="D589" t="s">
        <v>269</v>
      </c>
      <c r="E589" t="s">
        <v>21</v>
      </c>
      <c r="F589" t="s">
        <v>14</v>
      </c>
      <c r="G589" t="s">
        <v>258</v>
      </c>
      <c r="H589">
        <v>1</v>
      </c>
      <c r="I589" s="3">
        <v>17.690000000000001</v>
      </c>
      <c r="J589" t="s">
        <v>85</v>
      </c>
      <c r="K589" t="s">
        <v>17</v>
      </c>
      <c r="L589" s="4">
        <f>Table4[[#This Row],[quantity]]*Table4[[#This Row],[unit_price]]</f>
        <v>17.690000000000001</v>
      </c>
      <c r="M589">
        <f>COUNTIFS($C$2:$C$3934,Table4[[#This Row],[customer_id]])</f>
        <v>6</v>
      </c>
      <c r="N589" t="str">
        <f>IF(Table4[[#This Row],[customer_order_count]]=1,"New Customer","Repeat Customer")</f>
        <v>Repeat Customer</v>
      </c>
    </row>
    <row r="590" spans="1:14">
      <c r="A590" t="s">
        <v>1879</v>
      </c>
      <c r="B590" s="1">
        <v>45125</v>
      </c>
      <c r="C590" t="s">
        <v>1406</v>
      </c>
      <c r="D590" t="s">
        <v>304</v>
      </c>
      <c r="E590" t="s">
        <v>21</v>
      </c>
      <c r="F590" t="s">
        <v>66</v>
      </c>
      <c r="G590" t="s">
        <v>67</v>
      </c>
      <c r="H590">
        <v>1</v>
      </c>
      <c r="I590" s="3">
        <v>17.7</v>
      </c>
      <c r="J590" t="s">
        <v>85</v>
      </c>
      <c r="K590" t="s">
        <v>35</v>
      </c>
      <c r="L590" s="4">
        <f>Table4[[#This Row],[quantity]]*Table4[[#This Row],[unit_price]]</f>
        <v>17.7</v>
      </c>
      <c r="M590">
        <f>COUNTIFS($C$2:$C$3934,Table4[[#This Row],[customer_id]])</f>
        <v>4</v>
      </c>
      <c r="N590" t="str">
        <f>IF(Table4[[#This Row],[customer_order_count]]=1,"New Customer","Repeat Customer")</f>
        <v>Repeat Customer</v>
      </c>
    </row>
    <row r="591" spans="1:14">
      <c r="A591" t="s">
        <v>1304</v>
      </c>
      <c r="B591" s="1">
        <v>45283</v>
      </c>
      <c r="C591" t="s">
        <v>698</v>
      </c>
      <c r="D591" t="s">
        <v>307</v>
      </c>
      <c r="E591" t="s">
        <v>21</v>
      </c>
      <c r="F591" t="s">
        <v>28</v>
      </c>
      <c r="G591" t="s">
        <v>139</v>
      </c>
      <c r="H591">
        <v>1</v>
      </c>
      <c r="I591" s="3">
        <v>17.71</v>
      </c>
      <c r="J591" t="s">
        <v>16</v>
      </c>
      <c r="K591" t="s">
        <v>17</v>
      </c>
      <c r="L591" s="4">
        <f>Table4[[#This Row],[quantity]]*Table4[[#This Row],[unit_price]]</f>
        <v>17.71</v>
      </c>
      <c r="M591">
        <f>COUNTIFS($C$2:$C$3934,Table4[[#This Row],[customer_id]])</f>
        <v>5</v>
      </c>
      <c r="N591" t="str">
        <f>IF(Table4[[#This Row],[customer_order_count]]=1,"New Customer","Repeat Customer")</f>
        <v>Repeat Customer</v>
      </c>
    </row>
    <row r="592" spans="1:14">
      <c r="A592" t="s">
        <v>1806</v>
      </c>
      <c r="B592" s="1">
        <v>45521</v>
      </c>
      <c r="C592" t="s">
        <v>1593</v>
      </c>
      <c r="D592" s="2" t="s">
        <v>5257</v>
      </c>
      <c r="E592" t="s">
        <v>44</v>
      </c>
      <c r="F592" t="s">
        <v>22</v>
      </c>
      <c r="G592" t="s">
        <v>264</v>
      </c>
      <c r="H592">
        <v>1</v>
      </c>
      <c r="I592" s="3">
        <v>17.73</v>
      </c>
      <c r="J592" t="s">
        <v>85</v>
      </c>
      <c r="K592" t="s">
        <v>40</v>
      </c>
      <c r="L592" s="4">
        <f>Table4[[#This Row],[quantity]]*Table4[[#This Row],[unit_price]]</f>
        <v>17.73</v>
      </c>
      <c r="M592">
        <f>COUNTIFS($C$2:$C$3934,Table4[[#This Row],[customer_id]])</f>
        <v>4</v>
      </c>
      <c r="N592" t="str">
        <f>IF(Table4[[#This Row],[customer_order_count]]=1,"New Customer","Repeat Customer")</f>
        <v>Repeat Customer</v>
      </c>
    </row>
    <row r="593" spans="1:14">
      <c r="A593" t="s">
        <v>4903</v>
      </c>
      <c r="B593" s="1">
        <v>45556</v>
      </c>
      <c r="C593" t="s">
        <v>1834</v>
      </c>
      <c r="D593" s="5" t="s">
        <v>359</v>
      </c>
      <c r="E593" t="s">
        <v>21</v>
      </c>
      <c r="F593" t="s">
        <v>66</v>
      </c>
      <c r="G593" t="s">
        <v>49</v>
      </c>
      <c r="H593">
        <v>2</v>
      </c>
      <c r="I593" s="3">
        <v>17.739999999999998</v>
      </c>
      <c r="J593" t="s">
        <v>16</v>
      </c>
      <c r="K593" t="s">
        <v>30</v>
      </c>
      <c r="L593" s="4">
        <f>Table4[[#This Row],[quantity]]*Table4[[#This Row],[unit_price]]</f>
        <v>35.479999999999997</v>
      </c>
      <c r="M593">
        <f>COUNTIFS($C$2:$C$3934,Table4[[#This Row],[customer_id]])</f>
        <v>7</v>
      </c>
      <c r="N593" t="str">
        <f>IF(Table4[[#This Row],[customer_order_count]]=1,"New Customer","Repeat Customer")</f>
        <v>Repeat Customer</v>
      </c>
    </row>
    <row r="594" spans="1:14">
      <c r="A594" t="s">
        <v>4367</v>
      </c>
      <c r="B594" s="1">
        <v>45596</v>
      </c>
      <c r="C594" t="s">
        <v>3448</v>
      </c>
      <c r="D594" t="s">
        <v>359</v>
      </c>
      <c r="E594" t="s">
        <v>21</v>
      </c>
      <c r="F594" t="s">
        <v>66</v>
      </c>
      <c r="G594" t="s">
        <v>128</v>
      </c>
      <c r="H594">
        <v>1</v>
      </c>
      <c r="I594" s="3">
        <v>17.760000000000002</v>
      </c>
      <c r="J594" t="s">
        <v>16</v>
      </c>
      <c r="K594" t="s">
        <v>30</v>
      </c>
      <c r="L594" s="4">
        <f>Table4[[#This Row],[quantity]]*Table4[[#This Row],[unit_price]]</f>
        <v>17.760000000000002</v>
      </c>
      <c r="M594">
        <f>COUNTIFS($C$2:$C$3934,Table4[[#This Row],[customer_id]])</f>
        <v>4</v>
      </c>
      <c r="N594" t="str">
        <f>IF(Table4[[#This Row],[customer_order_count]]=1,"New Customer","Repeat Customer")</f>
        <v>Repeat Customer</v>
      </c>
    </row>
    <row r="595" spans="1:14">
      <c r="A595" t="s">
        <v>3408</v>
      </c>
      <c r="B595" s="1">
        <v>45127</v>
      </c>
      <c r="C595" t="s">
        <v>1035</v>
      </c>
      <c r="D595" t="s">
        <v>1036</v>
      </c>
      <c r="E595" t="s">
        <v>21</v>
      </c>
      <c r="F595" t="s">
        <v>28</v>
      </c>
      <c r="G595" t="s">
        <v>114</v>
      </c>
      <c r="H595">
        <v>2</v>
      </c>
      <c r="I595" s="3">
        <v>17.79</v>
      </c>
      <c r="J595" t="s">
        <v>16</v>
      </c>
      <c r="K595" t="s">
        <v>30</v>
      </c>
      <c r="L595" s="4">
        <f>Table4[[#This Row],[quantity]]*Table4[[#This Row],[unit_price]]</f>
        <v>35.58</v>
      </c>
      <c r="M595">
        <f>COUNTIFS($C$2:$C$3934,Table4[[#This Row],[customer_id]])</f>
        <v>5</v>
      </c>
      <c r="N595" t="str">
        <f>IF(Table4[[#This Row],[customer_order_count]]=1,"New Customer","Repeat Customer")</f>
        <v>Repeat Customer</v>
      </c>
    </row>
    <row r="596" spans="1:14">
      <c r="A596" t="s">
        <v>3709</v>
      </c>
      <c r="B596" s="1">
        <v>45256</v>
      </c>
      <c r="C596" t="s">
        <v>2088</v>
      </c>
      <c r="D596" t="s">
        <v>435</v>
      </c>
      <c r="E596" t="s">
        <v>21</v>
      </c>
      <c r="F596" t="s">
        <v>22</v>
      </c>
      <c r="G596" t="s">
        <v>142</v>
      </c>
      <c r="H596">
        <v>2</v>
      </c>
      <c r="I596" s="3">
        <v>17.809999999999999</v>
      </c>
      <c r="J596" t="s">
        <v>16</v>
      </c>
      <c r="K596" t="s">
        <v>17</v>
      </c>
      <c r="L596" s="4">
        <f>Table4[[#This Row],[quantity]]*Table4[[#This Row],[unit_price]]</f>
        <v>35.619999999999997</v>
      </c>
      <c r="M596">
        <f>COUNTIFS($C$2:$C$3934,Table4[[#This Row],[customer_id]])</f>
        <v>9</v>
      </c>
      <c r="N596" t="str">
        <f>IF(Table4[[#This Row],[customer_order_count]]=1,"New Customer","Repeat Customer")</f>
        <v>Repeat Customer</v>
      </c>
    </row>
    <row r="597" spans="1:14">
      <c r="A597" t="s">
        <v>4736</v>
      </c>
      <c r="B597" s="1">
        <v>45224</v>
      </c>
      <c r="C597" t="s">
        <v>1772</v>
      </c>
      <c r="D597" t="s">
        <v>452</v>
      </c>
      <c r="E597" t="s">
        <v>21</v>
      </c>
      <c r="F597" t="s">
        <v>14</v>
      </c>
      <c r="G597" t="s">
        <v>15</v>
      </c>
      <c r="H597">
        <v>1</v>
      </c>
      <c r="I597" s="3">
        <v>17.82</v>
      </c>
      <c r="J597" t="s">
        <v>16</v>
      </c>
      <c r="K597" t="s">
        <v>40</v>
      </c>
      <c r="L597" s="4">
        <f>Table4[[#This Row],[quantity]]*Table4[[#This Row],[unit_price]]</f>
        <v>17.82</v>
      </c>
      <c r="M597">
        <f>COUNTIFS($C$2:$C$3934,Table4[[#This Row],[customer_id]])</f>
        <v>4</v>
      </c>
      <c r="N597" t="str">
        <f>IF(Table4[[#This Row],[customer_order_count]]=1,"New Customer","Repeat Customer")</f>
        <v>Repeat Customer</v>
      </c>
    </row>
    <row r="598" spans="1:14">
      <c r="A598" t="s">
        <v>1226</v>
      </c>
      <c r="B598" s="1">
        <v>45024</v>
      </c>
      <c r="C598" t="s">
        <v>1227</v>
      </c>
      <c r="D598" t="s">
        <v>223</v>
      </c>
      <c r="E598" t="s">
        <v>61</v>
      </c>
      <c r="F598" t="s">
        <v>79</v>
      </c>
      <c r="G598" t="s">
        <v>96</v>
      </c>
      <c r="H598">
        <v>1</v>
      </c>
      <c r="I598" s="3">
        <v>17.82</v>
      </c>
      <c r="J598" t="s">
        <v>16</v>
      </c>
      <c r="K598" t="s">
        <v>30</v>
      </c>
      <c r="L598" s="4">
        <f>Table4[[#This Row],[quantity]]*Table4[[#This Row],[unit_price]]</f>
        <v>17.82</v>
      </c>
      <c r="M598">
        <f>COUNTIFS($C$2:$C$3934,Table4[[#This Row],[customer_id]])</f>
        <v>2</v>
      </c>
      <c r="N598" t="str">
        <f>IF(Table4[[#This Row],[customer_order_count]]=1,"New Customer","Repeat Customer")</f>
        <v>Repeat Customer</v>
      </c>
    </row>
    <row r="599" spans="1:14">
      <c r="A599" t="s">
        <v>2796</v>
      </c>
      <c r="B599" s="1">
        <v>44963</v>
      </c>
      <c r="C599" t="s">
        <v>1532</v>
      </c>
      <c r="D599" t="s">
        <v>1533</v>
      </c>
      <c r="E599" t="s">
        <v>44</v>
      </c>
      <c r="F599" t="s">
        <v>70</v>
      </c>
      <c r="G599" t="s">
        <v>337</v>
      </c>
      <c r="H599">
        <v>5</v>
      </c>
      <c r="I599" s="3">
        <v>17.87</v>
      </c>
      <c r="J599" t="s">
        <v>16</v>
      </c>
      <c r="K599" t="s">
        <v>30</v>
      </c>
      <c r="L599" s="4">
        <f>Table4[[#This Row],[quantity]]*Table4[[#This Row],[unit_price]]</f>
        <v>89.350000000000009</v>
      </c>
      <c r="M599">
        <f>COUNTIFS($C$2:$C$3934,Table4[[#This Row],[customer_id]])</f>
        <v>9</v>
      </c>
      <c r="N599" t="str">
        <f>IF(Table4[[#This Row],[customer_order_count]]=1,"New Customer","Repeat Customer")</f>
        <v>Repeat Customer</v>
      </c>
    </row>
    <row r="600" spans="1:14">
      <c r="A600" t="s">
        <v>3980</v>
      </c>
      <c r="B600" s="1">
        <v>44992</v>
      </c>
      <c r="C600" t="s">
        <v>1421</v>
      </c>
      <c r="D600" t="s">
        <v>340</v>
      </c>
      <c r="E600" t="s">
        <v>21</v>
      </c>
      <c r="F600" t="s">
        <v>14</v>
      </c>
      <c r="G600" t="s">
        <v>62</v>
      </c>
      <c r="H600">
        <v>2</v>
      </c>
      <c r="I600" s="3">
        <v>17.88</v>
      </c>
      <c r="J600" t="s">
        <v>16</v>
      </c>
      <c r="K600" t="s">
        <v>35</v>
      </c>
      <c r="L600" s="4">
        <f>Table4[[#This Row],[quantity]]*Table4[[#This Row],[unit_price]]</f>
        <v>35.76</v>
      </c>
      <c r="M600">
        <f>COUNTIFS($C$2:$C$3934,Table4[[#This Row],[customer_id]])</f>
        <v>3</v>
      </c>
      <c r="N600" t="str">
        <f>IF(Table4[[#This Row],[customer_order_count]]=1,"New Customer","Repeat Customer")</f>
        <v>Repeat Customer</v>
      </c>
    </row>
    <row r="601" spans="1:14">
      <c r="A601" t="s">
        <v>4389</v>
      </c>
      <c r="B601" s="1">
        <v>45201</v>
      </c>
      <c r="C601" t="s">
        <v>2856</v>
      </c>
      <c r="D601" t="s">
        <v>78</v>
      </c>
      <c r="E601" t="s">
        <v>21</v>
      </c>
      <c r="F601" t="s">
        <v>28</v>
      </c>
      <c r="G601" t="s">
        <v>139</v>
      </c>
      <c r="H601">
        <v>5</v>
      </c>
      <c r="I601" s="3">
        <v>17.89</v>
      </c>
      <c r="J601" t="s">
        <v>16</v>
      </c>
      <c r="K601" t="s">
        <v>30</v>
      </c>
      <c r="L601" s="4">
        <f>Table4[[#This Row],[quantity]]*Table4[[#This Row],[unit_price]]</f>
        <v>89.45</v>
      </c>
      <c r="M601">
        <f>COUNTIFS($C$2:$C$3934,Table4[[#This Row],[customer_id]])</f>
        <v>2</v>
      </c>
      <c r="N601" t="str">
        <f>IF(Table4[[#This Row],[customer_order_count]]=1,"New Customer","Repeat Customer")</f>
        <v>Repeat Customer</v>
      </c>
    </row>
    <row r="602" spans="1:14">
      <c r="A602" t="s">
        <v>4695</v>
      </c>
      <c r="B602" s="1">
        <v>45252</v>
      </c>
      <c r="C602" t="s">
        <v>2008</v>
      </c>
      <c r="D602" t="s">
        <v>417</v>
      </c>
      <c r="E602" t="s">
        <v>21</v>
      </c>
      <c r="F602" t="s">
        <v>22</v>
      </c>
      <c r="G602" t="s">
        <v>142</v>
      </c>
      <c r="H602">
        <v>2</v>
      </c>
      <c r="I602" s="3">
        <v>17.93</v>
      </c>
      <c r="J602" t="s">
        <v>16</v>
      </c>
      <c r="K602" t="s">
        <v>40</v>
      </c>
      <c r="L602" s="4">
        <f>Table4[[#This Row],[quantity]]*Table4[[#This Row],[unit_price]]</f>
        <v>35.86</v>
      </c>
      <c r="M602">
        <f>COUNTIFS($C$2:$C$3934,Table4[[#This Row],[customer_id]])</f>
        <v>7</v>
      </c>
      <c r="N602" t="str">
        <f>IF(Table4[[#This Row],[customer_order_count]]=1,"New Customer","Repeat Customer")</f>
        <v>Repeat Customer</v>
      </c>
    </row>
    <row r="603" spans="1:14">
      <c r="A603" t="s">
        <v>4586</v>
      </c>
      <c r="B603" s="1">
        <v>45289</v>
      </c>
      <c r="C603" t="s">
        <v>4192</v>
      </c>
      <c r="D603" t="s">
        <v>1255</v>
      </c>
      <c r="E603" t="s">
        <v>61</v>
      </c>
      <c r="F603" t="s">
        <v>66</v>
      </c>
      <c r="G603" t="s">
        <v>238</v>
      </c>
      <c r="H603">
        <v>1</v>
      </c>
      <c r="I603" s="3">
        <v>17.940000000000001</v>
      </c>
      <c r="J603" t="s">
        <v>85</v>
      </c>
      <c r="K603" t="s">
        <v>17</v>
      </c>
      <c r="L603" s="4">
        <f>Table4[[#This Row],[quantity]]*Table4[[#This Row],[unit_price]]</f>
        <v>17.940000000000001</v>
      </c>
      <c r="M603">
        <f>COUNTIFS($C$2:$C$3934,Table4[[#This Row],[customer_id]])</f>
        <v>2</v>
      </c>
      <c r="N603" t="str">
        <f>IF(Table4[[#This Row],[customer_order_count]]=1,"New Customer","Repeat Customer")</f>
        <v>Repeat Customer</v>
      </c>
    </row>
    <row r="604" spans="1:14">
      <c r="A604" t="s">
        <v>697</v>
      </c>
      <c r="B604" s="1">
        <v>45188</v>
      </c>
      <c r="C604" t="s">
        <v>698</v>
      </c>
      <c r="D604" t="s">
        <v>307</v>
      </c>
      <c r="E604" t="s">
        <v>21</v>
      </c>
      <c r="F604" t="s">
        <v>14</v>
      </c>
      <c r="G604" t="s">
        <v>39</v>
      </c>
      <c r="H604">
        <v>1</v>
      </c>
      <c r="I604" s="3">
        <v>17.95</v>
      </c>
      <c r="J604" t="s">
        <v>16</v>
      </c>
      <c r="K604" t="s">
        <v>17</v>
      </c>
      <c r="L604" s="4">
        <f>Table4[[#This Row],[quantity]]*Table4[[#This Row],[unit_price]]</f>
        <v>17.95</v>
      </c>
      <c r="M604">
        <f>COUNTIFS($C$2:$C$3934,Table4[[#This Row],[customer_id]])</f>
        <v>5</v>
      </c>
      <c r="N604" t="str">
        <f>IF(Table4[[#This Row],[customer_order_count]]=1,"New Customer","Repeat Customer")</f>
        <v>Repeat Customer</v>
      </c>
    </row>
    <row r="605" spans="1:14">
      <c r="A605" t="s">
        <v>4623</v>
      </c>
      <c r="B605" s="1">
        <v>45578</v>
      </c>
      <c r="C605" t="s">
        <v>575</v>
      </c>
      <c r="D605" t="s">
        <v>576</v>
      </c>
      <c r="E605" t="s">
        <v>21</v>
      </c>
      <c r="F605" t="s">
        <v>66</v>
      </c>
      <c r="G605" t="s">
        <v>238</v>
      </c>
      <c r="H605">
        <v>2</v>
      </c>
      <c r="I605" s="3">
        <v>17.96</v>
      </c>
      <c r="J605" t="s">
        <v>16</v>
      </c>
      <c r="K605" t="s">
        <v>40</v>
      </c>
      <c r="L605" s="4">
        <f>Table4[[#This Row],[quantity]]*Table4[[#This Row],[unit_price]]</f>
        <v>35.92</v>
      </c>
      <c r="M605">
        <f>COUNTIFS($C$2:$C$3934,Table4[[#This Row],[customer_id]])</f>
        <v>4</v>
      </c>
      <c r="N605" t="str">
        <f>IF(Table4[[#This Row],[customer_order_count]]=1,"New Customer","Repeat Customer")</f>
        <v>Repeat Customer</v>
      </c>
    </row>
    <row r="606" spans="1:14">
      <c r="A606" t="s">
        <v>4188</v>
      </c>
      <c r="B606" s="1">
        <v>45644</v>
      </c>
      <c r="C606" t="s">
        <v>1123</v>
      </c>
      <c r="D606" t="s">
        <v>1124</v>
      </c>
      <c r="E606" t="s">
        <v>44</v>
      </c>
      <c r="F606" t="s">
        <v>79</v>
      </c>
      <c r="G606" t="s">
        <v>204</v>
      </c>
      <c r="H606">
        <v>4</v>
      </c>
      <c r="I606" s="3">
        <v>17.96</v>
      </c>
      <c r="J606" t="s">
        <v>16</v>
      </c>
      <c r="K606" t="s">
        <v>30</v>
      </c>
      <c r="L606" s="4">
        <f>Table4[[#This Row],[quantity]]*Table4[[#This Row],[unit_price]]</f>
        <v>71.84</v>
      </c>
      <c r="M606">
        <f>COUNTIFS($C$2:$C$3934,Table4[[#This Row],[customer_id]])</f>
        <v>4</v>
      </c>
      <c r="N606" t="str">
        <f>IF(Table4[[#This Row],[customer_order_count]]=1,"New Customer","Repeat Customer")</f>
        <v>Repeat Customer</v>
      </c>
    </row>
    <row r="607" spans="1:14">
      <c r="A607" t="s">
        <v>4464</v>
      </c>
      <c r="B607" s="1">
        <v>44944</v>
      </c>
      <c r="C607" t="s">
        <v>559</v>
      </c>
      <c r="D607" t="s">
        <v>560</v>
      </c>
      <c r="E607" t="s">
        <v>21</v>
      </c>
      <c r="F607" t="s">
        <v>14</v>
      </c>
      <c r="G607" t="s">
        <v>62</v>
      </c>
      <c r="H607">
        <v>1</v>
      </c>
      <c r="I607" s="3">
        <v>18</v>
      </c>
      <c r="J607" t="s">
        <v>85</v>
      </c>
      <c r="K607" t="s">
        <v>40</v>
      </c>
      <c r="L607" s="4">
        <f>Table4[[#This Row],[quantity]]*Table4[[#This Row],[unit_price]]</f>
        <v>18</v>
      </c>
      <c r="M607">
        <f>COUNTIFS($C$2:$C$3934,Table4[[#This Row],[customer_id]])</f>
        <v>6</v>
      </c>
      <c r="N607" t="str">
        <f>IF(Table4[[#This Row],[customer_order_count]]=1,"New Customer","Repeat Customer")</f>
        <v>Repeat Customer</v>
      </c>
    </row>
    <row r="608" spans="1:14">
      <c r="A608" t="s">
        <v>4507</v>
      </c>
      <c r="B608" s="1">
        <v>45255</v>
      </c>
      <c r="C608" t="s">
        <v>3029</v>
      </c>
      <c r="D608" t="s">
        <v>92</v>
      </c>
      <c r="E608" t="s">
        <v>21</v>
      </c>
      <c r="F608" t="s">
        <v>14</v>
      </c>
      <c r="G608" t="s">
        <v>39</v>
      </c>
      <c r="H608">
        <v>1</v>
      </c>
      <c r="I608" s="3">
        <v>18.02</v>
      </c>
      <c r="J608" t="s">
        <v>16</v>
      </c>
      <c r="K608" s="2" t="s">
        <v>5256</v>
      </c>
      <c r="L608" s="4">
        <f>Table4[[#This Row],[quantity]]*Table4[[#This Row],[unit_price]]</f>
        <v>18.02</v>
      </c>
      <c r="M608">
        <f>COUNTIFS($C$2:$C$3934,Table4[[#This Row],[customer_id]])</f>
        <v>6</v>
      </c>
      <c r="N608" t="str">
        <f>IF(Table4[[#This Row],[customer_order_count]]=1,"New Customer","Repeat Customer")</f>
        <v>Repeat Customer</v>
      </c>
    </row>
    <row r="609" spans="1:14">
      <c r="A609" t="s">
        <v>4774</v>
      </c>
      <c r="B609" s="1">
        <v>45061</v>
      </c>
      <c r="C609" t="s">
        <v>2426</v>
      </c>
      <c r="D609" t="s">
        <v>2427</v>
      </c>
      <c r="E609" t="s">
        <v>21</v>
      </c>
      <c r="F609" t="s">
        <v>28</v>
      </c>
      <c r="G609" t="s">
        <v>139</v>
      </c>
      <c r="H609">
        <v>1</v>
      </c>
      <c r="I609" s="3">
        <v>18.03</v>
      </c>
      <c r="J609" t="s">
        <v>16</v>
      </c>
      <c r="K609" s="5" t="s">
        <v>40</v>
      </c>
      <c r="L609" s="4">
        <f>Table4[[#This Row],[quantity]]*Table4[[#This Row],[unit_price]]</f>
        <v>18.03</v>
      </c>
      <c r="M609">
        <f>COUNTIFS($C$2:$C$3934,Table4[[#This Row],[customer_id]])</f>
        <v>5</v>
      </c>
      <c r="N609" t="str">
        <f>IF(Table4[[#This Row],[customer_order_count]]=1,"New Customer","Repeat Customer")</f>
        <v>Repeat Customer</v>
      </c>
    </row>
    <row r="610" spans="1:14">
      <c r="A610" t="s">
        <v>3524</v>
      </c>
      <c r="B610" s="1">
        <v>45298</v>
      </c>
      <c r="C610" t="s">
        <v>419</v>
      </c>
      <c r="D610" t="s">
        <v>420</v>
      </c>
      <c r="E610" t="s">
        <v>21</v>
      </c>
      <c r="F610" t="s">
        <v>66</v>
      </c>
      <c r="G610" t="s">
        <v>238</v>
      </c>
      <c r="H610">
        <v>2</v>
      </c>
      <c r="I610" s="3">
        <v>18.04</v>
      </c>
      <c r="J610" t="s">
        <v>16</v>
      </c>
      <c r="K610" t="s">
        <v>40</v>
      </c>
      <c r="L610" s="4">
        <f>Table4[[#This Row],[quantity]]*Table4[[#This Row],[unit_price]]</f>
        <v>36.08</v>
      </c>
      <c r="M610">
        <f>COUNTIFS($C$2:$C$3934,Table4[[#This Row],[customer_id]])</f>
        <v>5</v>
      </c>
      <c r="N610" t="str">
        <f>IF(Table4[[#This Row],[customer_order_count]]=1,"New Customer","Repeat Customer")</f>
        <v>Repeat Customer</v>
      </c>
    </row>
    <row r="611" spans="1:14">
      <c r="A611" t="s">
        <v>3623</v>
      </c>
      <c r="B611" s="1">
        <v>45381</v>
      </c>
      <c r="C611" t="s">
        <v>1266</v>
      </c>
      <c r="D611" t="s">
        <v>828</v>
      </c>
      <c r="E611" t="s">
        <v>21</v>
      </c>
      <c r="F611" t="s">
        <v>66</v>
      </c>
      <c r="G611" t="s">
        <v>238</v>
      </c>
      <c r="H611">
        <v>3</v>
      </c>
      <c r="I611" s="3">
        <v>18.04</v>
      </c>
      <c r="J611" t="s">
        <v>16</v>
      </c>
      <c r="K611" t="s">
        <v>35</v>
      </c>
      <c r="L611" s="4">
        <f>Table4[[#This Row],[quantity]]*Table4[[#This Row],[unit_price]]</f>
        <v>54.12</v>
      </c>
      <c r="M611">
        <f>COUNTIFS($C$2:$C$3934,Table4[[#This Row],[customer_id]])</f>
        <v>7</v>
      </c>
      <c r="N611" t="str">
        <f>IF(Table4[[#This Row],[customer_order_count]]=1,"New Customer","Repeat Customer")</f>
        <v>Repeat Customer</v>
      </c>
    </row>
    <row r="612" spans="1:14">
      <c r="A612" t="s">
        <v>442</v>
      </c>
      <c r="B612" s="1">
        <v>45387</v>
      </c>
      <c r="C612" t="s">
        <v>443</v>
      </c>
      <c r="D612" t="s">
        <v>444</v>
      </c>
      <c r="E612" t="s">
        <v>21</v>
      </c>
      <c r="F612" t="s">
        <v>66</v>
      </c>
      <c r="G612" t="s">
        <v>217</v>
      </c>
      <c r="H612">
        <v>1</v>
      </c>
      <c r="I612" s="3">
        <v>18.05</v>
      </c>
      <c r="J612" t="s">
        <v>16</v>
      </c>
      <c r="K612" t="s">
        <v>35</v>
      </c>
      <c r="L612" s="4">
        <f>Table4[[#This Row],[quantity]]*Table4[[#This Row],[unit_price]]</f>
        <v>18.05</v>
      </c>
      <c r="M612">
        <f>COUNTIFS($C$2:$C$3934,Table4[[#This Row],[customer_id]])</f>
        <v>5</v>
      </c>
      <c r="N612" t="str">
        <f>IF(Table4[[#This Row],[customer_order_count]]=1,"New Customer","Repeat Customer")</f>
        <v>Repeat Customer</v>
      </c>
    </row>
    <row r="613" spans="1:14">
      <c r="A613" t="s">
        <v>4046</v>
      </c>
      <c r="B613" s="1">
        <v>45387</v>
      </c>
      <c r="C613" t="s">
        <v>2693</v>
      </c>
      <c r="D613" t="s">
        <v>1835</v>
      </c>
      <c r="E613" t="s">
        <v>21</v>
      </c>
      <c r="F613" t="s">
        <v>28</v>
      </c>
      <c r="G613" t="s">
        <v>29</v>
      </c>
      <c r="H613">
        <v>5</v>
      </c>
      <c r="I613" s="3">
        <v>18.05</v>
      </c>
      <c r="J613" t="s">
        <v>16</v>
      </c>
      <c r="K613" t="s">
        <v>17</v>
      </c>
      <c r="L613" s="4">
        <f>Table4[[#This Row],[quantity]]*Table4[[#This Row],[unit_price]]</f>
        <v>90.25</v>
      </c>
      <c r="M613">
        <f>COUNTIFS($C$2:$C$3934,Table4[[#This Row],[customer_id]])</f>
        <v>3</v>
      </c>
      <c r="N613" t="str">
        <f>IF(Table4[[#This Row],[customer_order_count]]=1,"New Customer","Repeat Customer")</f>
        <v>Repeat Customer</v>
      </c>
    </row>
    <row r="614" spans="1:14">
      <c r="A614" t="s">
        <v>2849</v>
      </c>
      <c r="B614" s="1">
        <v>45368</v>
      </c>
      <c r="C614" t="s">
        <v>2850</v>
      </c>
      <c r="D614" t="s">
        <v>2413</v>
      </c>
      <c r="E614" t="s">
        <v>44</v>
      </c>
      <c r="F614" t="s">
        <v>14</v>
      </c>
      <c r="G614" t="s">
        <v>39</v>
      </c>
      <c r="H614">
        <v>1</v>
      </c>
      <c r="I614" s="3">
        <v>18.059999999999999</v>
      </c>
      <c r="J614" t="s">
        <v>24</v>
      </c>
      <c r="K614" t="s">
        <v>17</v>
      </c>
      <c r="L614" s="4">
        <f>Table4[[#This Row],[quantity]]*Table4[[#This Row],[unit_price]]</f>
        <v>18.059999999999999</v>
      </c>
      <c r="M614">
        <f>COUNTIFS($C$2:$C$3934,Table4[[#This Row],[customer_id]])</f>
        <v>2</v>
      </c>
      <c r="N614" t="str">
        <f>IF(Table4[[#This Row],[customer_order_count]]=1,"New Customer","Repeat Customer")</f>
        <v>Repeat Customer</v>
      </c>
    </row>
    <row r="615" spans="1:14">
      <c r="A615" t="s">
        <v>2984</v>
      </c>
      <c r="B615" s="1">
        <v>45208</v>
      </c>
      <c r="C615" t="s">
        <v>298</v>
      </c>
      <c r="D615" t="s">
        <v>299</v>
      </c>
      <c r="E615" t="s">
        <v>21</v>
      </c>
      <c r="F615" t="s">
        <v>14</v>
      </c>
      <c r="G615" t="s">
        <v>39</v>
      </c>
      <c r="H615">
        <v>1</v>
      </c>
      <c r="I615" s="3">
        <v>18.07</v>
      </c>
      <c r="J615" t="s">
        <v>24</v>
      </c>
      <c r="K615" t="s">
        <v>30</v>
      </c>
      <c r="L615" s="4">
        <f>Table4[[#This Row],[quantity]]*Table4[[#This Row],[unit_price]]</f>
        <v>18.07</v>
      </c>
      <c r="M615">
        <f>COUNTIFS($C$2:$C$3934,Table4[[#This Row],[customer_id]])</f>
        <v>7</v>
      </c>
      <c r="N615" t="str">
        <f>IF(Table4[[#This Row],[customer_order_count]]=1,"New Customer","Repeat Customer")</f>
        <v>Repeat Customer</v>
      </c>
    </row>
    <row r="616" spans="1:14">
      <c r="A616" t="s">
        <v>2686</v>
      </c>
      <c r="B616" s="1">
        <v>44932</v>
      </c>
      <c r="C616" t="s">
        <v>716</v>
      </c>
      <c r="D616" s="2" t="s">
        <v>5257</v>
      </c>
      <c r="E616" t="s">
        <v>44</v>
      </c>
      <c r="F616" t="s">
        <v>66</v>
      </c>
      <c r="G616" t="s">
        <v>238</v>
      </c>
      <c r="H616">
        <v>2</v>
      </c>
      <c r="I616" s="3">
        <v>18.07</v>
      </c>
      <c r="J616" t="s">
        <v>16</v>
      </c>
      <c r="K616" t="s">
        <v>30</v>
      </c>
      <c r="L616" s="4">
        <f>Table4[[#This Row],[quantity]]*Table4[[#This Row],[unit_price]]</f>
        <v>36.14</v>
      </c>
      <c r="M616">
        <f>COUNTIFS($C$2:$C$3934,Table4[[#This Row],[customer_id]])</f>
        <v>3</v>
      </c>
      <c r="N616" t="str">
        <f>IF(Table4[[#This Row],[customer_order_count]]=1,"New Customer","Repeat Customer")</f>
        <v>Repeat Customer</v>
      </c>
    </row>
    <row r="617" spans="1:14">
      <c r="A617" t="s">
        <v>3886</v>
      </c>
      <c r="B617" s="1">
        <v>45146</v>
      </c>
      <c r="C617" t="s">
        <v>3887</v>
      </c>
      <c r="D617" s="5" t="s">
        <v>857</v>
      </c>
      <c r="E617" t="s">
        <v>21</v>
      </c>
      <c r="F617" t="s">
        <v>28</v>
      </c>
      <c r="G617" t="s">
        <v>139</v>
      </c>
      <c r="H617">
        <v>2</v>
      </c>
      <c r="I617" s="3">
        <v>18.079999999999998</v>
      </c>
      <c r="J617" t="s">
        <v>16</v>
      </c>
      <c r="K617" t="s">
        <v>35</v>
      </c>
      <c r="L617" s="4">
        <f>Table4[[#This Row],[quantity]]*Table4[[#This Row],[unit_price]]</f>
        <v>36.159999999999997</v>
      </c>
      <c r="M617">
        <f>COUNTIFS($C$2:$C$3934,Table4[[#This Row],[customer_id]])</f>
        <v>1</v>
      </c>
      <c r="N617" t="str">
        <f>IF(Table4[[#This Row],[customer_order_count]]=1,"New Customer","Repeat Customer")</f>
        <v>New Customer</v>
      </c>
    </row>
    <row r="618" spans="1:14">
      <c r="A618" t="s">
        <v>4448</v>
      </c>
      <c r="B618" s="1">
        <v>45379</v>
      </c>
      <c r="C618" t="s">
        <v>1381</v>
      </c>
      <c r="D618" t="s">
        <v>510</v>
      </c>
      <c r="E618" t="s">
        <v>21</v>
      </c>
      <c r="F618" t="s">
        <v>22</v>
      </c>
      <c r="G618" t="s">
        <v>264</v>
      </c>
      <c r="H618">
        <v>2</v>
      </c>
      <c r="I618" s="3">
        <v>18.079999999999998</v>
      </c>
      <c r="J618" t="s">
        <v>16</v>
      </c>
      <c r="K618" t="s">
        <v>30</v>
      </c>
      <c r="L618" s="4">
        <f>Table4[[#This Row],[quantity]]*Table4[[#This Row],[unit_price]]</f>
        <v>36.159999999999997</v>
      </c>
      <c r="M618">
        <f>COUNTIFS($C$2:$C$3934,Table4[[#This Row],[customer_id]])</f>
        <v>5</v>
      </c>
      <c r="N618" t="str">
        <f>IF(Table4[[#This Row],[customer_order_count]]=1,"New Customer","Repeat Customer")</f>
        <v>Repeat Customer</v>
      </c>
    </row>
    <row r="619" spans="1:14">
      <c r="A619" t="s">
        <v>3714</v>
      </c>
      <c r="B619" s="1">
        <v>45481</v>
      </c>
      <c r="C619" t="s">
        <v>677</v>
      </c>
      <c r="D619" t="s">
        <v>678</v>
      </c>
      <c r="E619" t="s">
        <v>44</v>
      </c>
      <c r="F619" t="s">
        <v>28</v>
      </c>
      <c r="G619" t="s">
        <v>84</v>
      </c>
      <c r="H619">
        <v>2</v>
      </c>
      <c r="I619" s="3">
        <v>18.079999999999998</v>
      </c>
      <c r="J619" t="s">
        <v>16</v>
      </c>
      <c r="K619" t="s">
        <v>17</v>
      </c>
      <c r="L619" s="4">
        <f>Table4[[#This Row],[quantity]]*Table4[[#This Row],[unit_price]]</f>
        <v>36.159999999999997</v>
      </c>
      <c r="M619">
        <f>COUNTIFS($C$2:$C$3934,Table4[[#This Row],[customer_id]])</f>
        <v>4</v>
      </c>
      <c r="N619" t="str">
        <f>IF(Table4[[#This Row],[customer_order_count]]=1,"New Customer","Repeat Customer")</f>
        <v>Repeat Customer</v>
      </c>
    </row>
    <row r="620" spans="1:14">
      <c r="A620" t="s">
        <v>2124</v>
      </c>
      <c r="B620" s="1">
        <v>45250</v>
      </c>
      <c r="C620" t="s">
        <v>799</v>
      </c>
      <c r="D620" t="s">
        <v>43</v>
      </c>
      <c r="E620" t="s">
        <v>21</v>
      </c>
      <c r="F620" t="s">
        <v>22</v>
      </c>
      <c r="G620" t="s">
        <v>135</v>
      </c>
      <c r="H620">
        <v>1</v>
      </c>
      <c r="I620" s="3">
        <v>18.12</v>
      </c>
      <c r="J620" t="s">
        <v>16</v>
      </c>
      <c r="K620" t="s">
        <v>30</v>
      </c>
      <c r="L620" s="4">
        <f>Table4[[#This Row],[quantity]]*Table4[[#This Row],[unit_price]]</f>
        <v>18.12</v>
      </c>
      <c r="M620">
        <f>COUNTIFS($C$2:$C$3934,Table4[[#This Row],[customer_id]])</f>
        <v>8</v>
      </c>
      <c r="N620" t="str">
        <f>IF(Table4[[#This Row],[customer_order_count]]=1,"New Customer","Repeat Customer")</f>
        <v>Repeat Customer</v>
      </c>
    </row>
    <row r="621" spans="1:14">
      <c r="A621" t="s">
        <v>63</v>
      </c>
      <c r="B621" s="1">
        <v>45191</v>
      </c>
      <c r="C621" t="s">
        <v>64</v>
      </c>
      <c r="D621" t="s">
        <v>65</v>
      </c>
      <c r="E621" t="s">
        <v>44</v>
      </c>
      <c r="F621" t="s">
        <v>66</v>
      </c>
      <c r="G621" t="s">
        <v>67</v>
      </c>
      <c r="H621">
        <v>1</v>
      </c>
      <c r="I621" s="3">
        <v>18.14</v>
      </c>
      <c r="J621" t="s">
        <v>16</v>
      </c>
      <c r="K621" t="s">
        <v>17</v>
      </c>
      <c r="L621" s="4">
        <f>Table4[[#This Row],[quantity]]*Table4[[#This Row],[unit_price]]</f>
        <v>18.14</v>
      </c>
      <c r="M621">
        <f>COUNTIFS($C$2:$C$3934,Table4[[#This Row],[customer_id]])</f>
        <v>3</v>
      </c>
      <c r="N621" t="str">
        <f>IF(Table4[[#This Row],[customer_order_count]]=1,"New Customer","Repeat Customer")</f>
        <v>Repeat Customer</v>
      </c>
    </row>
    <row r="622" spans="1:14">
      <c r="A622" t="s">
        <v>423</v>
      </c>
      <c r="B622" s="1">
        <v>45628</v>
      </c>
      <c r="C622" t="s">
        <v>424</v>
      </c>
      <c r="D622" t="s">
        <v>425</v>
      </c>
      <c r="E622" t="s">
        <v>21</v>
      </c>
      <c r="F622" t="s">
        <v>28</v>
      </c>
      <c r="G622" t="s">
        <v>84</v>
      </c>
      <c r="H622">
        <v>1</v>
      </c>
      <c r="I622" s="3">
        <v>18.149999999999999</v>
      </c>
      <c r="J622" t="s">
        <v>24</v>
      </c>
      <c r="K622" s="2" t="s">
        <v>5256</v>
      </c>
      <c r="L622" s="4">
        <f>Table4[[#This Row],[quantity]]*Table4[[#This Row],[unit_price]]</f>
        <v>18.149999999999999</v>
      </c>
      <c r="M622">
        <f>COUNTIFS($C$2:$C$3934,Table4[[#This Row],[customer_id]])</f>
        <v>7</v>
      </c>
      <c r="N622" t="str">
        <f>IF(Table4[[#This Row],[customer_order_count]]=1,"New Customer","Repeat Customer")</f>
        <v>Repeat Customer</v>
      </c>
    </row>
    <row r="623" spans="1:14">
      <c r="A623" t="s">
        <v>1281</v>
      </c>
      <c r="B623" s="1">
        <v>45159</v>
      </c>
      <c r="C623" t="s">
        <v>1282</v>
      </c>
      <c r="D623" t="s">
        <v>78</v>
      </c>
      <c r="E623" t="s">
        <v>21</v>
      </c>
      <c r="F623" t="s">
        <v>56</v>
      </c>
      <c r="G623" t="s">
        <v>422</v>
      </c>
      <c r="H623">
        <v>1</v>
      </c>
      <c r="I623" s="3">
        <v>18.16</v>
      </c>
      <c r="J623" t="s">
        <v>16</v>
      </c>
      <c r="K623" s="5" t="s">
        <v>40</v>
      </c>
      <c r="L623" s="4">
        <f>Table4[[#This Row],[quantity]]*Table4[[#This Row],[unit_price]]</f>
        <v>18.16</v>
      </c>
      <c r="M623">
        <f>COUNTIFS($C$2:$C$3934,Table4[[#This Row],[customer_id]])</f>
        <v>4</v>
      </c>
      <c r="N623" t="str">
        <f>IF(Table4[[#This Row],[customer_order_count]]=1,"New Customer","Repeat Customer")</f>
        <v>Repeat Customer</v>
      </c>
    </row>
    <row r="624" spans="1:14">
      <c r="A624" t="s">
        <v>4933</v>
      </c>
      <c r="B624" s="1">
        <v>45412</v>
      </c>
      <c r="C624" t="s">
        <v>1443</v>
      </c>
      <c r="D624" t="s">
        <v>1444</v>
      </c>
      <c r="E624" t="s">
        <v>21</v>
      </c>
      <c r="F624" t="s">
        <v>70</v>
      </c>
      <c r="G624" t="s">
        <v>337</v>
      </c>
      <c r="H624">
        <v>1</v>
      </c>
      <c r="I624" s="3">
        <v>18.18</v>
      </c>
      <c r="J624" t="s">
        <v>16</v>
      </c>
      <c r="K624" t="s">
        <v>40</v>
      </c>
      <c r="L624" s="4">
        <f>Table4[[#This Row],[quantity]]*Table4[[#This Row],[unit_price]]</f>
        <v>18.18</v>
      </c>
      <c r="M624">
        <f>COUNTIFS($C$2:$C$3934,Table4[[#This Row],[customer_id]])</f>
        <v>4</v>
      </c>
      <c r="N624" t="str">
        <f>IF(Table4[[#This Row],[customer_order_count]]=1,"New Customer","Repeat Customer")</f>
        <v>Repeat Customer</v>
      </c>
    </row>
    <row r="625" spans="1:14">
      <c r="A625" t="s">
        <v>5225</v>
      </c>
      <c r="B625" s="1">
        <v>45229</v>
      </c>
      <c r="C625" t="s">
        <v>893</v>
      </c>
      <c r="D625" t="s">
        <v>659</v>
      </c>
      <c r="E625" t="s">
        <v>21</v>
      </c>
      <c r="F625" t="s">
        <v>70</v>
      </c>
      <c r="G625" t="s">
        <v>146</v>
      </c>
      <c r="H625">
        <v>2</v>
      </c>
      <c r="I625" s="3">
        <v>18.23</v>
      </c>
      <c r="J625" t="s">
        <v>16</v>
      </c>
      <c r="K625" t="s">
        <v>40</v>
      </c>
      <c r="L625" s="4">
        <f>Table4[[#This Row],[quantity]]*Table4[[#This Row],[unit_price]]</f>
        <v>36.46</v>
      </c>
      <c r="M625">
        <f>COUNTIFS($C$2:$C$3934,Table4[[#This Row],[customer_id]])</f>
        <v>12</v>
      </c>
      <c r="N625" t="str">
        <f>IF(Table4[[#This Row],[customer_order_count]]=1,"New Customer","Repeat Customer")</f>
        <v>Repeat Customer</v>
      </c>
    </row>
    <row r="626" spans="1:14">
      <c r="A626" t="s">
        <v>3104</v>
      </c>
      <c r="B626" s="1">
        <v>45052</v>
      </c>
      <c r="C626" t="s">
        <v>1587</v>
      </c>
      <c r="D626" t="s">
        <v>1588</v>
      </c>
      <c r="E626" t="s">
        <v>21</v>
      </c>
      <c r="F626" t="s">
        <v>66</v>
      </c>
      <c r="G626" t="s">
        <v>238</v>
      </c>
      <c r="H626">
        <v>2</v>
      </c>
      <c r="I626" s="3">
        <v>18.23</v>
      </c>
      <c r="J626" t="s">
        <v>16</v>
      </c>
      <c r="K626" t="s">
        <v>35</v>
      </c>
      <c r="L626" s="4">
        <f>Table4[[#This Row],[quantity]]*Table4[[#This Row],[unit_price]]</f>
        <v>36.46</v>
      </c>
      <c r="M626">
        <f>COUNTIFS($C$2:$C$3934,Table4[[#This Row],[customer_id]])</f>
        <v>8</v>
      </c>
      <c r="N626" t="str">
        <f>IF(Table4[[#This Row],[customer_order_count]]=1,"New Customer","Repeat Customer")</f>
        <v>Repeat Customer</v>
      </c>
    </row>
    <row r="627" spans="1:14">
      <c r="A627" t="s">
        <v>2646</v>
      </c>
      <c r="B627" s="1">
        <v>45207</v>
      </c>
      <c r="C627" t="s">
        <v>2647</v>
      </c>
      <c r="D627" t="s">
        <v>362</v>
      </c>
      <c r="E627" t="s">
        <v>44</v>
      </c>
      <c r="F627" t="s">
        <v>70</v>
      </c>
      <c r="G627" t="s">
        <v>337</v>
      </c>
      <c r="H627">
        <v>1</v>
      </c>
      <c r="I627" s="3">
        <v>18.239999999999998</v>
      </c>
      <c r="J627" t="s">
        <v>16</v>
      </c>
      <c r="K627" t="s">
        <v>17</v>
      </c>
      <c r="L627" s="4">
        <f>Table4[[#This Row],[quantity]]*Table4[[#This Row],[unit_price]]</f>
        <v>18.239999999999998</v>
      </c>
      <c r="M627">
        <f>COUNTIFS($C$2:$C$3934,Table4[[#This Row],[customer_id]])</f>
        <v>3</v>
      </c>
      <c r="N627" t="str">
        <f>IF(Table4[[#This Row],[customer_order_count]]=1,"New Customer","Repeat Customer")</f>
        <v>Repeat Customer</v>
      </c>
    </row>
    <row r="628" spans="1:14">
      <c r="A628" t="s">
        <v>1866</v>
      </c>
      <c r="B628" s="1">
        <v>45213</v>
      </c>
      <c r="C628" t="s">
        <v>1545</v>
      </c>
      <c r="D628" t="s">
        <v>778</v>
      </c>
      <c r="E628" t="s">
        <v>44</v>
      </c>
      <c r="F628" t="s">
        <v>22</v>
      </c>
      <c r="G628" t="s">
        <v>23</v>
      </c>
      <c r="H628">
        <v>1</v>
      </c>
      <c r="I628" s="3">
        <v>18.25</v>
      </c>
      <c r="J628" t="s">
        <v>24</v>
      </c>
      <c r="K628" t="s">
        <v>40</v>
      </c>
      <c r="L628" s="4">
        <f>Table4[[#This Row],[quantity]]*Table4[[#This Row],[unit_price]]</f>
        <v>18.25</v>
      </c>
      <c r="M628">
        <f>COUNTIFS($C$2:$C$3934,Table4[[#This Row],[customer_id]])</f>
        <v>5</v>
      </c>
      <c r="N628" t="str">
        <f>IF(Table4[[#This Row],[customer_order_count]]=1,"New Customer","Repeat Customer")</f>
        <v>Repeat Customer</v>
      </c>
    </row>
    <row r="629" spans="1:14">
      <c r="A629" t="s">
        <v>3740</v>
      </c>
      <c r="B629" s="1">
        <v>45583</v>
      </c>
      <c r="C629" t="s">
        <v>2301</v>
      </c>
      <c r="D629" t="s">
        <v>1922</v>
      </c>
      <c r="E629" t="s">
        <v>21</v>
      </c>
      <c r="F629" t="s">
        <v>28</v>
      </c>
      <c r="G629" t="s">
        <v>84</v>
      </c>
      <c r="H629">
        <v>4</v>
      </c>
      <c r="I629" s="3">
        <v>18.260000000000002</v>
      </c>
      <c r="J629" t="s">
        <v>16</v>
      </c>
      <c r="K629" t="s">
        <v>40</v>
      </c>
      <c r="L629" s="4">
        <f>Table4[[#This Row],[quantity]]*Table4[[#This Row],[unit_price]]</f>
        <v>73.040000000000006</v>
      </c>
      <c r="M629">
        <f>COUNTIFS($C$2:$C$3934,Table4[[#This Row],[customer_id]])</f>
        <v>6</v>
      </c>
      <c r="N629" t="str">
        <f>IF(Table4[[#This Row],[customer_order_count]]=1,"New Customer","Repeat Customer")</f>
        <v>Repeat Customer</v>
      </c>
    </row>
    <row r="630" spans="1:14">
      <c r="A630" t="s">
        <v>2290</v>
      </c>
      <c r="B630" s="1">
        <v>45410</v>
      </c>
      <c r="C630" t="s">
        <v>713</v>
      </c>
      <c r="D630" t="s">
        <v>714</v>
      </c>
      <c r="E630" t="s">
        <v>21</v>
      </c>
      <c r="F630" t="s">
        <v>56</v>
      </c>
      <c r="G630" t="s">
        <v>57</v>
      </c>
      <c r="H630">
        <v>1</v>
      </c>
      <c r="I630" s="3">
        <v>18.32</v>
      </c>
      <c r="J630" t="s">
        <v>16</v>
      </c>
      <c r="K630" t="s">
        <v>17</v>
      </c>
      <c r="L630" s="4">
        <f>Table4[[#This Row],[quantity]]*Table4[[#This Row],[unit_price]]</f>
        <v>18.32</v>
      </c>
      <c r="M630">
        <f>COUNTIFS($C$2:$C$3934,Table4[[#This Row],[customer_id]])</f>
        <v>6</v>
      </c>
      <c r="N630" t="str">
        <f>IF(Table4[[#This Row],[customer_order_count]]=1,"New Customer","Repeat Customer")</f>
        <v>Repeat Customer</v>
      </c>
    </row>
    <row r="631" spans="1:14">
      <c r="A631" t="s">
        <v>520</v>
      </c>
      <c r="B631" s="1">
        <v>45383</v>
      </c>
      <c r="C631" t="s">
        <v>521</v>
      </c>
      <c r="D631" t="s">
        <v>522</v>
      </c>
      <c r="E631" t="s">
        <v>44</v>
      </c>
      <c r="F631" t="s">
        <v>56</v>
      </c>
      <c r="G631" t="s">
        <v>422</v>
      </c>
      <c r="H631">
        <v>1</v>
      </c>
      <c r="I631" s="3">
        <v>18.329999999999998</v>
      </c>
      <c r="J631" t="s">
        <v>24</v>
      </c>
      <c r="K631" t="s">
        <v>30</v>
      </c>
      <c r="L631" s="4">
        <f>Table4[[#This Row],[quantity]]*Table4[[#This Row],[unit_price]]</f>
        <v>18.329999999999998</v>
      </c>
      <c r="M631">
        <f>COUNTIFS($C$2:$C$3934,Table4[[#This Row],[customer_id]])</f>
        <v>5</v>
      </c>
      <c r="N631" t="str">
        <f>IF(Table4[[#This Row],[customer_order_count]]=1,"New Customer","Repeat Customer")</f>
        <v>Repeat Customer</v>
      </c>
    </row>
    <row r="632" spans="1:14">
      <c r="A632" t="s">
        <v>5059</v>
      </c>
      <c r="B632" s="1">
        <v>45324</v>
      </c>
      <c r="C632" t="s">
        <v>914</v>
      </c>
      <c r="D632" t="s">
        <v>95</v>
      </c>
      <c r="E632" t="s">
        <v>21</v>
      </c>
      <c r="F632" t="s">
        <v>70</v>
      </c>
      <c r="G632" t="s">
        <v>71</v>
      </c>
      <c r="H632">
        <v>1</v>
      </c>
      <c r="I632" s="3">
        <v>18.34</v>
      </c>
      <c r="J632" t="s">
        <v>16</v>
      </c>
      <c r="K632" t="s">
        <v>30</v>
      </c>
      <c r="L632" s="4">
        <f>Table4[[#This Row],[quantity]]*Table4[[#This Row],[unit_price]]</f>
        <v>18.34</v>
      </c>
      <c r="M632">
        <f>COUNTIFS($C$2:$C$3934,Table4[[#This Row],[customer_id]])</f>
        <v>10</v>
      </c>
      <c r="N632" t="str">
        <f>IF(Table4[[#This Row],[customer_order_count]]=1,"New Customer","Repeat Customer")</f>
        <v>Repeat Customer</v>
      </c>
    </row>
    <row r="633" spans="1:14">
      <c r="A633" t="s">
        <v>2264</v>
      </c>
      <c r="B633" s="1">
        <v>44955</v>
      </c>
      <c r="C633" t="s">
        <v>437</v>
      </c>
      <c r="D633" t="s">
        <v>438</v>
      </c>
      <c r="E633" t="s">
        <v>21</v>
      </c>
      <c r="F633" t="s">
        <v>70</v>
      </c>
      <c r="G633" t="s">
        <v>110</v>
      </c>
      <c r="H633">
        <v>1</v>
      </c>
      <c r="I633" s="3">
        <v>18.37</v>
      </c>
      <c r="J633" t="s">
        <v>16</v>
      </c>
      <c r="K633" t="s">
        <v>30</v>
      </c>
      <c r="L633" s="4">
        <f>Table4[[#This Row],[quantity]]*Table4[[#This Row],[unit_price]]</f>
        <v>18.37</v>
      </c>
      <c r="M633">
        <f>COUNTIFS($C$2:$C$3934,Table4[[#This Row],[customer_id]])</f>
        <v>7</v>
      </c>
      <c r="N633" t="str">
        <f>IF(Table4[[#This Row],[customer_order_count]]=1,"New Customer","Repeat Customer")</f>
        <v>Repeat Customer</v>
      </c>
    </row>
    <row r="634" spans="1:14">
      <c r="A634" t="s">
        <v>4130</v>
      </c>
      <c r="B634" s="1">
        <v>45281</v>
      </c>
      <c r="C634" t="s">
        <v>2481</v>
      </c>
      <c r="D634" t="s">
        <v>2482</v>
      </c>
      <c r="E634" t="s">
        <v>61</v>
      </c>
      <c r="F634" t="s">
        <v>70</v>
      </c>
      <c r="G634" t="s">
        <v>110</v>
      </c>
      <c r="H634">
        <v>3</v>
      </c>
      <c r="I634" s="3">
        <v>18.37</v>
      </c>
      <c r="J634" t="s">
        <v>24</v>
      </c>
      <c r="K634" t="s">
        <v>35</v>
      </c>
      <c r="L634" s="4">
        <f>Table4[[#This Row],[quantity]]*Table4[[#This Row],[unit_price]]</f>
        <v>55.11</v>
      </c>
      <c r="M634">
        <f>COUNTIFS($C$2:$C$3934,Table4[[#This Row],[customer_id]])</f>
        <v>4</v>
      </c>
      <c r="N634" t="str">
        <f>IF(Table4[[#This Row],[customer_order_count]]=1,"New Customer","Repeat Customer")</f>
        <v>Repeat Customer</v>
      </c>
    </row>
    <row r="635" spans="1:14">
      <c r="A635" t="s">
        <v>2543</v>
      </c>
      <c r="B635" s="1">
        <v>45450</v>
      </c>
      <c r="C635" t="s">
        <v>120</v>
      </c>
      <c r="D635" t="s">
        <v>121</v>
      </c>
      <c r="E635" t="s">
        <v>21</v>
      </c>
      <c r="F635" t="s">
        <v>56</v>
      </c>
      <c r="G635" t="s">
        <v>153</v>
      </c>
      <c r="H635">
        <v>3</v>
      </c>
      <c r="I635" s="3">
        <v>18.39</v>
      </c>
      <c r="J635" t="s">
        <v>16</v>
      </c>
      <c r="K635" t="s">
        <v>30</v>
      </c>
      <c r="L635" s="4">
        <f>Table4[[#This Row],[quantity]]*Table4[[#This Row],[unit_price]]</f>
        <v>55.17</v>
      </c>
      <c r="M635">
        <f>COUNTIFS($C$2:$C$3934,Table4[[#This Row],[customer_id]])</f>
        <v>5</v>
      </c>
      <c r="N635" t="str">
        <f>IF(Table4[[#This Row],[customer_order_count]]=1,"New Customer","Repeat Customer")</f>
        <v>Repeat Customer</v>
      </c>
    </row>
    <row r="636" spans="1:14">
      <c r="A636" t="s">
        <v>2962</v>
      </c>
      <c r="B636" s="1">
        <v>45119</v>
      </c>
      <c r="C636" t="s">
        <v>193</v>
      </c>
      <c r="D636" t="s">
        <v>178</v>
      </c>
      <c r="E636" t="s">
        <v>21</v>
      </c>
      <c r="F636" t="s">
        <v>79</v>
      </c>
      <c r="G636" t="s">
        <v>230</v>
      </c>
      <c r="H636">
        <v>1</v>
      </c>
      <c r="I636" s="3">
        <v>18.41</v>
      </c>
      <c r="J636" t="s">
        <v>16</v>
      </c>
      <c r="K636" s="2" t="s">
        <v>5256</v>
      </c>
      <c r="L636" s="4">
        <f>Table4[[#This Row],[quantity]]*Table4[[#This Row],[unit_price]]</f>
        <v>18.41</v>
      </c>
      <c r="M636">
        <f>COUNTIFS($C$2:$C$3934,Table4[[#This Row],[customer_id]])</f>
        <v>8</v>
      </c>
      <c r="N636" t="str">
        <f>IF(Table4[[#This Row],[customer_order_count]]=1,"New Customer","Repeat Customer")</f>
        <v>Repeat Customer</v>
      </c>
    </row>
    <row r="637" spans="1:14">
      <c r="A637" t="s">
        <v>2191</v>
      </c>
      <c r="B637" s="1">
        <v>44981</v>
      </c>
      <c r="C637" t="s">
        <v>708</v>
      </c>
      <c r="D637" t="s">
        <v>709</v>
      </c>
      <c r="E637" t="s">
        <v>21</v>
      </c>
      <c r="F637" t="s">
        <v>70</v>
      </c>
      <c r="G637" t="s">
        <v>170</v>
      </c>
      <c r="H637">
        <v>2</v>
      </c>
      <c r="I637" s="3">
        <v>18.41</v>
      </c>
      <c r="J637" t="s">
        <v>16</v>
      </c>
      <c r="K637" s="5" t="s">
        <v>40</v>
      </c>
      <c r="L637" s="4">
        <f>Table4[[#This Row],[quantity]]*Table4[[#This Row],[unit_price]]</f>
        <v>36.82</v>
      </c>
      <c r="M637">
        <f>COUNTIFS($C$2:$C$3934,Table4[[#This Row],[customer_id]])</f>
        <v>7</v>
      </c>
      <c r="N637" t="str">
        <f>IF(Table4[[#This Row],[customer_order_count]]=1,"New Customer","Repeat Customer")</f>
        <v>Repeat Customer</v>
      </c>
    </row>
    <row r="638" spans="1:14">
      <c r="A638" t="s">
        <v>5160</v>
      </c>
      <c r="B638" s="1">
        <v>45296</v>
      </c>
      <c r="C638" t="s">
        <v>1740</v>
      </c>
      <c r="D638" t="s">
        <v>250</v>
      </c>
      <c r="E638" t="s">
        <v>21</v>
      </c>
      <c r="F638" t="s">
        <v>14</v>
      </c>
      <c r="G638" t="s">
        <v>34</v>
      </c>
      <c r="H638">
        <v>1</v>
      </c>
      <c r="I638" s="3">
        <v>18.420000000000002</v>
      </c>
      <c r="J638" t="s">
        <v>24</v>
      </c>
      <c r="K638" t="s">
        <v>17</v>
      </c>
      <c r="L638" s="4">
        <f>Table4[[#This Row],[quantity]]*Table4[[#This Row],[unit_price]]</f>
        <v>18.420000000000002</v>
      </c>
      <c r="M638">
        <f>COUNTIFS($C$2:$C$3934,Table4[[#This Row],[customer_id]])</f>
        <v>6</v>
      </c>
      <c r="N638" t="str">
        <f>IF(Table4[[#This Row],[customer_order_count]]=1,"New Customer","Repeat Customer")</f>
        <v>Repeat Customer</v>
      </c>
    </row>
    <row r="639" spans="1:14">
      <c r="A639" t="s">
        <v>4870</v>
      </c>
      <c r="B639" s="1">
        <v>45215</v>
      </c>
      <c r="C639" t="s">
        <v>2993</v>
      </c>
      <c r="D639" t="s">
        <v>1065</v>
      </c>
      <c r="E639" t="s">
        <v>21</v>
      </c>
      <c r="F639" t="s">
        <v>66</v>
      </c>
      <c r="G639" t="s">
        <v>217</v>
      </c>
      <c r="H639">
        <v>1</v>
      </c>
      <c r="I639" s="3">
        <v>18.420000000000002</v>
      </c>
      <c r="J639" t="s">
        <v>16</v>
      </c>
      <c r="K639" t="s">
        <v>35</v>
      </c>
      <c r="L639" s="4">
        <f>Table4[[#This Row],[quantity]]*Table4[[#This Row],[unit_price]]</f>
        <v>18.420000000000002</v>
      </c>
      <c r="M639">
        <f>COUNTIFS($C$2:$C$3934,Table4[[#This Row],[customer_id]])</f>
        <v>5</v>
      </c>
      <c r="N639" t="str">
        <f>IF(Table4[[#This Row],[customer_order_count]]=1,"New Customer","Repeat Customer")</f>
        <v>Repeat Customer</v>
      </c>
    </row>
    <row r="640" spans="1:14">
      <c r="A640" t="s">
        <v>5224</v>
      </c>
      <c r="B640" s="1">
        <v>44945</v>
      </c>
      <c r="C640" t="s">
        <v>486</v>
      </c>
      <c r="D640" t="s">
        <v>173</v>
      </c>
      <c r="E640" t="s">
        <v>21</v>
      </c>
      <c r="F640" t="s">
        <v>79</v>
      </c>
      <c r="G640" t="s">
        <v>200</v>
      </c>
      <c r="H640">
        <v>2</v>
      </c>
      <c r="I640" s="3">
        <v>18.43</v>
      </c>
      <c r="J640" t="s">
        <v>16</v>
      </c>
      <c r="K640" t="s">
        <v>17</v>
      </c>
      <c r="L640" s="4">
        <f>Table4[[#This Row],[quantity]]*Table4[[#This Row],[unit_price]]</f>
        <v>36.86</v>
      </c>
      <c r="M640">
        <f>COUNTIFS($C$2:$C$3934,Table4[[#This Row],[customer_id]])</f>
        <v>4</v>
      </c>
      <c r="N640" t="str">
        <f>IF(Table4[[#This Row],[customer_order_count]]=1,"New Customer","Repeat Customer")</f>
        <v>Repeat Customer</v>
      </c>
    </row>
    <row r="641" spans="1:14">
      <c r="A641" t="s">
        <v>4662</v>
      </c>
      <c r="B641" s="1">
        <v>45637</v>
      </c>
      <c r="C641" t="s">
        <v>893</v>
      </c>
      <c r="D641" t="s">
        <v>659</v>
      </c>
      <c r="E641" t="s">
        <v>21</v>
      </c>
      <c r="F641" t="s">
        <v>56</v>
      </c>
      <c r="G641" t="s">
        <v>210</v>
      </c>
      <c r="H641">
        <v>2</v>
      </c>
      <c r="I641" s="3">
        <v>18.43</v>
      </c>
      <c r="J641" t="s">
        <v>16</v>
      </c>
      <c r="K641" t="s">
        <v>40</v>
      </c>
      <c r="L641" s="4">
        <f>Table4[[#This Row],[quantity]]*Table4[[#This Row],[unit_price]]</f>
        <v>36.86</v>
      </c>
      <c r="M641">
        <f>COUNTIFS($C$2:$C$3934,Table4[[#This Row],[customer_id]])</f>
        <v>12</v>
      </c>
      <c r="N641" t="str">
        <f>IF(Table4[[#This Row],[customer_order_count]]=1,"New Customer","Repeat Customer")</f>
        <v>Repeat Customer</v>
      </c>
    </row>
    <row r="642" spans="1:14">
      <c r="A642" t="s">
        <v>1727</v>
      </c>
      <c r="B642" s="1">
        <v>45218</v>
      </c>
      <c r="C642" t="s">
        <v>1113</v>
      </c>
      <c r="D642" t="s">
        <v>1114</v>
      </c>
      <c r="E642" t="s">
        <v>21</v>
      </c>
      <c r="F642" t="s">
        <v>14</v>
      </c>
      <c r="G642" t="s">
        <v>34</v>
      </c>
      <c r="H642">
        <v>1</v>
      </c>
      <c r="I642" s="3">
        <v>18.5</v>
      </c>
      <c r="J642" t="s">
        <v>16</v>
      </c>
      <c r="K642" t="s">
        <v>40</v>
      </c>
      <c r="L642" s="4">
        <f>Table4[[#This Row],[quantity]]*Table4[[#This Row],[unit_price]]</f>
        <v>18.5</v>
      </c>
      <c r="M642">
        <f>COUNTIFS($C$2:$C$3934,Table4[[#This Row],[customer_id]])</f>
        <v>7</v>
      </c>
      <c r="N642" t="str">
        <f>IF(Table4[[#This Row],[customer_order_count]]=1,"New Customer","Repeat Customer")</f>
        <v>Repeat Customer</v>
      </c>
    </row>
    <row r="643" spans="1:14">
      <c r="A643" t="s">
        <v>3404</v>
      </c>
      <c r="B643" s="1">
        <v>44979</v>
      </c>
      <c r="C643" t="s">
        <v>1439</v>
      </c>
      <c r="D643" t="s">
        <v>1440</v>
      </c>
      <c r="E643" t="s">
        <v>21</v>
      </c>
      <c r="F643" t="s">
        <v>66</v>
      </c>
      <c r="G643" t="s">
        <v>49</v>
      </c>
      <c r="H643">
        <v>1</v>
      </c>
      <c r="I643" s="3">
        <v>18.5</v>
      </c>
      <c r="J643" t="s">
        <v>16</v>
      </c>
      <c r="K643" t="s">
        <v>30</v>
      </c>
      <c r="L643" s="4">
        <f>Table4[[#This Row],[quantity]]*Table4[[#This Row],[unit_price]]</f>
        <v>18.5</v>
      </c>
      <c r="M643">
        <f>COUNTIFS($C$2:$C$3934,Table4[[#This Row],[customer_id]])</f>
        <v>5</v>
      </c>
      <c r="N643" t="str">
        <f>IF(Table4[[#This Row],[customer_order_count]]=1,"New Customer","Repeat Customer")</f>
        <v>Repeat Customer</v>
      </c>
    </row>
    <row r="644" spans="1:14">
      <c r="A644" t="s">
        <v>4473</v>
      </c>
      <c r="B644" s="1">
        <v>45268</v>
      </c>
      <c r="C644" t="s">
        <v>246</v>
      </c>
      <c r="D644" t="s">
        <v>247</v>
      </c>
      <c r="E644" t="s">
        <v>21</v>
      </c>
      <c r="F644" t="s">
        <v>66</v>
      </c>
      <c r="G644" t="s">
        <v>67</v>
      </c>
      <c r="H644">
        <v>1</v>
      </c>
      <c r="I644" s="3">
        <v>18.5</v>
      </c>
      <c r="J644" t="s">
        <v>16</v>
      </c>
      <c r="K644" t="s">
        <v>30</v>
      </c>
      <c r="L644" s="4">
        <f>Table4[[#This Row],[quantity]]*Table4[[#This Row],[unit_price]]</f>
        <v>18.5</v>
      </c>
      <c r="M644">
        <f>COUNTIFS($C$2:$C$3934,Table4[[#This Row],[customer_id]])</f>
        <v>3</v>
      </c>
      <c r="N644" t="str">
        <f>IF(Table4[[#This Row],[customer_order_count]]=1,"New Customer","Repeat Customer")</f>
        <v>Repeat Customer</v>
      </c>
    </row>
    <row r="645" spans="1:14">
      <c r="A645" t="s">
        <v>4111</v>
      </c>
      <c r="B645" s="1">
        <v>44985</v>
      </c>
      <c r="C645" t="s">
        <v>1561</v>
      </c>
      <c r="D645" t="s">
        <v>60</v>
      </c>
      <c r="E645" t="s">
        <v>21</v>
      </c>
      <c r="F645" t="s">
        <v>14</v>
      </c>
      <c r="G645" t="s">
        <v>100</v>
      </c>
      <c r="H645">
        <v>1</v>
      </c>
      <c r="I645" s="3">
        <v>18.5</v>
      </c>
      <c r="J645" t="s">
        <v>85</v>
      </c>
      <c r="K645" t="s">
        <v>40</v>
      </c>
      <c r="L645" s="4">
        <f>Table4[[#This Row],[quantity]]*Table4[[#This Row],[unit_price]]</f>
        <v>18.5</v>
      </c>
      <c r="M645">
        <f>COUNTIFS($C$2:$C$3934,Table4[[#This Row],[customer_id]])</f>
        <v>6</v>
      </c>
      <c r="N645" t="str">
        <f>IF(Table4[[#This Row],[customer_order_count]]=1,"New Customer","Repeat Customer")</f>
        <v>Repeat Customer</v>
      </c>
    </row>
    <row r="646" spans="1:14">
      <c r="A646" t="s">
        <v>3479</v>
      </c>
      <c r="B646" s="1">
        <v>45442</v>
      </c>
      <c r="C646" t="s">
        <v>1693</v>
      </c>
      <c r="D646" t="s">
        <v>134</v>
      </c>
      <c r="E646" t="s">
        <v>21</v>
      </c>
      <c r="F646" t="s">
        <v>22</v>
      </c>
      <c r="G646" t="s">
        <v>142</v>
      </c>
      <c r="H646">
        <v>1</v>
      </c>
      <c r="I646" s="3">
        <v>18.5</v>
      </c>
      <c r="J646" t="s">
        <v>85</v>
      </c>
      <c r="K646" t="s">
        <v>17</v>
      </c>
      <c r="L646" s="4">
        <f>Table4[[#This Row],[quantity]]*Table4[[#This Row],[unit_price]]</f>
        <v>18.5</v>
      </c>
      <c r="M646">
        <f>COUNTIFS($C$2:$C$3934,Table4[[#This Row],[customer_id]])</f>
        <v>3</v>
      </c>
      <c r="N646" t="str">
        <f>IF(Table4[[#This Row],[customer_order_count]]=1,"New Customer","Repeat Customer")</f>
        <v>Repeat Customer</v>
      </c>
    </row>
    <row r="647" spans="1:14">
      <c r="A647" t="s">
        <v>1359</v>
      </c>
      <c r="B647" s="1">
        <v>45509</v>
      </c>
      <c r="C647" t="s">
        <v>1074</v>
      </c>
      <c r="D647" t="s">
        <v>281</v>
      </c>
      <c r="E647" t="s">
        <v>21</v>
      </c>
      <c r="F647" t="s">
        <v>66</v>
      </c>
      <c r="G647" t="s">
        <v>128</v>
      </c>
      <c r="H647">
        <v>2</v>
      </c>
      <c r="I647" s="3">
        <v>18.5</v>
      </c>
      <c r="J647" t="s">
        <v>16</v>
      </c>
      <c r="K647" t="s">
        <v>17</v>
      </c>
      <c r="L647" s="4">
        <f>Table4[[#This Row],[quantity]]*Table4[[#This Row],[unit_price]]</f>
        <v>37</v>
      </c>
      <c r="M647">
        <f>COUNTIFS($C$2:$C$3934,Table4[[#This Row],[customer_id]])</f>
        <v>6</v>
      </c>
      <c r="N647" t="str">
        <f>IF(Table4[[#This Row],[customer_order_count]]=1,"New Customer","Repeat Customer")</f>
        <v>Repeat Customer</v>
      </c>
    </row>
    <row r="648" spans="1:14">
      <c r="A648" t="s">
        <v>4169</v>
      </c>
      <c r="B648" s="1">
        <v>45484</v>
      </c>
      <c r="C648" t="s">
        <v>2997</v>
      </c>
      <c r="D648" t="s">
        <v>105</v>
      </c>
      <c r="E648" t="s">
        <v>44</v>
      </c>
      <c r="F648" t="s">
        <v>28</v>
      </c>
      <c r="G648" t="s">
        <v>29</v>
      </c>
      <c r="H648">
        <v>2</v>
      </c>
      <c r="I648" s="3">
        <v>18.52</v>
      </c>
      <c r="J648" t="s">
        <v>16</v>
      </c>
      <c r="K648" t="s">
        <v>30</v>
      </c>
      <c r="L648" s="4">
        <f>Table4[[#This Row],[quantity]]*Table4[[#This Row],[unit_price]]</f>
        <v>37.04</v>
      </c>
      <c r="M648">
        <f>COUNTIFS($C$2:$C$3934,Table4[[#This Row],[customer_id]])</f>
        <v>2</v>
      </c>
      <c r="N648" t="str">
        <f>IF(Table4[[#This Row],[customer_order_count]]=1,"New Customer","Repeat Customer")</f>
        <v>Repeat Customer</v>
      </c>
    </row>
    <row r="649" spans="1:14">
      <c r="A649" t="s">
        <v>2315</v>
      </c>
      <c r="B649" s="1">
        <v>45534</v>
      </c>
      <c r="C649" t="s">
        <v>1298</v>
      </c>
      <c r="D649" t="s">
        <v>48</v>
      </c>
      <c r="E649" t="s">
        <v>21</v>
      </c>
      <c r="F649" t="s">
        <v>66</v>
      </c>
      <c r="G649" t="s">
        <v>238</v>
      </c>
      <c r="H649">
        <v>1</v>
      </c>
      <c r="I649" s="3">
        <v>18.54</v>
      </c>
      <c r="J649" t="s">
        <v>16</v>
      </c>
      <c r="K649" t="s">
        <v>30</v>
      </c>
      <c r="L649" s="4">
        <f>Table4[[#This Row],[quantity]]*Table4[[#This Row],[unit_price]]</f>
        <v>18.54</v>
      </c>
      <c r="M649">
        <f>COUNTIFS($C$2:$C$3934,Table4[[#This Row],[customer_id]])</f>
        <v>10</v>
      </c>
      <c r="N649" t="str">
        <f>IF(Table4[[#This Row],[customer_order_count]]=1,"New Customer","Repeat Customer")</f>
        <v>Repeat Customer</v>
      </c>
    </row>
    <row r="650" spans="1:14">
      <c r="A650" t="s">
        <v>3027</v>
      </c>
      <c r="B650" s="1">
        <v>45656</v>
      </c>
      <c r="C650" t="s">
        <v>236</v>
      </c>
      <c r="D650" t="s">
        <v>237</v>
      </c>
      <c r="E650" t="s">
        <v>21</v>
      </c>
      <c r="F650" t="s">
        <v>66</v>
      </c>
      <c r="G650" t="s">
        <v>238</v>
      </c>
      <c r="H650">
        <v>2</v>
      </c>
      <c r="I650" s="3">
        <v>18.54</v>
      </c>
      <c r="J650" t="s">
        <v>16</v>
      </c>
      <c r="K650" t="s">
        <v>30</v>
      </c>
      <c r="L650" s="4">
        <f>Table4[[#This Row],[quantity]]*Table4[[#This Row],[unit_price]]</f>
        <v>37.08</v>
      </c>
      <c r="M650">
        <f>COUNTIFS($C$2:$C$3934,Table4[[#This Row],[customer_id]])</f>
        <v>3</v>
      </c>
      <c r="N650" t="str">
        <f>IF(Table4[[#This Row],[customer_order_count]]=1,"New Customer","Repeat Customer")</f>
        <v>Repeat Customer</v>
      </c>
    </row>
    <row r="651" spans="1:14">
      <c r="A651" t="s">
        <v>3674</v>
      </c>
      <c r="B651" s="1">
        <v>45614</v>
      </c>
      <c r="C651" t="s">
        <v>930</v>
      </c>
      <c r="D651" t="s">
        <v>931</v>
      </c>
      <c r="E651" t="s">
        <v>21</v>
      </c>
      <c r="F651" t="s">
        <v>22</v>
      </c>
      <c r="G651" t="s">
        <v>264</v>
      </c>
      <c r="H651">
        <v>2</v>
      </c>
      <c r="I651" s="3">
        <v>18.54</v>
      </c>
      <c r="J651" t="s">
        <v>85</v>
      </c>
      <c r="K651" t="s">
        <v>35</v>
      </c>
      <c r="L651" s="4">
        <f>Table4[[#This Row],[quantity]]*Table4[[#This Row],[unit_price]]</f>
        <v>37.08</v>
      </c>
      <c r="M651">
        <f>COUNTIFS($C$2:$C$3934,Table4[[#This Row],[customer_id]])</f>
        <v>6</v>
      </c>
      <c r="N651" t="str">
        <f>IF(Table4[[#This Row],[customer_order_count]]=1,"New Customer","Repeat Customer")</f>
        <v>Repeat Customer</v>
      </c>
    </row>
    <row r="652" spans="1:14">
      <c r="A652" t="s">
        <v>1729</v>
      </c>
      <c r="B652" s="1">
        <v>45294</v>
      </c>
      <c r="C652" t="s">
        <v>1730</v>
      </c>
      <c r="D652" t="s">
        <v>1731</v>
      </c>
      <c r="E652" t="s">
        <v>106</v>
      </c>
      <c r="F652" t="s">
        <v>66</v>
      </c>
      <c r="G652" t="s">
        <v>67</v>
      </c>
      <c r="H652">
        <v>1</v>
      </c>
      <c r="I652" s="3">
        <v>18.55</v>
      </c>
      <c r="J652" t="s">
        <v>16</v>
      </c>
      <c r="K652" t="s">
        <v>30</v>
      </c>
      <c r="L652" s="4">
        <f>Table4[[#This Row],[quantity]]*Table4[[#This Row],[unit_price]]</f>
        <v>18.55</v>
      </c>
      <c r="M652">
        <f>COUNTIFS($C$2:$C$3934,Table4[[#This Row],[customer_id]])</f>
        <v>2</v>
      </c>
      <c r="N652" t="str">
        <f>IF(Table4[[#This Row],[customer_order_count]]=1,"New Customer","Repeat Customer")</f>
        <v>Repeat Customer</v>
      </c>
    </row>
    <row r="653" spans="1:14">
      <c r="A653" t="s">
        <v>3609</v>
      </c>
      <c r="B653" s="1">
        <v>45529</v>
      </c>
      <c r="C653" t="s">
        <v>713</v>
      </c>
      <c r="D653" t="s">
        <v>714</v>
      </c>
      <c r="E653" t="s">
        <v>21</v>
      </c>
      <c r="F653" t="s">
        <v>66</v>
      </c>
      <c r="G653" t="s">
        <v>128</v>
      </c>
      <c r="H653">
        <v>2</v>
      </c>
      <c r="I653" s="3">
        <v>18.57</v>
      </c>
      <c r="J653" t="s">
        <v>85</v>
      </c>
      <c r="K653" t="s">
        <v>30</v>
      </c>
      <c r="L653" s="4">
        <f>Table4[[#This Row],[quantity]]*Table4[[#This Row],[unit_price]]</f>
        <v>37.14</v>
      </c>
      <c r="M653">
        <f>COUNTIFS($C$2:$C$3934,Table4[[#This Row],[customer_id]])</f>
        <v>6</v>
      </c>
      <c r="N653" t="str">
        <f>IF(Table4[[#This Row],[customer_order_count]]=1,"New Customer","Repeat Customer")</f>
        <v>Repeat Customer</v>
      </c>
    </row>
    <row r="654" spans="1:14">
      <c r="A654" t="s">
        <v>4328</v>
      </c>
      <c r="B654" s="1">
        <v>45171</v>
      </c>
      <c r="C654" t="s">
        <v>1690</v>
      </c>
      <c r="D654" t="s">
        <v>1691</v>
      </c>
      <c r="E654" t="s">
        <v>44</v>
      </c>
      <c r="F654" t="s">
        <v>66</v>
      </c>
      <c r="G654" t="s">
        <v>238</v>
      </c>
      <c r="H654">
        <v>1</v>
      </c>
      <c r="I654" s="3">
        <v>18.600000000000001</v>
      </c>
      <c r="J654" t="s">
        <v>16</v>
      </c>
      <c r="K654" s="2" t="s">
        <v>5256</v>
      </c>
      <c r="L654" s="4">
        <f>Table4[[#This Row],[quantity]]*Table4[[#This Row],[unit_price]]</f>
        <v>18.600000000000001</v>
      </c>
      <c r="M654">
        <f>COUNTIFS($C$2:$C$3934,Table4[[#This Row],[customer_id]])</f>
        <v>5</v>
      </c>
      <c r="N654" t="str">
        <f>IF(Table4[[#This Row],[customer_order_count]]=1,"New Customer","Repeat Customer")</f>
        <v>Repeat Customer</v>
      </c>
    </row>
    <row r="655" spans="1:14">
      <c r="A655" t="s">
        <v>4602</v>
      </c>
      <c r="B655" s="1">
        <v>45621</v>
      </c>
      <c r="C655" t="s">
        <v>971</v>
      </c>
      <c r="D655" t="s">
        <v>569</v>
      </c>
      <c r="E655" t="s">
        <v>21</v>
      </c>
      <c r="F655" t="s">
        <v>56</v>
      </c>
      <c r="G655" t="s">
        <v>422</v>
      </c>
      <c r="H655">
        <v>2</v>
      </c>
      <c r="I655" s="3">
        <v>18.64</v>
      </c>
      <c r="J655" t="s">
        <v>16</v>
      </c>
      <c r="K655" s="5" t="s">
        <v>30</v>
      </c>
      <c r="L655" s="4">
        <f>Table4[[#This Row],[quantity]]*Table4[[#This Row],[unit_price]]</f>
        <v>37.28</v>
      </c>
      <c r="M655">
        <f>COUNTIFS($C$2:$C$3934,Table4[[#This Row],[customer_id]])</f>
        <v>7</v>
      </c>
      <c r="N655" t="str">
        <f>IF(Table4[[#This Row],[customer_order_count]]=1,"New Customer","Repeat Customer")</f>
        <v>Repeat Customer</v>
      </c>
    </row>
    <row r="656" spans="1:14">
      <c r="A656" t="s">
        <v>3433</v>
      </c>
      <c r="B656" s="1">
        <v>45629</v>
      </c>
      <c r="C656" t="s">
        <v>3434</v>
      </c>
      <c r="D656" t="s">
        <v>834</v>
      </c>
      <c r="E656" t="s">
        <v>21</v>
      </c>
      <c r="F656" t="s">
        <v>66</v>
      </c>
      <c r="G656" t="s">
        <v>128</v>
      </c>
      <c r="H656">
        <v>1</v>
      </c>
      <c r="I656" s="3">
        <v>18.649999999999999</v>
      </c>
      <c r="J656" t="s">
        <v>16</v>
      </c>
      <c r="K656" t="s">
        <v>30</v>
      </c>
      <c r="L656" s="4">
        <f>Table4[[#This Row],[quantity]]*Table4[[#This Row],[unit_price]]</f>
        <v>18.649999999999999</v>
      </c>
      <c r="M656">
        <f>COUNTIFS($C$2:$C$3934,Table4[[#This Row],[customer_id]])</f>
        <v>1</v>
      </c>
      <c r="N656" t="str">
        <f>IF(Table4[[#This Row],[customer_order_count]]=1,"New Customer","Repeat Customer")</f>
        <v>New Customer</v>
      </c>
    </row>
    <row r="657" spans="1:14">
      <c r="A657" t="s">
        <v>3019</v>
      </c>
      <c r="B657" s="1">
        <v>45517</v>
      </c>
      <c r="C657" t="s">
        <v>655</v>
      </c>
      <c r="D657" t="s">
        <v>597</v>
      </c>
      <c r="E657" t="s">
        <v>21</v>
      </c>
      <c r="F657" t="s">
        <v>66</v>
      </c>
      <c r="G657" t="s">
        <v>217</v>
      </c>
      <c r="H657">
        <v>1</v>
      </c>
      <c r="I657" s="3">
        <v>18.649999999999999</v>
      </c>
      <c r="J657" t="s">
        <v>16</v>
      </c>
      <c r="K657" t="s">
        <v>30</v>
      </c>
      <c r="L657" s="4">
        <f>Table4[[#This Row],[quantity]]*Table4[[#This Row],[unit_price]]</f>
        <v>18.649999999999999</v>
      </c>
      <c r="M657">
        <f>COUNTIFS($C$2:$C$3934,Table4[[#This Row],[customer_id]])</f>
        <v>12</v>
      </c>
      <c r="N657" t="str">
        <f>IF(Table4[[#This Row],[customer_order_count]]=1,"New Customer","Repeat Customer")</f>
        <v>Repeat Customer</v>
      </c>
    </row>
    <row r="658" spans="1:14">
      <c r="A658" t="s">
        <v>3439</v>
      </c>
      <c r="B658" s="1">
        <v>45317</v>
      </c>
      <c r="C658" t="s">
        <v>2477</v>
      </c>
      <c r="D658" t="s">
        <v>602</v>
      </c>
      <c r="E658" t="s">
        <v>44</v>
      </c>
      <c r="F658" t="s">
        <v>22</v>
      </c>
      <c r="G658" t="s">
        <v>142</v>
      </c>
      <c r="H658">
        <v>2</v>
      </c>
      <c r="I658" s="3">
        <v>18.649999999999999</v>
      </c>
      <c r="J658" t="s">
        <v>85</v>
      </c>
      <c r="K658" t="s">
        <v>30</v>
      </c>
      <c r="L658" s="4">
        <f>Table4[[#This Row],[quantity]]*Table4[[#This Row],[unit_price]]</f>
        <v>37.299999999999997</v>
      </c>
      <c r="M658">
        <f>COUNTIFS($C$2:$C$3934,Table4[[#This Row],[customer_id]])</f>
        <v>3</v>
      </c>
      <c r="N658" t="str">
        <f>IF(Table4[[#This Row],[customer_order_count]]=1,"New Customer","Repeat Customer")</f>
        <v>Repeat Customer</v>
      </c>
    </row>
    <row r="659" spans="1:14">
      <c r="A659" t="s">
        <v>3988</v>
      </c>
      <c r="B659" s="1">
        <v>45505</v>
      </c>
      <c r="C659" t="s">
        <v>1030</v>
      </c>
      <c r="D659" t="s">
        <v>269</v>
      </c>
      <c r="E659" t="s">
        <v>21</v>
      </c>
      <c r="F659" t="s">
        <v>70</v>
      </c>
      <c r="G659" t="s">
        <v>146</v>
      </c>
      <c r="H659">
        <v>2</v>
      </c>
      <c r="I659" s="3">
        <v>18.670000000000002</v>
      </c>
      <c r="J659" t="s">
        <v>24</v>
      </c>
      <c r="K659" t="s">
        <v>40</v>
      </c>
      <c r="L659" s="4">
        <f>Table4[[#This Row],[quantity]]*Table4[[#This Row],[unit_price]]</f>
        <v>37.340000000000003</v>
      </c>
      <c r="M659">
        <f>COUNTIFS($C$2:$C$3934,Table4[[#This Row],[customer_id]])</f>
        <v>2</v>
      </c>
      <c r="N659" t="str">
        <f>IF(Table4[[#This Row],[customer_order_count]]=1,"New Customer","Repeat Customer")</f>
        <v>Repeat Customer</v>
      </c>
    </row>
    <row r="660" spans="1:14">
      <c r="A660" t="s">
        <v>3590</v>
      </c>
      <c r="B660" s="1">
        <v>45396</v>
      </c>
      <c r="C660" t="s">
        <v>2566</v>
      </c>
      <c r="D660" t="s">
        <v>981</v>
      </c>
      <c r="E660" t="s">
        <v>21</v>
      </c>
      <c r="F660" t="s">
        <v>22</v>
      </c>
      <c r="G660" t="s">
        <v>264</v>
      </c>
      <c r="H660">
        <v>1</v>
      </c>
      <c r="I660" s="3">
        <v>18.73</v>
      </c>
      <c r="J660" t="s">
        <v>255</v>
      </c>
      <c r="K660" t="s">
        <v>17</v>
      </c>
      <c r="L660" s="4">
        <f>Table4[[#This Row],[quantity]]*Table4[[#This Row],[unit_price]]</f>
        <v>18.73</v>
      </c>
      <c r="M660">
        <f>COUNTIFS($C$2:$C$3934,Table4[[#This Row],[customer_id]])</f>
        <v>5</v>
      </c>
      <c r="N660" t="str">
        <f>IF(Table4[[#This Row],[customer_order_count]]=1,"New Customer","Repeat Customer")</f>
        <v>Repeat Customer</v>
      </c>
    </row>
    <row r="661" spans="1:14">
      <c r="A661" t="s">
        <v>4197</v>
      </c>
      <c r="B661" s="1">
        <v>45065</v>
      </c>
      <c r="C661" t="s">
        <v>655</v>
      </c>
      <c r="D661" t="s">
        <v>597</v>
      </c>
      <c r="E661" t="s">
        <v>21</v>
      </c>
      <c r="F661" t="s">
        <v>79</v>
      </c>
      <c r="G661" t="s">
        <v>398</v>
      </c>
      <c r="H661">
        <v>2</v>
      </c>
      <c r="I661" s="3">
        <v>18.73</v>
      </c>
      <c r="J661" t="s">
        <v>16</v>
      </c>
      <c r="K661" t="s">
        <v>40</v>
      </c>
      <c r="L661" s="4">
        <f>Table4[[#This Row],[quantity]]*Table4[[#This Row],[unit_price]]</f>
        <v>37.46</v>
      </c>
      <c r="M661">
        <f>COUNTIFS($C$2:$C$3934,Table4[[#This Row],[customer_id]])</f>
        <v>12</v>
      </c>
      <c r="N661" t="str">
        <f>IF(Table4[[#This Row],[customer_order_count]]=1,"New Customer","Repeat Customer")</f>
        <v>Repeat Customer</v>
      </c>
    </row>
    <row r="662" spans="1:14">
      <c r="A662" t="s">
        <v>2017</v>
      </c>
      <c r="B662" s="1">
        <v>44996</v>
      </c>
      <c r="C662" t="s">
        <v>2018</v>
      </c>
      <c r="D662" t="s">
        <v>2019</v>
      </c>
      <c r="E662" t="s">
        <v>21</v>
      </c>
      <c r="F662" t="s">
        <v>22</v>
      </c>
      <c r="G662" t="s">
        <v>264</v>
      </c>
      <c r="H662">
        <v>1</v>
      </c>
      <c r="I662" s="3">
        <v>18.77</v>
      </c>
      <c r="J662" t="s">
        <v>16</v>
      </c>
      <c r="K662" t="s">
        <v>40</v>
      </c>
      <c r="L662" s="4">
        <f>Table4[[#This Row],[quantity]]*Table4[[#This Row],[unit_price]]</f>
        <v>18.77</v>
      </c>
      <c r="M662">
        <f>COUNTIFS($C$2:$C$3934,Table4[[#This Row],[customer_id]])</f>
        <v>2</v>
      </c>
      <c r="N662" t="str">
        <f>IF(Table4[[#This Row],[customer_order_count]]=1,"New Customer","Repeat Customer")</f>
        <v>Repeat Customer</v>
      </c>
    </row>
    <row r="663" spans="1:14">
      <c r="A663" t="s">
        <v>4639</v>
      </c>
      <c r="B663" s="1">
        <v>45344</v>
      </c>
      <c r="C663" t="s">
        <v>112</v>
      </c>
      <c r="D663" t="s">
        <v>113</v>
      </c>
      <c r="E663" t="s">
        <v>21</v>
      </c>
      <c r="F663" t="s">
        <v>22</v>
      </c>
      <c r="G663" t="s">
        <v>162</v>
      </c>
      <c r="H663">
        <v>1</v>
      </c>
      <c r="I663" s="3">
        <v>18.79</v>
      </c>
      <c r="J663" t="s">
        <v>24</v>
      </c>
      <c r="K663" t="s">
        <v>17</v>
      </c>
      <c r="L663" s="4">
        <f>Table4[[#This Row],[quantity]]*Table4[[#This Row],[unit_price]]</f>
        <v>18.79</v>
      </c>
      <c r="M663">
        <f>COUNTIFS($C$2:$C$3934,Table4[[#This Row],[customer_id]])</f>
        <v>7</v>
      </c>
      <c r="N663" t="str">
        <f>IF(Table4[[#This Row],[customer_order_count]]=1,"New Customer","Repeat Customer")</f>
        <v>Repeat Customer</v>
      </c>
    </row>
    <row r="664" spans="1:14">
      <c r="A664" t="s">
        <v>3974</v>
      </c>
      <c r="B664" s="1">
        <v>45570</v>
      </c>
      <c r="C664" t="s">
        <v>335</v>
      </c>
      <c r="D664" t="s">
        <v>213</v>
      </c>
      <c r="E664" t="s">
        <v>21</v>
      </c>
      <c r="F664" t="s">
        <v>28</v>
      </c>
      <c r="G664" t="s">
        <v>45</v>
      </c>
      <c r="H664">
        <v>3</v>
      </c>
      <c r="I664" s="3">
        <v>18.79</v>
      </c>
      <c r="J664" t="s">
        <v>255</v>
      </c>
      <c r="K664" t="s">
        <v>17</v>
      </c>
      <c r="L664" s="4">
        <f>Table4[[#This Row],[quantity]]*Table4[[#This Row],[unit_price]]</f>
        <v>56.37</v>
      </c>
      <c r="M664">
        <f>COUNTIFS($C$2:$C$3934,Table4[[#This Row],[customer_id]])</f>
        <v>4</v>
      </c>
      <c r="N664" t="str">
        <f>IF(Table4[[#This Row],[customer_order_count]]=1,"New Customer","Repeat Customer")</f>
        <v>Repeat Customer</v>
      </c>
    </row>
    <row r="665" spans="1:14">
      <c r="A665" t="s">
        <v>4790</v>
      </c>
      <c r="B665" s="1">
        <v>45358</v>
      </c>
      <c r="C665" t="s">
        <v>387</v>
      </c>
      <c r="D665" t="s">
        <v>388</v>
      </c>
      <c r="E665" t="s">
        <v>21</v>
      </c>
      <c r="F665" t="s">
        <v>70</v>
      </c>
      <c r="G665" t="s">
        <v>110</v>
      </c>
      <c r="H665">
        <v>3</v>
      </c>
      <c r="I665" s="3">
        <v>18.82</v>
      </c>
      <c r="J665" t="s">
        <v>16</v>
      </c>
      <c r="K665" t="s">
        <v>17</v>
      </c>
      <c r="L665" s="4">
        <f>Table4[[#This Row],[quantity]]*Table4[[#This Row],[unit_price]]</f>
        <v>56.46</v>
      </c>
      <c r="M665">
        <f>COUNTIFS($C$2:$C$3934,Table4[[#This Row],[customer_id]])</f>
        <v>4</v>
      </c>
      <c r="N665" t="str">
        <f>IF(Table4[[#This Row],[customer_order_count]]=1,"New Customer","Repeat Customer")</f>
        <v>Repeat Customer</v>
      </c>
    </row>
    <row r="666" spans="1:14">
      <c r="A666" t="s">
        <v>4280</v>
      </c>
      <c r="B666" s="1">
        <v>45585</v>
      </c>
      <c r="C666" t="s">
        <v>2144</v>
      </c>
      <c r="D666" t="s">
        <v>27</v>
      </c>
      <c r="E666" t="s">
        <v>21</v>
      </c>
      <c r="F666" t="s">
        <v>66</v>
      </c>
      <c r="G666" t="s">
        <v>49</v>
      </c>
      <c r="H666">
        <v>2</v>
      </c>
      <c r="I666" s="3">
        <v>18.86</v>
      </c>
      <c r="J666" t="s">
        <v>16</v>
      </c>
      <c r="K666" t="s">
        <v>35</v>
      </c>
      <c r="L666" s="4">
        <f>Table4[[#This Row],[quantity]]*Table4[[#This Row],[unit_price]]</f>
        <v>37.72</v>
      </c>
      <c r="M666">
        <f>COUNTIFS($C$2:$C$3934,Table4[[#This Row],[customer_id]])</f>
        <v>10</v>
      </c>
      <c r="N666" t="str">
        <f>IF(Table4[[#This Row],[customer_order_count]]=1,"New Customer","Repeat Customer")</f>
        <v>Repeat Customer</v>
      </c>
    </row>
    <row r="667" spans="1:14">
      <c r="A667" t="s">
        <v>2284</v>
      </c>
      <c r="B667" s="1">
        <v>45451</v>
      </c>
      <c r="C667" t="s">
        <v>1557</v>
      </c>
      <c r="D667" t="s">
        <v>92</v>
      </c>
      <c r="E667" t="s">
        <v>21</v>
      </c>
      <c r="F667" t="s">
        <v>56</v>
      </c>
      <c r="G667" t="s">
        <v>118</v>
      </c>
      <c r="H667">
        <v>2</v>
      </c>
      <c r="I667" s="3">
        <v>18.96</v>
      </c>
      <c r="J667" t="s">
        <v>24</v>
      </c>
      <c r="K667" t="s">
        <v>35</v>
      </c>
      <c r="L667" s="4">
        <f>Table4[[#This Row],[quantity]]*Table4[[#This Row],[unit_price]]</f>
        <v>37.92</v>
      </c>
      <c r="M667">
        <f>COUNTIFS($C$2:$C$3934,Table4[[#This Row],[customer_id]])</f>
        <v>5</v>
      </c>
      <c r="N667" t="str">
        <f>IF(Table4[[#This Row],[customer_order_count]]=1,"New Customer","Repeat Customer")</f>
        <v>Repeat Customer</v>
      </c>
    </row>
    <row r="668" spans="1:14">
      <c r="A668" t="s">
        <v>1633</v>
      </c>
      <c r="B668" s="1">
        <v>45469</v>
      </c>
      <c r="C668" t="s">
        <v>1294</v>
      </c>
      <c r="D668" t="s">
        <v>1241</v>
      </c>
      <c r="E668" t="s">
        <v>21</v>
      </c>
      <c r="F668" t="s">
        <v>70</v>
      </c>
      <c r="G668" t="s">
        <v>89</v>
      </c>
      <c r="H668">
        <v>2</v>
      </c>
      <c r="I668" s="3">
        <v>18.96</v>
      </c>
      <c r="J668" t="s">
        <v>16</v>
      </c>
      <c r="K668" t="s">
        <v>30</v>
      </c>
      <c r="L668" s="4">
        <f>Table4[[#This Row],[quantity]]*Table4[[#This Row],[unit_price]]</f>
        <v>37.92</v>
      </c>
      <c r="M668">
        <f>COUNTIFS($C$2:$C$3934,Table4[[#This Row],[customer_id]])</f>
        <v>6</v>
      </c>
      <c r="N668" t="str">
        <f>IF(Table4[[#This Row],[customer_order_count]]=1,"New Customer","Repeat Customer")</f>
        <v>Repeat Customer</v>
      </c>
    </row>
    <row r="669" spans="1:14">
      <c r="A669" t="s">
        <v>4196</v>
      </c>
      <c r="B669" s="1">
        <v>45126</v>
      </c>
      <c r="C669" t="s">
        <v>1639</v>
      </c>
      <c r="D669" t="s">
        <v>324</v>
      </c>
      <c r="E669" t="s">
        <v>21</v>
      </c>
      <c r="F669" t="s">
        <v>14</v>
      </c>
      <c r="G669" t="s">
        <v>62</v>
      </c>
      <c r="H669">
        <v>1</v>
      </c>
      <c r="I669" s="3">
        <v>18.98</v>
      </c>
      <c r="J669" t="s">
        <v>16</v>
      </c>
      <c r="K669" t="s">
        <v>40</v>
      </c>
      <c r="L669" s="4">
        <f>Table4[[#This Row],[quantity]]*Table4[[#This Row],[unit_price]]</f>
        <v>18.98</v>
      </c>
      <c r="M669">
        <f>COUNTIFS($C$2:$C$3934,Table4[[#This Row],[customer_id]])</f>
        <v>5</v>
      </c>
      <c r="N669" t="str">
        <f>IF(Table4[[#This Row],[customer_order_count]]=1,"New Customer","Repeat Customer")</f>
        <v>Repeat Customer</v>
      </c>
    </row>
    <row r="670" spans="1:14">
      <c r="A670" t="s">
        <v>4847</v>
      </c>
      <c r="B670" s="1">
        <v>45531</v>
      </c>
      <c r="C670" t="s">
        <v>1743</v>
      </c>
      <c r="D670" t="s">
        <v>20</v>
      </c>
      <c r="E670" t="s">
        <v>21</v>
      </c>
      <c r="F670" t="s">
        <v>28</v>
      </c>
      <c r="G670" t="s">
        <v>139</v>
      </c>
      <c r="H670">
        <v>1</v>
      </c>
      <c r="I670" s="3">
        <v>18.989999999999998</v>
      </c>
      <c r="J670" t="s">
        <v>16</v>
      </c>
      <c r="K670" t="s">
        <v>30</v>
      </c>
      <c r="L670" s="4">
        <f>Table4[[#This Row],[quantity]]*Table4[[#This Row],[unit_price]]</f>
        <v>18.989999999999998</v>
      </c>
      <c r="M670">
        <f>COUNTIFS($C$2:$C$3934,Table4[[#This Row],[customer_id]])</f>
        <v>8</v>
      </c>
      <c r="N670" t="str">
        <f>IF(Table4[[#This Row],[customer_order_count]]=1,"New Customer","Repeat Customer")</f>
        <v>Repeat Customer</v>
      </c>
    </row>
    <row r="671" spans="1:14">
      <c r="A671" t="s">
        <v>1656</v>
      </c>
      <c r="B671" s="1">
        <v>45181</v>
      </c>
      <c r="C671" t="s">
        <v>1657</v>
      </c>
      <c r="D671" t="s">
        <v>714</v>
      </c>
      <c r="E671" t="s">
        <v>61</v>
      </c>
      <c r="F671" t="s">
        <v>28</v>
      </c>
      <c r="G671" t="s">
        <v>139</v>
      </c>
      <c r="H671">
        <v>1</v>
      </c>
      <c r="I671" s="3">
        <v>19.010000000000002</v>
      </c>
      <c r="J671" t="s">
        <v>16</v>
      </c>
      <c r="K671" t="s">
        <v>35</v>
      </c>
      <c r="L671" s="4">
        <f>Table4[[#This Row],[quantity]]*Table4[[#This Row],[unit_price]]</f>
        <v>19.010000000000002</v>
      </c>
      <c r="M671">
        <f>COUNTIFS($C$2:$C$3934,Table4[[#This Row],[customer_id]])</f>
        <v>3</v>
      </c>
      <c r="N671" t="str">
        <f>IF(Table4[[#This Row],[customer_order_count]]=1,"New Customer","Repeat Customer")</f>
        <v>Repeat Customer</v>
      </c>
    </row>
    <row r="672" spans="1:14">
      <c r="A672" t="s">
        <v>4979</v>
      </c>
      <c r="B672" s="1">
        <v>45079</v>
      </c>
      <c r="C672" t="s">
        <v>2342</v>
      </c>
      <c r="D672" t="s">
        <v>2343</v>
      </c>
      <c r="E672" t="s">
        <v>21</v>
      </c>
      <c r="F672" t="s">
        <v>66</v>
      </c>
      <c r="G672" t="s">
        <v>67</v>
      </c>
      <c r="H672">
        <v>1</v>
      </c>
      <c r="I672" s="3">
        <v>19.010000000000002</v>
      </c>
      <c r="J672" t="s">
        <v>16</v>
      </c>
      <c r="K672" t="s">
        <v>17</v>
      </c>
      <c r="L672" s="4">
        <f>Table4[[#This Row],[quantity]]*Table4[[#This Row],[unit_price]]</f>
        <v>19.010000000000002</v>
      </c>
      <c r="M672">
        <f>COUNTIFS($C$2:$C$3934,Table4[[#This Row],[customer_id]])</f>
        <v>7</v>
      </c>
      <c r="N672" t="str">
        <f>IF(Table4[[#This Row],[customer_order_count]]=1,"New Customer","Repeat Customer")</f>
        <v>Repeat Customer</v>
      </c>
    </row>
    <row r="673" spans="1:14">
      <c r="A673" t="s">
        <v>3565</v>
      </c>
      <c r="B673" s="1">
        <v>45534</v>
      </c>
      <c r="C673" t="s">
        <v>581</v>
      </c>
      <c r="D673" t="s">
        <v>582</v>
      </c>
      <c r="E673" t="s">
        <v>21</v>
      </c>
      <c r="F673" t="s">
        <v>66</v>
      </c>
      <c r="G673" t="s">
        <v>49</v>
      </c>
      <c r="H673">
        <v>1</v>
      </c>
      <c r="I673" s="3">
        <v>19.02</v>
      </c>
      <c r="J673" t="s">
        <v>16</v>
      </c>
      <c r="K673" t="s">
        <v>40</v>
      </c>
      <c r="L673" s="4">
        <f>Table4[[#This Row],[quantity]]*Table4[[#This Row],[unit_price]]</f>
        <v>19.02</v>
      </c>
      <c r="M673">
        <f>COUNTIFS($C$2:$C$3934,Table4[[#This Row],[customer_id]])</f>
        <v>6</v>
      </c>
      <c r="N673" t="str">
        <f>IF(Table4[[#This Row],[customer_order_count]]=1,"New Customer","Repeat Customer")</f>
        <v>Repeat Customer</v>
      </c>
    </row>
    <row r="674" spans="1:14">
      <c r="A674" t="s">
        <v>4055</v>
      </c>
      <c r="B674" s="1">
        <v>44980</v>
      </c>
      <c r="C674" t="s">
        <v>1263</v>
      </c>
      <c r="D674" t="s">
        <v>1264</v>
      </c>
      <c r="E674" t="s">
        <v>21</v>
      </c>
      <c r="F674" t="s">
        <v>66</v>
      </c>
      <c r="G674" t="s">
        <v>238</v>
      </c>
      <c r="H674">
        <v>1</v>
      </c>
      <c r="I674" s="3">
        <v>19.059999999999999</v>
      </c>
      <c r="J674" t="s">
        <v>16</v>
      </c>
      <c r="K674" t="s">
        <v>35</v>
      </c>
      <c r="L674" s="4">
        <f>Table4[[#This Row],[quantity]]*Table4[[#This Row],[unit_price]]</f>
        <v>19.059999999999999</v>
      </c>
      <c r="M674">
        <f>COUNTIFS($C$2:$C$3934,Table4[[#This Row],[customer_id]])</f>
        <v>5</v>
      </c>
      <c r="N674" t="str">
        <f>IF(Table4[[#This Row],[customer_order_count]]=1,"New Customer","Repeat Customer")</f>
        <v>Repeat Customer</v>
      </c>
    </row>
    <row r="675" spans="1:14">
      <c r="A675" t="s">
        <v>2831</v>
      </c>
      <c r="B675" s="1">
        <v>45063</v>
      </c>
      <c r="C675" t="s">
        <v>202</v>
      </c>
      <c r="D675" t="s">
        <v>203</v>
      </c>
      <c r="E675" t="s">
        <v>21</v>
      </c>
      <c r="F675" t="s">
        <v>66</v>
      </c>
      <c r="G675" t="s">
        <v>49</v>
      </c>
      <c r="H675">
        <v>1</v>
      </c>
      <c r="I675" s="3">
        <v>19.079999999999998</v>
      </c>
      <c r="J675" t="s">
        <v>16</v>
      </c>
      <c r="K675" t="s">
        <v>17</v>
      </c>
      <c r="L675" s="4">
        <f>Table4[[#This Row],[quantity]]*Table4[[#This Row],[unit_price]]</f>
        <v>19.079999999999998</v>
      </c>
      <c r="M675">
        <f>COUNTIFS($C$2:$C$3934,Table4[[#This Row],[customer_id]])</f>
        <v>8</v>
      </c>
      <c r="N675" t="str">
        <f>IF(Table4[[#This Row],[customer_order_count]]=1,"New Customer","Repeat Customer")</f>
        <v>Repeat Customer</v>
      </c>
    </row>
    <row r="676" spans="1:14">
      <c r="A676" t="s">
        <v>855</v>
      </c>
      <c r="B676" s="1">
        <v>45583</v>
      </c>
      <c r="C676" t="s">
        <v>856</v>
      </c>
      <c r="D676" t="s">
        <v>857</v>
      </c>
      <c r="E676" t="s">
        <v>44</v>
      </c>
      <c r="F676" t="s">
        <v>22</v>
      </c>
      <c r="G676" t="s">
        <v>162</v>
      </c>
      <c r="H676">
        <v>1</v>
      </c>
      <c r="I676" s="3">
        <v>19.09</v>
      </c>
      <c r="J676" t="s">
        <v>16</v>
      </c>
      <c r="K676" t="s">
        <v>35</v>
      </c>
      <c r="L676" s="4">
        <f>Table4[[#This Row],[quantity]]*Table4[[#This Row],[unit_price]]</f>
        <v>19.09</v>
      </c>
      <c r="M676">
        <f>COUNTIFS($C$2:$C$3934,Table4[[#This Row],[customer_id]])</f>
        <v>5</v>
      </c>
      <c r="N676" t="str">
        <f>IF(Table4[[#This Row],[customer_order_count]]=1,"New Customer","Repeat Customer")</f>
        <v>Repeat Customer</v>
      </c>
    </row>
    <row r="677" spans="1:14">
      <c r="A677" t="s">
        <v>2232</v>
      </c>
      <c r="B677" s="1">
        <v>45266</v>
      </c>
      <c r="C677" t="s">
        <v>271</v>
      </c>
      <c r="D677" t="s">
        <v>272</v>
      </c>
      <c r="E677" t="s">
        <v>61</v>
      </c>
      <c r="F677" t="s">
        <v>66</v>
      </c>
      <c r="G677" t="s">
        <v>67</v>
      </c>
      <c r="H677">
        <v>2</v>
      </c>
      <c r="I677" s="3">
        <v>19.09</v>
      </c>
      <c r="J677" t="s">
        <v>16</v>
      </c>
      <c r="K677" t="s">
        <v>40</v>
      </c>
      <c r="L677" s="4">
        <f>Table4[[#This Row],[quantity]]*Table4[[#This Row],[unit_price]]</f>
        <v>38.18</v>
      </c>
      <c r="M677">
        <f>COUNTIFS($C$2:$C$3934,Table4[[#This Row],[customer_id]])</f>
        <v>5</v>
      </c>
      <c r="N677" t="str">
        <f>IF(Table4[[#This Row],[customer_order_count]]=1,"New Customer","Repeat Customer")</f>
        <v>Repeat Customer</v>
      </c>
    </row>
    <row r="678" spans="1:14">
      <c r="A678" t="s">
        <v>2969</v>
      </c>
      <c r="B678" s="1">
        <v>45142</v>
      </c>
      <c r="C678" t="s">
        <v>665</v>
      </c>
      <c r="D678" t="s">
        <v>428</v>
      </c>
      <c r="E678" t="s">
        <v>21</v>
      </c>
      <c r="F678" t="s">
        <v>66</v>
      </c>
      <c r="G678" t="s">
        <v>238</v>
      </c>
      <c r="H678">
        <v>1</v>
      </c>
      <c r="I678" s="3">
        <v>19.100000000000001</v>
      </c>
      <c r="J678" t="s">
        <v>16</v>
      </c>
      <c r="K678" t="s">
        <v>40</v>
      </c>
      <c r="L678" s="4">
        <f>Table4[[#This Row],[quantity]]*Table4[[#This Row],[unit_price]]</f>
        <v>19.100000000000001</v>
      </c>
      <c r="M678">
        <f>COUNTIFS($C$2:$C$3934,Table4[[#This Row],[customer_id]])</f>
        <v>2</v>
      </c>
      <c r="N678" t="str">
        <f>IF(Table4[[#This Row],[customer_order_count]]=1,"New Customer","Repeat Customer")</f>
        <v>Repeat Customer</v>
      </c>
    </row>
    <row r="679" spans="1:14">
      <c r="A679" t="s">
        <v>4207</v>
      </c>
      <c r="B679" s="1">
        <v>45233</v>
      </c>
      <c r="C679" t="s">
        <v>1540</v>
      </c>
      <c r="D679" t="s">
        <v>928</v>
      </c>
      <c r="E679" t="s">
        <v>21</v>
      </c>
      <c r="F679" t="s">
        <v>22</v>
      </c>
      <c r="G679" t="s">
        <v>23</v>
      </c>
      <c r="H679">
        <v>2</v>
      </c>
      <c r="I679" s="3">
        <v>19.100000000000001</v>
      </c>
      <c r="J679" t="s">
        <v>16</v>
      </c>
      <c r="K679" t="s">
        <v>35</v>
      </c>
      <c r="L679" s="4">
        <f>Table4[[#This Row],[quantity]]*Table4[[#This Row],[unit_price]]</f>
        <v>38.200000000000003</v>
      </c>
      <c r="M679">
        <f>COUNTIFS($C$2:$C$3934,Table4[[#This Row],[customer_id]])</f>
        <v>6</v>
      </c>
      <c r="N679" t="str">
        <f>IF(Table4[[#This Row],[customer_order_count]]=1,"New Customer","Repeat Customer")</f>
        <v>Repeat Customer</v>
      </c>
    </row>
    <row r="680" spans="1:14">
      <c r="A680" t="s">
        <v>4686</v>
      </c>
      <c r="B680" s="1">
        <v>45264</v>
      </c>
      <c r="C680" t="s">
        <v>91</v>
      </c>
      <c r="D680" t="s">
        <v>92</v>
      </c>
      <c r="E680" t="s">
        <v>21</v>
      </c>
      <c r="F680" t="s">
        <v>28</v>
      </c>
      <c r="G680" t="s">
        <v>84</v>
      </c>
      <c r="H680">
        <v>1</v>
      </c>
      <c r="I680" s="3">
        <v>19.11</v>
      </c>
      <c r="J680" t="s">
        <v>16</v>
      </c>
      <c r="K680" t="s">
        <v>17</v>
      </c>
      <c r="L680" s="4">
        <f>Table4[[#This Row],[quantity]]*Table4[[#This Row],[unit_price]]</f>
        <v>19.11</v>
      </c>
      <c r="M680">
        <f>COUNTIFS($C$2:$C$3934,Table4[[#This Row],[customer_id]])</f>
        <v>6</v>
      </c>
      <c r="N680" t="str">
        <f>IF(Table4[[#This Row],[customer_order_count]]=1,"New Customer","Repeat Customer")</f>
        <v>Repeat Customer</v>
      </c>
    </row>
    <row r="681" spans="1:14">
      <c r="A681" t="s">
        <v>445</v>
      </c>
      <c r="B681" s="1">
        <v>45080</v>
      </c>
      <c r="C681" t="s">
        <v>446</v>
      </c>
      <c r="D681" t="s">
        <v>117</v>
      </c>
      <c r="E681" t="s">
        <v>44</v>
      </c>
      <c r="F681" t="s">
        <v>22</v>
      </c>
      <c r="G681" t="s">
        <v>264</v>
      </c>
      <c r="H681">
        <v>1</v>
      </c>
      <c r="I681" s="3">
        <v>19.13</v>
      </c>
      <c r="J681" t="s">
        <v>16</v>
      </c>
      <c r="K681" t="s">
        <v>30</v>
      </c>
      <c r="L681" s="4">
        <f>Table4[[#This Row],[quantity]]*Table4[[#This Row],[unit_price]]</f>
        <v>19.13</v>
      </c>
      <c r="M681">
        <f>COUNTIFS($C$2:$C$3934,Table4[[#This Row],[customer_id]])</f>
        <v>3</v>
      </c>
      <c r="N681" t="str">
        <f>IF(Table4[[#This Row],[customer_order_count]]=1,"New Customer","Repeat Customer")</f>
        <v>Repeat Customer</v>
      </c>
    </row>
    <row r="682" spans="1:14">
      <c r="A682" t="s">
        <v>561</v>
      </c>
      <c r="B682" s="1">
        <v>44954</v>
      </c>
      <c r="C682" t="s">
        <v>47</v>
      </c>
      <c r="D682" t="s">
        <v>48</v>
      </c>
      <c r="E682" t="s">
        <v>21</v>
      </c>
      <c r="F682" t="s">
        <v>70</v>
      </c>
      <c r="G682" t="s">
        <v>71</v>
      </c>
      <c r="H682">
        <v>3</v>
      </c>
      <c r="I682" s="3">
        <v>19.13</v>
      </c>
      <c r="J682" t="s">
        <v>16</v>
      </c>
      <c r="K682" t="s">
        <v>40</v>
      </c>
      <c r="L682" s="4">
        <f>Table4[[#This Row],[quantity]]*Table4[[#This Row],[unit_price]]</f>
        <v>57.39</v>
      </c>
      <c r="M682">
        <f>COUNTIFS($C$2:$C$3934,Table4[[#This Row],[customer_id]])</f>
        <v>8</v>
      </c>
      <c r="N682" t="str">
        <f>IF(Table4[[#This Row],[customer_order_count]]=1,"New Customer","Repeat Customer")</f>
        <v>Repeat Customer</v>
      </c>
    </row>
    <row r="683" spans="1:14">
      <c r="A683" t="s">
        <v>3543</v>
      </c>
      <c r="B683" s="1">
        <v>45212</v>
      </c>
      <c r="C683" t="s">
        <v>1271</v>
      </c>
      <c r="D683" t="s">
        <v>1272</v>
      </c>
      <c r="E683" t="s">
        <v>21</v>
      </c>
      <c r="F683" t="s">
        <v>66</v>
      </c>
      <c r="G683" t="s">
        <v>49</v>
      </c>
      <c r="H683">
        <v>2</v>
      </c>
      <c r="I683" s="3">
        <v>19.149999999999999</v>
      </c>
      <c r="J683" t="s">
        <v>16</v>
      </c>
      <c r="K683" t="s">
        <v>40</v>
      </c>
      <c r="L683" s="4">
        <f>Table4[[#This Row],[quantity]]*Table4[[#This Row],[unit_price]]</f>
        <v>38.299999999999997</v>
      </c>
      <c r="M683">
        <f>COUNTIFS($C$2:$C$3934,Table4[[#This Row],[customer_id]])</f>
        <v>6</v>
      </c>
      <c r="N683" t="str">
        <f>IF(Table4[[#This Row],[customer_order_count]]=1,"New Customer","Repeat Customer")</f>
        <v>Repeat Customer</v>
      </c>
    </row>
    <row r="684" spans="1:14">
      <c r="A684" t="s">
        <v>3002</v>
      </c>
      <c r="B684" s="1">
        <v>44954</v>
      </c>
      <c r="C684" t="s">
        <v>3003</v>
      </c>
      <c r="D684" t="s">
        <v>502</v>
      </c>
      <c r="E684" t="s">
        <v>44</v>
      </c>
      <c r="F684" t="s">
        <v>66</v>
      </c>
      <c r="G684" t="s">
        <v>128</v>
      </c>
      <c r="H684">
        <v>1</v>
      </c>
      <c r="I684" s="3">
        <v>19.18</v>
      </c>
      <c r="J684" t="s">
        <v>16</v>
      </c>
      <c r="K684" t="s">
        <v>35</v>
      </c>
      <c r="L684" s="4">
        <f>Table4[[#This Row],[quantity]]*Table4[[#This Row],[unit_price]]</f>
        <v>19.18</v>
      </c>
      <c r="M684">
        <f>COUNTIFS($C$2:$C$3934,Table4[[#This Row],[customer_id]])</f>
        <v>3</v>
      </c>
      <c r="N684" t="str">
        <f>IF(Table4[[#This Row],[customer_order_count]]=1,"New Customer","Repeat Customer")</f>
        <v>Repeat Customer</v>
      </c>
    </row>
    <row r="685" spans="1:14">
      <c r="A685" t="s">
        <v>2687</v>
      </c>
      <c r="B685" s="1">
        <v>45287</v>
      </c>
      <c r="C685" t="s">
        <v>243</v>
      </c>
      <c r="D685" t="s">
        <v>244</v>
      </c>
      <c r="E685" t="s">
        <v>21</v>
      </c>
      <c r="F685" t="s">
        <v>70</v>
      </c>
      <c r="G685" t="s">
        <v>526</v>
      </c>
      <c r="H685">
        <v>1</v>
      </c>
      <c r="I685" s="3">
        <v>19.22</v>
      </c>
      <c r="J685" t="s">
        <v>16</v>
      </c>
      <c r="K685" t="s">
        <v>40</v>
      </c>
      <c r="L685" s="4">
        <f>Table4[[#This Row],[quantity]]*Table4[[#This Row],[unit_price]]</f>
        <v>19.22</v>
      </c>
      <c r="M685">
        <f>COUNTIFS($C$2:$C$3934,Table4[[#This Row],[customer_id]])</f>
        <v>8</v>
      </c>
      <c r="N685" t="str">
        <f>IF(Table4[[#This Row],[customer_order_count]]=1,"New Customer","Repeat Customer")</f>
        <v>Repeat Customer</v>
      </c>
    </row>
    <row r="686" spans="1:14">
      <c r="A686" t="s">
        <v>892</v>
      </c>
      <c r="B686" s="1">
        <v>45341</v>
      </c>
      <c r="C686" t="s">
        <v>893</v>
      </c>
      <c r="D686" t="s">
        <v>659</v>
      </c>
      <c r="E686" t="s">
        <v>21</v>
      </c>
      <c r="F686" t="s">
        <v>66</v>
      </c>
      <c r="G686" t="s">
        <v>49</v>
      </c>
      <c r="H686">
        <v>2</v>
      </c>
      <c r="I686" s="3">
        <v>19.23</v>
      </c>
      <c r="J686" t="s">
        <v>16</v>
      </c>
      <c r="K686" t="s">
        <v>30</v>
      </c>
      <c r="L686" s="4">
        <f>Table4[[#This Row],[quantity]]*Table4[[#This Row],[unit_price]]</f>
        <v>38.46</v>
      </c>
      <c r="M686">
        <f>COUNTIFS($C$2:$C$3934,Table4[[#This Row],[customer_id]])</f>
        <v>12</v>
      </c>
      <c r="N686" t="str">
        <f>IF(Table4[[#This Row],[customer_order_count]]=1,"New Customer","Repeat Customer")</f>
        <v>Repeat Customer</v>
      </c>
    </row>
    <row r="687" spans="1:14">
      <c r="A687" t="s">
        <v>3911</v>
      </c>
      <c r="B687" s="1">
        <v>45225</v>
      </c>
      <c r="C687" t="s">
        <v>361</v>
      </c>
      <c r="D687" t="s">
        <v>362</v>
      </c>
      <c r="E687" t="s">
        <v>21</v>
      </c>
      <c r="F687" t="s">
        <v>56</v>
      </c>
      <c r="G687" t="s">
        <v>75</v>
      </c>
      <c r="H687">
        <v>4</v>
      </c>
      <c r="I687" s="3">
        <v>19.23</v>
      </c>
      <c r="J687" t="s">
        <v>16</v>
      </c>
      <c r="K687" t="s">
        <v>35</v>
      </c>
      <c r="L687" s="4">
        <f>Table4[[#This Row],[quantity]]*Table4[[#This Row],[unit_price]]</f>
        <v>76.92</v>
      </c>
      <c r="M687">
        <f>COUNTIFS($C$2:$C$3934,Table4[[#This Row],[customer_id]])</f>
        <v>8</v>
      </c>
      <c r="N687" t="str">
        <f>IF(Table4[[#This Row],[customer_order_count]]=1,"New Customer","Repeat Customer")</f>
        <v>Repeat Customer</v>
      </c>
    </row>
    <row r="688" spans="1:14">
      <c r="A688" t="s">
        <v>3619</v>
      </c>
      <c r="B688" s="1">
        <v>44969</v>
      </c>
      <c r="C688" t="s">
        <v>301</v>
      </c>
      <c r="D688" t="s">
        <v>189</v>
      </c>
      <c r="E688" t="s">
        <v>21</v>
      </c>
      <c r="F688" t="s">
        <v>70</v>
      </c>
      <c r="G688" t="s">
        <v>71</v>
      </c>
      <c r="H688">
        <v>1</v>
      </c>
      <c r="I688" s="3">
        <v>19.25</v>
      </c>
      <c r="J688" t="s">
        <v>16</v>
      </c>
      <c r="K688" t="s">
        <v>17</v>
      </c>
      <c r="L688" s="4">
        <f>Table4[[#This Row],[quantity]]*Table4[[#This Row],[unit_price]]</f>
        <v>19.25</v>
      </c>
      <c r="M688">
        <f>COUNTIFS($C$2:$C$3934,Table4[[#This Row],[customer_id]])</f>
        <v>5</v>
      </c>
      <c r="N688" t="str">
        <f>IF(Table4[[#This Row],[customer_order_count]]=1,"New Customer","Repeat Customer")</f>
        <v>Repeat Customer</v>
      </c>
    </row>
    <row r="689" spans="1:14">
      <c r="A689" t="s">
        <v>3278</v>
      </c>
      <c r="B689" s="1">
        <v>45247</v>
      </c>
      <c r="C689" t="s">
        <v>2843</v>
      </c>
      <c r="D689" t="s">
        <v>2427</v>
      </c>
      <c r="E689" t="s">
        <v>44</v>
      </c>
      <c r="F689" t="s">
        <v>70</v>
      </c>
      <c r="G689" t="s">
        <v>146</v>
      </c>
      <c r="H689">
        <v>1</v>
      </c>
      <c r="I689" s="3">
        <v>19.27</v>
      </c>
      <c r="J689" t="s">
        <v>24</v>
      </c>
      <c r="K689" t="s">
        <v>35</v>
      </c>
      <c r="L689" s="4">
        <f>Table4[[#This Row],[quantity]]*Table4[[#This Row],[unit_price]]</f>
        <v>19.27</v>
      </c>
      <c r="M689">
        <f>COUNTIFS($C$2:$C$3934,Table4[[#This Row],[customer_id]])</f>
        <v>3</v>
      </c>
      <c r="N689" t="str">
        <f>IF(Table4[[#This Row],[customer_order_count]]=1,"New Customer","Repeat Customer")</f>
        <v>Repeat Customer</v>
      </c>
    </row>
    <row r="690" spans="1:14">
      <c r="A690" t="s">
        <v>3841</v>
      </c>
      <c r="B690" s="1">
        <v>45408</v>
      </c>
      <c r="C690" t="s">
        <v>2435</v>
      </c>
      <c r="D690" t="s">
        <v>758</v>
      </c>
      <c r="E690" t="s">
        <v>21</v>
      </c>
      <c r="F690" t="s">
        <v>28</v>
      </c>
      <c r="G690" t="s">
        <v>84</v>
      </c>
      <c r="H690">
        <v>1</v>
      </c>
      <c r="I690" s="3">
        <v>19.27</v>
      </c>
      <c r="J690" t="s">
        <v>16</v>
      </c>
      <c r="K690" t="s">
        <v>40</v>
      </c>
      <c r="L690" s="4">
        <f>Table4[[#This Row],[quantity]]*Table4[[#This Row],[unit_price]]</f>
        <v>19.27</v>
      </c>
      <c r="M690">
        <f>COUNTIFS($C$2:$C$3934,Table4[[#This Row],[customer_id]])</f>
        <v>5</v>
      </c>
      <c r="N690" t="str">
        <f>IF(Table4[[#This Row],[customer_order_count]]=1,"New Customer","Repeat Customer")</f>
        <v>Repeat Customer</v>
      </c>
    </row>
    <row r="691" spans="1:14">
      <c r="A691" t="s">
        <v>2293</v>
      </c>
      <c r="B691" s="1">
        <v>45175</v>
      </c>
      <c r="C691" t="s">
        <v>2144</v>
      </c>
      <c r="D691" t="s">
        <v>27</v>
      </c>
      <c r="E691" t="s">
        <v>21</v>
      </c>
      <c r="F691" t="s">
        <v>22</v>
      </c>
      <c r="G691" t="s">
        <v>23</v>
      </c>
      <c r="H691">
        <v>2</v>
      </c>
      <c r="I691" s="3">
        <v>19.3</v>
      </c>
      <c r="J691" t="s">
        <v>24</v>
      </c>
      <c r="K691" t="s">
        <v>40</v>
      </c>
      <c r="L691" s="4">
        <f>Table4[[#This Row],[quantity]]*Table4[[#This Row],[unit_price]]</f>
        <v>38.6</v>
      </c>
      <c r="M691">
        <f>COUNTIFS($C$2:$C$3934,Table4[[#This Row],[customer_id]])</f>
        <v>10</v>
      </c>
      <c r="N691" t="str">
        <f>IF(Table4[[#This Row],[customer_order_count]]=1,"New Customer","Repeat Customer")</f>
        <v>Repeat Customer</v>
      </c>
    </row>
    <row r="692" spans="1:14">
      <c r="A692" t="s">
        <v>4834</v>
      </c>
      <c r="B692" s="1">
        <v>44984</v>
      </c>
      <c r="C692" t="s">
        <v>1639</v>
      </c>
      <c r="D692" s="2" t="s">
        <v>5257</v>
      </c>
      <c r="E692" t="s">
        <v>21</v>
      </c>
      <c r="F692" t="s">
        <v>56</v>
      </c>
      <c r="G692" t="s">
        <v>57</v>
      </c>
      <c r="H692">
        <v>2</v>
      </c>
      <c r="I692" s="3">
        <v>19.3</v>
      </c>
      <c r="J692" t="s">
        <v>16</v>
      </c>
      <c r="K692" t="s">
        <v>35</v>
      </c>
      <c r="L692" s="4">
        <f>Table4[[#This Row],[quantity]]*Table4[[#This Row],[unit_price]]</f>
        <v>38.6</v>
      </c>
      <c r="M692">
        <f>COUNTIFS($C$2:$C$3934,Table4[[#This Row],[customer_id]])</f>
        <v>5</v>
      </c>
      <c r="N692" t="str">
        <f>IF(Table4[[#This Row],[customer_order_count]]=1,"New Customer","Repeat Customer")</f>
        <v>Repeat Customer</v>
      </c>
    </row>
    <row r="693" spans="1:14">
      <c r="A693" t="s">
        <v>2278</v>
      </c>
      <c r="B693" s="1">
        <v>44965</v>
      </c>
      <c r="C693" t="s">
        <v>2279</v>
      </c>
      <c r="D693" s="5" t="s">
        <v>237</v>
      </c>
      <c r="E693" t="s">
        <v>21</v>
      </c>
      <c r="F693" t="s">
        <v>28</v>
      </c>
      <c r="G693" t="s">
        <v>45</v>
      </c>
      <c r="H693">
        <v>2</v>
      </c>
      <c r="I693" s="3">
        <v>19.309999999999999</v>
      </c>
      <c r="J693" t="s">
        <v>16</v>
      </c>
      <c r="K693" t="s">
        <v>17</v>
      </c>
      <c r="L693" s="4">
        <f>Table4[[#This Row],[quantity]]*Table4[[#This Row],[unit_price]]</f>
        <v>38.619999999999997</v>
      </c>
      <c r="M693">
        <f>COUNTIFS($C$2:$C$3934,Table4[[#This Row],[customer_id]])</f>
        <v>5</v>
      </c>
      <c r="N693" t="str">
        <f>IF(Table4[[#This Row],[customer_order_count]]=1,"New Customer","Repeat Customer")</f>
        <v>Repeat Customer</v>
      </c>
    </row>
    <row r="694" spans="1:14">
      <c r="A694" t="s">
        <v>4146</v>
      </c>
      <c r="B694" s="1">
        <v>45024</v>
      </c>
      <c r="C694" t="s">
        <v>581</v>
      </c>
      <c r="D694" t="s">
        <v>582</v>
      </c>
      <c r="E694" t="s">
        <v>21</v>
      </c>
      <c r="F694" t="s">
        <v>70</v>
      </c>
      <c r="G694" t="s">
        <v>71</v>
      </c>
      <c r="H694">
        <v>2</v>
      </c>
      <c r="I694" s="3">
        <v>19.309999999999999</v>
      </c>
      <c r="J694" t="s">
        <v>16</v>
      </c>
      <c r="K694" t="s">
        <v>35</v>
      </c>
      <c r="L694" s="4">
        <f>Table4[[#This Row],[quantity]]*Table4[[#This Row],[unit_price]]</f>
        <v>38.619999999999997</v>
      </c>
      <c r="M694">
        <f>COUNTIFS($C$2:$C$3934,Table4[[#This Row],[customer_id]])</f>
        <v>6</v>
      </c>
      <c r="N694" t="str">
        <f>IF(Table4[[#This Row],[customer_order_count]]=1,"New Customer","Repeat Customer")</f>
        <v>Repeat Customer</v>
      </c>
    </row>
    <row r="695" spans="1:14">
      <c r="A695" t="s">
        <v>5230</v>
      </c>
      <c r="B695" s="1">
        <v>45371</v>
      </c>
      <c r="C695" t="s">
        <v>856</v>
      </c>
      <c r="D695" t="s">
        <v>857</v>
      </c>
      <c r="E695" t="s">
        <v>44</v>
      </c>
      <c r="F695" t="s">
        <v>66</v>
      </c>
      <c r="G695" t="s">
        <v>238</v>
      </c>
      <c r="H695">
        <v>1</v>
      </c>
      <c r="I695" s="3">
        <v>19.32</v>
      </c>
      <c r="J695" t="s">
        <v>24</v>
      </c>
      <c r="K695" t="s">
        <v>40</v>
      </c>
      <c r="L695" s="4">
        <f>Table4[[#This Row],[quantity]]*Table4[[#This Row],[unit_price]]</f>
        <v>19.32</v>
      </c>
      <c r="M695">
        <f>COUNTIFS($C$2:$C$3934,Table4[[#This Row],[customer_id]])</f>
        <v>5</v>
      </c>
      <c r="N695" t="str">
        <f>IF(Table4[[#This Row],[customer_order_count]]=1,"New Customer","Repeat Customer")</f>
        <v>Repeat Customer</v>
      </c>
    </row>
    <row r="696" spans="1:14">
      <c r="A696" t="s">
        <v>3065</v>
      </c>
      <c r="B696" s="1">
        <v>45470</v>
      </c>
      <c r="C696" t="s">
        <v>713</v>
      </c>
      <c r="D696" t="s">
        <v>714</v>
      </c>
      <c r="E696" t="s">
        <v>21</v>
      </c>
      <c r="F696" t="s">
        <v>66</v>
      </c>
      <c r="G696" t="s">
        <v>67</v>
      </c>
      <c r="H696">
        <v>2</v>
      </c>
      <c r="I696" s="3">
        <v>19.34</v>
      </c>
      <c r="J696" t="s">
        <v>255</v>
      </c>
      <c r="K696" t="s">
        <v>40</v>
      </c>
      <c r="L696" s="4">
        <f>Table4[[#This Row],[quantity]]*Table4[[#This Row],[unit_price]]</f>
        <v>38.68</v>
      </c>
      <c r="M696">
        <f>COUNTIFS($C$2:$C$3934,Table4[[#This Row],[customer_id]])</f>
        <v>6</v>
      </c>
      <c r="N696" t="str">
        <f>IF(Table4[[#This Row],[customer_order_count]]=1,"New Customer","Repeat Customer")</f>
        <v>Repeat Customer</v>
      </c>
    </row>
    <row r="697" spans="1:14">
      <c r="A697" t="s">
        <v>2552</v>
      </c>
      <c r="B697" s="1">
        <v>45580</v>
      </c>
      <c r="C697" t="s">
        <v>2104</v>
      </c>
      <c r="D697" t="s">
        <v>1674</v>
      </c>
      <c r="E697" t="s">
        <v>21</v>
      </c>
      <c r="F697" t="s">
        <v>28</v>
      </c>
      <c r="G697" t="s">
        <v>114</v>
      </c>
      <c r="H697">
        <v>1</v>
      </c>
      <c r="I697" s="3">
        <v>19.350000000000001</v>
      </c>
      <c r="J697" t="s">
        <v>16</v>
      </c>
      <c r="K697" t="s">
        <v>40</v>
      </c>
      <c r="L697" s="4">
        <f>Table4[[#This Row],[quantity]]*Table4[[#This Row],[unit_price]]</f>
        <v>19.350000000000001</v>
      </c>
      <c r="M697">
        <f>COUNTIFS($C$2:$C$3934,Table4[[#This Row],[customer_id]])</f>
        <v>7</v>
      </c>
      <c r="N697" t="str">
        <f>IF(Table4[[#This Row],[customer_order_count]]=1,"New Customer","Repeat Customer")</f>
        <v>Repeat Customer</v>
      </c>
    </row>
    <row r="698" spans="1:14">
      <c r="A698" t="s">
        <v>4335</v>
      </c>
      <c r="B698" s="1">
        <v>45604</v>
      </c>
      <c r="C698" t="s">
        <v>933</v>
      </c>
      <c r="D698" t="s">
        <v>934</v>
      </c>
      <c r="E698" t="s">
        <v>44</v>
      </c>
      <c r="F698" t="s">
        <v>28</v>
      </c>
      <c r="G698" t="s">
        <v>139</v>
      </c>
      <c r="H698">
        <v>2</v>
      </c>
      <c r="I698" s="3">
        <v>19.350000000000001</v>
      </c>
      <c r="J698" t="s">
        <v>16</v>
      </c>
      <c r="K698" t="s">
        <v>35</v>
      </c>
      <c r="L698" s="4">
        <f>Table4[[#This Row],[quantity]]*Table4[[#This Row],[unit_price]]</f>
        <v>38.700000000000003</v>
      </c>
      <c r="M698">
        <f>COUNTIFS($C$2:$C$3934,Table4[[#This Row],[customer_id]])</f>
        <v>7</v>
      </c>
      <c r="N698" t="str">
        <f>IF(Table4[[#This Row],[customer_order_count]]=1,"New Customer","Repeat Customer")</f>
        <v>Repeat Customer</v>
      </c>
    </row>
    <row r="699" spans="1:14">
      <c r="A699" t="s">
        <v>2466</v>
      </c>
      <c r="B699" s="1">
        <v>45150</v>
      </c>
      <c r="C699" t="s">
        <v>905</v>
      </c>
      <c r="D699" t="s">
        <v>372</v>
      </c>
      <c r="E699" t="s">
        <v>21</v>
      </c>
      <c r="F699" t="s">
        <v>28</v>
      </c>
      <c r="G699" t="s">
        <v>29</v>
      </c>
      <c r="H699">
        <v>2</v>
      </c>
      <c r="I699" s="3">
        <v>19.36</v>
      </c>
      <c r="J699" t="s">
        <v>16</v>
      </c>
      <c r="K699" t="s">
        <v>40</v>
      </c>
      <c r="L699" s="4">
        <f>Table4[[#This Row],[quantity]]*Table4[[#This Row],[unit_price]]</f>
        <v>38.72</v>
      </c>
      <c r="M699">
        <f>COUNTIFS($C$2:$C$3934,Table4[[#This Row],[customer_id]])</f>
        <v>4</v>
      </c>
      <c r="N699" t="str">
        <f>IF(Table4[[#This Row],[customer_order_count]]=1,"New Customer","Repeat Customer")</f>
        <v>Repeat Customer</v>
      </c>
    </row>
    <row r="700" spans="1:14">
      <c r="A700" t="s">
        <v>1917</v>
      </c>
      <c r="B700" s="1">
        <v>45003</v>
      </c>
      <c r="C700" t="s">
        <v>1918</v>
      </c>
      <c r="D700" t="s">
        <v>229</v>
      </c>
      <c r="E700" t="s">
        <v>21</v>
      </c>
      <c r="F700" t="s">
        <v>66</v>
      </c>
      <c r="G700" t="s">
        <v>128</v>
      </c>
      <c r="H700">
        <v>2</v>
      </c>
      <c r="I700" s="3">
        <v>19.36</v>
      </c>
      <c r="J700" t="s">
        <v>16</v>
      </c>
      <c r="K700" t="s">
        <v>30</v>
      </c>
      <c r="L700" s="4">
        <f>Table4[[#This Row],[quantity]]*Table4[[#This Row],[unit_price]]</f>
        <v>38.72</v>
      </c>
      <c r="M700">
        <f>COUNTIFS($C$2:$C$3934,Table4[[#This Row],[customer_id]])</f>
        <v>3</v>
      </c>
      <c r="N700" t="str">
        <f>IF(Table4[[#This Row],[customer_order_count]]=1,"New Customer","Repeat Customer")</f>
        <v>Repeat Customer</v>
      </c>
    </row>
    <row r="701" spans="1:14">
      <c r="A701" t="s">
        <v>2281</v>
      </c>
      <c r="B701" s="1">
        <v>44958</v>
      </c>
      <c r="C701" t="s">
        <v>559</v>
      </c>
      <c r="D701" t="s">
        <v>560</v>
      </c>
      <c r="E701" t="s">
        <v>21</v>
      </c>
      <c r="F701" t="s">
        <v>28</v>
      </c>
      <c r="G701" t="s">
        <v>114</v>
      </c>
      <c r="H701">
        <v>1</v>
      </c>
      <c r="I701" s="3">
        <v>19.37</v>
      </c>
      <c r="J701" t="s">
        <v>255</v>
      </c>
      <c r="K701" t="s">
        <v>35</v>
      </c>
      <c r="L701" s="4">
        <f>Table4[[#This Row],[quantity]]*Table4[[#This Row],[unit_price]]</f>
        <v>19.37</v>
      </c>
      <c r="M701">
        <f>COUNTIFS($C$2:$C$3934,Table4[[#This Row],[customer_id]])</f>
        <v>6</v>
      </c>
      <c r="N701" t="str">
        <f>IF(Table4[[#This Row],[customer_order_count]]=1,"New Customer","Repeat Customer")</f>
        <v>Repeat Customer</v>
      </c>
    </row>
    <row r="702" spans="1:14">
      <c r="A702" t="s">
        <v>4704</v>
      </c>
      <c r="B702" s="1">
        <v>45188</v>
      </c>
      <c r="C702" t="s">
        <v>3344</v>
      </c>
      <c r="D702" t="s">
        <v>725</v>
      </c>
      <c r="E702" t="s">
        <v>44</v>
      </c>
      <c r="F702" t="s">
        <v>79</v>
      </c>
      <c r="G702" t="s">
        <v>80</v>
      </c>
      <c r="H702">
        <v>1</v>
      </c>
      <c r="I702" s="3">
        <v>19.38</v>
      </c>
      <c r="J702" t="s">
        <v>16</v>
      </c>
      <c r="K702" t="s">
        <v>40</v>
      </c>
      <c r="L702" s="4">
        <f>Table4[[#This Row],[quantity]]*Table4[[#This Row],[unit_price]]</f>
        <v>19.38</v>
      </c>
      <c r="M702">
        <f>COUNTIFS($C$2:$C$3934,Table4[[#This Row],[customer_id]])</f>
        <v>4</v>
      </c>
      <c r="N702" t="str">
        <f>IF(Table4[[#This Row],[customer_order_count]]=1,"New Customer","Repeat Customer")</f>
        <v>Repeat Customer</v>
      </c>
    </row>
    <row r="703" spans="1:14">
      <c r="A703" t="s">
        <v>3894</v>
      </c>
      <c r="B703" s="1">
        <v>45051</v>
      </c>
      <c r="C703" t="s">
        <v>2088</v>
      </c>
      <c r="D703" t="s">
        <v>435</v>
      </c>
      <c r="E703" t="s">
        <v>21</v>
      </c>
      <c r="F703" t="s">
        <v>66</v>
      </c>
      <c r="G703" t="s">
        <v>238</v>
      </c>
      <c r="H703">
        <v>5</v>
      </c>
      <c r="I703" s="3">
        <v>19.38</v>
      </c>
      <c r="J703" t="s">
        <v>16</v>
      </c>
      <c r="K703" t="s">
        <v>17</v>
      </c>
      <c r="L703" s="4">
        <f>Table4[[#This Row],[quantity]]*Table4[[#This Row],[unit_price]]</f>
        <v>96.899999999999991</v>
      </c>
      <c r="M703">
        <f>COUNTIFS($C$2:$C$3934,Table4[[#This Row],[customer_id]])</f>
        <v>9</v>
      </c>
      <c r="N703" t="str">
        <f>IF(Table4[[#This Row],[customer_order_count]]=1,"New Customer","Repeat Customer")</f>
        <v>Repeat Customer</v>
      </c>
    </row>
    <row r="704" spans="1:14">
      <c r="A704" t="s">
        <v>4615</v>
      </c>
      <c r="B704" s="1">
        <v>45257</v>
      </c>
      <c r="C704" t="s">
        <v>1815</v>
      </c>
      <c r="D704" t="s">
        <v>684</v>
      </c>
      <c r="E704" t="s">
        <v>21</v>
      </c>
      <c r="F704" t="s">
        <v>70</v>
      </c>
      <c r="G704" t="s">
        <v>526</v>
      </c>
      <c r="H704">
        <v>2</v>
      </c>
      <c r="I704" s="3">
        <v>19.39</v>
      </c>
      <c r="J704" t="s">
        <v>16</v>
      </c>
      <c r="K704" t="s">
        <v>30</v>
      </c>
      <c r="L704" s="4">
        <f>Table4[[#This Row],[quantity]]*Table4[[#This Row],[unit_price]]</f>
        <v>38.78</v>
      </c>
      <c r="M704">
        <f>COUNTIFS($C$2:$C$3934,Table4[[#This Row],[customer_id]])</f>
        <v>8</v>
      </c>
      <c r="N704" t="str">
        <f>IF(Table4[[#This Row],[customer_order_count]]=1,"New Customer","Repeat Customer")</f>
        <v>Repeat Customer</v>
      </c>
    </row>
    <row r="705" spans="1:14">
      <c r="A705" t="s">
        <v>3736</v>
      </c>
      <c r="B705" s="1">
        <v>45216</v>
      </c>
      <c r="C705" t="s">
        <v>1580</v>
      </c>
      <c r="D705" s="2" t="s">
        <v>5257</v>
      </c>
      <c r="E705" t="s">
        <v>44</v>
      </c>
      <c r="F705" t="s">
        <v>56</v>
      </c>
      <c r="G705" t="s">
        <v>210</v>
      </c>
      <c r="H705">
        <v>1</v>
      </c>
      <c r="I705" s="3">
        <v>19.420000000000002</v>
      </c>
      <c r="J705" t="s">
        <v>24</v>
      </c>
      <c r="K705" t="s">
        <v>35</v>
      </c>
      <c r="L705" s="4">
        <f>Table4[[#This Row],[quantity]]*Table4[[#This Row],[unit_price]]</f>
        <v>19.420000000000002</v>
      </c>
      <c r="M705">
        <f>COUNTIFS($C$2:$C$3934,Table4[[#This Row],[customer_id]])</f>
        <v>7</v>
      </c>
      <c r="N705" t="str">
        <f>IF(Table4[[#This Row],[customer_order_count]]=1,"New Customer","Repeat Customer")</f>
        <v>Repeat Customer</v>
      </c>
    </row>
    <row r="706" spans="1:14">
      <c r="A706" t="s">
        <v>3833</v>
      </c>
      <c r="B706" s="1">
        <v>45348</v>
      </c>
      <c r="C706" t="s">
        <v>2610</v>
      </c>
      <c r="D706" s="5" t="s">
        <v>678</v>
      </c>
      <c r="E706" t="s">
        <v>21</v>
      </c>
      <c r="F706" t="s">
        <v>28</v>
      </c>
      <c r="G706" t="s">
        <v>114</v>
      </c>
      <c r="H706">
        <v>1</v>
      </c>
      <c r="I706" s="3">
        <v>19.420000000000002</v>
      </c>
      <c r="J706" t="s">
        <v>16</v>
      </c>
      <c r="K706" t="s">
        <v>35</v>
      </c>
      <c r="L706" s="4">
        <f>Table4[[#This Row],[quantity]]*Table4[[#This Row],[unit_price]]</f>
        <v>19.420000000000002</v>
      </c>
      <c r="M706">
        <f>COUNTIFS($C$2:$C$3934,Table4[[#This Row],[customer_id]])</f>
        <v>3</v>
      </c>
      <c r="N706" t="str">
        <f>IF(Table4[[#This Row],[customer_order_count]]=1,"New Customer","Repeat Customer")</f>
        <v>Repeat Customer</v>
      </c>
    </row>
    <row r="707" spans="1:14">
      <c r="A707" t="s">
        <v>2328</v>
      </c>
      <c r="B707" s="1">
        <v>44997</v>
      </c>
      <c r="C707" t="s">
        <v>332</v>
      </c>
      <c r="D707" t="s">
        <v>333</v>
      </c>
      <c r="E707" t="s">
        <v>44</v>
      </c>
      <c r="F707" t="s">
        <v>22</v>
      </c>
      <c r="G707" t="s">
        <v>23</v>
      </c>
      <c r="H707">
        <v>1</v>
      </c>
      <c r="I707" s="3">
        <v>19.43</v>
      </c>
      <c r="J707" t="s">
        <v>16</v>
      </c>
      <c r="K707" t="s">
        <v>35</v>
      </c>
      <c r="L707" s="4">
        <f>Table4[[#This Row],[quantity]]*Table4[[#This Row],[unit_price]]</f>
        <v>19.43</v>
      </c>
      <c r="M707">
        <f>COUNTIFS($C$2:$C$3934,Table4[[#This Row],[customer_id]])</f>
        <v>3</v>
      </c>
      <c r="N707" t="str">
        <f>IF(Table4[[#This Row],[customer_order_count]]=1,"New Customer","Repeat Customer")</f>
        <v>Repeat Customer</v>
      </c>
    </row>
    <row r="708" spans="1:14">
      <c r="A708" t="s">
        <v>3827</v>
      </c>
      <c r="B708" s="1">
        <v>45473</v>
      </c>
      <c r="C708" t="s">
        <v>469</v>
      </c>
      <c r="D708" t="s">
        <v>428</v>
      </c>
      <c r="E708" t="s">
        <v>21</v>
      </c>
      <c r="F708" t="s">
        <v>22</v>
      </c>
      <c r="G708" t="s">
        <v>264</v>
      </c>
      <c r="H708">
        <v>1</v>
      </c>
      <c r="I708" s="3">
        <v>19.43</v>
      </c>
      <c r="J708" t="s">
        <v>16</v>
      </c>
      <c r="K708" t="s">
        <v>30</v>
      </c>
      <c r="L708" s="4">
        <f>Table4[[#This Row],[quantity]]*Table4[[#This Row],[unit_price]]</f>
        <v>19.43</v>
      </c>
      <c r="M708">
        <f>COUNTIFS($C$2:$C$3934,Table4[[#This Row],[customer_id]])</f>
        <v>8</v>
      </c>
      <c r="N708" t="str">
        <f>IF(Table4[[#This Row],[customer_order_count]]=1,"New Customer","Repeat Customer")</f>
        <v>Repeat Customer</v>
      </c>
    </row>
    <row r="709" spans="1:14">
      <c r="A709" t="s">
        <v>1916</v>
      </c>
      <c r="B709" s="1">
        <v>45126</v>
      </c>
      <c r="C709" t="s">
        <v>578</v>
      </c>
      <c r="D709" t="s">
        <v>579</v>
      </c>
      <c r="E709" t="s">
        <v>21</v>
      </c>
      <c r="F709" t="s">
        <v>66</v>
      </c>
      <c r="G709" t="s">
        <v>49</v>
      </c>
      <c r="H709">
        <v>2</v>
      </c>
      <c r="I709" s="3">
        <v>19.440000000000001</v>
      </c>
      <c r="J709" t="s">
        <v>16</v>
      </c>
      <c r="K709" t="s">
        <v>35</v>
      </c>
      <c r="L709" s="4">
        <f>Table4[[#This Row],[quantity]]*Table4[[#This Row],[unit_price]]</f>
        <v>38.880000000000003</v>
      </c>
      <c r="M709">
        <f>COUNTIFS($C$2:$C$3934,Table4[[#This Row],[customer_id]])</f>
        <v>10</v>
      </c>
      <c r="N709" t="str">
        <f>IF(Table4[[#This Row],[customer_order_count]]=1,"New Customer","Repeat Customer")</f>
        <v>Repeat Customer</v>
      </c>
    </row>
    <row r="710" spans="1:14">
      <c r="A710" t="s">
        <v>552</v>
      </c>
      <c r="B710" s="1">
        <v>44965</v>
      </c>
      <c r="C710" t="s">
        <v>553</v>
      </c>
      <c r="D710" t="s">
        <v>554</v>
      </c>
      <c r="E710" t="s">
        <v>21</v>
      </c>
      <c r="F710" t="s">
        <v>56</v>
      </c>
      <c r="G710" t="s">
        <v>254</v>
      </c>
      <c r="H710">
        <v>2</v>
      </c>
      <c r="I710" s="3">
        <v>19.440000000000001</v>
      </c>
      <c r="J710" t="s">
        <v>24</v>
      </c>
      <c r="K710" t="s">
        <v>17</v>
      </c>
      <c r="L710" s="4">
        <f>Table4[[#This Row],[quantity]]*Table4[[#This Row],[unit_price]]</f>
        <v>38.880000000000003</v>
      </c>
      <c r="M710">
        <f>COUNTIFS($C$2:$C$3934,Table4[[#This Row],[customer_id]])</f>
        <v>5</v>
      </c>
      <c r="N710" t="str">
        <f>IF(Table4[[#This Row],[customer_order_count]]=1,"New Customer","Repeat Customer")</f>
        <v>Repeat Customer</v>
      </c>
    </row>
    <row r="711" spans="1:14">
      <c r="A711" t="s">
        <v>3455</v>
      </c>
      <c r="B711" s="1">
        <v>45337</v>
      </c>
      <c r="C711" t="s">
        <v>1788</v>
      </c>
      <c r="D711" t="s">
        <v>121</v>
      </c>
      <c r="E711" t="s">
        <v>21</v>
      </c>
      <c r="F711" t="s">
        <v>22</v>
      </c>
      <c r="G711" t="s">
        <v>162</v>
      </c>
      <c r="H711">
        <v>1</v>
      </c>
      <c r="I711" s="3">
        <v>19.45</v>
      </c>
      <c r="J711" t="s">
        <v>16</v>
      </c>
      <c r="K711" t="s">
        <v>17</v>
      </c>
      <c r="L711" s="4">
        <f>Table4[[#This Row],[quantity]]*Table4[[#This Row],[unit_price]]</f>
        <v>19.45</v>
      </c>
      <c r="M711">
        <f>COUNTIFS($C$2:$C$3934,Table4[[#This Row],[customer_id]])</f>
        <v>7</v>
      </c>
      <c r="N711" t="str">
        <f>IF(Table4[[#This Row],[customer_order_count]]=1,"New Customer","Repeat Customer")</f>
        <v>Repeat Customer</v>
      </c>
    </row>
    <row r="712" spans="1:14">
      <c r="A712" t="s">
        <v>3247</v>
      </c>
      <c r="B712" s="1">
        <v>45647</v>
      </c>
      <c r="C712" t="s">
        <v>1064</v>
      </c>
      <c r="D712" t="s">
        <v>1065</v>
      </c>
      <c r="E712" t="s">
        <v>21</v>
      </c>
      <c r="F712" t="s">
        <v>66</v>
      </c>
      <c r="G712" t="s">
        <v>217</v>
      </c>
      <c r="H712">
        <v>3</v>
      </c>
      <c r="I712" s="3">
        <v>19.45</v>
      </c>
      <c r="J712" t="s">
        <v>16</v>
      </c>
      <c r="K712" t="s">
        <v>40</v>
      </c>
      <c r="L712" s="4">
        <f>Table4[[#This Row],[quantity]]*Table4[[#This Row],[unit_price]]</f>
        <v>58.349999999999994</v>
      </c>
      <c r="M712">
        <f>COUNTIFS($C$2:$C$3934,Table4[[#This Row],[customer_id]])</f>
        <v>7</v>
      </c>
      <c r="N712" t="str">
        <f>IF(Table4[[#This Row],[customer_order_count]]=1,"New Customer","Repeat Customer")</f>
        <v>Repeat Customer</v>
      </c>
    </row>
    <row r="713" spans="1:14">
      <c r="A713" t="s">
        <v>2551</v>
      </c>
      <c r="B713" s="1">
        <v>45205</v>
      </c>
      <c r="C713" t="s">
        <v>1155</v>
      </c>
      <c r="D713" t="s">
        <v>1156</v>
      </c>
      <c r="E713" t="s">
        <v>21</v>
      </c>
      <c r="F713" t="s">
        <v>22</v>
      </c>
      <c r="G713" t="s">
        <v>142</v>
      </c>
      <c r="H713">
        <v>1</v>
      </c>
      <c r="I713" s="3">
        <v>19.46</v>
      </c>
      <c r="J713" t="s">
        <v>16</v>
      </c>
      <c r="K713" t="s">
        <v>40</v>
      </c>
      <c r="L713" s="4">
        <f>Table4[[#This Row],[quantity]]*Table4[[#This Row],[unit_price]]</f>
        <v>19.46</v>
      </c>
      <c r="M713">
        <f>COUNTIFS($C$2:$C$3934,Table4[[#This Row],[customer_id]])</f>
        <v>4</v>
      </c>
      <c r="N713" t="str">
        <f>IF(Table4[[#This Row],[customer_order_count]]=1,"New Customer","Repeat Customer")</f>
        <v>Repeat Customer</v>
      </c>
    </row>
    <row r="714" spans="1:14">
      <c r="A714" t="s">
        <v>3178</v>
      </c>
      <c r="B714" s="1">
        <v>45564</v>
      </c>
      <c r="C714" t="s">
        <v>3179</v>
      </c>
      <c r="D714" t="s">
        <v>313</v>
      </c>
      <c r="E714" t="s">
        <v>21</v>
      </c>
      <c r="F714" t="s">
        <v>79</v>
      </c>
      <c r="G714" t="s">
        <v>230</v>
      </c>
      <c r="H714">
        <v>1</v>
      </c>
      <c r="I714" s="3">
        <v>19.48</v>
      </c>
      <c r="J714" t="s">
        <v>85</v>
      </c>
      <c r="K714" t="s">
        <v>35</v>
      </c>
      <c r="L714" s="4">
        <f>Table4[[#This Row],[quantity]]*Table4[[#This Row],[unit_price]]</f>
        <v>19.48</v>
      </c>
      <c r="M714">
        <f>COUNTIFS($C$2:$C$3934,Table4[[#This Row],[customer_id]])</f>
        <v>4</v>
      </c>
      <c r="N714" t="str">
        <f>IF(Table4[[#This Row],[customer_order_count]]=1,"New Customer","Repeat Customer")</f>
        <v>Repeat Customer</v>
      </c>
    </row>
    <row r="715" spans="1:14">
      <c r="A715" t="s">
        <v>3732</v>
      </c>
      <c r="B715" s="1">
        <v>45607</v>
      </c>
      <c r="C715" t="s">
        <v>1660</v>
      </c>
      <c r="D715" t="s">
        <v>693</v>
      </c>
      <c r="E715" t="s">
        <v>21</v>
      </c>
      <c r="F715" t="s">
        <v>70</v>
      </c>
      <c r="G715" t="s">
        <v>146</v>
      </c>
      <c r="H715">
        <v>1</v>
      </c>
      <c r="I715" s="3">
        <v>19.510000000000002</v>
      </c>
      <c r="J715" t="s">
        <v>16</v>
      </c>
      <c r="K715" t="s">
        <v>30</v>
      </c>
      <c r="L715" s="4">
        <f>Table4[[#This Row],[quantity]]*Table4[[#This Row],[unit_price]]</f>
        <v>19.510000000000002</v>
      </c>
      <c r="M715">
        <f>COUNTIFS($C$2:$C$3934,Table4[[#This Row],[customer_id]])</f>
        <v>3</v>
      </c>
      <c r="N715" t="str">
        <f>IF(Table4[[#This Row],[customer_order_count]]=1,"New Customer","Repeat Customer")</f>
        <v>Repeat Customer</v>
      </c>
    </row>
    <row r="716" spans="1:14">
      <c r="A716" t="s">
        <v>1602</v>
      </c>
      <c r="B716" s="1">
        <v>45267</v>
      </c>
      <c r="C716" t="s">
        <v>1603</v>
      </c>
      <c r="D716" t="s">
        <v>226</v>
      </c>
      <c r="E716" t="s">
        <v>21</v>
      </c>
      <c r="F716" t="s">
        <v>66</v>
      </c>
      <c r="G716" t="s">
        <v>128</v>
      </c>
      <c r="H716">
        <v>1</v>
      </c>
      <c r="I716" s="3">
        <v>19.510000000000002</v>
      </c>
      <c r="J716" t="s">
        <v>16</v>
      </c>
      <c r="K716" t="s">
        <v>35</v>
      </c>
      <c r="L716" s="4">
        <f>Table4[[#This Row],[quantity]]*Table4[[#This Row],[unit_price]]</f>
        <v>19.510000000000002</v>
      </c>
      <c r="M716">
        <f>COUNTIFS($C$2:$C$3934,Table4[[#This Row],[customer_id]])</f>
        <v>6</v>
      </c>
      <c r="N716" t="str">
        <f>IF(Table4[[#This Row],[customer_order_count]]=1,"New Customer","Repeat Customer")</f>
        <v>Repeat Customer</v>
      </c>
    </row>
    <row r="717" spans="1:14">
      <c r="A717" t="s">
        <v>4354</v>
      </c>
      <c r="B717" s="1">
        <v>45629</v>
      </c>
      <c r="C717" t="s">
        <v>978</v>
      </c>
      <c r="D717" t="s">
        <v>292</v>
      </c>
      <c r="E717" t="s">
        <v>21</v>
      </c>
      <c r="F717" t="s">
        <v>66</v>
      </c>
      <c r="G717" t="s">
        <v>217</v>
      </c>
      <c r="H717">
        <v>1</v>
      </c>
      <c r="I717" s="3">
        <v>19.54</v>
      </c>
      <c r="J717" t="s">
        <v>16</v>
      </c>
      <c r="K717" t="s">
        <v>35</v>
      </c>
      <c r="L717" s="4">
        <f>Table4[[#This Row],[quantity]]*Table4[[#This Row],[unit_price]]</f>
        <v>19.54</v>
      </c>
      <c r="M717">
        <f>COUNTIFS($C$2:$C$3934,Table4[[#This Row],[customer_id]])</f>
        <v>9</v>
      </c>
      <c r="N717" t="str">
        <f>IF(Table4[[#This Row],[customer_order_count]]=1,"New Customer","Repeat Customer")</f>
        <v>Repeat Customer</v>
      </c>
    </row>
    <row r="718" spans="1:14">
      <c r="A718" t="s">
        <v>2136</v>
      </c>
      <c r="B718" s="1">
        <v>45090</v>
      </c>
      <c r="C718" t="s">
        <v>2137</v>
      </c>
      <c r="D718" t="s">
        <v>1686</v>
      </c>
      <c r="E718" t="s">
        <v>21</v>
      </c>
      <c r="F718" t="s">
        <v>22</v>
      </c>
      <c r="G718" t="s">
        <v>135</v>
      </c>
      <c r="H718">
        <v>2</v>
      </c>
      <c r="I718" s="3">
        <v>19.55</v>
      </c>
      <c r="J718" t="s">
        <v>85</v>
      </c>
      <c r="K718" t="s">
        <v>17</v>
      </c>
      <c r="L718" s="4">
        <f>Table4[[#This Row],[quantity]]*Table4[[#This Row],[unit_price]]</f>
        <v>39.1</v>
      </c>
      <c r="M718">
        <f>COUNTIFS($C$2:$C$3934,Table4[[#This Row],[customer_id]])</f>
        <v>4</v>
      </c>
      <c r="N718" t="str">
        <f>IF(Table4[[#This Row],[customer_order_count]]=1,"New Customer","Repeat Customer")</f>
        <v>Repeat Customer</v>
      </c>
    </row>
    <row r="719" spans="1:14">
      <c r="A719" t="s">
        <v>4155</v>
      </c>
      <c r="B719" s="1">
        <v>45291</v>
      </c>
      <c r="C719" t="s">
        <v>206</v>
      </c>
      <c r="D719" t="s">
        <v>207</v>
      </c>
      <c r="E719" t="s">
        <v>21</v>
      </c>
      <c r="F719" t="s">
        <v>70</v>
      </c>
      <c r="G719" t="s">
        <v>110</v>
      </c>
      <c r="H719">
        <v>3</v>
      </c>
      <c r="I719" s="3">
        <v>19.55</v>
      </c>
      <c r="J719" t="s">
        <v>24</v>
      </c>
      <c r="K719" t="s">
        <v>30</v>
      </c>
      <c r="L719" s="4">
        <f>Table4[[#This Row],[quantity]]*Table4[[#This Row],[unit_price]]</f>
        <v>58.650000000000006</v>
      </c>
      <c r="M719">
        <f>COUNTIFS($C$2:$C$3934,Table4[[#This Row],[customer_id]])</f>
        <v>3</v>
      </c>
      <c r="N719" t="str">
        <f>IF(Table4[[#This Row],[customer_order_count]]=1,"New Customer","Repeat Customer")</f>
        <v>Repeat Customer</v>
      </c>
    </row>
    <row r="720" spans="1:14">
      <c r="A720" t="s">
        <v>2428</v>
      </c>
      <c r="B720" s="1">
        <v>45043</v>
      </c>
      <c r="C720" t="s">
        <v>1973</v>
      </c>
      <c r="D720" t="s">
        <v>797</v>
      </c>
      <c r="E720" t="s">
        <v>21</v>
      </c>
      <c r="F720" t="s">
        <v>70</v>
      </c>
      <c r="G720" t="s">
        <v>526</v>
      </c>
      <c r="H720">
        <v>2</v>
      </c>
      <c r="I720" s="3">
        <v>19.559999999999999</v>
      </c>
      <c r="J720" t="s">
        <v>16</v>
      </c>
      <c r="K720" t="s">
        <v>40</v>
      </c>
      <c r="L720" s="4">
        <f>Table4[[#This Row],[quantity]]*Table4[[#This Row],[unit_price]]</f>
        <v>39.119999999999997</v>
      </c>
      <c r="M720">
        <f>COUNTIFS($C$2:$C$3934,Table4[[#This Row],[customer_id]])</f>
        <v>5</v>
      </c>
      <c r="N720" t="str">
        <f>IF(Table4[[#This Row],[customer_order_count]]=1,"New Customer","Repeat Customer")</f>
        <v>Repeat Customer</v>
      </c>
    </row>
    <row r="721" spans="1:14">
      <c r="A721" t="s">
        <v>2318</v>
      </c>
      <c r="B721" s="1">
        <v>45420</v>
      </c>
      <c r="C721" t="s">
        <v>1082</v>
      </c>
      <c r="D721" t="s">
        <v>380</v>
      </c>
      <c r="E721" t="s">
        <v>21</v>
      </c>
      <c r="F721" t="s">
        <v>28</v>
      </c>
      <c r="G721" t="s">
        <v>114</v>
      </c>
      <c r="H721">
        <v>1</v>
      </c>
      <c r="I721" s="3">
        <v>19.57</v>
      </c>
      <c r="J721" t="s">
        <v>16</v>
      </c>
      <c r="K721" t="s">
        <v>30</v>
      </c>
      <c r="L721" s="4">
        <f>Table4[[#This Row],[quantity]]*Table4[[#This Row],[unit_price]]</f>
        <v>19.57</v>
      </c>
      <c r="M721">
        <f>COUNTIFS($C$2:$C$3934,Table4[[#This Row],[customer_id]])</f>
        <v>5</v>
      </c>
      <c r="N721" t="str">
        <f>IF(Table4[[#This Row],[customer_order_count]]=1,"New Customer","Repeat Customer")</f>
        <v>Repeat Customer</v>
      </c>
    </row>
    <row r="722" spans="1:14">
      <c r="A722" t="s">
        <v>1457</v>
      </c>
      <c r="B722" s="1">
        <v>45079</v>
      </c>
      <c r="C722" t="s">
        <v>856</v>
      </c>
      <c r="D722" t="s">
        <v>857</v>
      </c>
      <c r="E722" t="s">
        <v>44</v>
      </c>
      <c r="F722" t="s">
        <v>66</v>
      </c>
      <c r="G722" t="s">
        <v>67</v>
      </c>
      <c r="H722">
        <v>2</v>
      </c>
      <c r="I722" s="3">
        <v>19.57</v>
      </c>
      <c r="J722" t="s">
        <v>16</v>
      </c>
      <c r="K722" t="s">
        <v>17</v>
      </c>
      <c r="L722" s="4">
        <f>Table4[[#This Row],[quantity]]*Table4[[#This Row],[unit_price]]</f>
        <v>39.14</v>
      </c>
      <c r="M722">
        <f>COUNTIFS($C$2:$C$3934,Table4[[#This Row],[customer_id]])</f>
        <v>5</v>
      </c>
      <c r="N722" t="str">
        <f>IF(Table4[[#This Row],[customer_order_count]]=1,"New Customer","Repeat Customer")</f>
        <v>Repeat Customer</v>
      </c>
    </row>
    <row r="723" spans="1:14">
      <c r="A723" t="s">
        <v>5155</v>
      </c>
      <c r="B723" s="1">
        <v>45482</v>
      </c>
      <c r="C723" t="s">
        <v>295</v>
      </c>
      <c r="D723" t="s">
        <v>296</v>
      </c>
      <c r="E723" t="s">
        <v>21</v>
      </c>
      <c r="F723" t="s">
        <v>70</v>
      </c>
      <c r="G723" t="s">
        <v>71</v>
      </c>
      <c r="H723">
        <v>1</v>
      </c>
      <c r="I723" s="3">
        <v>19.579999999999998</v>
      </c>
      <c r="J723" t="s">
        <v>16</v>
      </c>
      <c r="K723" s="2" t="s">
        <v>5256</v>
      </c>
      <c r="L723" s="4">
        <f>Table4[[#This Row],[quantity]]*Table4[[#This Row],[unit_price]]</f>
        <v>19.579999999999998</v>
      </c>
      <c r="M723">
        <f>COUNTIFS($C$2:$C$3934,Table4[[#This Row],[customer_id]])</f>
        <v>3</v>
      </c>
      <c r="N723" t="str">
        <f>IF(Table4[[#This Row],[customer_order_count]]=1,"New Customer","Repeat Customer")</f>
        <v>Repeat Customer</v>
      </c>
    </row>
    <row r="724" spans="1:14">
      <c r="A724" t="s">
        <v>555</v>
      </c>
      <c r="B724" s="1">
        <v>45305</v>
      </c>
      <c r="C724" t="s">
        <v>556</v>
      </c>
      <c r="D724" t="s">
        <v>327</v>
      </c>
      <c r="E724" t="s">
        <v>21</v>
      </c>
      <c r="F724" t="s">
        <v>14</v>
      </c>
      <c r="G724" t="s">
        <v>15</v>
      </c>
      <c r="H724">
        <v>1</v>
      </c>
      <c r="I724" s="3">
        <v>19.59</v>
      </c>
      <c r="J724" t="s">
        <v>16</v>
      </c>
      <c r="K724" s="5" t="s">
        <v>30</v>
      </c>
      <c r="L724" s="4">
        <f>Table4[[#This Row],[quantity]]*Table4[[#This Row],[unit_price]]</f>
        <v>19.59</v>
      </c>
      <c r="M724">
        <f>COUNTIFS($C$2:$C$3934,Table4[[#This Row],[customer_id]])</f>
        <v>7</v>
      </c>
      <c r="N724" t="str">
        <f>IF(Table4[[#This Row],[customer_order_count]]=1,"New Customer","Repeat Customer")</f>
        <v>Repeat Customer</v>
      </c>
    </row>
    <row r="725" spans="1:14">
      <c r="A725" t="s">
        <v>4191</v>
      </c>
      <c r="B725" s="1">
        <v>45574</v>
      </c>
      <c r="C725" t="s">
        <v>4192</v>
      </c>
      <c r="D725" t="s">
        <v>1255</v>
      </c>
      <c r="E725" t="s">
        <v>61</v>
      </c>
      <c r="F725" t="s">
        <v>28</v>
      </c>
      <c r="G725" t="s">
        <v>114</v>
      </c>
      <c r="H725">
        <v>1</v>
      </c>
      <c r="I725" s="3">
        <v>19.62</v>
      </c>
      <c r="J725" t="s">
        <v>16</v>
      </c>
      <c r="K725" t="s">
        <v>40</v>
      </c>
      <c r="L725" s="4">
        <f>Table4[[#This Row],[quantity]]*Table4[[#This Row],[unit_price]]</f>
        <v>19.62</v>
      </c>
      <c r="M725">
        <f>COUNTIFS($C$2:$C$3934,Table4[[#This Row],[customer_id]])</f>
        <v>2</v>
      </c>
      <c r="N725" t="str">
        <f>IF(Table4[[#This Row],[customer_order_count]]=1,"New Customer","Repeat Customer")</f>
        <v>Repeat Customer</v>
      </c>
    </row>
    <row r="726" spans="1:14">
      <c r="A726" t="s">
        <v>2805</v>
      </c>
      <c r="B726" s="1">
        <v>45496</v>
      </c>
      <c r="C726" t="s">
        <v>47</v>
      </c>
      <c r="D726" t="s">
        <v>48</v>
      </c>
      <c r="E726" t="s">
        <v>21</v>
      </c>
      <c r="F726" t="s">
        <v>70</v>
      </c>
      <c r="G726" t="s">
        <v>110</v>
      </c>
      <c r="H726">
        <v>2</v>
      </c>
      <c r="I726" s="3">
        <v>19.62</v>
      </c>
      <c r="J726" t="s">
        <v>16</v>
      </c>
      <c r="K726" t="s">
        <v>30</v>
      </c>
      <c r="L726" s="4">
        <f>Table4[[#This Row],[quantity]]*Table4[[#This Row],[unit_price]]</f>
        <v>39.24</v>
      </c>
      <c r="M726">
        <f>COUNTIFS($C$2:$C$3934,Table4[[#This Row],[customer_id]])</f>
        <v>8</v>
      </c>
      <c r="N726" t="str">
        <f>IF(Table4[[#This Row],[customer_order_count]]=1,"New Customer","Repeat Customer")</f>
        <v>Repeat Customer</v>
      </c>
    </row>
    <row r="727" spans="1:14">
      <c r="A727" t="s">
        <v>2031</v>
      </c>
      <c r="B727" s="1">
        <v>45616</v>
      </c>
      <c r="C727" t="s">
        <v>2032</v>
      </c>
      <c r="D727" t="s">
        <v>2033</v>
      </c>
      <c r="E727" t="s">
        <v>106</v>
      </c>
      <c r="F727" t="s">
        <v>28</v>
      </c>
      <c r="G727" t="s">
        <v>139</v>
      </c>
      <c r="H727">
        <v>2</v>
      </c>
      <c r="I727" s="3">
        <v>19.649999999999999</v>
      </c>
      <c r="J727" t="s">
        <v>16</v>
      </c>
      <c r="K727" t="s">
        <v>30</v>
      </c>
      <c r="L727" s="4">
        <f>Table4[[#This Row],[quantity]]*Table4[[#This Row],[unit_price]]</f>
        <v>39.299999999999997</v>
      </c>
      <c r="M727">
        <f>COUNTIFS($C$2:$C$3934,Table4[[#This Row],[customer_id]])</f>
        <v>2</v>
      </c>
      <c r="N727" t="str">
        <f>IF(Table4[[#This Row],[customer_order_count]]=1,"New Customer","Repeat Customer")</f>
        <v>Repeat Customer</v>
      </c>
    </row>
    <row r="728" spans="1:14">
      <c r="A728" t="s">
        <v>5190</v>
      </c>
      <c r="B728" s="1">
        <v>45022</v>
      </c>
      <c r="C728" t="s">
        <v>801</v>
      </c>
      <c r="D728" t="s">
        <v>802</v>
      </c>
      <c r="E728" t="s">
        <v>44</v>
      </c>
      <c r="F728" t="s">
        <v>66</v>
      </c>
      <c r="G728" t="s">
        <v>238</v>
      </c>
      <c r="H728">
        <v>2</v>
      </c>
      <c r="I728" s="3">
        <v>19.670000000000002</v>
      </c>
      <c r="J728" t="s">
        <v>16</v>
      </c>
      <c r="K728" t="s">
        <v>35</v>
      </c>
      <c r="L728" s="4">
        <f>Table4[[#This Row],[quantity]]*Table4[[#This Row],[unit_price]]</f>
        <v>39.340000000000003</v>
      </c>
      <c r="M728">
        <f>COUNTIFS($C$2:$C$3934,Table4[[#This Row],[customer_id]])</f>
        <v>3</v>
      </c>
      <c r="N728" t="str">
        <f>IF(Table4[[#This Row],[customer_order_count]]=1,"New Customer","Repeat Customer")</f>
        <v>Repeat Customer</v>
      </c>
    </row>
    <row r="729" spans="1:14">
      <c r="A729" t="s">
        <v>781</v>
      </c>
      <c r="B729" s="1">
        <v>45478</v>
      </c>
      <c r="C729" t="s">
        <v>782</v>
      </c>
      <c r="D729" t="s">
        <v>783</v>
      </c>
      <c r="E729" t="s">
        <v>21</v>
      </c>
      <c r="F729" t="s">
        <v>56</v>
      </c>
      <c r="G729" t="s">
        <v>254</v>
      </c>
      <c r="H729">
        <v>1</v>
      </c>
      <c r="I729" s="3">
        <v>19.690000000000001</v>
      </c>
      <c r="J729" t="s">
        <v>85</v>
      </c>
      <c r="K729" t="s">
        <v>17</v>
      </c>
      <c r="L729" s="4">
        <f>Table4[[#This Row],[quantity]]*Table4[[#This Row],[unit_price]]</f>
        <v>19.690000000000001</v>
      </c>
      <c r="M729">
        <f>COUNTIFS($C$2:$C$3934,Table4[[#This Row],[customer_id]])</f>
        <v>5</v>
      </c>
      <c r="N729" t="str">
        <f>IF(Table4[[#This Row],[customer_order_count]]=1,"New Customer","Repeat Customer")</f>
        <v>Repeat Customer</v>
      </c>
    </row>
    <row r="730" spans="1:14">
      <c r="A730" t="s">
        <v>1595</v>
      </c>
      <c r="B730" s="1">
        <v>45640</v>
      </c>
      <c r="C730" t="s">
        <v>729</v>
      </c>
      <c r="D730" t="s">
        <v>1067</v>
      </c>
      <c r="E730" t="s">
        <v>44</v>
      </c>
      <c r="F730" t="s">
        <v>66</v>
      </c>
      <c r="G730" t="s">
        <v>217</v>
      </c>
      <c r="H730">
        <v>3</v>
      </c>
      <c r="I730" s="3">
        <v>19.7</v>
      </c>
      <c r="J730" t="s">
        <v>24</v>
      </c>
      <c r="K730" t="s">
        <v>17</v>
      </c>
      <c r="L730" s="4">
        <f>Table4[[#This Row],[quantity]]*Table4[[#This Row],[unit_price]]</f>
        <v>59.099999999999994</v>
      </c>
      <c r="M730">
        <f>COUNTIFS($C$2:$C$3934,Table4[[#This Row],[customer_id]])</f>
        <v>5</v>
      </c>
      <c r="N730" t="str">
        <f>IF(Table4[[#This Row],[customer_order_count]]=1,"New Customer","Repeat Customer")</f>
        <v>Repeat Customer</v>
      </c>
    </row>
    <row r="731" spans="1:14">
      <c r="A731" t="s">
        <v>4954</v>
      </c>
      <c r="B731" s="1">
        <v>44950</v>
      </c>
      <c r="C731" t="s">
        <v>696</v>
      </c>
      <c r="D731" t="s">
        <v>582</v>
      </c>
      <c r="E731" t="s">
        <v>21</v>
      </c>
      <c r="F731" t="s">
        <v>28</v>
      </c>
      <c r="G731" t="s">
        <v>84</v>
      </c>
      <c r="H731">
        <v>4</v>
      </c>
      <c r="I731" s="3">
        <v>19.71</v>
      </c>
      <c r="J731" t="s">
        <v>16</v>
      </c>
      <c r="K731" t="s">
        <v>40</v>
      </c>
      <c r="L731" s="4">
        <f>Table4[[#This Row],[quantity]]*Table4[[#This Row],[unit_price]]</f>
        <v>78.84</v>
      </c>
      <c r="M731">
        <f>COUNTIFS($C$2:$C$3934,Table4[[#This Row],[customer_id]])</f>
        <v>12</v>
      </c>
      <c r="N731" t="str">
        <f>IF(Table4[[#This Row],[customer_order_count]]=1,"New Customer","Repeat Customer")</f>
        <v>Repeat Customer</v>
      </c>
    </row>
    <row r="732" spans="1:14">
      <c r="A732" t="s">
        <v>1650</v>
      </c>
      <c r="B732" s="1">
        <v>45478</v>
      </c>
      <c r="C732" t="s">
        <v>1045</v>
      </c>
      <c r="D732" t="s">
        <v>478</v>
      </c>
      <c r="E732" t="s">
        <v>21</v>
      </c>
      <c r="F732" t="s">
        <v>66</v>
      </c>
      <c r="G732" t="s">
        <v>238</v>
      </c>
      <c r="H732">
        <v>1</v>
      </c>
      <c r="I732" s="3">
        <v>19.73</v>
      </c>
      <c r="J732" t="s">
        <v>16</v>
      </c>
      <c r="K732" t="s">
        <v>17</v>
      </c>
      <c r="L732" s="4">
        <f>Table4[[#This Row],[quantity]]*Table4[[#This Row],[unit_price]]</f>
        <v>19.73</v>
      </c>
      <c r="M732">
        <f>COUNTIFS($C$2:$C$3934,Table4[[#This Row],[customer_id]])</f>
        <v>4</v>
      </c>
      <c r="N732" t="str">
        <f>IF(Table4[[#This Row],[customer_order_count]]=1,"New Customer","Repeat Customer")</f>
        <v>Repeat Customer</v>
      </c>
    </row>
    <row r="733" spans="1:14">
      <c r="A733" t="s">
        <v>656</v>
      </c>
      <c r="B733" s="1">
        <v>45264</v>
      </c>
      <c r="C733" t="s">
        <v>657</v>
      </c>
      <c r="D733" s="2" t="s">
        <v>5257</v>
      </c>
      <c r="E733" t="s">
        <v>21</v>
      </c>
      <c r="F733" t="s">
        <v>66</v>
      </c>
      <c r="G733" t="s">
        <v>128</v>
      </c>
      <c r="H733">
        <v>2</v>
      </c>
      <c r="I733" s="3">
        <v>19.73</v>
      </c>
      <c r="J733" t="s">
        <v>16</v>
      </c>
      <c r="K733" t="s">
        <v>40</v>
      </c>
      <c r="L733" s="4">
        <f>Table4[[#This Row],[quantity]]*Table4[[#This Row],[unit_price]]</f>
        <v>39.46</v>
      </c>
      <c r="M733">
        <f>COUNTIFS($C$2:$C$3934,Table4[[#This Row],[customer_id]])</f>
        <v>5</v>
      </c>
      <c r="N733" t="str">
        <f>IF(Table4[[#This Row],[customer_order_count]]=1,"New Customer","Repeat Customer")</f>
        <v>Repeat Customer</v>
      </c>
    </row>
    <row r="734" spans="1:14">
      <c r="A734" t="s">
        <v>1525</v>
      </c>
      <c r="B734" s="1">
        <v>44978</v>
      </c>
      <c r="C734" t="s">
        <v>1526</v>
      </c>
      <c r="D734" s="5" t="s">
        <v>350</v>
      </c>
      <c r="E734" t="s">
        <v>44</v>
      </c>
      <c r="F734" t="s">
        <v>66</v>
      </c>
      <c r="G734" t="s">
        <v>238</v>
      </c>
      <c r="H734">
        <v>3</v>
      </c>
      <c r="I734" s="3">
        <v>19.739999999999998</v>
      </c>
      <c r="J734" t="s">
        <v>16</v>
      </c>
      <c r="K734" t="s">
        <v>17</v>
      </c>
      <c r="L734" s="4">
        <f>Table4[[#This Row],[quantity]]*Table4[[#This Row],[unit_price]]</f>
        <v>59.22</v>
      </c>
      <c r="M734">
        <f>COUNTIFS($C$2:$C$3934,Table4[[#This Row],[customer_id]])</f>
        <v>2</v>
      </c>
      <c r="N734" t="str">
        <f>IF(Table4[[#This Row],[customer_order_count]]=1,"New Customer","Repeat Customer")</f>
        <v>Repeat Customer</v>
      </c>
    </row>
    <row r="735" spans="1:14">
      <c r="A735" t="s">
        <v>1880</v>
      </c>
      <c r="B735" s="1">
        <v>45588</v>
      </c>
      <c r="C735" t="s">
        <v>1881</v>
      </c>
      <c r="D735" t="s">
        <v>491</v>
      </c>
      <c r="E735" t="s">
        <v>21</v>
      </c>
      <c r="F735" t="s">
        <v>70</v>
      </c>
      <c r="G735" t="s">
        <v>337</v>
      </c>
      <c r="H735">
        <v>2</v>
      </c>
      <c r="I735" s="3">
        <v>19.75</v>
      </c>
      <c r="J735" t="s">
        <v>16</v>
      </c>
      <c r="K735" t="s">
        <v>40</v>
      </c>
      <c r="L735" s="4">
        <f>Table4[[#This Row],[quantity]]*Table4[[#This Row],[unit_price]]</f>
        <v>39.5</v>
      </c>
      <c r="M735">
        <f>COUNTIFS($C$2:$C$3934,Table4[[#This Row],[customer_id]])</f>
        <v>4</v>
      </c>
      <c r="N735" t="str">
        <f>IF(Table4[[#This Row],[customer_order_count]]=1,"New Customer","Repeat Customer")</f>
        <v>Repeat Customer</v>
      </c>
    </row>
    <row r="736" spans="1:14">
      <c r="A736" t="s">
        <v>4525</v>
      </c>
      <c r="B736" s="1">
        <v>45081</v>
      </c>
      <c r="C736" t="s">
        <v>2361</v>
      </c>
      <c r="D736" t="s">
        <v>244</v>
      </c>
      <c r="E736" t="s">
        <v>21</v>
      </c>
      <c r="F736" t="s">
        <v>22</v>
      </c>
      <c r="G736" t="s">
        <v>142</v>
      </c>
      <c r="H736">
        <v>1</v>
      </c>
      <c r="I736" s="3">
        <v>19.77</v>
      </c>
      <c r="J736" t="s">
        <v>85</v>
      </c>
      <c r="K736" t="s">
        <v>17</v>
      </c>
      <c r="L736" s="4">
        <f>Table4[[#This Row],[quantity]]*Table4[[#This Row],[unit_price]]</f>
        <v>19.77</v>
      </c>
      <c r="M736">
        <f>COUNTIFS($C$2:$C$3934,Table4[[#This Row],[customer_id]])</f>
        <v>6</v>
      </c>
      <c r="N736" t="str">
        <f>IF(Table4[[#This Row],[customer_order_count]]=1,"New Customer","Repeat Customer")</f>
        <v>Repeat Customer</v>
      </c>
    </row>
    <row r="737" spans="1:14">
      <c r="A737" t="s">
        <v>3750</v>
      </c>
      <c r="B737" s="1">
        <v>45497</v>
      </c>
      <c r="C737" t="s">
        <v>12</v>
      </c>
      <c r="D737" t="s">
        <v>13</v>
      </c>
      <c r="E737" t="s">
        <v>21</v>
      </c>
      <c r="F737" t="s">
        <v>66</v>
      </c>
      <c r="G737" t="s">
        <v>49</v>
      </c>
      <c r="H737">
        <v>1</v>
      </c>
      <c r="I737" s="3">
        <v>19.77</v>
      </c>
      <c r="J737" t="s">
        <v>85</v>
      </c>
      <c r="K737" t="s">
        <v>30</v>
      </c>
      <c r="L737" s="4">
        <f>Table4[[#This Row],[quantity]]*Table4[[#This Row],[unit_price]]</f>
        <v>19.77</v>
      </c>
      <c r="M737">
        <f>COUNTIFS($C$2:$C$3934,Table4[[#This Row],[customer_id]])</f>
        <v>10</v>
      </c>
      <c r="N737" t="str">
        <f>IF(Table4[[#This Row],[customer_order_count]]=1,"New Customer","Repeat Customer")</f>
        <v>Repeat Customer</v>
      </c>
    </row>
    <row r="738" spans="1:14">
      <c r="A738" t="s">
        <v>5218</v>
      </c>
      <c r="B738" s="1">
        <v>45629</v>
      </c>
      <c r="C738" t="s">
        <v>636</v>
      </c>
      <c r="D738" t="s">
        <v>1554</v>
      </c>
      <c r="E738" t="s">
        <v>44</v>
      </c>
      <c r="F738" t="s">
        <v>22</v>
      </c>
      <c r="G738" t="s">
        <v>142</v>
      </c>
      <c r="H738">
        <v>2</v>
      </c>
      <c r="I738" s="3">
        <v>19.809999999999999</v>
      </c>
      <c r="J738" t="s">
        <v>16</v>
      </c>
      <c r="K738" t="s">
        <v>17</v>
      </c>
      <c r="L738" s="4">
        <f>Table4[[#This Row],[quantity]]*Table4[[#This Row],[unit_price]]</f>
        <v>39.619999999999997</v>
      </c>
      <c r="M738">
        <f>COUNTIFS($C$2:$C$3934,Table4[[#This Row],[customer_id]])</f>
        <v>6</v>
      </c>
      <c r="N738" t="str">
        <f>IF(Table4[[#This Row],[customer_order_count]]=1,"New Customer","Repeat Customer")</f>
        <v>Repeat Customer</v>
      </c>
    </row>
    <row r="739" spans="1:14">
      <c r="A739" t="s">
        <v>1862</v>
      </c>
      <c r="B739" s="1">
        <v>45025</v>
      </c>
      <c r="C739" t="s">
        <v>1616</v>
      </c>
      <c r="D739" t="s">
        <v>544</v>
      </c>
      <c r="E739" t="s">
        <v>21</v>
      </c>
      <c r="F739" t="s">
        <v>70</v>
      </c>
      <c r="G739" t="s">
        <v>110</v>
      </c>
      <c r="H739">
        <v>1</v>
      </c>
      <c r="I739" s="3">
        <v>19.850000000000001</v>
      </c>
      <c r="J739" t="s">
        <v>16</v>
      </c>
      <c r="K739" t="s">
        <v>40</v>
      </c>
      <c r="L739" s="4">
        <f>Table4[[#This Row],[quantity]]*Table4[[#This Row],[unit_price]]</f>
        <v>19.850000000000001</v>
      </c>
      <c r="M739">
        <f>COUNTIFS($C$2:$C$3934,Table4[[#This Row],[customer_id]])</f>
        <v>5</v>
      </c>
      <c r="N739" t="str">
        <f>IF(Table4[[#This Row],[customer_order_count]]=1,"New Customer","Repeat Customer")</f>
        <v>Repeat Customer</v>
      </c>
    </row>
    <row r="740" spans="1:14">
      <c r="A740" t="s">
        <v>2394</v>
      </c>
      <c r="B740" s="1">
        <v>45468</v>
      </c>
      <c r="C740" t="s">
        <v>2395</v>
      </c>
      <c r="D740" t="s">
        <v>92</v>
      </c>
      <c r="E740" t="s">
        <v>21</v>
      </c>
      <c r="F740" t="s">
        <v>66</v>
      </c>
      <c r="G740" t="s">
        <v>128</v>
      </c>
      <c r="H740">
        <v>1</v>
      </c>
      <c r="I740" s="3">
        <v>19.850000000000001</v>
      </c>
      <c r="J740" t="s">
        <v>16</v>
      </c>
      <c r="K740" t="s">
        <v>17</v>
      </c>
      <c r="L740" s="4">
        <f>Table4[[#This Row],[quantity]]*Table4[[#This Row],[unit_price]]</f>
        <v>19.850000000000001</v>
      </c>
      <c r="M740">
        <f>COUNTIFS($C$2:$C$3934,Table4[[#This Row],[customer_id]])</f>
        <v>7</v>
      </c>
      <c r="N740" t="str">
        <f>IF(Table4[[#This Row],[customer_order_count]]=1,"New Customer","Repeat Customer")</f>
        <v>Repeat Customer</v>
      </c>
    </row>
    <row r="741" spans="1:14">
      <c r="A741" t="s">
        <v>184</v>
      </c>
      <c r="B741" s="1">
        <v>45069</v>
      </c>
      <c r="C741" t="s">
        <v>185</v>
      </c>
      <c r="D741" t="s">
        <v>186</v>
      </c>
      <c r="E741" t="s">
        <v>21</v>
      </c>
      <c r="F741" t="s">
        <v>22</v>
      </c>
      <c r="G741" t="s">
        <v>162</v>
      </c>
      <c r="H741">
        <v>1</v>
      </c>
      <c r="I741" s="3">
        <v>19.86</v>
      </c>
      <c r="J741" t="s">
        <v>16</v>
      </c>
      <c r="K741" t="s">
        <v>30</v>
      </c>
      <c r="L741" s="4">
        <f>Table4[[#This Row],[quantity]]*Table4[[#This Row],[unit_price]]</f>
        <v>19.86</v>
      </c>
      <c r="M741">
        <f>COUNTIFS($C$2:$C$3934,Table4[[#This Row],[customer_id]])</f>
        <v>4</v>
      </c>
      <c r="N741" t="str">
        <f>IF(Table4[[#This Row],[customer_order_count]]=1,"New Customer","Repeat Customer")</f>
        <v>Repeat Customer</v>
      </c>
    </row>
    <row r="742" spans="1:14">
      <c r="A742" t="s">
        <v>3725</v>
      </c>
      <c r="B742" s="1">
        <v>45618</v>
      </c>
      <c r="C742" t="s">
        <v>3306</v>
      </c>
      <c r="D742" t="s">
        <v>669</v>
      </c>
      <c r="E742" t="s">
        <v>44</v>
      </c>
      <c r="F742" t="s">
        <v>56</v>
      </c>
      <c r="G742" t="s">
        <v>210</v>
      </c>
      <c r="H742">
        <v>2</v>
      </c>
      <c r="I742" s="3">
        <v>19.87</v>
      </c>
      <c r="J742" t="s">
        <v>16</v>
      </c>
      <c r="K742" t="s">
        <v>40</v>
      </c>
      <c r="L742" s="4">
        <f>Table4[[#This Row],[quantity]]*Table4[[#This Row],[unit_price]]</f>
        <v>39.74</v>
      </c>
      <c r="M742">
        <f>COUNTIFS($C$2:$C$3934,Table4[[#This Row],[customer_id]])</f>
        <v>4</v>
      </c>
      <c r="N742" t="str">
        <f>IF(Table4[[#This Row],[customer_order_count]]=1,"New Customer","Repeat Customer")</f>
        <v>Repeat Customer</v>
      </c>
    </row>
    <row r="743" spans="1:14">
      <c r="A743" t="s">
        <v>2905</v>
      </c>
      <c r="B743" s="1">
        <v>45010</v>
      </c>
      <c r="C743" t="s">
        <v>1330</v>
      </c>
      <c r="D743" t="s">
        <v>1331</v>
      </c>
      <c r="E743" t="s">
        <v>21</v>
      </c>
      <c r="F743" t="s">
        <v>66</v>
      </c>
      <c r="G743" t="s">
        <v>67</v>
      </c>
      <c r="H743">
        <v>1</v>
      </c>
      <c r="I743" s="3">
        <v>19.88</v>
      </c>
      <c r="J743" t="s">
        <v>16</v>
      </c>
      <c r="K743" t="s">
        <v>35</v>
      </c>
      <c r="L743" s="4">
        <f>Table4[[#This Row],[quantity]]*Table4[[#This Row],[unit_price]]</f>
        <v>19.88</v>
      </c>
      <c r="M743">
        <f>COUNTIFS($C$2:$C$3934,Table4[[#This Row],[customer_id]])</f>
        <v>5</v>
      </c>
      <c r="N743" t="str">
        <f>IF(Table4[[#This Row],[customer_order_count]]=1,"New Customer","Repeat Customer")</f>
        <v>Repeat Customer</v>
      </c>
    </row>
    <row r="744" spans="1:14">
      <c r="A744" t="s">
        <v>4864</v>
      </c>
      <c r="B744" s="1">
        <v>44942</v>
      </c>
      <c r="C744" t="s">
        <v>2197</v>
      </c>
      <c r="D744" t="s">
        <v>2198</v>
      </c>
      <c r="E744" t="s">
        <v>44</v>
      </c>
      <c r="F744" t="s">
        <v>22</v>
      </c>
      <c r="G744" t="s">
        <v>142</v>
      </c>
      <c r="H744">
        <v>2</v>
      </c>
      <c r="I744" s="3">
        <v>19.88</v>
      </c>
      <c r="J744" t="s">
        <v>24</v>
      </c>
      <c r="K744" t="s">
        <v>35</v>
      </c>
      <c r="L744" s="4">
        <f>Table4[[#This Row],[quantity]]*Table4[[#This Row],[unit_price]]</f>
        <v>39.76</v>
      </c>
      <c r="M744">
        <f>COUNTIFS($C$2:$C$3934,Table4[[#This Row],[customer_id]])</f>
        <v>3</v>
      </c>
      <c r="N744" t="str">
        <f>IF(Table4[[#This Row],[customer_order_count]]=1,"New Customer","Repeat Customer")</f>
        <v>Repeat Customer</v>
      </c>
    </row>
    <row r="745" spans="1:14">
      <c r="A745" t="s">
        <v>3030</v>
      </c>
      <c r="B745" s="1">
        <v>45246</v>
      </c>
      <c r="C745" t="s">
        <v>141</v>
      </c>
      <c r="D745" t="s">
        <v>105</v>
      </c>
      <c r="E745" t="s">
        <v>21</v>
      </c>
      <c r="F745" t="s">
        <v>56</v>
      </c>
      <c r="G745" t="s">
        <v>422</v>
      </c>
      <c r="H745">
        <v>2</v>
      </c>
      <c r="I745" s="3">
        <v>19.940000000000001</v>
      </c>
      <c r="J745" t="s">
        <v>85</v>
      </c>
      <c r="K745" t="s">
        <v>30</v>
      </c>
      <c r="L745" s="4">
        <f>Table4[[#This Row],[quantity]]*Table4[[#This Row],[unit_price]]</f>
        <v>39.880000000000003</v>
      </c>
      <c r="M745">
        <f>COUNTIFS($C$2:$C$3934,Table4[[#This Row],[customer_id]])</f>
        <v>6</v>
      </c>
      <c r="N745" t="str">
        <f>IF(Table4[[#This Row],[customer_order_count]]=1,"New Customer","Repeat Customer")</f>
        <v>Repeat Customer</v>
      </c>
    </row>
    <row r="746" spans="1:14">
      <c r="A746" t="s">
        <v>3635</v>
      </c>
      <c r="B746" s="1">
        <v>44949</v>
      </c>
      <c r="C746" t="s">
        <v>2088</v>
      </c>
      <c r="D746" t="s">
        <v>435</v>
      </c>
      <c r="E746" t="s">
        <v>21</v>
      </c>
      <c r="F746" t="s">
        <v>56</v>
      </c>
      <c r="G746" t="s">
        <v>210</v>
      </c>
      <c r="H746">
        <v>1</v>
      </c>
      <c r="I746" s="3">
        <v>19.95</v>
      </c>
      <c r="J746" t="s">
        <v>16</v>
      </c>
      <c r="K746" t="s">
        <v>40</v>
      </c>
      <c r="L746" s="4">
        <f>Table4[[#This Row],[quantity]]*Table4[[#This Row],[unit_price]]</f>
        <v>19.95</v>
      </c>
      <c r="M746">
        <f>COUNTIFS($C$2:$C$3934,Table4[[#This Row],[customer_id]])</f>
        <v>9</v>
      </c>
      <c r="N746" t="str">
        <f>IF(Table4[[#This Row],[customer_order_count]]=1,"New Customer","Repeat Customer")</f>
        <v>Repeat Customer</v>
      </c>
    </row>
    <row r="747" spans="1:14">
      <c r="A747" t="s">
        <v>3467</v>
      </c>
      <c r="B747" s="1">
        <v>45195</v>
      </c>
      <c r="C747" t="s">
        <v>2144</v>
      </c>
      <c r="D747" t="s">
        <v>27</v>
      </c>
      <c r="E747" t="s">
        <v>21</v>
      </c>
      <c r="F747" t="s">
        <v>28</v>
      </c>
      <c r="G747" t="s">
        <v>45</v>
      </c>
      <c r="H747">
        <v>1</v>
      </c>
      <c r="I747" s="3">
        <v>19.96</v>
      </c>
      <c r="J747" t="s">
        <v>16</v>
      </c>
      <c r="K747" t="s">
        <v>30</v>
      </c>
      <c r="L747" s="4">
        <f>Table4[[#This Row],[quantity]]*Table4[[#This Row],[unit_price]]</f>
        <v>19.96</v>
      </c>
      <c r="M747">
        <f>COUNTIFS($C$2:$C$3934,Table4[[#This Row],[customer_id]])</f>
        <v>10</v>
      </c>
      <c r="N747" t="str">
        <f>IF(Table4[[#This Row],[customer_order_count]]=1,"New Customer","Repeat Customer")</f>
        <v>Repeat Customer</v>
      </c>
    </row>
    <row r="748" spans="1:14">
      <c r="A748" t="s">
        <v>4258</v>
      </c>
      <c r="B748" s="1">
        <v>45526</v>
      </c>
      <c r="C748" t="s">
        <v>1616</v>
      </c>
      <c r="D748" s="2" t="s">
        <v>5257</v>
      </c>
      <c r="E748" t="s">
        <v>21</v>
      </c>
      <c r="F748" t="s">
        <v>56</v>
      </c>
      <c r="G748" t="s">
        <v>75</v>
      </c>
      <c r="H748">
        <v>2</v>
      </c>
      <c r="I748" s="3">
        <v>19.98</v>
      </c>
      <c r="J748" t="s">
        <v>85</v>
      </c>
      <c r="K748" t="s">
        <v>40</v>
      </c>
      <c r="L748" s="4">
        <f>Table4[[#This Row],[quantity]]*Table4[[#This Row],[unit_price]]</f>
        <v>39.96</v>
      </c>
      <c r="M748">
        <f>COUNTIFS($C$2:$C$3934,Table4[[#This Row],[customer_id]])</f>
        <v>5</v>
      </c>
      <c r="N748" t="str">
        <f>IF(Table4[[#This Row],[customer_order_count]]=1,"New Customer","Repeat Customer")</f>
        <v>Repeat Customer</v>
      </c>
    </row>
    <row r="749" spans="1:14">
      <c r="A749" t="s">
        <v>3006</v>
      </c>
      <c r="B749" s="1">
        <v>45490</v>
      </c>
      <c r="C749" t="s">
        <v>3007</v>
      </c>
      <c r="D749" s="5" t="s">
        <v>318</v>
      </c>
      <c r="E749" t="s">
        <v>61</v>
      </c>
      <c r="F749" t="s">
        <v>70</v>
      </c>
      <c r="G749" t="s">
        <v>526</v>
      </c>
      <c r="H749">
        <v>4</v>
      </c>
      <c r="I749" s="3">
        <v>19.989999999999998</v>
      </c>
      <c r="J749" t="s">
        <v>16</v>
      </c>
      <c r="K749" t="s">
        <v>40</v>
      </c>
      <c r="L749" s="4">
        <f>Table4[[#This Row],[quantity]]*Table4[[#This Row],[unit_price]]</f>
        <v>79.959999999999994</v>
      </c>
      <c r="M749">
        <f>COUNTIFS($C$2:$C$3934,Table4[[#This Row],[customer_id]])</f>
        <v>2</v>
      </c>
      <c r="N749" t="str">
        <f>IF(Table4[[#This Row],[customer_order_count]]=1,"New Customer","Repeat Customer")</f>
        <v>Repeat Customer</v>
      </c>
    </row>
    <row r="750" spans="1:14">
      <c r="A750" t="s">
        <v>2945</v>
      </c>
      <c r="B750" s="1">
        <v>45536</v>
      </c>
      <c r="C750" t="s">
        <v>540</v>
      </c>
      <c r="D750" t="s">
        <v>464</v>
      </c>
      <c r="E750" t="s">
        <v>21</v>
      </c>
      <c r="F750" t="s">
        <v>22</v>
      </c>
      <c r="G750" t="s">
        <v>135</v>
      </c>
      <c r="H750">
        <v>1</v>
      </c>
      <c r="I750" s="3">
        <v>20.059999999999999</v>
      </c>
      <c r="J750" t="s">
        <v>16</v>
      </c>
      <c r="K750" t="s">
        <v>30</v>
      </c>
      <c r="L750" s="4">
        <f>Table4[[#This Row],[quantity]]*Table4[[#This Row],[unit_price]]</f>
        <v>20.059999999999999</v>
      </c>
      <c r="M750">
        <f>COUNTIFS($C$2:$C$3934,Table4[[#This Row],[customer_id]])</f>
        <v>2</v>
      </c>
      <c r="N750" t="str">
        <f>IF(Table4[[#This Row],[customer_order_count]]=1,"New Customer","Repeat Customer")</f>
        <v>Repeat Customer</v>
      </c>
    </row>
    <row r="751" spans="1:14">
      <c r="A751" t="s">
        <v>4740</v>
      </c>
      <c r="B751" s="1">
        <v>45041</v>
      </c>
      <c r="C751" t="s">
        <v>3412</v>
      </c>
      <c r="D751" t="s">
        <v>3413</v>
      </c>
      <c r="E751" t="s">
        <v>21</v>
      </c>
      <c r="F751" t="s">
        <v>66</v>
      </c>
      <c r="G751" t="s">
        <v>217</v>
      </c>
      <c r="H751">
        <v>2</v>
      </c>
      <c r="I751" s="3">
        <v>20.079999999999998</v>
      </c>
      <c r="J751" t="s">
        <v>16</v>
      </c>
      <c r="K751" t="s">
        <v>40</v>
      </c>
      <c r="L751" s="4">
        <f>Table4[[#This Row],[quantity]]*Table4[[#This Row],[unit_price]]</f>
        <v>40.159999999999997</v>
      </c>
      <c r="M751">
        <f>COUNTIFS($C$2:$C$3934,Table4[[#This Row],[customer_id]])</f>
        <v>6</v>
      </c>
      <c r="N751" t="str">
        <f>IF(Table4[[#This Row],[customer_order_count]]=1,"New Customer","Repeat Customer")</f>
        <v>Repeat Customer</v>
      </c>
    </row>
    <row r="752" spans="1:14">
      <c r="A752" t="s">
        <v>2825</v>
      </c>
      <c r="B752" s="1">
        <v>45455</v>
      </c>
      <c r="C752" t="s">
        <v>2826</v>
      </c>
      <c r="D752" t="s">
        <v>566</v>
      </c>
      <c r="E752" t="s">
        <v>21</v>
      </c>
      <c r="F752" t="s">
        <v>28</v>
      </c>
      <c r="G752" t="s">
        <v>84</v>
      </c>
      <c r="H752">
        <v>1</v>
      </c>
      <c r="I752" s="3">
        <v>20.09</v>
      </c>
      <c r="J752" t="s">
        <v>16</v>
      </c>
      <c r="K752" t="s">
        <v>35</v>
      </c>
      <c r="L752" s="4">
        <f>Table4[[#This Row],[quantity]]*Table4[[#This Row],[unit_price]]</f>
        <v>20.09</v>
      </c>
      <c r="M752">
        <f>COUNTIFS($C$2:$C$3934,Table4[[#This Row],[customer_id]])</f>
        <v>2</v>
      </c>
      <c r="N752" t="str">
        <f>IF(Table4[[#This Row],[customer_order_count]]=1,"New Customer","Repeat Customer")</f>
        <v>Repeat Customer</v>
      </c>
    </row>
    <row r="753" spans="1:14">
      <c r="A753" t="s">
        <v>2489</v>
      </c>
      <c r="B753" s="1">
        <v>45623</v>
      </c>
      <c r="C753" t="s">
        <v>1240</v>
      </c>
      <c r="D753" t="s">
        <v>1241</v>
      </c>
      <c r="E753" t="s">
        <v>21</v>
      </c>
      <c r="F753" t="s">
        <v>66</v>
      </c>
      <c r="G753" t="s">
        <v>238</v>
      </c>
      <c r="H753">
        <v>1</v>
      </c>
      <c r="I753" s="3">
        <v>20.11</v>
      </c>
      <c r="J753" t="s">
        <v>16</v>
      </c>
      <c r="K753" t="s">
        <v>35</v>
      </c>
      <c r="L753" s="4">
        <f>Table4[[#This Row],[quantity]]*Table4[[#This Row],[unit_price]]</f>
        <v>20.11</v>
      </c>
      <c r="M753">
        <f>COUNTIFS($C$2:$C$3934,Table4[[#This Row],[customer_id]])</f>
        <v>12</v>
      </c>
      <c r="N753" t="str">
        <f>IF(Table4[[#This Row],[customer_order_count]]=1,"New Customer","Repeat Customer")</f>
        <v>Repeat Customer</v>
      </c>
    </row>
    <row r="754" spans="1:14">
      <c r="A754" t="s">
        <v>5243</v>
      </c>
      <c r="B754" s="1">
        <v>45657</v>
      </c>
      <c r="C754" t="s">
        <v>1127</v>
      </c>
      <c r="D754" t="s">
        <v>947</v>
      </c>
      <c r="E754" t="s">
        <v>21</v>
      </c>
      <c r="F754" t="s">
        <v>66</v>
      </c>
      <c r="G754" t="s">
        <v>128</v>
      </c>
      <c r="H754">
        <v>1</v>
      </c>
      <c r="I754" s="3">
        <v>20.12</v>
      </c>
      <c r="J754" t="s">
        <v>16</v>
      </c>
      <c r="K754" t="s">
        <v>30</v>
      </c>
      <c r="L754" s="4">
        <f>Table4[[#This Row],[quantity]]*Table4[[#This Row],[unit_price]]</f>
        <v>20.12</v>
      </c>
      <c r="M754">
        <f>COUNTIFS($C$2:$C$3934,Table4[[#This Row],[customer_id]])</f>
        <v>7</v>
      </c>
      <c r="N754" t="str">
        <f>IF(Table4[[#This Row],[customer_order_count]]=1,"New Customer","Repeat Customer")</f>
        <v>Repeat Customer</v>
      </c>
    </row>
    <row r="755" spans="1:14">
      <c r="A755" t="s">
        <v>1877</v>
      </c>
      <c r="B755" s="1">
        <v>45005</v>
      </c>
      <c r="C755" t="s">
        <v>749</v>
      </c>
      <c r="D755" t="s">
        <v>750</v>
      </c>
      <c r="E755" t="s">
        <v>21</v>
      </c>
      <c r="F755" t="s">
        <v>56</v>
      </c>
      <c r="G755" t="s">
        <v>422</v>
      </c>
      <c r="H755">
        <v>1</v>
      </c>
      <c r="I755" s="3">
        <v>20.13</v>
      </c>
      <c r="J755" t="s">
        <v>16</v>
      </c>
      <c r="K755" t="s">
        <v>17</v>
      </c>
      <c r="L755" s="4">
        <f>Table4[[#This Row],[quantity]]*Table4[[#This Row],[unit_price]]</f>
        <v>20.13</v>
      </c>
      <c r="M755">
        <f>COUNTIFS($C$2:$C$3934,Table4[[#This Row],[customer_id]])</f>
        <v>2</v>
      </c>
      <c r="N755" t="str">
        <f>IF(Table4[[#This Row],[customer_order_count]]=1,"New Customer","Repeat Customer")</f>
        <v>Repeat Customer</v>
      </c>
    </row>
    <row r="756" spans="1:14">
      <c r="A756" t="s">
        <v>4182</v>
      </c>
      <c r="B756" s="1">
        <v>45026</v>
      </c>
      <c r="C756" t="s">
        <v>2313</v>
      </c>
      <c r="D756" t="s">
        <v>1208</v>
      </c>
      <c r="E756" t="s">
        <v>21</v>
      </c>
      <c r="F756" t="s">
        <v>66</v>
      </c>
      <c r="G756" t="s">
        <v>217</v>
      </c>
      <c r="H756">
        <v>1</v>
      </c>
      <c r="I756" s="3">
        <v>20.13</v>
      </c>
      <c r="J756" t="s">
        <v>16</v>
      </c>
      <c r="K756" t="s">
        <v>40</v>
      </c>
      <c r="L756" s="4">
        <f>Table4[[#This Row],[quantity]]*Table4[[#This Row],[unit_price]]</f>
        <v>20.13</v>
      </c>
      <c r="M756">
        <f>COUNTIFS($C$2:$C$3934,Table4[[#This Row],[customer_id]])</f>
        <v>2</v>
      </c>
      <c r="N756" t="str">
        <f>IF(Table4[[#This Row],[customer_order_count]]=1,"New Customer","Repeat Customer")</f>
        <v>Repeat Customer</v>
      </c>
    </row>
    <row r="757" spans="1:14">
      <c r="A757" t="s">
        <v>4732</v>
      </c>
      <c r="B757" s="1">
        <v>45385</v>
      </c>
      <c r="C757" t="s">
        <v>1271</v>
      </c>
      <c r="D757" t="s">
        <v>1272</v>
      </c>
      <c r="E757" t="s">
        <v>21</v>
      </c>
      <c r="F757" t="s">
        <v>28</v>
      </c>
      <c r="G757" t="s">
        <v>84</v>
      </c>
      <c r="H757">
        <v>1</v>
      </c>
      <c r="I757" s="3">
        <v>20.14</v>
      </c>
      <c r="J757" t="s">
        <v>16</v>
      </c>
      <c r="K757" t="s">
        <v>35</v>
      </c>
      <c r="L757" s="4">
        <f>Table4[[#This Row],[quantity]]*Table4[[#This Row],[unit_price]]</f>
        <v>20.14</v>
      </c>
      <c r="M757">
        <f>COUNTIFS($C$2:$C$3934,Table4[[#This Row],[customer_id]])</f>
        <v>6</v>
      </c>
      <c r="N757" t="str">
        <f>IF(Table4[[#This Row],[customer_order_count]]=1,"New Customer","Repeat Customer")</f>
        <v>Repeat Customer</v>
      </c>
    </row>
    <row r="758" spans="1:14">
      <c r="A758" t="s">
        <v>2577</v>
      </c>
      <c r="B758" s="1">
        <v>44961</v>
      </c>
      <c r="C758" t="s">
        <v>168</v>
      </c>
      <c r="D758" t="s">
        <v>169</v>
      </c>
      <c r="E758" t="s">
        <v>21</v>
      </c>
      <c r="F758" t="s">
        <v>28</v>
      </c>
      <c r="G758" t="s">
        <v>29</v>
      </c>
      <c r="H758">
        <v>1</v>
      </c>
      <c r="I758" s="3">
        <v>20.149999999999999</v>
      </c>
      <c r="J758" t="s">
        <v>16</v>
      </c>
      <c r="K758" t="s">
        <v>40</v>
      </c>
      <c r="L758" s="4">
        <f>Table4[[#This Row],[quantity]]*Table4[[#This Row],[unit_price]]</f>
        <v>20.149999999999999</v>
      </c>
      <c r="M758">
        <f>COUNTIFS($C$2:$C$3934,Table4[[#This Row],[customer_id]])</f>
        <v>6</v>
      </c>
      <c r="N758" t="str">
        <f>IF(Table4[[#This Row],[customer_order_count]]=1,"New Customer","Repeat Customer")</f>
        <v>Repeat Customer</v>
      </c>
    </row>
    <row r="759" spans="1:14">
      <c r="A759" t="s">
        <v>4773</v>
      </c>
      <c r="B759" s="1">
        <v>45005</v>
      </c>
      <c r="C759" t="s">
        <v>3007</v>
      </c>
      <c r="D759" t="s">
        <v>318</v>
      </c>
      <c r="E759" t="s">
        <v>61</v>
      </c>
      <c r="F759" t="s">
        <v>66</v>
      </c>
      <c r="G759" t="s">
        <v>238</v>
      </c>
      <c r="H759">
        <v>1</v>
      </c>
      <c r="I759" s="3">
        <v>20.190000000000001</v>
      </c>
      <c r="J759" t="s">
        <v>85</v>
      </c>
      <c r="K759" t="s">
        <v>40</v>
      </c>
      <c r="L759" s="4">
        <f>Table4[[#This Row],[quantity]]*Table4[[#This Row],[unit_price]]</f>
        <v>20.190000000000001</v>
      </c>
      <c r="M759">
        <f>COUNTIFS($C$2:$C$3934,Table4[[#This Row],[customer_id]])</f>
        <v>2</v>
      </c>
      <c r="N759" t="str">
        <f>IF(Table4[[#This Row],[customer_order_count]]=1,"New Customer","Repeat Customer")</f>
        <v>Repeat Customer</v>
      </c>
    </row>
    <row r="760" spans="1:14">
      <c r="A760" t="s">
        <v>2231</v>
      </c>
      <c r="B760" s="1">
        <v>45521</v>
      </c>
      <c r="C760" t="s">
        <v>1129</v>
      </c>
      <c r="D760" t="s">
        <v>934</v>
      </c>
      <c r="E760" t="s">
        <v>21</v>
      </c>
      <c r="F760" t="s">
        <v>22</v>
      </c>
      <c r="G760" t="s">
        <v>162</v>
      </c>
      <c r="H760">
        <v>1</v>
      </c>
      <c r="I760" s="3">
        <v>20.2</v>
      </c>
      <c r="J760" t="s">
        <v>16</v>
      </c>
      <c r="K760" t="s">
        <v>35</v>
      </c>
      <c r="L760" s="4">
        <f>Table4[[#This Row],[quantity]]*Table4[[#This Row],[unit_price]]</f>
        <v>20.2</v>
      </c>
      <c r="M760">
        <f>COUNTIFS($C$2:$C$3934,Table4[[#This Row],[customer_id]])</f>
        <v>3</v>
      </c>
      <c r="N760" t="str">
        <f>IF(Table4[[#This Row],[customer_order_count]]=1,"New Customer","Repeat Customer")</f>
        <v>Repeat Customer</v>
      </c>
    </row>
    <row r="761" spans="1:14">
      <c r="A761" t="s">
        <v>1546</v>
      </c>
      <c r="B761" s="1">
        <v>45327</v>
      </c>
      <c r="C761" t="s">
        <v>123</v>
      </c>
      <c r="D761" t="s">
        <v>124</v>
      </c>
      <c r="E761" t="s">
        <v>44</v>
      </c>
      <c r="F761" t="s">
        <v>28</v>
      </c>
      <c r="G761" t="s">
        <v>45</v>
      </c>
      <c r="H761">
        <v>1</v>
      </c>
      <c r="I761" s="3">
        <v>20.2</v>
      </c>
      <c r="J761" t="s">
        <v>16</v>
      </c>
      <c r="K761" t="s">
        <v>30</v>
      </c>
      <c r="L761" s="4">
        <f>Table4[[#This Row],[quantity]]*Table4[[#This Row],[unit_price]]</f>
        <v>20.2</v>
      </c>
      <c r="M761">
        <f>COUNTIFS($C$2:$C$3934,Table4[[#This Row],[customer_id]])</f>
        <v>4</v>
      </c>
      <c r="N761" t="str">
        <f>IF(Table4[[#This Row],[customer_order_count]]=1,"New Customer","Repeat Customer")</f>
        <v>Repeat Customer</v>
      </c>
    </row>
    <row r="762" spans="1:14">
      <c r="A762" t="s">
        <v>3229</v>
      </c>
      <c r="B762" s="1">
        <v>45403</v>
      </c>
      <c r="C762" t="s">
        <v>3230</v>
      </c>
      <c r="D762" t="s">
        <v>1006</v>
      </c>
      <c r="E762" t="s">
        <v>61</v>
      </c>
      <c r="F762" t="s">
        <v>66</v>
      </c>
      <c r="G762" t="s">
        <v>49</v>
      </c>
      <c r="H762">
        <v>1</v>
      </c>
      <c r="I762" s="3">
        <v>20.21</v>
      </c>
      <c r="J762" t="s">
        <v>85</v>
      </c>
      <c r="K762" t="s">
        <v>35</v>
      </c>
      <c r="L762" s="4">
        <f>Table4[[#This Row],[quantity]]*Table4[[#This Row],[unit_price]]</f>
        <v>20.21</v>
      </c>
      <c r="M762">
        <f>COUNTIFS($C$2:$C$3934,Table4[[#This Row],[customer_id]])</f>
        <v>3</v>
      </c>
      <c r="N762" t="str">
        <f>IF(Table4[[#This Row],[customer_order_count]]=1,"New Customer","Repeat Customer")</f>
        <v>Repeat Customer</v>
      </c>
    </row>
    <row r="763" spans="1:14">
      <c r="A763" t="s">
        <v>790</v>
      </c>
      <c r="B763" s="1">
        <v>45221</v>
      </c>
      <c r="C763" t="s">
        <v>591</v>
      </c>
      <c r="D763" t="s">
        <v>592</v>
      </c>
      <c r="E763" t="s">
        <v>21</v>
      </c>
      <c r="F763" t="s">
        <v>22</v>
      </c>
      <c r="G763" t="s">
        <v>142</v>
      </c>
      <c r="H763">
        <v>2</v>
      </c>
      <c r="I763" s="3">
        <v>20.21</v>
      </c>
      <c r="J763" t="s">
        <v>16</v>
      </c>
      <c r="K763" t="s">
        <v>17</v>
      </c>
      <c r="L763" s="4">
        <f>Table4[[#This Row],[quantity]]*Table4[[#This Row],[unit_price]]</f>
        <v>40.42</v>
      </c>
      <c r="M763">
        <f>COUNTIFS($C$2:$C$3934,Table4[[#This Row],[customer_id]])</f>
        <v>6</v>
      </c>
      <c r="N763" t="str">
        <f>IF(Table4[[#This Row],[customer_order_count]]=1,"New Customer","Repeat Customer")</f>
        <v>Repeat Customer</v>
      </c>
    </row>
    <row r="764" spans="1:14">
      <c r="A764" t="s">
        <v>1755</v>
      </c>
      <c r="B764" s="1">
        <v>45641</v>
      </c>
      <c r="C764" t="s">
        <v>675</v>
      </c>
      <c r="D764" t="s">
        <v>769</v>
      </c>
      <c r="E764" t="s">
        <v>21</v>
      </c>
      <c r="F764" t="s">
        <v>22</v>
      </c>
      <c r="G764" t="s">
        <v>162</v>
      </c>
      <c r="H764">
        <v>1</v>
      </c>
      <c r="I764" s="3">
        <v>20.25</v>
      </c>
      <c r="J764" t="s">
        <v>16</v>
      </c>
      <c r="K764" s="2" t="s">
        <v>5256</v>
      </c>
      <c r="L764" s="4">
        <f>Table4[[#This Row],[quantity]]*Table4[[#This Row],[unit_price]]</f>
        <v>20.25</v>
      </c>
      <c r="M764">
        <f>COUNTIFS($C$2:$C$3934,Table4[[#This Row],[customer_id]])</f>
        <v>4</v>
      </c>
      <c r="N764" t="str">
        <f>IF(Table4[[#This Row],[customer_order_count]]=1,"New Customer","Repeat Customer")</f>
        <v>Repeat Customer</v>
      </c>
    </row>
    <row r="765" spans="1:14">
      <c r="A765" t="s">
        <v>4775</v>
      </c>
      <c r="B765" s="1">
        <v>45498</v>
      </c>
      <c r="C765" t="s">
        <v>733</v>
      </c>
      <c r="D765" t="s">
        <v>734</v>
      </c>
      <c r="E765" t="s">
        <v>21</v>
      </c>
      <c r="F765" t="s">
        <v>56</v>
      </c>
      <c r="G765" t="s">
        <v>118</v>
      </c>
      <c r="H765">
        <v>1</v>
      </c>
      <c r="I765" s="3">
        <v>20.27</v>
      </c>
      <c r="J765" t="s">
        <v>16</v>
      </c>
      <c r="K765" s="5" t="s">
        <v>40</v>
      </c>
      <c r="L765" s="4">
        <f>Table4[[#This Row],[quantity]]*Table4[[#This Row],[unit_price]]</f>
        <v>20.27</v>
      </c>
      <c r="M765">
        <f>COUNTIFS($C$2:$C$3934,Table4[[#This Row],[customer_id]])</f>
        <v>5</v>
      </c>
      <c r="N765" t="str">
        <f>IF(Table4[[#This Row],[customer_order_count]]=1,"New Customer","Repeat Customer")</f>
        <v>Repeat Customer</v>
      </c>
    </row>
    <row r="766" spans="1:14">
      <c r="A766" t="s">
        <v>2614</v>
      </c>
      <c r="B766" s="1">
        <v>45346</v>
      </c>
      <c r="C766" t="s">
        <v>614</v>
      </c>
      <c r="D766" t="s">
        <v>286</v>
      </c>
      <c r="E766" t="s">
        <v>21</v>
      </c>
      <c r="F766" t="s">
        <v>66</v>
      </c>
      <c r="G766" t="s">
        <v>67</v>
      </c>
      <c r="H766">
        <v>1</v>
      </c>
      <c r="I766" s="3">
        <v>20.28</v>
      </c>
      <c r="J766" t="s">
        <v>16</v>
      </c>
      <c r="K766" t="s">
        <v>40</v>
      </c>
      <c r="L766" s="4">
        <f>Table4[[#This Row],[quantity]]*Table4[[#This Row],[unit_price]]</f>
        <v>20.28</v>
      </c>
      <c r="M766">
        <f>COUNTIFS($C$2:$C$3934,Table4[[#This Row],[customer_id]])</f>
        <v>4</v>
      </c>
      <c r="N766" t="str">
        <f>IF(Table4[[#This Row],[customer_order_count]]=1,"New Customer","Repeat Customer")</f>
        <v>Repeat Customer</v>
      </c>
    </row>
    <row r="767" spans="1:14">
      <c r="A767" t="s">
        <v>3506</v>
      </c>
      <c r="B767" s="1">
        <v>45368</v>
      </c>
      <c r="C767" t="s">
        <v>37</v>
      </c>
      <c r="D767" t="s">
        <v>38</v>
      </c>
      <c r="E767" t="s">
        <v>44</v>
      </c>
      <c r="F767" t="s">
        <v>66</v>
      </c>
      <c r="G767" t="s">
        <v>49</v>
      </c>
      <c r="H767">
        <v>2</v>
      </c>
      <c r="I767" s="3">
        <v>20.29</v>
      </c>
      <c r="J767" t="s">
        <v>16</v>
      </c>
      <c r="K767" t="s">
        <v>30</v>
      </c>
      <c r="L767" s="4">
        <f>Table4[[#This Row],[quantity]]*Table4[[#This Row],[unit_price]]</f>
        <v>40.58</v>
      </c>
      <c r="M767">
        <f>COUNTIFS($C$2:$C$3934,Table4[[#This Row],[customer_id]])</f>
        <v>7</v>
      </c>
      <c r="N767" t="str">
        <f>IF(Table4[[#This Row],[customer_order_count]]=1,"New Customer","Repeat Customer")</f>
        <v>Repeat Customer</v>
      </c>
    </row>
    <row r="768" spans="1:14">
      <c r="A768" t="s">
        <v>373</v>
      </c>
      <c r="B768" s="1">
        <v>45163</v>
      </c>
      <c r="C768" t="s">
        <v>374</v>
      </c>
      <c r="D768" t="s">
        <v>121</v>
      </c>
      <c r="E768" t="s">
        <v>21</v>
      </c>
      <c r="F768" t="s">
        <v>28</v>
      </c>
      <c r="G768" t="s">
        <v>45</v>
      </c>
      <c r="H768">
        <v>1</v>
      </c>
      <c r="I768" s="3">
        <v>20.309999999999999</v>
      </c>
      <c r="J768" t="s">
        <v>16</v>
      </c>
      <c r="K768" t="s">
        <v>40</v>
      </c>
      <c r="L768" s="4">
        <f>Table4[[#This Row],[quantity]]*Table4[[#This Row],[unit_price]]</f>
        <v>20.309999999999999</v>
      </c>
      <c r="M768">
        <f>COUNTIFS($C$2:$C$3934,Table4[[#This Row],[customer_id]])</f>
        <v>4</v>
      </c>
      <c r="N768" t="str">
        <f>IF(Table4[[#This Row],[customer_order_count]]=1,"New Customer","Repeat Customer")</f>
        <v>Repeat Customer</v>
      </c>
    </row>
    <row r="769" spans="1:14">
      <c r="A769" t="s">
        <v>4081</v>
      </c>
      <c r="B769" s="1">
        <v>45295</v>
      </c>
      <c r="C769" t="s">
        <v>1747</v>
      </c>
      <c r="D769" t="s">
        <v>1748</v>
      </c>
      <c r="E769" t="s">
        <v>21</v>
      </c>
      <c r="F769" t="s">
        <v>14</v>
      </c>
      <c r="G769" t="s">
        <v>39</v>
      </c>
      <c r="H769">
        <v>1</v>
      </c>
      <c r="I769" s="3">
        <v>20.329999999999998</v>
      </c>
      <c r="J769" t="s">
        <v>16</v>
      </c>
      <c r="K769" t="s">
        <v>17</v>
      </c>
      <c r="L769" s="4">
        <f>Table4[[#This Row],[quantity]]*Table4[[#This Row],[unit_price]]</f>
        <v>20.329999999999998</v>
      </c>
      <c r="M769">
        <f>COUNTIFS($C$2:$C$3934,Table4[[#This Row],[customer_id]])</f>
        <v>8</v>
      </c>
      <c r="N769" t="str">
        <f>IF(Table4[[#This Row],[customer_order_count]]=1,"New Customer","Repeat Customer")</f>
        <v>Repeat Customer</v>
      </c>
    </row>
    <row r="770" spans="1:14">
      <c r="A770" t="s">
        <v>4590</v>
      </c>
      <c r="B770" s="1">
        <v>45578</v>
      </c>
      <c r="C770" t="s">
        <v>1567</v>
      </c>
      <c r="D770" t="s">
        <v>109</v>
      </c>
      <c r="E770" t="s">
        <v>21</v>
      </c>
      <c r="F770" t="s">
        <v>28</v>
      </c>
      <c r="G770" t="s">
        <v>29</v>
      </c>
      <c r="H770">
        <v>2</v>
      </c>
      <c r="I770" s="3">
        <v>20.329999999999998</v>
      </c>
      <c r="J770" t="s">
        <v>16</v>
      </c>
      <c r="K770" t="s">
        <v>17</v>
      </c>
      <c r="L770" s="4">
        <f>Table4[[#This Row],[quantity]]*Table4[[#This Row],[unit_price]]</f>
        <v>40.659999999999997</v>
      </c>
      <c r="M770">
        <f>COUNTIFS($C$2:$C$3934,Table4[[#This Row],[customer_id]])</f>
        <v>6</v>
      </c>
      <c r="N770" t="str">
        <f>IF(Table4[[#This Row],[customer_order_count]]=1,"New Customer","Repeat Customer")</f>
        <v>Repeat Customer</v>
      </c>
    </row>
    <row r="771" spans="1:14">
      <c r="A771" t="s">
        <v>2434</v>
      </c>
      <c r="B771" s="1">
        <v>45483</v>
      </c>
      <c r="C771" t="s">
        <v>2435</v>
      </c>
      <c r="D771" t="s">
        <v>758</v>
      </c>
      <c r="E771" t="s">
        <v>21</v>
      </c>
      <c r="F771" t="s">
        <v>70</v>
      </c>
      <c r="G771" t="s">
        <v>337</v>
      </c>
      <c r="H771">
        <v>1</v>
      </c>
      <c r="I771" s="3">
        <v>20.34</v>
      </c>
      <c r="J771" t="s">
        <v>16</v>
      </c>
      <c r="K771" t="s">
        <v>30</v>
      </c>
      <c r="L771" s="4">
        <f>Table4[[#This Row],[quantity]]*Table4[[#This Row],[unit_price]]</f>
        <v>20.34</v>
      </c>
      <c r="M771">
        <f>COUNTIFS($C$2:$C$3934,Table4[[#This Row],[customer_id]])</f>
        <v>5</v>
      </c>
      <c r="N771" t="str">
        <f>IF(Table4[[#This Row],[customer_order_count]]=1,"New Customer","Repeat Customer")</f>
        <v>Repeat Customer</v>
      </c>
    </row>
    <row r="772" spans="1:14">
      <c r="A772" t="s">
        <v>3332</v>
      </c>
      <c r="B772" s="1">
        <v>45139</v>
      </c>
      <c r="C772" t="s">
        <v>827</v>
      </c>
      <c r="D772" t="s">
        <v>828</v>
      </c>
      <c r="E772" t="s">
        <v>21</v>
      </c>
      <c r="F772" t="s">
        <v>14</v>
      </c>
      <c r="G772" t="s">
        <v>258</v>
      </c>
      <c r="H772">
        <v>2</v>
      </c>
      <c r="I772" s="3">
        <v>20.34</v>
      </c>
      <c r="J772" t="s">
        <v>16</v>
      </c>
      <c r="K772" t="s">
        <v>17</v>
      </c>
      <c r="L772" s="4">
        <f>Table4[[#This Row],[quantity]]*Table4[[#This Row],[unit_price]]</f>
        <v>40.68</v>
      </c>
      <c r="M772">
        <f>COUNTIFS($C$2:$C$3934,Table4[[#This Row],[customer_id]])</f>
        <v>6</v>
      </c>
      <c r="N772" t="str">
        <f>IF(Table4[[#This Row],[customer_order_count]]=1,"New Customer","Repeat Customer")</f>
        <v>Repeat Customer</v>
      </c>
    </row>
    <row r="773" spans="1:14">
      <c r="A773" t="s">
        <v>2709</v>
      </c>
      <c r="B773" s="1">
        <v>45443</v>
      </c>
      <c r="C773" t="s">
        <v>1710</v>
      </c>
      <c r="D773" t="s">
        <v>396</v>
      </c>
      <c r="E773" t="s">
        <v>21</v>
      </c>
      <c r="F773" t="s">
        <v>14</v>
      </c>
      <c r="G773" t="s">
        <v>100</v>
      </c>
      <c r="H773">
        <v>1</v>
      </c>
      <c r="I773" s="3">
        <v>20.350000000000001</v>
      </c>
      <c r="J773" t="s">
        <v>16</v>
      </c>
      <c r="K773" t="s">
        <v>30</v>
      </c>
      <c r="L773" s="4">
        <f>Table4[[#This Row],[quantity]]*Table4[[#This Row],[unit_price]]</f>
        <v>20.350000000000001</v>
      </c>
      <c r="M773">
        <f>COUNTIFS($C$2:$C$3934,Table4[[#This Row],[customer_id]])</f>
        <v>10</v>
      </c>
      <c r="N773" t="str">
        <f>IF(Table4[[#This Row],[customer_order_count]]=1,"New Customer","Repeat Customer")</f>
        <v>Repeat Customer</v>
      </c>
    </row>
    <row r="774" spans="1:14">
      <c r="A774" t="s">
        <v>2363</v>
      </c>
      <c r="B774" s="1">
        <v>45646</v>
      </c>
      <c r="C774" t="s">
        <v>1580</v>
      </c>
      <c r="D774" t="s">
        <v>525</v>
      </c>
      <c r="E774" t="s">
        <v>44</v>
      </c>
      <c r="F774" t="s">
        <v>66</v>
      </c>
      <c r="G774" t="s">
        <v>217</v>
      </c>
      <c r="H774">
        <v>1</v>
      </c>
      <c r="I774" s="3">
        <v>20.36</v>
      </c>
      <c r="J774" t="s">
        <v>16</v>
      </c>
      <c r="K774" t="s">
        <v>35</v>
      </c>
      <c r="L774" s="4">
        <f>Table4[[#This Row],[quantity]]*Table4[[#This Row],[unit_price]]</f>
        <v>20.36</v>
      </c>
      <c r="M774">
        <f>COUNTIFS($C$2:$C$3934,Table4[[#This Row],[customer_id]])</f>
        <v>7</v>
      </c>
      <c r="N774" t="str">
        <f>IF(Table4[[#This Row],[customer_order_count]]=1,"New Customer","Repeat Customer")</f>
        <v>Repeat Customer</v>
      </c>
    </row>
    <row r="775" spans="1:14">
      <c r="A775" t="s">
        <v>4096</v>
      </c>
      <c r="B775" s="1">
        <v>45216</v>
      </c>
      <c r="C775" t="s">
        <v>1777</v>
      </c>
      <c r="D775" s="2" t="s">
        <v>5257</v>
      </c>
      <c r="E775" t="s">
        <v>21</v>
      </c>
      <c r="F775" t="s">
        <v>70</v>
      </c>
      <c r="G775" t="s">
        <v>89</v>
      </c>
      <c r="H775">
        <v>1</v>
      </c>
      <c r="I775" s="3">
        <v>20.37</v>
      </c>
      <c r="J775" t="s">
        <v>16</v>
      </c>
      <c r="K775" t="s">
        <v>30</v>
      </c>
      <c r="L775" s="4">
        <f>Table4[[#This Row],[quantity]]*Table4[[#This Row],[unit_price]]</f>
        <v>20.37</v>
      </c>
      <c r="M775">
        <f>COUNTIFS($C$2:$C$3934,Table4[[#This Row],[customer_id]])</f>
        <v>3</v>
      </c>
      <c r="N775" t="str">
        <f>IF(Table4[[#This Row],[customer_order_count]]=1,"New Customer","Repeat Customer")</f>
        <v>Repeat Customer</v>
      </c>
    </row>
    <row r="776" spans="1:14">
      <c r="A776" t="s">
        <v>4852</v>
      </c>
      <c r="B776" s="1">
        <v>45188</v>
      </c>
      <c r="C776" t="s">
        <v>243</v>
      </c>
      <c r="D776" s="5" t="s">
        <v>244</v>
      </c>
      <c r="E776" t="s">
        <v>21</v>
      </c>
      <c r="F776" t="s">
        <v>22</v>
      </c>
      <c r="G776" t="s">
        <v>162</v>
      </c>
      <c r="H776">
        <v>2</v>
      </c>
      <c r="I776" s="3">
        <v>20.39</v>
      </c>
      <c r="J776" t="s">
        <v>16</v>
      </c>
      <c r="K776" t="s">
        <v>40</v>
      </c>
      <c r="L776" s="4">
        <f>Table4[[#This Row],[quantity]]*Table4[[#This Row],[unit_price]]</f>
        <v>40.78</v>
      </c>
      <c r="M776">
        <f>COUNTIFS($C$2:$C$3934,Table4[[#This Row],[customer_id]])</f>
        <v>8</v>
      </c>
      <c r="N776" t="str">
        <f>IF(Table4[[#This Row],[customer_order_count]]=1,"New Customer","Repeat Customer")</f>
        <v>Repeat Customer</v>
      </c>
    </row>
    <row r="777" spans="1:14">
      <c r="A777" t="s">
        <v>4319</v>
      </c>
      <c r="B777" s="1">
        <v>45431</v>
      </c>
      <c r="C777" t="s">
        <v>4320</v>
      </c>
      <c r="D777" t="s">
        <v>1453</v>
      </c>
      <c r="E777" t="s">
        <v>61</v>
      </c>
      <c r="F777" t="s">
        <v>22</v>
      </c>
      <c r="G777" t="s">
        <v>264</v>
      </c>
      <c r="H777">
        <v>2</v>
      </c>
      <c r="I777" s="3">
        <v>20.39</v>
      </c>
      <c r="J777" t="s">
        <v>24</v>
      </c>
      <c r="K777" t="s">
        <v>17</v>
      </c>
      <c r="L777" s="4">
        <f>Table4[[#This Row],[quantity]]*Table4[[#This Row],[unit_price]]</f>
        <v>40.78</v>
      </c>
      <c r="M777">
        <f>COUNTIFS($C$2:$C$3934,Table4[[#This Row],[customer_id]])</f>
        <v>3</v>
      </c>
      <c r="N777" t="str">
        <f>IF(Table4[[#This Row],[customer_order_count]]=1,"New Customer","Repeat Customer")</f>
        <v>Repeat Customer</v>
      </c>
    </row>
    <row r="778" spans="1:14">
      <c r="A778" t="s">
        <v>1649</v>
      </c>
      <c r="B778" s="1">
        <v>45496</v>
      </c>
      <c r="C778" t="s">
        <v>1381</v>
      </c>
      <c r="D778" t="s">
        <v>510</v>
      </c>
      <c r="E778" t="s">
        <v>21</v>
      </c>
      <c r="F778" t="s">
        <v>28</v>
      </c>
      <c r="G778" t="s">
        <v>139</v>
      </c>
      <c r="H778">
        <v>3</v>
      </c>
      <c r="I778" s="3">
        <v>20.39</v>
      </c>
      <c r="J778" t="s">
        <v>16</v>
      </c>
      <c r="K778" t="s">
        <v>30</v>
      </c>
      <c r="L778" s="4">
        <f>Table4[[#This Row],[quantity]]*Table4[[#This Row],[unit_price]]</f>
        <v>61.17</v>
      </c>
      <c r="M778">
        <f>COUNTIFS($C$2:$C$3934,Table4[[#This Row],[customer_id]])</f>
        <v>5</v>
      </c>
      <c r="N778" t="str">
        <f>IF(Table4[[#This Row],[customer_order_count]]=1,"New Customer","Repeat Customer")</f>
        <v>Repeat Customer</v>
      </c>
    </row>
    <row r="779" spans="1:14">
      <c r="A779" t="s">
        <v>1550</v>
      </c>
      <c r="B779" s="1">
        <v>45128</v>
      </c>
      <c r="C779" t="s">
        <v>1551</v>
      </c>
      <c r="D779" t="s">
        <v>1552</v>
      </c>
      <c r="E779" t="s">
        <v>44</v>
      </c>
      <c r="F779" t="s">
        <v>66</v>
      </c>
      <c r="G779" t="s">
        <v>238</v>
      </c>
      <c r="H779">
        <v>1</v>
      </c>
      <c r="I779" s="3">
        <v>20.440000000000001</v>
      </c>
      <c r="J779" t="s">
        <v>16</v>
      </c>
      <c r="K779" t="s">
        <v>35</v>
      </c>
      <c r="L779" s="4">
        <f>Table4[[#This Row],[quantity]]*Table4[[#This Row],[unit_price]]</f>
        <v>20.440000000000001</v>
      </c>
      <c r="M779">
        <f>COUNTIFS($C$2:$C$3934,Table4[[#This Row],[customer_id]])</f>
        <v>2</v>
      </c>
      <c r="N779" t="str">
        <f>IF(Table4[[#This Row],[customer_order_count]]=1,"New Customer","Repeat Customer")</f>
        <v>Repeat Customer</v>
      </c>
    </row>
    <row r="780" spans="1:14">
      <c r="A780" t="s">
        <v>2051</v>
      </c>
      <c r="B780" s="1">
        <v>45338</v>
      </c>
      <c r="C780" t="s">
        <v>668</v>
      </c>
      <c r="D780" t="s">
        <v>669</v>
      </c>
      <c r="E780" t="s">
        <v>44</v>
      </c>
      <c r="F780" t="s">
        <v>70</v>
      </c>
      <c r="G780" t="s">
        <v>170</v>
      </c>
      <c r="H780">
        <v>1</v>
      </c>
      <c r="I780" s="3">
        <v>20.440000000000001</v>
      </c>
      <c r="J780" t="s">
        <v>16</v>
      </c>
      <c r="K780" t="s">
        <v>35</v>
      </c>
      <c r="L780" s="4">
        <f>Table4[[#This Row],[quantity]]*Table4[[#This Row],[unit_price]]</f>
        <v>20.440000000000001</v>
      </c>
      <c r="M780">
        <f>COUNTIFS($C$2:$C$3934,Table4[[#This Row],[customer_id]])</f>
        <v>7</v>
      </c>
      <c r="N780" t="str">
        <f>IF(Table4[[#This Row],[customer_order_count]]=1,"New Customer","Repeat Customer")</f>
        <v>Repeat Customer</v>
      </c>
    </row>
    <row r="781" spans="1:14">
      <c r="A781" t="s">
        <v>2145</v>
      </c>
      <c r="B781" s="1">
        <v>45347</v>
      </c>
      <c r="C781" t="s">
        <v>481</v>
      </c>
      <c r="D781" t="s">
        <v>247</v>
      </c>
      <c r="E781" t="s">
        <v>21</v>
      </c>
      <c r="F781" t="s">
        <v>66</v>
      </c>
      <c r="G781" t="s">
        <v>67</v>
      </c>
      <c r="H781">
        <v>1</v>
      </c>
      <c r="I781" s="3">
        <v>20.440000000000001</v>
      </c>
      <c r="J781" t="s">
        <v>24</v>
      </c>
      <c r="K781" t="s">
        <v>17</v>
      </c>
      <c r="L781" s="4">
        <f>Table4[[#This Row],[quantity]]*Table4[[#This Row],[unit_price]]</f>
        <v>20.440000000000001</v>
      </c>
      <c r="M781">
        <f>COUNTIFS($C$2:$C$3934,Table4[[#This Row],[customer_id]])</f>
        <v>7</v>
      </c>
      <c r="N781" t="str">
        <f>IF(Table4[[#This Row],[customer_order_count]]=1,"New Customer","Repeat Customer")</f>
        <v>Repeat Customer</v>
      </c>
    </row>
    <row r="782" spans="1:14">
      <c r="A782" t="s">
        <v>3446</v>
      </c>
      <c r="B782" s="1">
        <v>45537</v>
      </c>
      <c r="C782" t="s">
        <v>655</v>
      </c>
      <c r="D782" t="s">
        <v>597</v>
      </c>
      <c r="E782" t="s">
        <v>21</v>
      </c>
      <c r="F782" t="s">
        <v>28</v>
      </c>
      <c r="G782" t="s">
        <v>84</v>
      </c>
      <c r="H782">
        <v>1</v>
      </c>
      <c r="I782" s="3">
        <v>20.45</v>
      </c>
      <c r="J782" t="s">
        <v>16</v>
      </c>
      <c r="K782" t="s">
        <v>30</v>
      </c>
      <c r="L782" s="4">
        <f>Table4[[#This Row],[quantity]]*Table4[[#This Row],[unit_price]]</f>
        <v>20.45</v>
      </c>
      <c r="M782">
        <f>COUNTIFS($C$2:$C$3934,Table4[[#This Row],[customer_id]])</f>
        <v>12</v>
      </c>
      <c r="N782" t="str">
        <f>IF(Table4[[#This Row],[customer_order_count]]=1,"New Customer","Repeat Customer")</f>
        <v>Repeat Customer</v>
      </c>
    </row>
    <row r="783" spans="1:14">
      <c r="A783" t="s">
        <v>2782</v>
      </c>
      <c r="B783" s="1">
        <v>45329</v>
      </c>
      <c r="C783" t="s">
        <v>2774</v>
      </c>
      <c r="D783" t="s">
        <v>560</v>
      </c>
      <c r="E783" t="s">
        <v>61</v>
      </c>
      <c r="F783" t="s">
        <v>79</v>
      </c>
      <c r="G783" t="s">
        <v>230</v>
      </c>
      <c r="H783">
        <v>2</v>
      </c>
      <c r="I783" s="3">
        <v>20.45</v>
      </c>
      <c r="J783" t="s">
        <v>16</v>
      </c>
      <c r="K783" t="s">
        <v>30</v>
      </c>
      <c r="L783" s="4">
        <f>Table4[[#This Row],[quantity]]*Table4[[#This Row],[unit_price]]</f>
        <v>40.9</v>
      </c>
      <c r="M783">
        <f>COUNTIFS($C$2:$C$3934,Table4[[#This Row],[customer_id]])</f>
        <v>3</v>
      </c>
      <c r="N783" t="str">
        <f>IF(Table4[[#This Row],[customer_order_count]]=1,"New Customer","Repeat Customer")</f>
        <v>Repeat Customer</v>
      </c>
    </row>
    <row r="784" spans="1:14">
      <c r="A784" t="s">
        <v>3031</v>
      </c>
      <c r="B784" s="1">
        <v>45010</v>
      </c>
      <c r="C784" t="s">
        <v>1423</v>
      </c>
      <c r="D784" t="s">
        <v>1203</v>
      </c>
      <c r="E784" t="s">
        <v>21</v>
      </c>
      <c r="F784" t="s">
        <v>66</v>
      </c>
      <c r="G784" t="s">
        <v>238</v>
      </c>
      <c r="H784">
        <v>2</v>
      </c>
      <c r="I784" s="3">
        <v>20.45</v>
      </c>
      <c r="J784" t="s">
        <v>16</v>
      </c>
      <c r="K784" t="s">
        <v>30</v>
      </c>
      <c r="L784" s="4">
        <f>Table4[[#This Row],[quantity]]*Table4[[#This Row],[unit_price]]</f>
        <v>40.9</v>
      </c>
      <c r="M784">
        <f>COUNTIFS($C$2:$C$3934,Table4[[#This Row],[customer_id]])</f>
        <v>3</v>
      </c>
      <c r="N784" t="str">
        <f>IF(Table4[[#This Row],[customer_order_count]]=1,"New Customer","Repeat Customer")</f>
        <v>Repeat Customer</v>
      </c>
    </row>
    <row r="785" spans="1:14">
      <c r="A785" t="s">
        <v>2541</v>
      </c>
      <c r="B785" s="1">
        <v>44994</v>
      </c>
      <c r="C785" t="s">
        <v>1516</v>
      </c>
      <c r="D785" t="s">
        <v>1517</v>
      </c>
      <c r="E785" t="s">
        <v>21</v>
      </c>
      <c r="F785" t="s">
        <v>22</v>
      </c>
      <c r="G785" t="s">
        <v>142</v>
      </c>
      <c r="H785">
        <v>5</v>
      </c>
      <c r="I785" s="3">
        <v>20.45</v>
      </c>
      <c r="J785" t="s">
        <v>16</v>
      </c>
      <c r="K785" s="2" t="s">
        <v>5256</v>
      </c>
      <c r="L785" s="4">
        <f>Table4[[#This Row],[quantity]]*Table4[[#This Row],[unit_price]]</f>
        <v>102.25</v>
      </c>
      <c r="M785">
        <f>COUNTIFS($C$2:$C$3934,Table4[[#This Row],[customer_id]])</f>
        <v>6</v>
      </c>
      <c r="N785" t="str">
        <f>IF(Table4[[#This Row],[customer_order_count]]=1,"New Customer","Repeat Customer")</f>
        <v>Repeat Customer</v>
      </c>
    </row>
    <row r="786" spans="1:14">
      <c r="A786" t="s">
        <v>860</v>
      </c>
      <c r="B786" s="1">
        <v>45155</v>
      </c>
      <c r="C786" t="s">
        <v>861</v>
      </c>
      <c r="D786" t="s">
        <v>787</v>
      </c>
      <c r="E786" t="s">
        <v>21</v>
      </c>
      <c r="F786" t="s">
        <v>79</v>
      </c>
      <c r="G786" t="s">
        <v>230</v>
      </c>
      <c r="H786">
        <v>1</v>
      </c>
      <c r="I786" s="3">
        <v>20.46</v>
      </c>
      <c r="J786" t="s">
        <v>16</v>
      </c>
      <c r="K786" s="5" t="s">
        <v>30</v>
      </c>
      <c r="L786" s="4">
        <f>Table4[[#This Row],[quantity]]*Table4[[#This Row],[unit_price]]</f>
        <v>20.46</v>
      </c>
      <c r="M786">
        <f>COUNTIFS($C$2:$C$3934,Table4[[#This Row],[customer_id]])</f>
        <v>9</v>
      </c>
      <c r="N786" t="str">
        <f>IF(Table4[[#This Row],[customer_order_count]]=1,"New Customer","Repeat Customer")</f>
        <v>Repeat Customer</v>
      </c>
    </row>
    <row r="787" spans="1:14">
      <c r="A787" t="s">
        <v>1157</v>
      </c>
      <c r="B787" s="1">
        <v>45501</v>
      </c>
      <c r="C787" t="s">
        <v>1158</v>
      </c>
      <c r="D787" t="s">
        <v>449</v>
      </c>
      <c r="E787" t="s">
        <v>21</v>
      </c>
      <c r="F787" t="s">
        <v>66</v>
      </c>
      <c r="G787" t="s">
        <v>128</v>
      </c>
      <c r="H787">
        <v>1</v>
      </c>
      <c r="I787" s="3">
        <v>20.46</v>
      </c>
      <c r="J787" t="s">
        <v>16</v>
      </c>
      <c r="K787" t="s">
        <v>40</v>
      </c>
      <c r="L787" s="4">
        <f>Table4[[#This Row],[quantity]]*Table4[[#This Row],[unit_price]]</f>
        <v>20.46</v>
      </c>
      <c r="M787">
        <f>COUNTIFS($C$2:$C$3934,Table4[[#This Row],[customer_id]])</f>
        <v>5</v>
      </c>
      <c r="N787" t="str">
        <f>IF(Table4[[#This Row],[customer_order_count]]=1,"New Customer","Repeat Customer")</f>
        <v>Repeat Customer</v>
      </c>
    </row>
    <row r="788" spans="1:14">
      <c r="A788" t="s">
        <v>2940</v>
      </c>
      <c r="B788" s="1">
        <v>45459</v>
      </c>
      <c r="C788" t="s">
        <v>568</v>
      </c>
      <c r="D788" t="s">
        <v>569</v>
      </c>
      <c r="E788" t="s">
        <v>21</v>
      </c>
      <c r="F788" t="s">
        <v>70</v>
      </c>
      <c r="G788" t="s">
        <v>89</v>
      </c>
      <c r="H788">
        <v>1</v>
      </c>
      <c r="I788" s="3">
        <v>20.47</v>
      </c>
      <c r="J788" t="s">
        <v>16</v>
      </c>
      <c r="K788" t="s">
        <v>17</v>
      </c>
      <c r="L788" s="4">
        <f>Table4[[#This Row],[quantity]]*Table4[[#This Row],[unit_price]]</f>
        <v>20.47</v>
      </c>
      <c r="M788">
        <f>COUNTIFS($C$2:$C$3934,Table4[[#This Row],[customer_id]])</f>
        <v>4</v>
      </c>
      <c r="N788" t="str">
        <f>IF(Table4[[#This Row],[customer_order_count]]=1,"New Customer","Repeat Customer")</f>
        <v>Repeat Customer</v>
      </c>
    </row>
    <row r="789" spans="1:14">
      <c r="A789" t="s">
        <v>5058</v>
      </c>
      <c r="B789" s="1">
        <v>45039</v>
      </c>
      <c r="C789" t="s">
        <v>807</v>
      </c>
      <c r="D789" t="s">
        <v>808</v>
      </c>
      <c r="E789" t="s">
        <v>21</v>
      </c>
      <c r="F789" t="s">
        <v>56</v>
      </c>
      <c r="G789" t="s">
        <v>75</v>
      </c>
      <c r="H789">
        <v>2</v>
      </c>
      <c r="I789" s="3">
        <v>20.47</v>
      </c>
      <c r="J789" t="s">
        <v>16</v>
      </c>
      <c r="K789" t="s">
        <v>17</v>
      </c>
      <c r="L789" s="4">
        <f>Table4[[#This Row],[quantity]]*Table4[[#This Row],[unit_price]]</f>
        <v>40.94</v>
      </c>
      <c r="M789">
        <f>COUNTIFS($C$2:$C$3934,Table4[[#This Row],[customer_id]])</f>
        <v>6</v>
      </c>
      <c r="N789" t="str">
        <f>IF(Table4[[#This Row],[customer_order_count]]=1,"New Customer","Repeat Customer")</f>
        <v>Repeat Customer</v>
      </c>
    </row>
    <row r="790" spans="1:14">
      <c r="A790" t="s">
        <v>2928</v>
      </c>
      <c r="B790" s="1">
        <v>44996</v>
      </c>
      <c r="C790" t="s">
        <v>1532</v>
      </c>
      <c r="D790" t="s">
        <v>1533</v>
      </c>
      <c r="E790" t="s">
        <v>44</v>
      </c>
      <c r="F790" t="s">
        <v>28</v>
      </c>
      <c r="G790" t="s">
        <v>45</v>
      </c>
      <c r="H790">
        <v>1</v>
      </c>
      <c r="I790" s="3">
        <v>20.49</v>
      </c>
      <c r="J790" t="s">
        <v>16</v>
      </c>
      <c r="K790" t="s">
        <v>30</v>
      </c>
      <c r="L790" s="4">
        <f>Table4[[#This Row],[quantity]]*Table4[[#This Row],[unit_price]]</f>
        <v>20.49</v>
      </c>
      <c r="M790">
        <f>COUNTIFS($C$2:$C$3934,Table4[[#This Row],[customer_id]])</f>
        <v>9</v>
      </c>
      <c r="N790" t="str">
        <f>IF(Table4[[#This Row],[customer_order_count]]=1,"New Customer","Repeat Customer")</f>
        <v>Repeat Customer</v>
      </c>
    </row>
    <row r="791" spans="1:14">
      <c r="A791" t="s">
        <v>4535</v>
      </c>
      <c r="B791" s="1">
        <v>45074</v>
      </c>
      <c r="C791" t="s">
        <v>405</v>
      </c>
      <c r="D791" t="s">
        <v>406</v>
      </c>
      <c r="E791" t="s">
        <v>21</v>
      </c>
      <c r="F791" t="s">
        <v>28</v>
      </c>
      <c r="G791" t="s">
        <v>139</v>
      </c>
      <c r="H791">
        <v>1</v>
      </c>
      <c r="I791" s="3">
        <v>20.51</v>
      </c>
      <c r="J791" t="s">
        <v>16</v>
      </c>
      <c r="K791" t="s">
        <v>30</v>
      </c>
      <c r="L791" s="4">
        <f>Table4[[#This Row],[quantity]]*Table4[[#This Row],[unit_price]]</f>
        <v>20.51</v>
      </c>
      <c r="M791">
        <f>COUNTIFS($C$2:$C$3934,Table4[[#This Row],[customer_id]])</f>
        <v>5</v>
      </c>
      <c r="N791" t="str">
        <f>IF(Table4[[#This Row],[customer_order_count]]=1,"New Customer","Repeat Customer")</f>
        <v>Repeat Customer</v>
      </c>
    </row>
    <row r="792" spans="1:14">
      <c r="A792" t="s">
        <v>2881</v>
      </c>
      <c r="B792" s="1">
        <v>45635</v>
      </c>
      <c r="C792" t="s">
        <v>933</v>
      </c>
      <c r="D792" t="s">
        <v>934</v>
      </c>
      <c r="E792" t="s">
        <v>44</v>
      </c>
      <c r="F792" t="s">
        <v>66</v>
      </c>
      <c r="G792" t="s">
        <v>128</v>
      </c>
      <c r="H792">
        <v>1</v>
      </c>
      <c r="I792" s="3">
        <v>20.53</v>
      </c>
      <c r="J792" t="s">
        <v>16</v>
      </c>
      <c r="K792" t="s">
        <v>40</v>
      </c>
      <c r="L792" s="4">
        <f>Table4[[#This Row],[quantity]]*Table4[[#This Row],[unit_price]]</f>
        <v>20.53</v>
      </c>
      <c r="M792">
        <f>COUNTIFS($C$2:$C$3934,Table4[[#This Row],[customer_id]])</f>
        <v>7</v>
      </c>
      <c r="N792" t="str">
        <f>IF(Table4[[#This Row],[customer_order_count]]=1,"New Customer","Repeat Customer")</f>
        <v>Repeat Customer</v>
      </c>
    </row>
    <row r="793" spans="1:14">
      <c r="A793" t="s">
        <v>2675</v>
      </c>
      <c r="B793" s="1">
        <v>45130</v>
      </c>
      <c r="C793" t="s">
        <v>1822</v>
      </c>
      <c r="D793" t="s">
        <v>1823</v>
      </c>
      <c r="E793" t="s">
        <v>106</v>
      </c>
      <c r="F793" t="s">
        <v>28</v>
      </c>
      <c r="G793" t="s">
        <v>45</v>
      </c>
      <c r="H793">
        <v>2</v>
      </c>
      <c r="I793" s="3">
        <v>20.53</v>
      </c>
      <c r="J793" t="s">
        <v>16</v>
      </c>
      <c r="K793" t="s">
        <v>17</v>
      </c>
      <c r="L793" s="4">
        <f>Table4[[#This Row],[quantity]]*Table4[[#This Row],[unit_price]]</f>
        <v>41.06</v>
      </c>
      <c r="M793">
        <f>COUNTIFS($C$2:$C$3934,Table4[[#This Row],[customer_id]])</f>
        <v>3</v>
      </c>
      <c r="N793" t="str">
        <f>IF(Table4[[#This Row],[customer_order_count]]=1,"New Customer","Repeat Customer")</f>
        <v>Repeat Customer</v>
      </c>
    </row>
    <row r="794" spans="1:14">
      <c r="A794" t="s">
        <v>1925</v>
      </c>
      <c r="B794" s="1">
        <v>45597</v>
      </c>
      <c r="C794" t="s">
        <v>1926</v>
      </c>
      <c r="D794" t="s">
        <v>1017</v>
      </c>
      <c r="E794" t="s">
        <v>21</v>
      </c>
      <c r="F794" t="s">
        <v>28</v>
      </c>
      <c r="G794" t="s">
        <v>84</v>
      </c>
      <c r="H794">
        <v>3</v>
      </c>
      <c r="I794" s="3">
        <v>20.54</v>
      </c>
      <c r="J794" t="s">
        <v>16</v>
      </c>
      <c r="K794" t="s">
        <v>30</v>
      </c>
      <c r="L794" s="4">
        <f>Table4[[#This Row],[quantity]]*Table4[[#This Row],[unit_price]]</f>
        <v>61.62</v>
      </c>
      <c r="M794">
        <f>COUNTIFS($C$2:$C$3934,Table4[[#This Row],[customer_id]])</f>
        <v>4</v>
      </c>
      <c r="N794" t="str">
        <f>IF(Table4[[#This Row],[customer_order_count]]=1,"New Customer","Repeat Customer")</f>
        <v>Repeat Customer</v>
      </c>
    </row>
    <row r="795" spans="1:14">
      <c r="A795" t="s">
        <v>4293</v>
      </c>
      <c r="B795" s="1">
        <v>45390</v>
      </c>
      <c r="C795" t="s">
        <v>2766</v>
      </c>
      <c r="D795" t="s">
        <v>181</v>
      </c>
      <c r="E795" t="s">
        <v>21</v>
      </c>
      <c r="F795" t="s">
        <v>22</v>
      </c>
      <c r="G795" t="s">
        <v>135</v>
      </c>
      <c r="H795">
        <v>2</v>
      </c>
      <c r="I795" s="3">
        <v>20.58</v>
      </c>
      <c r="J795" t="s">
        <v>16</v>
      </c>
      <c r="K795" t="s">
        <v>30</v>
      </c>
      <c r="L795" s="4">
        <f>Table4[[#This Row],[quantity]]*Table4[[#This Row],[unit_price]]</f>
        <v>41.16</v>
      </c>
      <c r="M795">
        <f>COUNTIFS($C$2:$C$3934,Table4[[#This Row],[customer_id]])</f>
        <v>4</v>
      </c>
      <c r="N795" t="str">
        <f>IF(Table4[[#This Row],[customer_order_count]]=1,"New Customer","Repeat Customer")</f>
        <v>Repeat Customer</v>
      </c>
    </row>
    <row r="796" spans="1:14">
      <c r="A796" t="s">
        <v>2453</v>
      </c>
      <c r="B796" s="1">
        <v>45028</v>
      </c>
      <c r="C796" t="s">
        <v>1397</v>
      </c>
      <c r="D796" t="s">
        <v>383</v>
      </c>
      <c r="E796" t="s">
        <v>44</v>
      </c>
      <c r="F796" t="s">
        <v>66</v>
      </c>
      <c r="G796" t="s">
        <v>238</v>
      </c>
      <c r="H796">
        <v>1</v>
      </c>
      <c r="I796" s="3">
        <v>20.6</v>
      </c>
      <c r="J796" t="s">
        <v>16</v>
      </c>
      <c r="K796" t="s">
        <v>35</v>
      </c>
      <c r="L796" s="4">
        <f>Table4[[#This Row],[quantity]]*Table4[[#This Row],[unit_price]]</f>
        <v>20.6</v>
      </c>
      <c r="M796">
        <f>COUNTIFS($C$2:$C$3934,Table4[[#This Row],[customer_id]])</f>
        <v>9</v>
      </c>
      <c r="N796" t="str">
        <f>IF(Table4[[#This Row],[customer_order_count]]=1,"New Customer","Repeat Customer")</f>
        <v>Repeat Customer</v>
      </c>
    </row>
    <row r="797" spans="1:14">
      <c r="A797" t="s">
        <v>3287</v>
      </c>
      <c r="B797" s="1">
        <v>45371</v>
      </c>
      <c r="C797" t="s">
        <v>2251</v>
      </c>
      <c r="D797" t="s">
        <v>1748</v>
      </c>
      <c r="E797" t="s">
        <v>61</v>
      </c>
      <c r="F797" t="s">
        <v>66</v>
      </c>
      <c r="G797" t="s">
        <v>238</v>
      </c>
      <c r="H797">
        <v>2</v>
      </c>
      <c r="I797" s="3">
        <v>20.6</v>
      </c>
      <c r="J797" t="s">
        <v>16</v>
      </c>
      <c r="K797" t="s">
        <v>40</v>
      </c>
      <c r="L797" s="4">
        <f>Table4[[#This Row],[quantity]]*Table4[[#This Row],[unit_price]]</f>
        <v>41.2</v>
      </c>
      <c r="M797">
        <f>COUNTIFS($C$2:$C$3934,Table4[[#This Row],[customer_id]])</f>
        <v>3</v>
      </c>
      <c r="N797" t="str">
        <f>IF(Table4[[#This Row],[customer_order_count]]=1,"New Customer","Repeat Customer")</f>
        <v>Repeat Customer</v>
      </c>
    </row>
    <row r="798" spans="1:14">
      <c r="A798" t="s">
        <v>2388</v>
      </c>
      <c r="B798" s="1">
        <v>45234</v>
      </c>
      <c r="C798" t="s">
        <v>1443</v>
      </c>
      <c r="D798" t="s">
        <v>1444</v>
      </c>
      <c r="E798" t="s">
        <v>21</v>
      </c>
      <c r="F798" t="s">
        <v>28</v>
      </c>
      <c r="G798" t="s">
        <v>84</v>
      </c>
      <c r="H798">
        <v>1</v>
      </c>
      <c r="I798" s="3">
        <v>20.62</v>
      </c>
      <c r="J798" t="s">
        <v>255</v>
      </c>
      <c r="K798" t="s">
        <v>30</v>
      </c>
      <c r="L798" s="4">
        <f>Table4[[#This Row],[quantity]]*Table4[[#This Row],[unit_price]]</f>
        <v>20.62</v>
      </c>
      <c r="M798">
        <f>COUNTIFS($C$2:$C$3934,Table4[[#This Row],[customer_id]])</f>
        <v>4</v>
      </c>
      <c r="N798" t="str">
        <f>IF(Table4[[#This Row],[customer_order_count]]=1,"New Customer","Repeat Customer")</f>
        <v>Repeat Customer</v>
      </c>
    </row>
    <row r="799" spans="1:14">
      <c r="A799" t="s">
        <v>4759</v>
      </c>
      <c r="B799" s="1">
        <v>45303</v>
      </c>
      <c r="C799" t="s">
        <v>1342</v>
      </c>
      <c r="D799" t="s">
        <v>820</v>
      </c>
      <c r="E799" t="s">
        <v>21</v>
      </c>
      <c r="F799" t="s">
        <v>66</v>
      </c>
      <c r="G799" t="s">
        <v>49</v>
      </c>
      <c r="H799">
        <v>1</v>
      </c>
      <c r="I799" s="3">
        <v>20.62</v>
      </c>
      <c r="J799" t="s">
        <v>16</v>
      </c>
      <c r="K799" t="s">
        <v>30</v>
      </c>
      <c r="L799" s="4">
        <f>Table4[[#This Row],[quantity]]*Table4[[#This Row],[unit_price]]</f>
        <v>20.62</v>
      </c>
      <c r="M799">
        <f>COUNTIFS($C$2:$C$3934,Table4[[#This Row],[customer_id]])</f>
        <v>5</v>
      </c>
      <c r="N799" t="str">
        <f>IF(Table4[[#This Row],[customer_order_count]]=1,"New Customer","Repeat Customer")</f>
        <v>Repeat Customer</v>
      </c>
    </row>
    <row r="800" spans="1:14">
      <c r="A800" t="s">
        <v>4330</v>
      </c>
      <c r="B800" s="1">
        <v>45142</v>
      </c>
      <c r="C800" t="s">
        <v>2726</v>
      </c>
      <c r="D800" t="s">
        <v>1578</v>
      </c>
      <c r="E800" t="s">
        <v>21</v>
      </c>
      <c r="F800" t="s">
        <v>28</v>
      </c>
      <c r="G800" t="s">
        <v>139</v>
      </c>
      <c r="H800">
        <v>4</v>
      </c>
      <c r="I800" s="3">
        <v>20.63</v>
      </c>
      <c r="J800" t="s">
        <v>16</v>
      </c>
      <c r="K800" t="s">
        <v>30</v>
      </c>
      <c r="L800" s="4">
        <f>Table4[[#This Row],[quantity]]*Table4[[#This Row],[unit_price]]</f>
        <v>82.52</v>
      </c>
      <c r="M800">
        <f>COUNTIFS($C$2:$C$3934,Table4[[#This Row],[customer_id]])</f>
        <v>5</v>
      </c>
      <c r="N800" t="str">
        <f>IF(Table4[[#This Row],[customer_order_count]]=1,"New Customer","Repeat Customer")</f>
        <v>Repeat Customer</v>
      </c>
    </row>
    <row r="801" spans="1:14">
      <c r="A801" t="s">
        <v>4370</v>
      </c>
      <c r="B801" s="1">
        <v>45073</v>
      </c>
      <c r="C801" t="s">
        <v>1144</v>
      </c>
      <c r="D801" t="s">
        <v>60</v>
      </c>
      <c r="E801" t="s">
        <v>21</v>
      </c>
      <c r="F801" t="s">
        <v>66</v>
      </c>
      <c r="G801" t="s">
        <v>217</v>
      </c>
      <c r="H801">
        <v>5</v>
      </c>
      <c r="I801" s="3">
        <v>20.65</v>
      </c>
      <c r="J801" t="s">
        <v>16</v>
      </c>
      <c r="K801" t="s">
        <v>30</v>
      </c>
      <c r="L801" s="4">
        <f>Table4[[#This Row],[quantity]]*Table4[[#This Row],[unit_price]]</f>
        <v>103.25</v>
      </c>
      <c r="M801">
        <f>COUNTIFS($C$2:$C$3934,Table4[[#This Row],[customer_id]])</f>
        <v>7</v>
      </c>
      <c r="N801" t="str">
        <f>IF(Table4[[#This Row],[customer_order_count]]=1,"New Customer","Repeat Customer")</f>
        <v>Repeat Customer</v>
      </c>
    </row>
    <row r="802" spans="1:14">
      <c r="A802" t="s">
        <v>4299</v>
      </c>
      <c r="B802" s="1">
        <v>45254</v>
      </c>
      <c r="C802" t="s">
        <v>3029</v>
      </c>
      <c r="D802" t="s">
        <v>92</v>
      </c>
      <c r="E802" t="s">
        <v>21</v>
      </c>
      <c r="F802" t="s">
        <v>70</v>
      </c>
      <c r="G802" t="s">
        <v>71</v>
      </c>
      <c r="H802">
        <v>1</v>
      </c>
      <c r="I802" s="3">
        <v>20.67</v>
      </c>
      <c r="J802" t="s">
        <v>85</v>
      </c>
      <c r="K802" t="s">
        <v>17</v>
      </c>
      <c r="L802" s="4">
        <f>Table4[[#This Row],[quantity]]*Table4[[#This Row],[unit_price]]</f>
        <v>20.67</v>
      </c>
      <c r="M802">
        <f>COUNTIFS($C$2:$C$3934,Table4[[#This Row],[customer_id]])</f>
        <v>6</v>
      </c>
      <c r="N802" t="str">
        <f>IF(Table4[[#This Row],[customer_order_count]]=1,"New Customer","Repeat Customer")</f>
        <v>Repeat Customer</v>
      </c>
    </row>
    <row r="803" spans="1:14">
      <c r="A803" t="s">
        <v>4909</v>
      </c>
      <c r="B803" s="1">
        <v>44938</v>
      </c>
      <c r="C803" t="s">
        <v>760</v>
      </c>
      <c r="D803" t="s">
        <v>761</v>
      </c>
      <c r="E803" t="s">
        <v>21</v>
      </c>
      <c r="F803" t="s">
        <v>28</v>
      </c>
      <c r="G803" t="s">
        <v>29</v>
      </c>
      <c r="H803">
        <v>3</v>
      </c>
      <c r="I803" s="3">
        <v>20.71</v>
      </c>
      <c r="J803" t="s">
        <v>16</v>
      </c>
      <c r="K803" t="s">
        <v>30</v>
      </c>
      <c r="L803" s="4">
        <f>Table4[[#This Row],[quantity]]*Table4[[#This Row],[unit_price]]</f>
        <v>62.13</v>
      </c>
      <c r="M803">
        <f>COUNTIFS($C$2:$C$3934,Table4[[#This Row],[customer_id]])</f>
        <v>4</v>
      </c>
      <c r="N803" t="str">
        <f>IF(Table4[[#This Row],[customer_order_count]]=1,"New Customer","Repeat Customer")</f>
        <v>Repeat Customer</v>
      </c>
    </row>
    <row r="804" spans="1:14">
      <c r="A804" t="s">
        <v>3365</v>
      </c>
      <c r="B804" s="1">
        <v>45187</v>
      </c>
      <c r="C804" t="s">
        <v>909</v>
      </c>
      <c r="D804" t="s">
        <v>910</v>
      </c>
      <c r="E804" t="s">
        <v>21</v>
      </c>
      <c r="F804" t="s">
        <v>14</v>
      </c>
      <c r="G804" t="s">
        <v>62</v>
      </c>
      <c r="H804">
        <v>2</v>
      </c>
      <c r="I804" s="3">
        <v>20.72</v>
      </c>
      <c r="J804" t="s">
        <v>16</v>
      </c>
      <c r="K804" t="s">
        <v>35</v>
      </c>
      <c r="L804" s="4">
        <f>Table4[[#This Row],[quantity]]*Table4[[#This Row],[unit_price]]</f>
        <v>41.44</v>
      </c>
      <c r="M804">
        <f>COUNTIFS($C$2:$C$3934,Table4[[#This Row],[customer_id]])</f>
        <v>7</v>
      </c>
      <c r="N804" t="str">
        <f>IF(Table4[[#This Row],[customer_order_count]]=1,"New Customer","Repeat Customer")</f>
        <v>Repeat Customer</v>
      </c>
    </row>
    <row r="805" spans="1:14">
      <c r="A805" t="s">
        <v>1002</v>
      </c>
      <c r="B805" s="1">
        <v>45176</v>
      </c>
      <c r="C805" t="s">
        <v>219</v>
      </c>
      <c r="D805" s="2" t="s">
        <v>5257</v>
      </c>
      <c r="E805" t="s">
        <v>21</v>
      </c>
      <c r="F805" t="s">
        <v>66</v>
      </c>
      <c r="G805" t="s">
        <v>217</v>
      </c>
      <c r="H805">
        <v>1</v>
      </c>
      <c r="I805" s="3">
        <v>20.73</v>
      </c>
      <c r="J805" t="s">
        <v>16</v>
      </c>
      <c r="K805" t="s">
        <v>30</v>
      </c>
      <c r="L805" s="4">
        <f>Table4[[#This Row],[quantity]]*Table4[[#This Row],[unit_price]]</f>
        <v>20.73</v>
      </c>
      <c r="M805">
        <f>COUNTIFS($C$2:$C$3934,Table4[[#This Row],[customer_id]])</f>
        <v>8</v>
      </c>
      <c r="N805" t="str">
        <f>IF(Table4[[#This Row],[customer_order_count]]=1,"New Customer","Repeat Customer")</f>
        <v>Repeat Customer</v>
      </c>
    </row>
    <row r="806" spans="1:14">
      <c r="A806" t="s">
        <v>2009</v>
      </c>
      <c r="B806" s="1">
        <v>45393</v>
      </c>
      <c r="C806" t="s">
        <v>2010</v>
      </c>
      <c r="D806" s="5" t="s">
        <v>372</v>
      </c>
      <c r="E806" t="s">
        <v>44</v>
      </c>
      <c r="F806" t="s">
        <v>22</v>
      </c>
      <c r="G806" t="s">
        <v>23</v>
      </c>
      <c r="H806">
        <v>1</v>
      </c>
      <c r="I806" s="3">
        <v>20.73</v>
      </c>
      <c r="J806" t="s">
        <v>16</v>
      </c>
      <c r="K806" t="s">
        <v>35</v>
      </c>
      <c r="L806" s="4">
        <f>Table4[[#This Row],[quantity]]*Table4[[#This Row],[unit_price]]</f>
        <v>20.73</v>
      </c>
      <c r="M806">
        <f>COUNTIFS($C$2:$C$3934,Table4[[#This Row],[customer_id]])</f>
        <v>5</v>
      </c>
      <c r="N806" t="str">
        <f>IF(Table4[[#This Row],[customer_order_count]]=1,"New Customer","Repeat Customer")</f>
        <v>Repeat Customer</v>
      </c>
    </row>
    <row r="807" spans="1:14">
      <c r="A807" t="s">
        <v>4664</v>
      </c>
      <c r="B807" s="1">
        <v>45554</v>
      </c>
      <c r="C807" t="s">
        <v>2802</v>
      </c>
      <c r="D807" t="s">
        <v>1552</v>
      </c>
      <c r="E807" t="s">
        <v>21</v>
      </c>
      <c r="F807" t="s">
        <v>70</v>
      </c>
      <c r="G807" t="s">
        <v>337</v>
      </c>
      <c r="H807">
        <v>1</v>
      </c>
      <c r="I807" s="3">
        <v>20.74</v>
      </c>
      <c r="J807" t="s">
        <v>255</v>
      </c>
      <c r="K807" t="s">
        <v>30</v>
      </c>
      <c r="L807" s="4">
        <f>Table4[[#This Row],[quantity]]*Table4[[#This Row],[unit_price]]</f>
        <v>20.74</v>
      </c>
      <c r="M807">
        <f>COUNTIFS($C$2:$C$3934,Table4[[#This Row],[customer_id]])</f>
        <v>2</v>
      </c>
      <c r="N807" t="str">
        <f>IF(Table4[[#This Row],[customer_order_count]]=1,"New Customer","Repeat Customer")</f>
        <v>Repeat Customer</v>
      </c>
    </row>
    <row r="808" spans="1:14">
      <c r="A808" t="s">
        <v>2447</v>
      </c>
      <c r="B808" s="1">
        <v>45028</v>
      </c>
      <c r="C808" t="s">
        <v>2448</v>
      </c>
      <c r="D808" s="2" t="s">
        <v>5257</v>
      </c>
      <c r="E808" t="s">
        <v>44</v>
      </c>
      <c r="F808" t="s">
        <v>56</v>
      </c>
      <c r="G808" t="s">
        <v>153</v>
      </c>
      <c r="H808">
        <v>1</v>
      </c>
      <c r="I808" s="3">
        <v>20.77</v>
      </c>
      <c r="J808" t="s">
        <v>85</v>
      </c>
      <c r="K808" t="s">
        <v>35</v>
      </c>
      <c r="L808" s="4">
        <f>Table4[[#This Row],[quantity]]*Table4[[#This Row],[unit_price]]</f>
        <v>20.77</v>
      </c>
      <c r="M808">
        <f>COUNTIFS($C$2:$C$3934,Table4[[#This Row],[customer_id]])</f>
        <v>4</v>
      </c>
      <c r="N808" t="str">
        <f>IF(Table4[[#This Row],[customer_order_count]]=1,"New Customer","Repeat Customer")</f>
        <v>Repeat Customer</v>
      </c>
    </row>
    <row r="809" spans="1:14">
      <c r="A809" t="s">
        <v>3629</v>
      </c>
      <c r="B809" s="1">
        <v>45325</v>
      </c>
      <c r="C809" t="s">
        <v>329</v>
      </c>
      <c r="D809" s="5" t="s">
        <v>330</v>
      </c>
      <c r="E809" t="s">
        <v>21</v>
      </c>
      <c r="F809" t="s">
        <v>56</v>
      </c>
      <c r="G809" t="s">
        <v>153</v>
      </c>
      <c r="H809">
        <v>2</v>
      </c>
      <c r="I809" s="3">
        <v>20.77</v>
      </c>
      <c r="J809" t="s">
        <v>16</v>
      </c>
      <c r="K809" t="s">
        <v>30</v>
      </c>
      <c r="L809" s="4">
        <f>Table4[[#This Row],[quantity]]*Table4[[#This Row],[unit_price]]</f>
        <v>41.54</v>
      </c>
      <c r="M809">
        <f>COUNTIFS($C$2:$C$3934,Table4[[#This Row],[customer_id]])</f>
        <v>5</v>
      </c>
      <c r="N809" t="str">
        <f>IF(Table4[[#This Row],[customer_order_count]]=1,"New Customer","Repeat Customer")</f>
        <v>Repeat Customer</v>
      </c>
    </row>
    <row r="810" spans="1:14">
      <c r="A810" t="s">
        <v>5191</v>
      </c>
      <c r="B810" s="1">
        <v>45249</v>
      </c>
      <c r="C810" t="s">
        <v>356</v>
      </c>
      <c r="D810" s="2" t="s">
        <v>5257</v>
      </c>
      <c r="E810" t="s">
        <v>21</v>
      </c>
      <c r="F810" t="s">
        <v>28</v>
      </c>
      <c r="G810" t="s">
        <v>114</v>
      </c>
      <c r="H810">
        <v>1</v>
      </c>
      <c r="I810" s="3">
        <v>20.8</v>
      </c>
      <c r="J810" t="s">
        <v>85</v>
      </c>
      <c r="K810" t="s">
        <v>17</v>
      </c>
      <c r="L810" s="4">
        <f>Table4[[#This Row],[quantity]]*Table4[[#This Row],[unit_price]]</f>
        <v>20.8</v>
      </c>
      <c r="M810">
        <f>COUNTIFS($C$2:$C$3934,Table4[[#This Row],[customer_id]])</f>
        <v>3</v>
      </c>
      <c r="N810" t="str">
        <f>IF(Table4[[#This Row],[customer_order_count]]=1,"New Customer","Repeat Customer")</f>
        <v>Repeat Customer</v>
      </c>
    </row>
    <row r="811" spans="1:14">
      <c r="A811" t="s">
        <v>2071</v>
      </c>
      <c r="B811" s="1">
        <v>44997</v>
      </c>
      <c r="C811" t="s">
        <v>2072</v>
      </c>
      <c r="D811" s="5" t="s">
        <v>672</v>
      </c>
      <c r="E811" t="s">
        <v>61</v>
      </c>
      <c r="F811" t="s">
        <v>66</v>
      </c>
      <c r="G811" t="s">
        <v>238</v>
      </c>
      <c r="H811">
        <v>1</v>
      </c>
      <c r="I811" s="3">
        <v>20.81</v>
      </c>
      <c r="J811" t="s">
        <v>16</v>
      </c>
      <c r="K811" t="s">
        <v>40</v>
      </c>
      <c r="L811" s="4">
        <f>Table4[[#This Row],[quantity]]*Table4[[#This Row],[unit_price]]</f>
        <v>20.81</v>
      </c>
      <c r="M811">
        <f>COUNTIFS($C$2:$C$3934,Table4[[#This Row],[customer_id]])</f>
        <v>3</v>
      </c>
      <c r="N811" t="str">
        <f>IF(Table4[[#This Row],[customer_order_count]]=1,"New Customer","Repeat Customer")</f>
        <v>Repeat Customer</v>
      </c>
    </row>
    <row r="812" spans="1:14">
      <c r="A812" t="s">
        <v>4405</v>
      </c>
      <c r="B812" s="1">
        <v>45625</v>
      </c>
      <c r="C812" t="s">
        <v>2088</v>
      </c>
      <c r="D812" t="s">
        <v>435</v>
      </c>
      <c r="E812" t="s">
        <v>21</v>
      </c>
      <c r="F812" t="s">
        <v>70</v>
      </c>
      <c r="G812" t="s">
        <v>71</v>
      </c>
      <c r="H812">
        <v>1</v>
      </c>
      <c r="I812" s="3">
        <v>20.81</v>
      </c>
      <c r="J812" t="s">
        <v>16</v>
      </c>
      <c r="K812" t="s">
        <v>17</v>
      </c>
      <c r="L812" s="4">
        <f>Table4[[#This Row],[quantity]]*Table4[[#This Row],[unit_price]]</f>
        <v>20.81</v>
      </c>
      <c r="M812">
        <f>COUNTIFS($C$2:$C$3934,Table4[[#This Row],[customer_id]])</f>
        <v>9</v>
      </c>
      <c r="N812" t="str">
        <f>IF(Table4[[#This Row],[customer_order_count]]=1,"New Customer","Repeat Customer")</f>
        <v>Repeat Customer</v>
      </c>
    </row>
    <row r="813" spans="1:14">
      <c r="A813" t="s">
        <v>2660</v>
      </c>
      <c r="B813" s="1">
        <v>45229</v>
      </c>
      <c r="C813" t="s">
        <v>2661</v>
      </c>
      <c r="D813" t="s">
        <v>1208</v>
      </c>
      <c r="E813" t="s">
        <v>21</v>
      </c>
      <c r="F813" t="s">
        <v>28</v>
      </c>
      <c r="G813" t="s">
        <v>139</v>
      </c>
      <c r="H813">
        <v>2</v>
      </c>
      <c r="I813" s="3">
        <v>20.82</v>
      </c>
      <c r="J813" t="s">
        <v>16</v>
      </c>
      <c r="K813" t="s">
        <v>17</v>
      </c>
      <c r="L813" s="4">
        <f>Table4[[#This Row],[quantity]]*Table4[[#This Row],[unit_price]]</f>
        <v>41.64</v>
      </c>
      <c r="M813">
        <f>COUNTIFS($C$2:$C$3934,Table4[[#This Row],[customer_id]])</f>
        <v>3</v>
      </c>
      <c r="N813" t="str">
        <f>IF(Table4[[#This Row],[customer_order_count]]=1,"New Customer","Repeat Customer")</f>
        <v>Repeat Customer</v>
      </c>
    </row>
    <row r="814" spans="1:14">
      <c r="A814" t="s">
        <v>3761</v>
      </c>
      <c r="B814" s="1">
        <v>45555</v>
      </c>
      <c r="C814" t="s">
        <v>1740</v>
      </c>
      <c r="D814" t="s">
        <v>250</v>
      </c>
      <c r="E814" t="s">
        <v>21</v>
      </c>
      <c r="F814" t="s">
        <v>28</v>
      </c>
      <c r="G814" t="s">
        <v>29</v>
      </c>
      <c r="H814">
        <v>1</v>
      </c>
      <c r="I814" s="3">
        <v>20.83</v>
      </c>
      <c r="J814" t="s">
        <v>16</v>
      </c>
      <c r="K814" t="s">
        <v>40</v>
      </c>
      <c r="L814" s="4">
        <f>Table4[[#This Row],[quantity]]*Table4[[#This Row],[unit_price]]</f>
        <v>20.83</v>
      </c>
      <c r="M814">
        <f>COUNTIFS($C$2:$C$3934,Table4[[#This Row],[customer_id]])</f>
        <v>6</v>
      </c>
      <c r="N814" t="str">
        <f>IF(Table4[[#This Row],[customer_order_count]]=1,"New Customer","Repeat Customer")</f>
        <v>Repeat Customer</v>
      </c>
    </row>
    <row r="815" spans="1:14">
      <c r="A815" t="s">
        <v>1518</v>
      </c>
      <c r="B815" s="1">
        <v>45467</v>
      </c>
      <c r="C815" t="s">
        <v>1131</v>
      </c>
      <c r="D815" t="s">
        <v>962</v>
      </c>
      <c r="E815" t="s">
        <v>21</v>
      </c>
      <c r="F815" t="s">
        <v>66</v>
      </c>
      <c r="G815" t="s">
        <v>128</v>
      </c>
      <c r="H815">
        <v>1</v>
      </c>
      <c r="I815" s="3">
        <v>20.83</v>
      </c>
      <c r="J815" t="s">
        <v>16</v>
      </c>
      <c r="K815" t="s">
        <v>30</v>
      </c>
      <c r="L815" s="4">
        <f>Table4[[#This Row],[quantity]]*Table4[[#This Row],[unit_price]]</f>
        <v>20.83</v>
      </c>
      <c r="M815">
        <f>COUNTIFS($C$2:$C$3934,Table4[[#This Row],[customer_id]])</f>
        <v>8</v>
      </c>
      <c r="N815" t="str">
        <f>IF(Table4[[#This Row],[customer_order_count]]=1,"New Customer","Repeat Customer")</f>
        <v>Repeat Customer</v>
      </c>
    </row>
    <row r="816" spans="1:14">
      <c r="A816" t="s">
        <v>2317</v>
      </c>
      <c r="B816" s="1">
        <v>45220</v>
      </c>
      <c r="C816" t="s">
        <v>2067</v>
      </c>
      <c r="D816" t="s">
        <v>165</v>
      </c>
      <c r="E816" t="s">
        <v>21</v>
      </c>
      <c r="F816" t="s">
        <v>66</v>
      </c>
      <c r="G816" t="s">
        <v>217</v>
      </c>
      <c r="H816">
        <v>3</v>
      </c>
      <c r="I816" s="3">
        <v>20.83</v>
      </c>
      <c r="J816" t="s">
        <v>16</v>
      </c>
      <c r="K816" t="s">
        <v>35</v>
      </c>
      <c r="L816" s="4">
        <f>Table4[[#This Row],[quantity]]*Table4[[#This Row],[unit_price]]</f>
        <v>62.489999999999995</v>
      </c>
      <c r="M816">
        <f>COUNTIFS($C$2:$C$3934,Table4[[#This Row],[customer_id]])</f>
        <v>4</v>
      </c>
      <c r="N816" t="str">
        <f>IF(Table4[[#This Row],[customer_order_count]]=1,"New Customer","Repeat Customer")</f>
        <v>Repeat Customer</v>
      </c>
    </row>
    <row r="817" spans="1:14">
      <c r="A817" t="s">
        <v>2679</v>
      </c>
      <c r="B817" s="1">
        <v>45615</v>
      </c>
      <c r="C817" t="s">
        <v>1188</v>
      </c>
      <c r="D817" t="s">
        <v>1189</v>
      </c>
      <c r="E817" t="s">
        <v>21</v>
      </c>
      <c r="F817" t="s">
        <v>66</v>
      </c>
      <c r="G817" t="s">
        <v>217</v>
      </c>
      <c r="H817">
        <v>2</v>
      </c>
      <c r="I817" s="3">
        <v>20.86</v>
      </c>
      <c r="J817" t="s">
        <v>24</v>
      </c>
      <c r="K817" t="s">
        <v>40</v>
      </c>
      <c r="L817" s="4">
        <f>Table4[[#This Row],[quantity]]*Table4[[#This Row],[unit_price]]</f>
        <v>41.72</v>
      </c>
      <c r="M817">
        <f>COUNTIFS($C$2:$C$3934,Table4[[#This Row],[customer_id]])</f>
        <v>7</v>
      </c>
      <c r="N817" t="str">
        <f>IF(Table4[[#This Row],[customer_order_count]]=1,"New Customer","Repeat Customer")</f>
        <v>Repeat Customer</v>
      </c>
    </row>
    <row r="818" spans="1:14">
      <c r="A818" t="s">
        <v>2887</v>
      </c>
      <c r="B818" s="1">
        <v>44942</v>
      </c>
      <c r="C818" t="s">
        <v>1740</v>
      </c>
      <c r="D818" t="s">
        <v>250</v>
      </c>
      <c r="E818" t="s">
        <v>21</v>
      </c>
      <c r="F818" t="s">
        <v>22</v>
      </c>
      <c r="G818" t="s">
        <v>264</v>
      </c>
      <c r="H818">
        <v>1</v>
      </c>
      <c r="I818" s="3">
        <v>20.87</v>
      </c>
      <c r="J818" t="s">
        <v>16</v>
      </c>
      <c r="K818" t="s">
        <v>35</v>
      </c>
      <c r="L818" s="4">
        <f>Table4[[#This Row],[quantity]]*Table4[[#This Row],[unit_price]]</f>
        <v>20.87</v>
      </c>
      <c r="M818">
        <f>COUNTIFS($C$2:$C$3934,Table4[[#This Row],[customer_id]])</f>
        <v>6</v>
      </c>
      <c r="N818" t="str">
        <f>IF(Table4[[#This Row],[customer_order_count]]=1,"New Customer","Repeat Customer")</f>
        <v>Repeat Customer</v>
      </c>
    </row>
    <row r="819" spans="1:14">
      <c r="A819" t="s">
        <v>4684</v>
      </c>
      <c r="B819" s="1">
        <v>45112</v>
      </c>
      <c r="C819" t="s">
        <v>291</v>
      </c>
      <c r="D819" t="s">
        <v>292</v>
      </c>
      <c r="E819" t="s">
        <v>21</v>
      </c>
      <c r="F819" t="s">
        <v>79</v>
      </c>
      <c r="G819" t="s">
        <v>96</v>
      </c>
      <c r="H819">
        <v>1</v>
      </c>
      <c r="I819" s="3">
        <v>20.89</v>
      </c>
      <c r="J819" t="s">
        <v>255</v>
      </c>
      <c r="K819" t="s">
        <v>17</v>
      </c>
      <c r="L819" s="4">
        <f>Table4[[#This Row],[quantity]]*Table4[[#This Row],[unit_price]]</f>
        <v>20.89</v>
      </c>
      <c r="M819">
        <f>COUNTIFS($C$2:$C$3934,Table4[[#This Row],[customer_id]])</f>
        <v>5</v>
      </c>
      <c r="N819" t="str">
        <f>IF(Table4[[#This Row],[customer_order_count]]=1,"New Customer","Repeat Customer")</f>
        <v>Repeat Customer</v>
      </c>
    </row>
    <row r="820" spans="1:14">
      <c r="A820" t="s">
        <v>1949</v>
      </c>
      <c r="B820" s="1">
        <v>44930</v>
      </c>
      <c r="C820" t="s">
        <v>1561</v>
      </c>
      <c r="D820" t="s">
        <v>60</v>
      </c>
      <c r="E820" t="s">
        <v>21</v>
      </c>
      <c r="F820" t="s">
        <v>79</v>
      </c>
      <c r="G820" t="s">
        <v>204</v>
      </c>
      <c r="H820">
        <v>2</v>
      </c>
      <c r="I820" s="3">
        <v>20.89</v>
      </c>
      <c r="J820" t="s">
        <v>16</v>
      </c>
      <c r="K820" t="s">
        <v>30</v>
      </c>
      <c r="L820" s="4">
        <f>Table4[[#This Row],[quantity]]*Table4[[#This Row],[unit_price]]</f>
        <v>41.78</v>
      </c>
      <c r="M820">
        <f>COUNTIFS($C$2:$C$3934,Table4[[#This Row],[customer_id]])</f>
        <v>6</v>
      </c>
      <c r="N820" t="str">
        <f>IF(Table4[[#This Row],[customer_order_count]]=1,"New Customer","Repeat Customer")</f>
        <v>Repeat Customer</v>
      </c>
    </row>
    <row r="821" spans="1:14">
      <c r="A821" t="s">
        <v>3596</v>
      </c>
      <c r="B821" s="1">
        <v>45527</v>
      </c>
      <c r="C821" t="s">
        <v>999</v>
      </c>
      <c r="D821" s="2" t="s">
        <v>5257</v>
      </c>
      <c r="E821" t="s">
        <v>21</v>
      </c>
      <c r="F821" t="s">
        <v>14</v>
      </c>
      <c r="G821" t="s">
        <v>34</v>
      </c>
      <c r="H821">
        <v>2</v>
      </c>
      <c r="I821" s="3">
        <v>20.91</v>
      </c>
      <c r="J821" t="s">
        <v>85</v>
      </c>
      <c r="K821" t="s">
        <v>40</v>
      </c>
      <c r="L821" s="4">
        <f>Table4[[#This Row],[quantity]]*Table4[[#This Row],[unit_price]]</f>
        <v>41.82</v>
      </c>
      <c r="M821">
        <f>COUNTIFS($C$2:$C$3934,Table4[[#This Row],[customer_id]])</f>
        <v>5</v>
      </c>
      <c r="N821" t="str">
        <f>IF(Table4[[#This Row],[customer_order_count]]=1,"New Customer","Repeat Customer")</f>
        <v>Repeat Customer</v>
      </c>
    </row>
    <row r="822" spans="1:14">
      <c r="A822" t="s">
        <v>3176</v>
      </c>
      <c r="B822" s="1">
        <v>45017</v>
      </c>
      <c r="C822" t="s">
        <v>3177</v>
      </c>
      <c r="D822" s="5" t="s">
        <v>758</v>
      </c>
      <c r="E822" t="s">
        <v>21</v>
      </c>
      <c r="F822" t="s">
        <v>79</v>
      </c>
      <c r="G822" t="s">
        <v>200</v>
      </c>
      <c r="H822">
        <v>1</v>
      </c>
      <c r="I822" s="3">
        <v>20.92</v>
      </c>
      <c r="J822" t="s">
        <v>16</v>
      </c>
      <c r="K822" t="s">
        <v>40</v>
      </c>
      <c r="L822" s="4">
        <f>Table4[[#This Row],[quantity]]*Table4[[#This Row],[unit_price]]</f>
        <v>20.92</v>
      </c>
      <c r="M822">
        <f>COUNTIFS($C$2:$C$3934,Table4[[#This Row],[customer_id]])</f>
        <v>4</v>
      </c>
      <c r="N822" t="str">
        <f>IF(Table4[[#This Row],[customer_order_count]]=1,"New Customer","Repeat Customer")</f>
        <v>Repeat Customer</v>
      </c>
    </row>
    <row r="823" spans="1:14">
      <c r="A823" t="s">
        <v>4920</v>
      </c>
      <c r="B823" s="1">
        <v>45441</v>
      </c>
      <c r="C823" t="s">
        <v>3177</v>
      </c>
      <c r="D823" t="s">
        <v>758</v>
      </c>
      <c r="E823" t="s">
        <v>21</v>
      </c>
      <c r="F823" t="s">
        <v>66</v>
      </c>
      <c r="G823" t="s">
        <v>49</v>
      </c>
      <c r="H823">
        <v>2</v>
      </c>
      <c r="I823" s="3">
        <v>20.94</v>
      </c>
      <c r="J823" t="s">
        <v>16</v>
      </c>
      <c r="K823" t="s">
        <v>35</v>
      </c>
      <c r="L823" s="4">
        <f>Table4[[#This Row],[quantity]]*Table4[[#This Row],[unit_price]]</f>
        <v>41.88</v>
      </c>
      <c r="M823">
        <f>COUNTIFS($C$2:$C$3934,Table4[[#This Row],[customer_id]])</f>
        <v>4</v>
      </c>
      <c r="N823" t="str">
        <f>IF(Table4[[#This Row],[customer_order_count]]=1,"New Customer","Repeat Customer")</f>
        <v>Repeat Customer</v>
      </c>
    </row>
    <row r="824" spans="1:14">
      <c r="A824" t="s">
        <v>3601</v>
      </c>
      <c r="B824" s="1">
        <v>45271</v>
      </c>
      <c r="C824" t="s">
        <v>1705</v>
      </c>
      <c r="D824" t="s">
        <v>1706</v>
      </c>
      <c r="E824" t="s">
        <v>44</v>
      </c>
      <c r="F824" t="s">
        <v>70</v>
      </c>
      <c r="G824" t="s">
        <v>110</v>
      </c>
      <c r="H824">
        <v>2</v>
      </c>
      <c r="I824" s="3">
        <v>20.94</v>
      </c>
      <c r="J824" t="s">
        <v>16</v>
      </c>
      <c r="K824" t="s">
        <v>40</v>
      </c>
      <c r="L824" s="4">
        <f>Table4[[#This Row],[quantity]]*Table4[[#This Row],[unit_price]]</f>
        <v>41.88</v>
      </c>
      <c r="M824">
        <f>COUNTIFS($C$2:$C$3934,Table4[[#This Row],[customer_id]])</f>
        <v>7</v>
      </c>
      <c r="N824" t="str">
        <f>IF(Table4[[#This Row],[customer_order_count]]=1,"New Customer","Repeat Customer")</f>
        <v>Repeat Customer</v>
      </c>
    </row>
    <row r="825" spans="1:14">
      <c r="A825" t="s">
        <v>1524</v>
      </c>
      <c r="B825" s="1">
        <v>45157</v>
      </c>
      <c r="C825" t="s">
        <v>711</v>
      </c>
      <c r="D825" t="s">
        <v>505</v>
      </c>
      <c r="E825" t="s">
        <v>21</v>
      </c>
      <c r="F825" t="s">
        <v>66</v>
      </c>
      <c r="G825" t="s">
        <v>238</v>
      </c>
      <c r="H825">
        <v>2</v>
      </c>
      <c r="I825" s="3">
        <v>21.01</v>
      </c>
      <c r="J825" t="s">
        <v>16</v>
      </c>
      <c r="K825" t="s">
        <v>17</v>
      </c>
      <c r="L825" s="4">
        <f>Table4[[#This Row],[quantity]]*Table4[[#This Row],[unit_price]]</f>
        <v>42.02</v>
      </c>
      <c r="M825">
        <f>COUNTIFS($C$2:$C$3934,Table4[[#This Row],[customer_id]])</f>
        <v>8</v>
      </c>
      <c r="N825" t="str">
        <f>IF(Table4[[#This Row],[customer_order_count]]=1,"New Customer","Repeat Customer")</f>
        <v>Repeat Customer</v>
      </c>
    </row>
    <row r="826" spans="1:14">
      <c r="A826" t="s">
        <v>3322</v>
      </c>
      <c r="B826" s="1">
        <v>45146</v>
      </c>
      <c r="C826" t="s">
        <v>978</v>
      </c>
      <c r="D826" t="s">
        <v>292</v>
      </c>
      <c r="E826" t="s">
        <v>21</v>
      </c>
      <c r="F826" t="s">
        <v>70</v>
      </c>
      <c r="G826" t="s">
        <v>170</v>
      </c>
      <c r="H826">
        <v>1</v>
      </c>
      <c r="I826" s="3">
        <v>21.02</v>
      </c>
      <c r="J826" t="s">
        <v>16</v>
      </c>
      <c r="K826" t="s">
        <v>30</v>
      </c>
      <c r="L826" s="4">
        <f>Table4[[#This Row],[quantity]]*Table4[[#This Row],[unit_price]]</f>
        <v>21.02</v>
      </c>
      <c r="M826">
        <f>COUNTIFS($C$2:$C$3934,Table4[[#This Row],[customer_id]])</f>
        <v>9</v>
      </c>
      <c r="N826" t="str">
        <f>IF(Table4[[#This Row],[customer_order_count]]=1,"New Customer","Repeat Customer")</f>
        <v>Repeat Customer</v>
      </c>
    </row>
    <row r="827" spans="1:14">
      <c r="A827" t="s">
        <v>4324</v>
      </c>
      <c r="B827" s="1">
        <v>45650</v>
      </c>
      <c r="C827" t="s">
        <v>1170</v>
      </c>
      <c r="D827" t="s">
        <v>765</v>
      </c>
      <c r="E827" t="s">
        <v>21</v>
      </c>
      <c r="F827" t="s">
        <v>66</v>
      </c>
      <c r="G827" t="s">
        <v>49</v>
      </c>
      <c r="H827">
        <v>1</v>
      </c>
      <c r="I827" s="3">
        <v>21.04</v>
      </c>
      <c r="J827" t="s">
        <v>16</v>
      </c>
      <c r="K827" t="s">
        <v>35</v>
      </c>
      <c r="L827" s="4">
        <f>Table4[[#This Row],[quantity]]*Table4[[#This Row],[unit_price]]</f>
        <v>21.04</v>
      </c>
      <c r="M827">
        <f>COUNTIFS($C$2:$C$3934,Table4[[#This Row],[customer_id]])</f>
        <v>4</v>
      </c>
      <c r="N827" t="str">
        <f>IF(Table4[[#This Row],[customer_order_count]]=1,"New Customer","Repeat Customer")</f>
        <v>Repeat Customer</v>
      </c>
    </row>
    <row r="828" spans="1:14">
      <c r="A828" t="s">
        <v>4989</v>
      </c>
      <c r="B828" s="1">
        <v>45466</v>
      </c>
      <c r="C828" t="s">
        <v>1851</v>
      </c>
      <c r="D828" t="s">
        <v>1000</v>
      </c>
      <c r="E828" t="s">
        <v>21</v>
      </c>
      <c r="F828" t="s">
        <v>79</v>
      </c>
      <c r="G828" t="s">
        <v>96</v>
      </c>
      <c r="H828">
        <v>5</v>
      </c>
      <c r="I828" s="3">
        <v>21.06</v>
      </c>
      <c r="J828" t="s">
        <v>16</v>
      </c>
      <c r="K828" t="s">
        <v>40</v>
      </c>
      <c r="L828" s="4">
        <f>Table4[[#This Row],[quantity]]*Table4[[#This Row],[unit_price]]</f>
        <v>105.3</v>
      </c>
      <c r="M828">
        <f>COUNTIFS($C$2:$C$3934,Table4[[#This Row],[customer_id]])</f>
        <v>6</v>
      </c>
      <c r="N828" t="str">
        <f>IF(Table4[[#This Row],[customer_order_count]]=1,"New Customer","Repeat Customer")</f>
        <v>Repeat Customer</v>
      </c>
    </row>
    <row r="829" spans="1:14">
      <c r="A829" t="s">
        <v>4087</v>
      </c>
      <c r="B829" s="1">
        <v>45078</v>
      </c>
      <c r="C829" t="s">
        <v>2309</v>
      </c>
      <c r="D829" t="s">
        <v>2310</v>
      </c>
      <c r="E829" t="s">
        <v>21</v>
      </c>
      <c r="F829" t="s">
        <v>28</v>
      </c>
      <c r="G829" t="s">
        <v>114</v>
      </c>
      <c r="H829">
        <v>1</v>
      </c>
      <c r="I829" s="3">
        <v>21.07</v>
      </c>
      <c r="J829" t="s">
        <v>16</v>
      </c>
      <c r="K829" t="s">
        <v>17</v>
      </c>
      <c r="L829" s="4">
        <f>Table4[[#This Row],[quantity]]*Table4[[#This Row],[unit_price]]</f>
        <v>21.07</v>
      </c>
      <c r="M829">
        <f>COUNTIFS($C$2:$C$3934,Table4[[#This Row],[customer_id]])</f>
        <v>5</v>
      </c>
      <c r="N829" t="str">
        <f>IF(Table4[[#This Row],[customer_order_count]]=1,"New Customer","Repeat Customer")</f>
        <v>Repeat Customer</v>
      </c>
    </row>
    <row r="830" spans="1:14">
      <c r="A830" t="s">
        <v>2135</v>
      </c>
      <c r="B830" s="1">
        <v>45112</v>
      </c>
      <c r="C830" t="s">
        <v>1573</v>
      </c>
      <c r="D830" t="s">
        <v>693</v>
      </c>
      <c r="E830" t="s">
        <v>21</v>
      </c>
      <c r="F830" t="s">
        <v>22</v>
      </c>
      <c r="G830" t="s">
        <v>23</v>
      </c>
      <c r="H830">
        <v>2</v>
      </c>
      <c r="I830" s="3">
        <v>21.08</v>
      </c>
      <c r="J830" t="s">
        <v>16</v>
      </c>
      <c r="K830" t="s">
        <v>40</v>
      </c>
      <c r="L830" s="4">
        <f>Table4[[#This Row],[quantity]]*Table4[[#This Row],[unit_price]]</f>
        <v>42.16</v>
      </c>
      <c r="M830">
        <f>COUNTIFS($C$2:$C$3934,Table4[[#This Row],[customer_id]])</f>
        <v>7</v>
      </c>
      <c r="N830" t="str">
        <f>IF(Table4[[#This Row],[customer_order_count]]=1,"New Customer","Repeat Customer")</f>
        <v>Repeat Customer</v>
      </c>
    </row>
    <row r="831" spans="1:14">
      <c r="A831" t="s">
        <v>4282</v>
      </c>
      <c r="B831" s="1">
        <v>45585</v>
      </c>
      <c r="C831" t="s">
        <v>1926</v>
      </c>
      <c r="D831" t="s">
        <v>1017</v>
      </c>
      <c r="E831" t="s">
        <v>21</v>
      </c>
      <c r="F831" t="s">
        <v>66</v>
      </c>
      <c r="G831" t="s">
        <v>67</v>
      </c>
      <c r="H831">
        <v>1</v>
      </c>
      <c r="I831" s="3">
        <v>21.083775510204081</v>
      </c>
      <c r="J831" t="s">
        <v>24</v>
      </c>
      <c r="K831" t="s">
        <v>30</v>
      </c>
      <c r="L831" s="4">
        <f>Table4[[#This Row],[quantity]]*Table4[[#This Row],[unit_price]]</f>
        <v>21.083775510204081</v>
      </c>
      <c r="M831">
        <f>COUNTIFS($C$2:$C$3934,Table4[[#This Row],[customer_id]])</f>
        <v>4</v>
      </c>
      <c r="N831" t="str">
        <f>IF(Table4[[#This Row],[customer_order_count]]=1,"New Customer","Repeat Customer")</f>
        <v>Repeat Customer</v>
      </c>
    </row>
    <row r="832" spans="1:14">
      <c r="A832" t="s">
        <v>4120</v>
      </c>
      <c r="B832" s="1">
        <v>45024</v>
      </c>
      <c r="C832" t="s">
        <v>2137</v>
      </c>
      <c r="D832" t="s">
        <v>1686</v>
      </c>
      <c r="E832" t="s">
        <v>21</v>
      </c>
      <c r="F832" t="s">
        <v>66</v>
      </c>
      <c r="G832" t="s">
        <v>67</v>
      </c>
      <c r="H832">
        <v>1</v>
      </c>
      <c r="I832" s="3">
        <v>21.083775510204081</v>
      </c>
      <c r="J832" t="s">
        <v>16</v>
      </c>
      <c r="K832" t="s">
        <v>17</v>
      </c>
      <c r="L832" s="4">
        <f>Table4[[#This Row],[quantity]]*Table4[[#This Row],[unit_price]]</f>
        <v>21.083775510204081</v>
      </c>
      <c r="M832">
        <f>COUNTIFS($C$2:$C$3934,Table4[[#This Row],[customer_id]])</f>
        <v>4</v>
      </c>
      <c r="N832" t="str">
        <f>IF(Table4[[#This Row],[customer_order_count]]=1,"New Customer","Repeat Customer")</f>
        <v>Repeat Customer</v>
      </c>
    </row>
    <row r="833" spans="1:14">
      <c r="A833" t="s">
        <v>5078</v>
      </c>
      <c r="B833" s="1">
        <v>45531</v>
      </c>
      <c r="C833" t="s">
        <v>368</v>
      </c>
      <c r="D833" t="s">
        <v>369</v>
      </c>
      <c r="E833" t="s">
        <v>21</v>
      </c>
      <c r="F833" t="s">
        <v>66</v>
      </c>
      <c r="G833" t="s">
        <v>67</v>
      </c>
      <c r="H833">
        <v>1</v>
      </c>
      <c r="I833" s="3">
        <v>21.083775510204081</v>
      </c>
      <c r="J833" t="s">
        <v>16</v>
      </c>
      <c r="K833" t="s">
        <v>17</v>
      </c>
      <c r="L833" s="4">
        <f>Table4[[#This Row],[quantity]]*Table4[[#This Row],[unit_price]]</f>
        <v>21.083775510204081</v>
      </c>
      <c r="M833">
        <f>COUNTIFS($C$2:$C$3934,Table4[[#This Row],[customer_id]])</f>
        <v>7</v>
      </c>
      <c r="N833" t="str">
        <f>IF(Table4[[#This Row],[customer_order_count]]=1,"New Customer","Repeat Customer")</f>
        <v>Repeat Customer</v>
      </c>
    </row>
    <row r="834" spans="1:14">
      <c r="A834" t="s">
        <v>1994</v>
      </c>
      <c r="B834" s="1">
        <v>45038</v>
      </c>
      <c r="C834" t="s">
        <v>893</v>
      </c>
      <c r="D834" s="2" t="s">
        <v>5257</v>
      </c>
      <c r="E834" t="s">
        <v>21</v>
      </c>
      <c r="F834" t="s">
        <v>66</v>
      </c>
      <c r="G834" t="s">
        <v>67</v>
      </c>
      <c r="H834">
        <v>2</v>
      </c>
      <c r="I834" s="3">
        <v>21.083775510204081</v>
      </c>
      <c r="J834" t="s">
        <v>16</v>
      </c>
      <c r="K834" t="s">
        <v>40</v>
      </c>
      <c r="L834" s="4">
        <f>Table4[[#This Row],[quantity]]*Table4[[#This Row],[unit_price]]</f>
        <v>42.167551020408162</v>
      </c>
      <c r="M834">
        <f>COUNTIFS($C$2:$C$3934,Table4[[#This Row],[customer_id]])</f>
        <v>12</v>
      </c>
      <c r="N834" t="str">
        <f>IF(Table4[[#This Row],[customer_order_count]]=1,"New Customer","Repeat Customer")</f>
        <v>Repeat Customer</v>
      </c>
    </row>
    <row r="835" spans="1:14">
      <c r="A835" t="s">
        <v>2035</v>
      </c>
      <c r="B835" s="1">
        <v>45044</v>
      </c>
      <c r="C835" t="s">
        <v>914</v>
      </c>
      <c r="D835" s="5" t="s">
        <v>95</v>
      </c>
      <c r="E835" t="s">
        <v>21</v>
      </c>
      <c r="F835" t="s">
        <v>66</v>
      </c>
      <c r="G835" t="s">
        <v>67</v>
      </c>
      <c r="H835">
        <v>2</v>
      </c>
      <c r="I835" s="3">
        <v>21.083775510204081</v>
      </c>
      <c r="J835" t="s">
        <v>16</v>
      </c>
      <c r="K835" t="s">
        <v>30</v>
      </c>
      <c r="L835" s="4">
        <f>Table4[[#This Row],[quantity]]*Table4[[#This Row],[unit_price]]</f>
        <v>42.167551020408162</v>
      </c>
      <c r="M835">
        <f>COUNTIFS($C$2:$C$3934,Table4[[#This Row],[customer_id]])</f>
        <v>10</v>
      </c>
      <c r="N835" t="str">
        <f>IF(Table4[[#This Row],[customer_order_count]]=1,"New Customer","Repeat Customer")</f>
        <v>Repeat Customer</v>
      </c>
    </row>
    <row r="836" spans="1:14">
      <c r="A836" t="s">
        <v>1290</v>
      </c>
      <c r="B836" s="1">
        <v>45265</v>
      </c>
      <c r="C836" t="s">
        <v>1291</v>
      </c>
      <c r="D836" t="s">
        <v>1292</v>
      </c>
      <c r="E836" t="s">
        <v>21</v>
      </c>
      <c r="F836" t="s">
        <v>14</v>
      </c>
      <c r="G836" t="s">
        <v>15</v>
      </c>
      <c r="H836">
        <v>1</v>
      </c>
      <c r="I836" s="3">
        <v>21.09</v>
      </c>
      <c r="J836" t="s">
        <v>85</v>
      </c>
      <c r="K836" t="s">
        <v>17</v>
      </c>
      <c r="L836" s="4">
        <f>Table4[[#This Row],[quantity]]*Table4[[#This Row],[unit_price]]</f>
        <v>21.09</v>
      </c>
      <c r="M836">
        <f>COUNTIFS($C$2:$C$3934,Table4[[#This Row],[customer_id]])</f>
        <v>6</v>
      </c>
      <c r="N836" t="str">
        <f>IF(Table4[[#This Row],[customer_order_count]]=1,"New Customer","Repeat Customer")</f>
        <v>Repeat Customer</v>
      </c>
    </row>
    <row r="837" spans="1:14">
      <c r="A837" t="s">
        <v>2436</v>
      </c>
      <c r="B837" s="1">
        <v>45654</v>
      </c>
      <c r="C837" t="s">
        <v>927</v>
      </c>
      <c r="D837" t="s">
        <v>928</v>
      </c>
      <c r="E837" t="s">
        <v>44</v>
      </c>
      <c r="F837" t="s">
        <v>22</v>
      </c>
      <c r="G837" t="s">
        <v>162</v>
      </c>
      <c r="H837">
        <v>1</v>
      </c>
      <c r="I837" s="3">
        <v>21.1</v>
      </c>
      <c r="J837" t="s">
        <v>16</v>
      </c>
      <c r="K837" t="s">
        <v>30</v>
      </c>
      <c r="L837" s="4">
        <f>Table4[[#This Row],[quantity]]*Table4[[#This Row],[unit_price]]</f>
        <v>21.1</v>
      </c>
      <c r="M837">
        <f>COUNTIFS($C$2:$C$3934,Table4[[#This Row],[customer_id]])</f>
        <v>6</v>
      </c>
      <c r="N837" t="str">
        <f>IF(Table4[[#This Row],[customer_order_count]]=1,"New Customer","Repeat Customer")</f>
        <v>Repeat Customer</v>
      </c>
    </row>
    <row r="838" spans="1:14">
      <c r="A838" t="s">
        <v>3405</v>
      </c>
      <c r="B838" s="1">
        <v>45225</v>
      </c>
      <c r="C838" t="s">
        <v>964</v>
      </c>
      <c r="D838" t="s">
        <v>965</v>
      </c>
      <c r="E838" t="s">
        <v>21</v>
      </c>
      <c r="F838" t="s">
        <v>28</v>
      </c>
      <c r="G838" t="s">
        <v>139</v>
      </c>
      <c r="H838">
        <v>1</v>
      </c>
      <c r="I838" s="3">
        <v>21.11</v>
      </c>
      <c r="J838" t="s">
        <v>16</v>
      </c>
      <c r="K838" t="s">
        <v>35</v>
      </c>
      <c r="L838" s="4">
        <f>Table4[[#This Row],[quantity]]*Table4[[#This Row],[unit_price]]</f>
        <v>21.11</v>
      </c>
      <c r="M838">
        <f>COUNTIFS($C$2:$C$3934,Table4[[#This Row],[customer_id]])</f>
        <v>5</v>
      </c>
      <c r="N838" t="str">
        <f>IF(Table4[[#This Row],[customer_order_count]]=1,"New Customer","Repeat Customer")</f>
        <v>Repeat Customer</v>
      </c>
    </row>
    <row r="839" spans="1:14">
      <c r="A839" t="s">
        <v>2380</v>
      </c>
      <c r="B839" s="1">
        <v>45387</v>
      </c>
      <c r="C839" t="s">
        <v>890</v>
      </c>
      <c r="D839" t="s">
        <v>891</v>
      </c>
      <c r="E839" t="s">
        <v>21</v>
      </c>
      <c r="F839" t="s">
        <v>66</v>
      </c>
      <c r="G839" t="s">
        <v>128</v>
      </c>
      <c r="H839">
        <v>1</v>
      </c>
      <c r="I839" s="3">
        <v>21.159464285714289</v>
      </c>
      <c r="J839" t="s">
        <v>16</v>
      </c>
      <c r="K839" t="s">
        <v>35</v>
      </c>
      <c r="L839" s="4">
        <f>Table4[[#This Row],[quantity]]*Table4[[#This Row],[unit_price]]</f>
        <v>21.159464285714289</v>
      </c>
      <c r="M839">
        <f>COUNTIFS($C$2:$C$3934,Table4[[#This Row],[customer_id]])</f>
        <v>3</v>
      </c>
      <c r="N839" t="str">
        <f>IF(Table4[[#This Row],[customer_order_count]]=1,"New Customer","Repeat Customer")</f>
        <v>Repeat Customer</v>
      </c>
    </row>
    <row r="840" spans="1:14">
      <c r="A840" t="s">
        <v>987</v>
      </c>
      <c r="B840" s="1">
        <v>45459</v>
      </c>
      <c r="C840" t="s">
        <v>988</v>
      </c>
      <c r="D840" s="2" t="s">
        <v>5257</v>
      </c>
      <c r="E840" t="s">
        <v>21</v>
      </c>
      <c r="F840" t="s">
        <v>66</v>
      </c>
      <c r="G840" t="s">
        <v>128</v>
      </c>
      <c r="H840">
        <v>1</v>
      </c>
      <c r="I840" s="3">
        <v>21.17</v>
      </c>
      <c r="J840" t="s">
        <v>255</v>
      </c>
      <c r="K840" t="s">
        <v>35</v>
      </c>
      <c r="L840" s="4">
        <f>Table4[[#This Row],[quantity]]*Table4[[#This Row],[unit_price]]</f>
        <v>21.17</v>
      </c>
      <c r="M840">
        <f>COUNTIFS($C$2:$C$3934,Table4[[#This Row],[customer_id]])</f>
        <v>3</v>
      </c>
      <c r="N840" t="str">
        <f>IF(Table4[[#This Row],[customer_order_count]]=1,"New Customer","Repeat Customer")</f>
        <v>Repeat Customer</v>
      </c>
    </row>
    <row r="841" spans="1:14">
      <c r="A841" t="s">
        <v>4842</v>
      </c>
      <c r="B841" s="1">
        <v>45068</v>
      </c>
      <c r="C841" t="s">
        <v>1973</v>
      </c>
      <c r="D841" s="5" t="s">
        <v>797</v>
      </c>
      <c r="E841" t="s">
        <v>21</v>
      </c>
      <c r="F841" t="s">
        <v>66</v>
      </c>
      <c r="G841" t="s">
        <v>217</v>
      </c>
      <c r="H841">
        <v>1</v>
      </c>
      <c r="I841" s="3">
        <v>21.2</v>
      </c>
      <c r="J841" t="s">
        <v>16</v>
      </c>
      <c r="K841" t="s">
        <v>17</v>
      </c>
      <c r="L841" s="4">
        <f>Table4[[#This Row],[quantity]]*Table4[[#This Row],[unit_price]]</f>
        <v>21.2</v>
      </c>
      <c r="M841">
        <f>COUNTIFS($C$2:$C$3934,Table4[[#This Row],[customer_id]])</f>
        <v>5</v>
      </c>
      <c r="N841" t="str">
        <f>IF(Table4[[#This Row],[customer_order_count]]=1,"New Customer","Repeat Customer")</f>
        <v>Repeat Customer</v>
      </c>
    </row>
    <row r="842" spans="1:14">
      <c r="A842" t="s">
        <v>2931</v>
      </c>
      <c r="B842" s="1">
        <v>45342</v>
      </c>
      <c r="C842" t="s">
        <v>1282</v>
      </c>
      <c r="D842" t="s">
        <v>78</v>
      </c>
      <c r="E842" t="s">
        <v>21</v>
      </c>
      <c r="F842" t="s">
        <v>22</v>
      </c>
      <c r="G842" t="s">
        <v>135</v>
      </c>
      <c r="H842">
        <v>2</v>
      </c>
      <c r="I842" s="3">
        <v>21.2</v>
      </c>
      <c r="J842" t="s">
        <v>16</v>
      </c>
      <c r="K842" t="s">
        <v>17</v>
      </c>
      <c r="L842" s="4">
        <f>Table4[[#This Row],[quantity]]*Table4[[#This Row],[unit_price]]</f>
        <v>42.4</v>
      </c>
      <c r="M842">
        <f>COUNTIFS($C$2:$C$3934,Table4[[#This Row],[customer_id]])</f>
        <v>4</v>
      </c>
      <c r="N842" t="str">
        <f>IF(Table4[[#This Row],[customer_order_count]]=1,"New Customer","Repeat Customer")</f>
        <v>Repeat Customer</v>
      </c>
    </row>
    <row r="843" spans="1:14">
      <c r="A843" t="s">
        <v>3135</v>
      </c>
      <c r="B843" s="1">
        <v>44957</v>
      </c>
      <c r="C843" t="s">
        <v>822</v>
      </c>
      <c r="D843" t="s">
        <v>496</v>
      </c>
      <c r="E843" t="s">
        <v>21</v>
      </c>
      <c r="F843" t="s">
        <v>14</v>
      </c>
      <c r="G843" t="s">
        <v>100</v>
      </c>
      <c r="H843">
        <v>2</v>
      </c>
      <c r="I843" s="3">
        <v>21.2</v>
      </c>
      <c r="J843" t="s">
        <v>16</v>
      </c>
      <c r="K843" t="s">
        <v>35</v>
      </c>
      <c r="L843" s="4">
        <f>Table4[[#This Row],[quantity]]*Table4[[#This Row],[unit_price]]</f>
        <v>42.4</v>
      </c>
      <c r="M843">
        <f>COUNTIFS($C$2:$C$3934,Table4[[#This Row],[customer_id]])</f>
        <v>6</v>
      </c>
      <c r="N843" t="str">
        <f>IF(Table4[[#This Row],[customer_order_count]]=1,"New Customer","Repeat Customer")</f>
        <v>Repeat Customer</v>
      </c>
    </row>
    <row r="844" spans="1:14">
      <c r="A844" t="s">
        <v>4570</v>
      </c>
      <c r="B844" s="1">
        <v>45208</v>
      </c>
      <c r="C844" t="s">
        <v>82</v>
      </c>
      <c r="D844" t="s">
        <v>83</v>
      </c>
      <c r="E844" t="s">
        <v>21</v>
      </c>
      <c r="F844" t="s">
        <v>28</v>
      </c>
      <c r="G844" t="s">
        <v>114</v>
      </c>
      <c r="H844">
        <v>1</v>
      </c>
      <c r="I844" s="3">
        <v>21.21</v>
      </c>
      <c r="J844" t="s">
        <v>16</v>
      </c>
      <c r="K844" t="s">
        <v>30</v>
      </c>
      <c r="L844" s="4">
        <f>Table4[[#This Row],[quantity]]*Table4[[#This Row],[unit_price]]</f>
        <v>21.21</v>
      </c>
      <c r="M844">
        <f>COUNTIFS($C$2:$C$3934,Table4[[#This Row],[customer_id]])</f>
        <v>7</v>
      </c>
      <c r="N844" t="str">
        <f>IF(Table4[[#This Row],[customer_order_count]]=1,"New Customer","Repeat Customer")</f>
        <v>Repeat Customer</v>
      </c>
    </row>
    <row r="845" spans="1:14">
      <c r="A845" t="s">
        <v>4321</v>
      </c>
      <c r="B845" s="1">
        <v>45498</v>
      </c>
      <c r="C845" t="s">
        <v>2416</v>
      </c>
      <c r="D845" t="s">
        <v>1706</v>
      </c>
      <c r="E845" t="s">
        <v>44</v>
      </c>
      <c r="F845" t="s">
        <v>28</v>
      </c>
      <c r="G845" t="s">
        <v>114</v>
      </c>
      <c r="H845">
        <v>1</v>
      </c>
      <c r="I845" s="3">
        <v>21.21</v>
      </c>
      <c r="J845" t="s">
        <v>16</v>
      </c>
      <c r="K845" t="s">
        <v>35</v>
      </c>
      <c r="L845" s="4">
        <f>Table4[[#This Row],[quantity]]*Table4[[#This Row],[unit_price]]</f>
        <v>21.21</v>
      </c>
      <c r="M845">
        <f>COUNTIFS($C$2:$C$3934,Table4[[#This Row],[customer_id]])</f>
        <v>4</v>
      </c>
      <c r="N845" t="str">
        <f>IF(Table4[[#This Row],[customer_order_count]]=1,"New Customer","Repeat Customer")</f>
        <v>Repeat Customer</v>
      </c>
    </row>
    <row r="846" spans="1:14">
      <c r="A846" t="s">
        <v>2504</v>
      </c>
      <c r="B846" s="1">
        <v>45029</v>
      </c>
      <c r="C846" t="s">
        <v>260</v>
      </c>
      <c r="D846" t="s">
        <v>261</v>
      </c>
      <c r="E846" t="s">
        <v>44</v>
      </c>
      <c r="F846" t="s">
        <v>14</v>
      </c>
      <c r="G846" t="s">
        <v>100</v>
      </c>
      <c r="H846">
        <v>1</v>
      </c>
      <c r="I846" s="3">
        <v>21.22</v>
      </c>
      <c r="J846" t="s">
        <v>24</v>
      </c>
      <c r="K846" t="s">
        <v>40</v>
      </c>
      <c r="L846" s="4">
        <f>Table4[[#This Row],[quantity]]*Table4[[#This Row],[unit_price]]</f>
        <v>21.22</v>
      </c>
      <c r="M846">
        <f>COUNTIFS($C$2:$C$3934,Table4[[#This Row],[customer_id]])</f>
        <v>7</v>
      </c>
      <c r="N846" t="str">
        <f>IF(Table4[[#This Row],[customer_order_count]]=1,"New Customer","Repeat Customer")</f>
        <v>Repeat Customer</v>
      </c>
    </row>
    <row r="847" spans="1:14">
      <c r="A847" t="s">
        <v>2233</v>
      </c>
      <c r="B847" s="1">
        <v>45424</v>
      </c>
      <c r="C847" t="s">
        <v>1355</v>
      </c>
      <c r="D847" t="s">
        <v>138</v>
      </c>
      <c r="E847" t="s">
        <v>21</v>
      </c>
      <c r="F847" t="s">
        <v>66</v>
      </c>
      <c r="G847" t="s">
        <v>49</v>
      </c>
      <c r="H847">
        <v>1</v>
      </c>
      <c r="I847" s="3">
        <v>21.23</v>
      </c>
      <c r="J847" t="s">
        <v>16</v>
      </c>
      <c r="K847" t="s">
        <v>40</v>
      </c>
      <c r="L847" s="4">
        <f>Table4[[#This Row],[quantity]]*Table4[[#This Row],[unit_price]]</f>
        <v>21.23</v>
      </c>
      <c r="M847">
        <f>COUNTIFS($C$2:$C$3934,Table4[[#This Row],[customer_id]])</f>
        <v>4</v>
      </c>
      <c r="N847" t="str">
        <f>IF(Table4[[#This Row],[customer_order_count]]=1,"New Customer","Repeat Customer")</f>
        <v>Repeat Customer</v>
      </c>
    </row>
    <row r="848" spans="1:14">
      <c r="A848" t="s">
        <v>4290</v>
      </c>
      <c r="B848" s="1">
        <v>45216</v>
      </c>
      <c r="C848" t="s">
        <v>696</v>
      </c>
      <c r="D848" t="s">
        <v>582</v>
      </c>
      <c r="E848" t="s">
        <v>21</v>
      </c>
      <c r="F848" t="s">
        <v>22</v>
      </c>
      <c r="G848" t="s">
        <v>162</v>
      </c>
      <c r="H848">
        <v>2</v>
      </c>
      <c r="I848" s="3">
        <v>21.23</v>
      </c>
      <c r="J848" t="s">
        <v>16</v>
      </c>
      <c r="K848" t="s">
        <v>30</v>
      </c>
      <c r="L848" s="4">
        <f>Table4[[#This Row],[quantity]]*Table4[[#This Row],[unit_price]]</f>
        <v>42.46</v>
      </c>
      <c r="M848">
        <f>COUNTIFS($C$2:$C$3934,Table4[[#This Row],[customer_id]])</f>
        <v>12</v>
      </c>
      <c r="N848" t="str">
        <f>IF(Table4[[#This Row],[customer_order_count]]=1,"New Customer","Repeat Customer")</f>
        <v>Repeat Customer</v>
      </c>
    </row>
    <row r="849" spans="1:14">
      <c r="A849" t="s">
        <v>1895</v>
      </c>
      <c r="B849" s="1">
        <v>45567</v>
      </c>
      <c r="C849" t="s">
        <v>1639</v>
      </c>
      <c r="D849" t="s">
        <v>324</v>
      </c>
      <c r="E849" t="s">
        <v>21</v>
      </c>
      <c r="F849" t="s">
        <v>66</v>
      </c>
      <c r="G849" t="s">
        <v>238</v>
      </c>
      <c r="H849">
        <v>3</v>
      </c>
      <c r="I849" s="3">
        <v>21.24</v>
      </c>
      <c r="J849" t="s">
        <v>24</v>
      </c>
      <c r="K849" t="s">
        <v>17</v>
      </c>
      <c r="L849" s="4">
        <f>Table4[[#This Row],[quantity]]*Table4[[#This Row],[unit_price]]</f>
        <v>63.72</v>
      </c>
      <c r="M849">
        <f>COUNTIFS($C$2:$C$3934,Table4[[#This Row],[customer_id]])</f>
        <v>5</v>
      </c>
      <c r="N849" t="str">
        <f>IF(Table4[[#This Row],[customer_order_count]]=1,"New Customer","Repeat Customer")</f>
        <v>Repeat Customer</v>
      </c>
    </row>
    <row r="850" spans="1:14">
      <c r="A850" t="s">
        <v>2129</v>
      </c>
      <c r="B850" s="1">
        <v>45196</v>
      </c>
      <c r="C850" t="s">
        <v>2130</v>
      </c>
      <c r="D850" t="s">
        <v>953</v>
      </c>
      <c r="E850" t="s">
        <v>21</v>
      </c>
      <c r="F850" t="s">
        <v>66</v>
      </c>
      <c r="G850" t="s">
        <v>217</v>
      </c>
      <c r="H850">
        <v>1</v>
      </c>
      <c r="I850" s="3">
        <v>21.27</v>
      </c>
      <c r="J850" t="s">
        <v>16</v>
      </c>
      <c r="K850" t="s">
        <v>35</v>
      </c>
      <c r="L850" s="4">
        <f>Table4[[#This Row],[quantity]]*Table4[[#This Row],[unit_price]]</f>
        <v>21.27</v>
      </c>
      <c r="M850">
        <f>COUNTIFS($C$2:$C$3934,Table4[[#This Row],[customer_id]])</f>
        <v>5</v>
      </c>
      <c r="N850" t="str">
        <f>IF(Table4[[#This Row],[customer_order_count]]=1,"New Customer","Repeat Customer")</f>
        <v>Repeat Customer</v>
      </c>
    </row>
    <row r="851" spans="1:14">
      <c r="A851" t="s">
        <v>1505</v>
      </c>
      <c r="B851" s="1">
        <v>45437</v>
      </c>
      <c r="C851" t="s">
        <v>1506</v>
      </c>
      <c r="D851" t="s">
        <v>1507</v>
      </c>
      <c r="E851" t="s">
        <v>106</v>
      </c>
      <c r="F851" t="s">
        <v>22</v>
      </c>
      <c r="G851" t="s">
        <v>142</v>
      </c>
      <c r="H851">
        <v>4</v>
      </c>
      <c r="I851" s="3">
        <v>21.29</v>
      </c>
      <c r="J851" t="s">
        <v>16</v>
      </c>
      <c r="K851" t="s">
        <v>17</v>
      </c>
      <c r="L851" s="4">
        <f>Table4[[#This Row],[quantity]]*Table4[[#This Row],[unit_price]]</f>
        <v>85.16</v>
      </c>
      <c r="M851">
        <f>COUNTIFS($C$2:$C$3934,Table4[[#This Row],[customer_id]])</f>
        <v>1</v>
      </c>
      <c r="N851" t="str">
        <f>IF(Table4[[#This Row],[customer_order_count]]=1,"New Customer","Repeat Customer")</f>
        <v>New Customer</v>
      </c>
    </row>
    <row r="852" spans="1:14">
      <c r="A852" t="s">
        <v>625</v>
      </c>
      <c r="B852" s="1">
        <v>45035</v>
      </c>
      <c r="C852" t="s">
        <v>626</v>
      </c>
      <c r="D852" t="s">
        <v>627</v>
      </c>
      <c r="E852" t="s">
        <v>21</v>
      </c>
      <c r="F852" t="s">
        <v>28</v>
      </c>
      <c r="G852" t="s">
        <v>139</v>
      </c>
      <c r="H852">
        <v>2</v>
      </c>
      <c r="I852" s="3">
        <v>21.3</v>
      </c>
      <c r="J852" t="s">
        <v>16</v>
      </c>
      <c r="K852" t="s">
        <v>35</v>
      </c>
      <c r="L852" s="4">
        <f>Table4[[#This Row],[quantity]]*Table4[[#This Row],[unit_price]]</f>
        <v>42.6</v>
      </c>
      <c r="M852">
        <f>COUNTIFS($C$2:$C$3934,Table4[[#This Row],[customer_id]])</f>
        <v>4</v>
      </c>
      <c r="N852" t="str">
        <f>IF(Table4[[#This Row],[customer_order_count]]=1,"New Customer","Repeat Customer")</f>
        <v>Repeat Customer</v>
      </c>
    </row>
    <row r="853" spans="1:14">
      <c r="A853" t="s">
        <v>1586</v>
      </c>
      <c r="B853" s="1">
        <v>45127</v>
      </c>
      <c r="C853" t="s">
        <v>1587</v>
      </c>
      <c r="D853" t="s">
        <v>1588</v>
      </c>
      <c r="E853" t="s">
        <v>21</v>
      </c>
      <c r="F853" t="s">
        <v>66</v>
      </c>
      <c r="G853" t="s">
        <v>67</v>
      </c>
      <c r="H853">
        <v>3</v>
      </c>
      <c r="I853" s="3">
        <v>21.31</v>
      </c>
      <c r="J853" t="s">
        <v>16</v>
      </c>
      <c r="K853" t="s">
        <v>35</v>
      </c>
      <c r="L853" s="4">
        <f>Table4[[#This Row],[quantity]]*Table4[[#This Row],[unit_price]]</f>
        <v>63.929999999999993</v>
      </c>
      <c r="M853">
        <f>COUNTIFS($C$2:$C$3934,Table4[[#This Row],[customer_id]])</f>
        <v>8</v>
      </c>
      <c r="N853" t="str">
        <f>IF(Table4[[#This Row],[customer_order_count]]=1,"New Customer","Repeat Customer")</f>
        <v>Repeat Customer</v>
      </c>
    </row>
    <row r="854" spans="1:14">
      <c r="A854" t="s">
        <v>1711</v>
      </c>
      <c r="B854" s="1">
        <v>45265</v>
      </c>
      <c r="C854" t="s">
        <v>551</v>
      </c>
      <c r="D854" t="s">
        <v>220</v>
      </c>
      <c r="E854" t="s">
        <v>21</v>
      </c>
      <c r="F854" t="s">
        <v>22</v>
      </c>
      <c r="G854" t="s">
        <v>135</v>
      </c>
      <c r="H854">
        <v>1</v>
      </c>
      <c r="I854" s="3">
        <v>21.32</v>
      </c>
      <c r="J854" t="s">
        <v>16</v>
      </c>
      <c r="K854" t="s">
        <v>40</v>
      </c>
      <c r="L854" s="4">
        <f>Table4[[#This Row],[quantity]]*Table4[[#This Row],[unit_price]]</f>
        <v>21.32</v>
      </c>
      <c r="M854">
        <f>COUNTIFS($C$2:$C$3934,Table4[[#This Row],[customer_id]])</f>
        <v>8</v>
      </c>
      <c r="N854" t="str">
        <f>IF(Table4[[#This Row],[customer_order_count]]=1,"New Customer","Repeat Customer")</f>
        <v>Repeat Customer</v>
      </c>
    </row>
    <row r="855" spans="1:14">
      <c r="A855" t="s">
        <v>943</v>
      </c>
      <c r="B855" s="1">
        <v>45424</v>
      </c>
      <c r="C855" t="s">
        <v>844</v>
      </c>
      <c r="D855" t="s">
        <v>20</v>
      </c>
      <c r="E855" t="s">
        <v>61</v>
      </c>
      <c r="F855" t="s">
        <v>56</v>
      </c>
      <c r="G855" t="s">
        <v>118</v>
      </c>
      <c r="H855">
        <v>1</v>
      </c>
      <c r="I855" s="3">
        <v>21.34</v>
      </c>
      <c r="J855" t="s">
        <v>16</v>
      </c>
      <c r="K855" s="2" t="s">
        <v>5256</v>
      </c>
      <c r="L855" s="4">
        <f>Table4[[#This Row],[quantity]]*Table4[[#This Row],[unit_price]]</f>
        <v>21.34</v>
      </c>
      <c r="M855">
        <f>COUNTIFS($C$2:$C$3934,Table4[[#This Row],[customer_id]])</f>
        <v>5</v>
      </c>
      <c r="N855" t="str">
        <f>IF(Table4[[#This Row],[customer_order_count]]=1,"New Customer","Repeat Customer")</f>
        <v>Repeat Customer</v>
      </c>
    </row>
    <row r="856" spans="1:14">
      <c r="A856" t="s">
        <v>1794</v>
      </c>
      <c r="B856" s="1">
        <v>45039</v>
      </c>
      <c r="C856" t="s">
        <v>69</v>
      </c>
      <c r="D856" t="s">
        <v>820</v>
      </c>
      <c r="E856" t="s">
        <v>21</v>
      </c>
      <c r="F856" t="s">
        <v>56</v>
      </c>
      <c r="G856" t="s">
        <v>210</v>
      </c>
      <c r="H856">
        <v>3</v>
      </c>
      <c r="I856" s="3">
        <v>21.34</v>
      </c>
      <c r="J856" t="s">
        <v>16</v>
      </c>
      <c r="K856" s="5" t="s">
        <v>40</v>
      </c>
      <c r="L856" s="4">
        <f>Table4[[#This Row],[quantity]]*Table4[[#This Row],[unit_price]]</f>
        <v>64.02</v>
      </c>
      <c r="M856">
        <f>COUNTIFS($C$2:$C$3934,Table4[[#This Row],[customer_id]])</f>
        <v>8</v>
      </c>
      <c r="N856" t="str">
        <f>IF(Table4[[#This Row],[customer_order_count]]=1,"New Customer","Repeat Customer")</f>
        <v>Repeat Customer</v>
      </c>
    </row>
    <row r="857" spans="1:14">
      <c r="A857" t="s">
        <v>4090</v>
      </c>
      <c r="B857" s="1">
        <v>44956</v>
      </c>
      <c r="C857" t="s">
        <v>1452</v>
      </c>
      <c r="D857" t="s">
        <v>1453</v>
      </c>
      <c r="E857" t="s">
        <v>21</v>
      </c>
      <c r="F857" t="s">
        <v>22</v>
      </c>
      <c r="G857" t="s">
        <v>135</v>
      </c>
      <c r="H857">
        <v>4</v>
      </c>
      <c r="I857" s="3">
        <v>21.36</v>
      </c>
      <c r="J857" t="s">
        <v>16</v>
      </c>
      <c r="K857" t="s">
        <v>40</v>
      </c>
      <c r="L857" s="4">
        <f>Table4[[#This Row],[quantity]]*Table4[[#This Row],[unit_price]]</f>
        <v>85.44</v>
      </c>
      <c r="M857">
        <f>COUNTIFS($C$2:$C$3934,Table4[[#This Row],[customer_id]])</f>
        <v>7</v>
      </c>
      <c r="N857" t="str">
        <f>IF(Table4[[#This Row],[customer_order_count]]=1,"New Customer","Repeat Customer")</f>
        <v>Repeat Customer</v>
      </c>
    </row>
    <row r="858" spans="1:14">
      <c r="A858" t="s">
        <v>3470</v>
      </c>
      <c r="B858" s="1">
        <v>45341</v>
      </c>
      <c r="C858" t="s">
        <v>260</v>
      </c>
      <c r="D858" t="s">
        <v>261</v>
      </c>
      <c r="E858" t="s">
        <v>44</v>
      </c>
      <c r="F858" t="s">
        <v>28</v>
      </c>
      <c r="G858" t="s">
        <v>84</v>
      </c>
      <c r="H858">
        <v>2</v>
      </c>
      <c r="I858" s="3">
        <v>21.38</v>
      </c>
      <c r="J858" t="s">
        <v>16</v>
      </c>
      <c r="K858" t="s">
        <v>40</v>
      </c>
      <c r="L858" s="4">
        <f>Table4[[#This Row],[quantity]]*Table4[[#This Row],[unit_price]]</f>
        <v>42.76</v>
      </c>
      <c r="M858">
        <f>COUNTIFS($C$2:$C$3934,Table4[[#This Row],[customer_id]])</f>
        <v>7</v>
      </c>
      <c r="N858" t="str">
        <f>IF(Table4[[#This Row],[customer_order_count]]=1,"New Customer","Repeat Customer")</f>
        <v>Repeat Customer</v>
      </c>
    </row>
    <row r="859" spans="1:14">
      <c r="A859" t="s">
        <v>1923</v>
      </c>
      <c r="B859" s="1">
        <v>45333</v>
      </c>
      <c r="C859" t="s">
        <v>1924</v>
      </c>
      <c r="D859" t="s">
        <v>1124</v>
      </c>
      <c r="E859" t="s">
        <v>21</v>
      </c>
      <c r="F859" t="s">
        <v>66</v>
      </c>
      <c r="G859" t="s">
        <v>49</v>
      </c>
      <c r="H859">
        <v>2</v>
      </c>
      <c r="I859" s="3">
        <v>21.41</v>
      </c>
      <c r="J859" t="s">
        <v>16</v>
      </c>
      <c r="K859" t="s">
        <v>30</v>
      </c>
      <c r="L859" s="4">
        <f>Table4[[#This Row],[quantity]]*Table4[[#This Row],[unit_price]]</f>
        <v>42.82</v>
      </c>
      <c r="M859">
        <f>COUNTIFS($C$2:$C$3934,Table4[[#This Row],[customer_id]])</f>
        <v>3</v>
      </c>
      <c r="N859" t="str">
        <f>IF(Table4[[#This Row],[customer_order_count]]=1,"New Customer","Repeat Customer")</f>
        <v>Repeat Customer</v>
      </c>
    </row>
    <row r="860" spans="1:14">
      <c r="A860" t="s">
        <v>4581</v>
      </c>
      <c r="B860" s="1">
        <v>45152</v>
      </c>
      <c r="C860" t="s">
        <v>1772</v>
      </c>
      <c r="D860" t="s">
        <v>452</v>
      </c>
      <c r="E860" t="s">
        <v>21</v>
      </c>
      <c r="F860" t="s">
        <v>66</v>
      </c>
      <c r="G860" t="s">
        <v>128</v>
      </c>
      <c r="H860">
        <v>1</v>
      </c>
      <c r="I860" s="3">
        <v>21.44</v>
      </c>
      <c r="J860" t="s">
        <v>24</v>
      </c>
      <c r="K860" t="s">
        <v>17</v>
      </c>
      <c r="L860" s="4">
        <f>Table4[[#This Row],[quantity]]*Table4[[#This Row],[unit_price]]</f>
        <v>21.44</v>
      </c>
      <c r="M860">
        <f>COUNTIFS($C$2:$C$3934,Table4[[#This Row],[customer_id]])</f>
        <v>4</v>
      </c>
      <c r="N860" t="str">
        <f>IF(Table4[[#This Row],[customer_order_count]]=1,"New Customer","Repeat Customer")</f>
        <v>Repeat Customer</v>
      </c>
    </row>
    <row r="861" spans="1:14">
      <c r="A861" t="s">
        <v>4173</v>
      </c>
      <c r="B861" s="1">
        <v>45336</v>
      </c>
      <c r="C861" t="s">
        <v>1884</v>
      </c>
      <c r="D861" t="s">
        <v>478</v>
      </c>
      <c r="E861" t="s">
        <v>21</v>
      </c>
      <c r="F861" t="s">
        <v>79</v>
      </c>
      <c r="G861" t="s">
        <v>96</v>
      </c>
      <c r="H861">
        <v>1</v>
      </c>
      <c r="I861" s="3">
        <v>21.44</v>
      </c>
      <c r="J861" t="s">
        <v>16</v>
      </c>
      <c r="K861" t="s">
        <v>30</v>
      </c>
      <c r="L861" s="4">
        <f>Table4[[#This Row],[quantity]]*Table4[[#This Row],[unit_price]]</f>
        <v>21.44</v>
      </c>
      <c r="M861">
        <f>COUNTIFS($C$2:$C$3934,Table4[[#This Row],[customer_id]])</f>
        <v>6</v>
      </c>
      <c r="N861" t="str">
        <f>IF(Table4[[#This Row],[customer_order_count]]=1,"New Customer","Repeat Customer")</f>
        <v>Repeat Customer</v>
      </c>
    </row>
    <row r="862" spans="1:14">
      <c r="A862" t="s">
        <v>1604</v>
      </c>
      <c r="B862" s="1">
        <v>45076</v>
      </c>
      <c r="C862" t="s">
        <v>1213</v>
      </c>
      <c r="D862" t="s">
        <v>582</v>
      </c>
      <c r="E862" t="s">
        <v>44</v>
      </c>
      <c r="F862" t="s">
        <v>70</v>
      </c>
      <c r="G862" t="s">
        <v>89</v>
      </c>
      <c r="H862">
        <v>3</v>
      </c>
      <c r="I862" s="3">
        <v>21.45</v>
      </c>
      <c r="J862" t="s">
        <v>85</v>
      </c>
      <c r="K862" t="s">
        <v>40</v>
      </c>
      <c r="L862" s="4">
        <f>Table4[[#This Row],[quantity]]*Table4[[#This Row],[unit_price]]</f>
        <v>64.349999999999994</v>
      </c>
      <c r="M862">
        <f>COUNTIFS($C$2:$C$3934,Table4[[#This Row],[customer_id]])</f>
        <v>3</v>
      </c>
      <c r="N862" t="str">
        <f>IF(Table4[[#This Row],[customer_order_count]]=1,"New Customer","Repeat Customer")</f>
        <v>Repeat Customer</v>
      </c>
    </row>
    <row r="863" spans="1:14">
      <c r="A863" t="s">
        <v>50</v>
      </c>
      <c r="B863" s="1">
        <v>45319</v>
      </c>
      <c r="C863" t="s">
        <v>51</v>
      </c>
      <c r="D863" t="s">
        <v>52</v>
      </c>
      <c r="E863" t="s">
        <v>21</v>
      </c>
      <c r="F863" t="s">
        <v>28</v>
      </c>
      <c r="G863" t="s">
        <v>29</v>
      </c>
      <c r="H863">
        <v>1</v>
      </c>
      <c r="I863" s="3">
        <v>21.46</v>
      </c>
      <c r="J863" t="s">
        <v>16</v>
      </c>
      <c r="K863" t="s">
        <v>40</v>
      </c>
      <c r="L863" s="4">
        <f>Table4[[#This Row],[quantity]]*Table4[[#This Row],[unit_price]]</f>
        <v>21.46</v>
      </c>
      <c r="M863">
        <f>COUNTIFS($C$2:$C$3934,Table4[[#This Row],[customer_id]])</f>
        <v>9</v>
      </c>
      <c r="N863" t="str">
        <f>IF(Table4[[#This Row],[customer_order_count]]=1,"New Customer","Repeat Customer")</f>
        <v>Repeat Customer</v>
      </c>
    </row>
    <row r="864" spans="1:14">
      <c r="A864" t="s">
        <v>4128</v>
      </c>
      <c r="B864" s="1">
        <v>44952</v>
      </c>
      <c r="C864" t="s">
        <v>448</v>
      </c>
      <c r="D864" t="s">
        <v>449</v>
      </c>
      <c r="E864" t="s">
        <v>44</v>
      </c>
      <c r="F864" t="s">
        <v>79</v>
      </c>
      <c r="G864" t="s">
        <v>80</v>
      </c>
      <c r="H864">
        <v>5</v>
      </c>
      <c r="I864" s="3">
        <v>21.51</v>
      </c>
      <c r="J864" t="s">
        <v>24</v>
      </c>
      <c r="K864" t="s">
        <v>35</v>
      </c>
      <c r="L864" s="4">
        <f>Table4[[#This Row],[quantity]]*Table4[[#This Row],[unit_price]]</f>
        <v>107.55000000000001</v>
      </c>
      <c r="M864">
        <f>COUNTIFS($C$2:$C$3934,Table4[[#This Row],[customer_id]])</f>
        <v>6</v>
      </c>
      <c r="N864" t="str">
        <f>IF(Table4[[#This Row],[customer_order_count]]=1,"New Customer","Repeat Customer")</f>
        <v>Repeat Customer</v>
      </c>
    </row>
    <row r="865" spans="1:14">
      <c r="A865" t="s">
        <v>4425</v>
      </c>
      <c r="B865" s="1">
        <v>45291</v>
      </c>
      <c r="C865" t="s">
        <v>3177</v>
      </c>
      <c r="D865" t="s">
        <v>758</v>
      </c>
      <c r="E865" t="s">
        <v>21</v>
      </c>
      <c r="F865" t="s">
        <v>22</v>
      </c>
      <c r="G865" t="s">
        <v>162</v>
      </c>
      <c r="H865">
        <v>1</v>
      </c>
      <c r="I865" s="3">
        <v>21.52</v>
      </c>
      <c r="J865" t="s">
        <v>16</v>
      </c>
      <c r="K865" t="s">
        <v>40</v>
      </c>
      <c r="L865" s="4">
        <f>Table4[[#This Row],[quantity]]*Table4[[#This Row],[unit_price]]</f>
        <v>21.52</v>
      </c>
      <c r="M865">
        <f>COUNTIFS($C$2:$C$3934,Table4[[#This Row],[customer_id]])</f>
        <v>4</v>
      </c>
      <c r="N865" t="str">
        <f>IF(Table4[[#This Row],[customer_order_count]]=1,"New Customer","Repeat Customer")</f>
        <v>Repeat Customer</v>
      </c>
    </row>
    <row r="866" spans="1:14">
      <c r="A866" t="s">
        <v>3539</v>
      </c>
      <c r="B866" s="1">
        <v>45475</v>
      </c>
      <c r="C866" t="s">
        <v>112</v>
      </c>
      <c r="D866" t="s">
        <v>113</v>
      </c>
      <c r="E866" t="s">
        <v>21</v>
      </c>
      <c r="F866" t="s">
        <v>66</v>
      </c>
      <c r="G866" t="s">
        <v>128</v>
      </c>
      <c r="H866">
        <v>2</v>
      </c>
      <c r="I866" s="3">
        <v>21.53</v>
      </c>
      <c r="J866" t="s">
        <v>16</v>
      </c>
      <c r="K866" t="s">
        <v>30</v>
      </c>
      <c r="L866" s="4">
        <f>Table4[[#This Row],[quantity]]*Table4[[#This Row],[unit_price]]</f>
        <v>43.06</v>
      </c>
      <c r="M866">
        <f>COUNTIFS($C$2:$C$3934,Table4[[#This Row],[customer_id]])</f>
        <v>7</v>
      </c>
      <c r="N866" t="str">
        <f>IF(Table4[[#This Row],[customer_order_count]]=1,"New Customer","Repeat Customer")</f>
        <v>Repeat Customer</v>
      </c>
    </row>
    <row r="867" spans="1:14">
      <c r="A867" t="s">
        <v>2366</v>
      </c>
      <c r="B867" s="1">
        <v>44987</v>
      </c>
      <c r="C867" t="s">
        <v>1045</v>
      </c>
      <c r="D867" t="s">
        <v>478</v>
      </c>
      <c r="E867" t="s">
        <v>21</v>
      </c>
      <c r="F867" t="s">
        <v>28</v>
      </c>
      <c r="G867" t="s">
        <v>45</v>
      </c>
      <c r="H867">
        <v>2</v>
      </c>
      <c r="I867" s="3">
        <v>21.54</v>
      </c>
      <c r="J867" t="s">
        <v>85</v>
      </c>
      <c r="K867" t="s">
        <v>40</v>
      </c>
      <c r="L867" s="4">
        <f>Table4[[#This Row],[quantity]]*Table4[[#This Row],[unit_price]]</f>
        <v>43.08</v>
      </c>
      <c r="M867">
        <f>COUNTIFS($C$2:$C$3934,Table4[[#This Row],[customer_id]])</f>
        <v>4</v>
      </c>
      <c r="N867" t="str">
        <f>IF(Table4[[#This Row],[customer_order_count]]=1,"New Customer","Repeat Customer")</f>
        <v>Repeat Customer</v>
      </c>
    </row>
    <row r="868" spans="1:14">
      <c r="A868" t="s">
        <v>2746</v>
      </c>
      <c r="B868" s="1">
        <v>45304</v>
      </c>
      <c r="C868" t="s">
        <v>1710</v>
      </c>
      <c r="D868" t="s">
        <v>396</v>
      </c>
      <c r="E868" t="s">
        <v>21</v>
      </c>
      <c r="F868" t="s">
        <v>66</v>
      </c>
      <c r="G868" t="s">
        <v>128</v>
      </c>
      <c r="H868">
        <v>2</v>
      </c>
      <c r="I868" s="3">
        <v>21.55</v>
      </c>
      <c r="J868" t="s">
        <v>24</v>
      </c>
      <c r="K868" t="s">
        <v>17</v>
      </c>
      <c r="L868" s="4">
        <f>Table4[[#This Row],[quantity]]*Table4[[#This Row],[unit_price]]</f>
        <v>43.1</v>
      </c>
      <c r="M868">
        <f>COUNTIFS($C$2:$C$3934,Table4[[#This Row],[customer_id]])</f>
        <v>10</v>
      </c>
      <c r="N868" t="str">
        <f>IF(Table4[[#This Row],[customer_order_count]]=1,"New Customer","Repeat Customer")</f>
        <v>Repeat Customer</v>
      </c>
    </row>
    <row r="869" spans="1:14">
      <c r="A869" t="s">
        <v>4817</v>
      </c>
      <c r="B869" s="1">
        <v>44948</v>
      </c>
      <c r="C869" t="s">
        <v>2004</v>
      </c>
      <c r="D869" t="s">
        <v>99</v>
      </c>
      <c r="E869" t="s">
        <v>44</v>
      </c>
      <c r="F869" t="s">
        <v>66</v>
      </c>
      <c r="G869" t="s">
        <v>217</v>
      </c>
      <c r="H869">
        <v>1</v>
      </c>
      <c r="I869" s="3">
        <v>21.56</v>
      </c>
      <c r="J869" t="s">
        <v>16</v>
      </c>
      <c r="K869" t="s">
        <v>35</v>
      </c>
      <c r="L869" s="4">
        <f>Table4[[#This Row],[quantity]]*Table4[[#This Row],[unit_price]]</f>
        <v>21.56</v>
      </c>
      <c r="M869">
        <f>COUNTIFS($C$2:$C$3934,Table4[[#This Row],[customer_id]])</f>
        <v>6</v>
      </c>
      <c r="N869" t="str">
        <f>IF(Table4[[#This Row],[customer_order_count]]=1,"New Customer","Repeat Customer")</f>
        <v>Repeat Customer</v>
      </c>
    </row>
    <row r="870" spans="1:14">
      <c r="A870" t="s">
        <v>1378</v>
      </c>
      <c r="B870" s="1">
        <v>45177</v>
      </c>
      <c r="C870" t="s">
        <v>1379</v>
      </c>
      <c r="D870" t="s">
        <v>1054</v>
      </c>
      <c r="E870" t="s">
        <v>21</v>
      </c>
      <c r="F870" t="s">
        <v>66</v>
      </c>
      <c r="G870" t="s">
        <v>238</v>
      </c>
      <c r="H870">
        <v>2</v>
      </c>
      <c r="I870" s="3">
        <v>21.566788990825685</v>
      </c>
      <c r="J870" t="s">
        <v>16</v>
      </c>
      <c r="K870" t="s">
        <v>40</v>
      </c>
      <c r="L870" s="4">
        <f>Table4[[#This Row],[quantity]]*Table4[[#This Row],[unit_price]]</f>
        <v>43.133577981651371</v>
      </c>
      <c r="M870">
        <f>COUNTIFS($C$2:$C$3934,Table4[[#This Row],[customer_id]])</f>
        <v>5</v>
      </c>
      <c r="N870" t="str">
        <f>IF(Table4[[#This Row],[customer_order_count]]=1,"New Customer","Repeat Customer")</f>
        <v>Repeat Customer</v>
      </c>
    </row>
    <row r="871" spans="1:14">
      <c r="A871" t="s">
        <v>4900</v>
      </c>
      <c r="B871" s="1">
        <v>45380</v>
      </c>
      <c r="C871" t="s">
        <v>3380</v>
      </c>
      <c r="D871" t="s">
        <v>178</v>
      </c>
      <c r="E871" t="s">
        <v>44</v>
      </c>
      <c r="F871" t="s">
        <v>66</v>
      </c>
      <c r="G871" t="s">
        <v>128</v>
      </c>
      <c r="H871">
        <v>1</v>
      </c>
      <c r="I871" s="3">
        <v>21.58</v>
      </c>
      <c r="J871" t="s">
        <v>85</v>
      </c>
      <c r="K871" t="s">
        <v>17</v>
      </c>
      <c r="L871" s="4">
        <f>Table4[[#This Row],[quantity]]*Table4[[#This Row],[unit_price]]</f>
        <v>21.58</v>
      </c>
      <c r="M871">
        <f>COUNTIFS($C$2:$C$3934,Table4[[#This Row],[customer_id]])</f>
        <v>3</v>
      </c>
      <c r="N871" t="str">
        <f>IF(Table4[[#This Row],[customer_order_count]]=1,"New Customer","Repeat Customer")</f>
        <v>Repeat Customer</v>
      </c>
    </row>
    <row r="872" spans="1:14">
      <c r="A872" t="s">
        <v>2556</v>
      </c>
      <c r="B872" s="1">
        <v>45634</v>
      </c>
      <c r="C872" t="s">
        <v>1173</v>
      </c>
      <c r="D872" t="s">
        <v>1153</v>
      </c>
      <c r="E872" t="s">
        <v>21</v>
      </c>
      <c r="F872" t="s">
        <v>14</v>
      </c>
      <c r="G872" t="s">
        <v>100</v>
      </c>
      <c r="H872">
        <v>2</v>
      </c>
      <c r="I872" s="3">
        <v>21.63</v>
      </c>
      <c r="J872" t="s">
        <v>16</v>
      </c>
      <c r="K872" t="s">
        <v>40</v>
      </c>
      <c r="L872" s="4">
        <f>Table4[[#This Row],[quantity]]*Table4[[#This Row],[unit_price]]</f>
        <v>43.26</v>
      </c>
      <c r="M872">
        <f>COUNTIFS($C$2:$C$3934,Table4[[#This Row],[customer_id]])</f>
        <v>8</v>
      </c>
      <c r="N872" t="str">
        <f>IF(Table4[[#This Row],[customer_order_count]]=1,"New Customer","Repeat Customer")</f>
        <v>Repeat Customer</v>
      </c>
    </row>
    <row r="873" spans="1:14">
      <c r="A873" t="s">
        <v>3921</v>
      </c>
      <c r="B873" s="1">
        <v>44946</v>
      </c>
      <c r="C873" t="s">
        <v>700</v>
      </c>
      <c r="D873" t="s">
        <v>1264</v>
      </c>
      <c r="E873" t="s">
        <v>21</v>
      </c>
      <c r="F873" t="s">
        <v>66</v>
      </c>
      <c r="G873" t="s">
        <v>238</v>
      </c>
      <c r="H873">
        <v>1</v>
      </c>
      <c r="I873" s="3">
        <v>21.64</v>
      </c>
      <c r="J873" t="s">
        <v>16</v>
      </c>
      <c r="K873" t="s">
        <v>35</v>
      </c>
      <c r="L873" s="4">
        <f>Table4[[#This Row],[quantity]]*Table4[[#This Row],[unit_price]]</f>
        <v>21.64</v>
      </c>
      <c r="M873">
        <f>COUNTIFS($C$2:$C$3934,Table4[[#This Row],[customer_id]])</f>
        <v>5</v>
      </c>
      <c r="N873" t="str">
        <f>IF(Table4[[#This Row],[customer_order_count]]=1,"New Customer","Repeat Customer")</f>
        <v>Repeat Customer</v>
      </c>
    </row>
    <row r="874" spans="1:14">
      <c r="A874" t="s">
        <v>5199</v>
      </c>
      <c r="B874" s="1">
        <v>45209</v>
      </c>
      <c r="C874" t="s">
        <v>1309</v>
      </c>
      <c r="D874" t="s">
        <v>1310</v>
      </c>
      <c r="E874" t="s">
        <v>21</v>
      </c>
      <c r="F874" t="s">
        <v>66</v>
      </c>
      <c r="G874" t="s">
        <v>217</v>
      </c>
      <c r="H874">
        <v>1</v>
      </c>
      <c r="I874" s="3">
        <v>21.65</v>
      </c>
      <c r="J874" t="s">
        <v>16</v>
      </c>
      <c r="K874" t="s">
        <v>40</v>
      </c>
      <c r="L874" s="4">
        <f>Table4[[#This Row],[quantity]]*Table4[[#This Row],[unit_price]]</f>
        <v>21.65</v>
      </c>
      <c r="M874">
        <f>COUNTIFS($C$2:$C$3934,Table4[[#This Row],[customer_id]])</f>
        <v>5</v>
      </c>
      <c r="N874" t="str">
        <f>IF(Table4[[#This Row],[customer_order_count]]=1,"New Customer","Repeat Customer")</f>
        <v>Repeat Customer</v>
      </c>
    </row>
    <row r="875" spans="1:14">
      <c r="A875" t="s">
        <v>4420</v>
      </c>
      <c r="B875" s="1">
        <v>45409</v>
      </c>
      <c r="C875" t="s">
        <v>2442</v>
      </c>
      <c r="D875" t="s">
        <v>13</v>
      </c>
      <c r="E875" t="s">
        <v>21</v>
      </c>
      <c r="F875" t="s">
        <v>56</v>
      </c>
      <c r="G875" t="s">
        <v>210</v>
      </c>
      <c r="H875">
        <v>1</v>
      </c>
      <c r="I875" s="3">
        <v>21.66</v>
      </c>
      <c r="J875" t="s">
        <v>255</v>
      </c>
      <c r="K875" t="s">
        <v>30</v>
      </c>
      <c r="L875" s="4">
        <f>Table4[[#This Row],[quantity]]*Table4[[#This Row],[unit_price]]</f>
        <v>21.66</v>
      </c>
      <c r="M875">
        <f>COUNTIFS($C$2:$C$3934,Table4[[#This Row],[customer_id]])</f>
        <v>2</v>
      </c>
      <c r="N875" t="str">
        <f>IF(Table4[[#This Row],[customer_order_count]]=1,"New Customer","Repeat Customer")</f>
        <v>Repeat Customer</v>
      </c>
    </row>
    <row r="876" spans="1:14">
      <c r="A876" t="s">
        <v>4439</v>
      </c>
      <c r="B876" s="1">
        <v>45435</v>
      </c>
      <c r="C876" t="s">
        <v>1158</v>
      </c>
      <c r="D876" t="s">
        <v>449</v>
      </c>
      <c r="E876" t="s">
        <v>21</v>
      </c>
      <c r="F876" t="s">
        <v>66</v>
      </c>
      <c r="G876" t="s">
        <v>49</v>
      </c>
      <c r="H876">
        <v>2</v>
      </c>
      <c r="I876" s="3">
        <v>21.66</v>
      </c>
      <c r="J876" t="s">
        <v>16</v>
      </c>
      <c r="K876" t="s">
        <v>30</v>
      </c>
      <c r="L876" s="4">
        <f>Table4[[#This Row],[quantity]]*Table4[[#This Row],[unit_price]]</f>
        <v>43.32</v>
      </c>
      <c r="M876">
        <f>COUNTIFS($C$2:$C$3934,Table4[[#This Row],[customer_id]])</f>
        <v>5</v>
      </c>
      <c r="N876" t="str">
        <f>IF(Table4[[#This Row],[customer_order_count]]=1,"New Customer","Repeat Customer")</f>
        <v>Repeat Customer</v>
      </c>
    </row>
    <row r="877" spans="1:14">
      <c r="A877" t="s">
        <v>3026</v>
      </c>
      <c r="B877" s="1">
        <v>45413</v>
      </c>
      <c r="C877" t="s">
        <v>1404</v>
      </c>
      <c r="D877" t="s">
        <v>145</v>
      </c>
      <c r="E877" t="s">
        <v>44</v>
      </c>
      <c r="F877" t="s">
        <v>22</v>
      </c>
      <c r="G877" t="s">
        <v>142</v>
      </c>
      <c r="H877">
        <v>3</v>
      </c>
      <c r="I877" s="3">
        <v>21.69</v>
      </c>
      <c r="J877" t="s">
        <v>16</v>
      </c>
      <c r="K877" t="s">
        <v>40</v>
      </c>
      <c r="L877" s="4">
        <f>Table4[[#This Row],[quantity]]*Table4[[#This Row],[unit_price]]</f>
        <v>65.070000000000007</v>
      </c>
      <c r="M877">
        <f>COUNTIFS($C$2:$C$3934,Table4[[#This Row],[customer_id]])</f>
        <v>6</v>
      </c>
      <c r="N877" t="str">
        <f>IF(Table4[[#This Row],[customer_order_count]]=1,"New Customer","Repeat Customer")</f>
        <v>Repeat Customer</v>
      </c>
    </row>
    <row r="878" spans="1:14">
      <c r="A878" t="s">
        <v>3931</v>
      </c>
      <c r="B878" s="1">
        <v>45228</v>
      </c>
      <c r="C878" t="s">
        <v>1752</v>
      </c>
      <c r="D878" t="s">
        <v>152</v>
      </c>
      <c r="E878" t="s">
        <v>21</v>
      </c>
      <c r="F878" t="s">
        <v>70</v>
      </c>
      <c r="G878" t="s">
        <v>526</v>
      </c>
      <c r="H878">
        <v>1</v>
      </c>
      <c r="I878" s="3">
        <v>21.69</v>
      </c>
      <c r="J878" t="s">
        <v>16</v>
      </c>
      <c r="K878" t="s">
        <v>17</v>
      </c>
      <c r="L878" s="4">
        <f>Table4[[#This Row],[quantity]]*Table4[[#This Row],[unit_price]]</f>
        <v>21.69</v>
      </c>
      <c r="M878">
        <f>COUNTIFS($C$2:$C$3934,Table4[[#This Row],[customer_id]])</f>
        <v>4</v>
      </c>
      <c r="N878" t="str">
        <f>IF(Table4[[#This Row],[customer_order_count]]=1,"New Customer","Repeat Customer")</f>
        <v>Repeat Customer</v>
      </c>
    </row>
    <row r="879" spans="1:14">
      <c r="A879" t="s">
        <v>1340</v>
      </c>
      <c r="B879" s="1">
        <v>45636</v>
      </c>
      <c r="C879" t="s">
        <v>565</v>
      </c>
      <c r="D879" t="s">
        <v>566</v>
      </c>
      <c r="E879" t="s">
        <v>44</v>
      </c>
      <c r="F879" t="s">
        <v>66</v>
      </c>
      <c r="G879" t="s">
        <v>217</v>
      </c>
      <c r="H879">
        <v>1</v>
      </c>
      <c r="I879" s="3">
        <v>21.7</v>
      </c>
      <c r="J879" t="s">
        <v>16</v>
      </c>
      <c r="K879" t="s">
        <v>30</v>
      </c>
      <c r="L879" s="4">
        <f>Table4[[#This Row],[quantity]]*Table4[[#This Row],[unit_price]]</f>
        <v>21.7</v>
      </c>
      <c r="M879">
        <f>COUNTIFS($C$2:$C$3934,Table4[[#This Row],[customer_id]])</f>
        <v>5</v>
      </c>
      <c r="N879" t="str">
        <f>IF(Table4[[#This Row],[customer_order_count]]=1,"New Customer","Repeat Customer")</f>
        <v>Repeat Customer</v>
      </c>
    </row>
    <row r="880" spans="1:14">
      <c r="A880" t="s">
        <v>2522</v>
      </c>
      <c r="B880" s="1">
        <v>45038</v>
      </c>
      <c r="C880" t="s">
        <v>509</v>
      </c>
      <c r="D880" t="s">
        <v>510</v>
      </c>
      <c r="E880" t="s">
        <v>21</v>
      </c>
      <c r="F880" t="s">
        <v>56</v>
      </c>
      <c r="G880" t="s">
        <v>153</v>
      </c>
      <c r="H880">
        <v>1</v>
      </c>
      <c r="I880" s="3">
        <v>21.71</v>
      </c>
      <c r="J880" t="s">
        <v>16</v>
      </c>
      <c r="K880" t="s">
        <v>35</v>
      </c>
      <c r="L880" s="4">
        <f>Table4[[#This Row],[quantity]]*Table4[[#This Row],[unit_price]]</f>
        <v>21.71</v>
      </c>
      <c r="M880">
        <f>COUNTIFS($C$2:$C$3934,Table4[[#This Row],[customer_id]])</f>
        <v>6</v>
      </c>
      <c r="N880" t="str">
        <f>IF(Table4[[#This Row],[customer_order_count]]=1,"New Customer","Repeat Customer")</f>
        <v>Repeat Customer</v>
      </c>
    </row>
    <row r="881" spans="1:14">
      <c r="A881" t="s">
        <v>3207</v>
      </c>
      <c r="B881" s="1">
        <v>45627</v>
      </c>
      <c r="C881" t="s">
        <v>897</v>
      </c>
      <c r="D881" t="s">
        <v>831</v>
      </c>
      <c r="E881" t="s">
        <v>21</v>
      </c>
      <c r="F881" t="s">
        <v>66</v>
      </c>
      <c r="G881" t="s">
        <v>128</v>
      </c>
      <c r="H881">
        <v>2</v>
      </c>
      <c r="I881" s="3">
        <v>21.71</v>
      </c>
      <c r="J881" t="s">
        <v>16</v>
      </c>
      <c r="K881" t="s">
        <v>17</v>
      </c>
      <c r="L881" s="4">
        <f>Table4[[#This Row],[quantity]]*Table4[[#This Row],[unit_price]]</f>
        <v>43.42</v>
      </c>
      <c r="M881">
        <f>COUNTIFS($C$2:$C$3934,Table4[[#This Row],[customer_id]])</f>
        <v>6</v>
      </c>
      <c r="N881" t="str">
        <f>IF(Table4[[#This Row],[customer_order_count]]=1,"New Customer","Repeat Customer")</f>
        <v>Repeat Customer</v>
      </c>
    </row>
    <row r="882" spans="1:14">
      <c r="A882" t="s">
        <v>3877</v>
      </c>
      <c r="B882" s="1">
        <v>45627</v>
      </c>
      <c r="C882" t="s">
        <v>69</v>
      </c>
      <c r="D882" t="s">
        <v>820</v>
      </c>
      <c r="E882" t="s">
        <v>21</v>
      </c>
      <c r="F882" t="s">
        <v>66</v>
      </c>
      <c r="G882" t="s">
        <v>217</v>
      </c>
      <c r="H882">
        <v>1</v>
      </c>
      <c r="I882" s="3">
        <v>21.74</v>
      </c>
      <c r="J882" t="s">
        <v>16</v>
      </c>
      <c r="K882" t="s">
        <v>40</v>
      </c>
      <c r="L882" s="4">
        <f>Table4[[#This Row],[quantity]]*Table4[[#This Row],[unit_price]]</f>
        <v>21.74</v>
      </c>
      <c r="M882">
        <f>COUNTIFS($C$2:$C$3934,Table4[[#This Row],[customer_id]])</f>
        <v>8</v>
      </c>
      <c r="N882" t="str">
        <f>IF(Table4[[#This Row],[customer_order_count]]=1,"New Customer","Repeat Customer")</f>
        <v>Repeat Customer</v>
      </c>
    </row>
    <row r="883" spans="1:14">
      <c r="A883" t="s">
        <v>3353</v>
      </c>
      <c r="B883" s="1">
        <v>45318</v>
      </c>
      <c r="C883" t="s">
        <v>925</v>
      </c>
      <c r="D883" t="s">
        <v>383</v>
      </c>
      <c r="E883" t="s">
        <v>21</v>
      </c>
      <c r="F883" t="s">
        <v>22</v>
      </c>
      <c r="G883" t="s">
        <v>162</v>
      </c>
      <c r="H883">
        <v>1</v>
      </c>
      <c r="I883" s="3">
        <v>21.76</v>
      </c>
      <c r="J883" t="s">
        <v>16</v>
      </c>
      <c r="K883" t="s">
        <v>30</v>
      </c>
      <c r="L883" s="4">
        <f>Table4[[#This Row],[quantity]]*Table4[[#This Row],[unit_price]]</f>
        <v>21.76</v>
      </c>
      <c r="M883">
        <f>COUNTIFS($C$2:$C$3934,Table4[[#This Row],[customer_id]])</f>
        <v>6</v>
      </c>
      <c r="N883" t="str">
        <f>IF(Table4[[#This Row],[customer_order_count]]=1,"New Customer","Repeat Customer")</f>
        <v>Repeat Customer</v>
      </c>
    </row>
    <row r="884" spans="1:14">
      <c r="A884" t="s">
        <v>1019</v>
      </c>
      <c r="B884" s="1">
        <v>45574</v>
      </c>
      <c r="C884" t="s">
        <v>642</v>
      </c>
      <c r="D884" t="s">
        <v>643</v>
      </c>
      <c r="E884" t="s">
        <v>21</v>
      </c>
      <c r="F884" t="s">
        <v>70</v>
      </c>
      <c r="G884" t="s">
        <v>170</v>
      </c>
      <c r="H884">
        <v>2</v>
      </c>
      <c r="I884" s="3">
        <v>21.76</v>
      </c>
      <c r="J884" t="s">
        <v>16</v>
      </c>
      <c r="K884" t="s">
        <v>35</v>
      </c>
      <c r="L884" s="4">
        <f>Table4[[#This Row],[quantity]]*Table4[[#This Row],[unit_price]]</f>
        <v>43.52</v>
      </c>
      <c r="M884">
        <f>COUNTIFS($C$2:$C$3934,Table4[[#This Row],[customer_id]])</f>
        <v>7</v>
      </c>
      <c r="N884" t="str">
        <f>IF(Table4[[#This Row],[customer_order_count]]=1,"New Customer","Repeat Customer")</f>
        <v>Repeat Customer</v>
      </c>
    </row>
    <row r="885" spans="1:14">
      <c r="A885" t="s">
        <v>4633</v>
      </c>
      <c r="B885" s="1">
        <v>45539</v>
      </c>
      <c r="C885" t="s">
        <v>1708</v>
      </c>
      <c r="D885" t="s">
        <v>127</v>
      </c>
      <c r="E885" t="s">
        <v>21</v>
      </c>
      <c r="F885" t="s">
        <v>66</v>
      </c>
      <c r="G885" t="s">
        <v>67</v>
      </c>
      <c r="H885">
        <v>1</v>
      </c>
      <c r="I885" s="3">
        <v>21.81</v>
      </c>
      <c r="J885" t="s">
        <v>16</v>
      </c>
      <c r="K885" t="s">
        <v>35</v>
      </c>
      <c r="L885" s="4">
        <f>Table4[[#This Row],[quantity]]*Table4[[#This Row],[unit_price]]</f>
        <v>21.81</v>
      </c>
      <c r="M885">
        <f>COUNTIFS($C$2:$C$3934,Table4[[#This Row],[customer_id]])</f>
        <v>9</v>
      </c>
      <c r="N885" t="str">
        <f>IF(Table4[[#This Row],[customer_order_count]]=1,"New Customer","Repeat Customer")</f>
        <v>Repeat Customer</v>
      </c>
    </row>
    <row r="886" spans="1:14">
      <c r="A886" t="s">
        <v>2369</v>
      </c>
      <c r="B886" s="1">
        <v>45408</v>
      </c>
      <c r="C886" t="s">
        <v>900</v>
      </c>
      <c r="D886" t="s">
        <v>857</v>
      </c>
      <c r="E886" t="s">
        <v>21</v>
      </c>
      <c r="F886" t="s">
        <v>66</v>
      </c>
      <c r="G886" t="s">
        <v>217</v>
      </c>
      <c r="H886">
        <v>1</v>
      </c>
      <c r="I886" s="3">
        <v>21.82</v>
      </c>
      <c r="J886" t="s">
        <v>16</v>
      </c>
      <c r="K886" t="s">
        <v>35</v>
      </c>
      <c r="L886" s="4">
        <f>Table4[[#This Row],[quantity]]*Table4[[#This Row],[unit_price]]</f>
        <v>21.82</v>
      </c>
      <c r="M886">
        <f>COUNTIFS($C$2:$C$3934,Table4[[#This Row],[customer_id]])</f>
        <v>6</v>
      </c>
      <c r="N886" t="str">
        <f>IF(Table4[[#This Row],[customer_order_count]]=1,"New Customer","Repeat Customer")</f>
        <v>Repeat Customer</v>
      </c>
    </row>
    <row r="887" spans="1:14">
      <c r="A887" t="s">
        <v>489</v>
      </c>
      <c r="B887" s="1">
        <v>45583</v>
      </c>
      <c r="C887" t="s">
        <v>490</v>
      </c>
      <c r="D887" t="s">
        <v>491</v>
      </c>
      <c r="E887" t="s">
        <v>21</v>
      </c>
      <c r="F887" t="s">
        <v>70</v>
      </c>
      <c r="G887" t="s">
        <v>110</v>
      </c>
      <c r="H887">
        <v>1</v>
      </c>
      <c r="I887" s="3">
        <v>21.84</v>
      </c>
      <c r="J887" t="s">
        <v>16</v>
      </c>
      <c r="K887" t="s">
        <v>30</v>
      </c>
      <c r="L887" s="4">
        <f>Table4[[#This Row],[quantity]]*Table4[[#This Row],[unit_price]]</f>
        <v>21.84</v>
      </c>
      <c r="M887">
        <f>COUNTIFS($C$2:$C$3934,Table4[[#This Row],[customer_id]])</f>
        <v>5</v>
      </c>
      <c r="N887" t="str">
        <f>IF(Table4[[#This Row],[customer_order_count]]=1,"New Customer","Repeat Customer")</f>
        <v>Repeat Customer</v>
      </c>
    </row>
    <row r="888" spans="1:14">
      <c r="A888" t="s">
        <v>1302</v>
      </c>
      <c r="B888" s="1">
        <v>45347</v>
      </c>
      <c r="C888" t="s">
        <v>249</v>
      </c>
      <c r="D888" t="s">
        <v>250</v>
      </c>
      <c r="E888" t="s">
        <v>21</v>
      </c>
      <c r="F888" t="s">
        <v>22</v>
      </c>
      <c r="G888" t="s">
        <v>142</v>
      </c>
      <c r="H888">
        <v>1</v>
      </c>
      <c r="I888" s="3">
        <v>21.85</v>
      </c>
      <c r="J888" t="s">
        <v>16</v>
      </c>
      <c r="K888" t="s">
        <v>40</v>
      </c>
      <c r="L888" s="4">
        <f>Table4[[#This Row],[quantity]]*Table4[[#This Row],[unit_price]]</f>
        <v>21.85</v>
      </c>
      <c r="M888">
        <f>COUNTIFS($C$2:$C$3934,Table4[[#This Row],[customer_id]])</f>
        <v>12</v>
      </c>
      <c r="N888" t="str">
        <f>IF(Table4[[#This Row],[customer_order_count]]=1,"New Customer","Repeat Customer")</f>
        <v>Repeat Customer</v>
      </c>
    </row>
    <row r="889" spans="1:14">
      <c r="A889" t="s">
        <v>2624</v>
      </c>
      <c r="B889" s="1">
        <v>45310</v>
      </c>
      <c r="C889" t="s">
        <v>1342</v>
      </c>
      <c r="D889" t="s">
        <v>820</v>
      </c>
      <c r="E889" t="s">
        <v>21</v>
      </c>
      <c r="F889" t="s">
        <v>28</v>
      </c>
      <c r="G889" t="s">
        <v>114</v>
      </c>
      <c r="H889">
        <v>2</v>
      </c>
      <c r="I889" s="3">
        <v>21.85</v>
      </c>
      <c r="J889" t="s">
        <v>16</v>
      </c>
      <c r="K889" t="s">
        <v>40</v>
      </c>
      <c r="L889" s="4">
        <f>Table4[[#This Row],[quantity]]*Table4[[#This Row],[unit_price]]</f>
        <v>43.7</v>
      </c>
      <c r="M889">
        <f>COUNTIFS($C$2:$C$3934,Table4[[#This Row],[customer_id]])</f>
        <v>5</v>
      </c>
      <c r="N889" t="str">
        <f>IF(Table4[[#This Row],[customer_order_count]]=1,"New Customer","Repeat Customer")</f>
        <v>Repeat Customer</v>
      </c>
    </row>
    <row r="890" spans="1:14">
      <c r="A890" t="s">
        <v>4552</v>
      </c>
      <c r="B890" s="1">
        <v>45309</v>
      </c>
      <c r="C890" t="s">
        <v>3724</v>
      </c>
      <c r="D890" t="s">
        <v>928</v>
      </c>
      <c r="E890" t="s">
        <v>21</v>
      </c>
      <c r="F890" t="s">
        <v>28</v>
      </c>
      <c r="G890" t="s">
        <v>84</v>
      </c>
      <c r="H890">
        <v>1</v>
      </c>
      <c r="I890" s="3">
        <v>21.86</v>
      </c>
      <c r="J890" t="s">
        <v>16</v>
      </c>
      <c r="K890" t="s">
        <v>40</v>
      </c>
      <c r="L890" s="4">
        <f>Table4[[#This Row],[quantity]]*Table4[[#This Row],[unit_price]]</f>
        <v>21.86</v>
      </c>
      <c r="M890">
        <f>COUNTIFS($C$2:$C$3934,Table4[[#This Row],[customer_id]])</f>
        <v>3</v>
      </c>
      <c r="N890" t="str">
        <f>IF(Table4[[#This Row],[customer_order_count]]=1,"New Customer","Repeat Customer")</f>
        <v>Repeat Customer</v>
      </c>
    </row>
    <row r="891" spans="1:14">
      <c r="A891" t="s">
        <v>3473</v>
      </c>
      <c r="B891" s="1">
        <v>45620</v>
      </c>
      <c r="C891" t="s">
        <v>3412</v>
      </c>
      <c r="D891" t="s">
        <v>3413</v>
      </c>
      <c r="E891" t="s">
        <v>21</v>
      </c>
      <c r="F891" t="s">
        <v>66</v>
      </c>
      <c r="G891" t="s">
        <v>217</v>
      </c>
      <c r="H891">
        <v>1</v>
      </c>
      <c r="I891" s="3">
        <v>21.87</v>
      </c>
      <c r="J891" t="s">
        <v>16</v>
      </c>
      <c r="K891" t="s">
        <v>40</v>
      </c>
      <c r="L891" s="4">
        <f>Table4[[#This Row],[quantity]]*Table4[[#This Row],[unit_price]]</f>
        <v>21.87</v>
      </c>
      <c r="M891">
        <f>COUNTIFS($C$2:$C$3934,Table4[[#This Row],[customer_id]])</f>
        <v>6</v>
      </c>
      <c r="N891" t="str">
        <f>IF(Table4[[#This Row],[customer_order_count]]=1,"New Customer","Repeat Customer")</f>
        <v>Repeat Customer</v>
      </c>
    </row>
    <row r="892" spans="1:14">
      <c r="A892" t="s">
        <v>2012</v>
      </c>
      <c r="B892" s="1">
        <v>45497</v>
      </c>
      <c r="C892" t="s">
        <v>2013</v>
      </c>
      <c r="D892" t="s">
        <v>2014</v>
      </c>
      <c r="E892" t="s">
        <v>21</v>
      </c>
      <c r="F892" t="s">
        <v>28</v>
      </c>
      <c r="G892" t="s">
        <v>114</v>
      </c>
      <c r="H892">
        <v>1</v>
      </c>
      <c r="I892" s="3">
        <v>21.87</v>
      </c>
      <c r="J892" t="s">
        <v>16</v>
      </c>
      <c r="K892" t="s">
        <v>30</v>
      </c>
      <c r="L892" s="4">
        <f>Table4[[#This Row],[quantity]]*Table4[[#This Row],[unit_price]]</f>
        <v>21.87</v>
      </c>
      <c r="M892">
        <f>COUNTIFS($C$2:$C$3934,Table4[[#This Row],[customer_id]])</f>
        <v>5</v>
      </c>
      <c r="N892" t="str">
        <f>IF(Table4[[#This Row],[customer_order_count]]=1,"New Customer","Repeat Customer")</f>
        <v>Repeat Customer</v>
      </c>
    </row>
    <row r="893" spans="1:14">
      <c r="A893" t="s">
        <v>3219</v>
      </c>
      <c r="B893" s="1">
        <v>45386</v>
      </c>
      <c r="C893" t="s">
        <v>193</v>
      </c>
      <c r="D893" t="s">
        <v>178</v>
      </c>
      <c r="E893" t="s">
        <v>21</v>
      </c>
      <c r="F893" t="s">
        <v>22</v>
      </c>
      <c r="G893" t="s">
        <v>264</v>
      </c>
      <c r="H893">
        <v>4</v>
      </c>
      <c r="I893" s="3">
        <v>21.87</v>
      </c>
      <c r="J893" t="s">
        <v>16</v>
      </c>
      <c r="K893" t="s">
        <v>17</v>
      </c>
      <c r="L893" s="4">
        <f>Table4[[#This Row],[quantity]]*Table4[[#This Row],[unit_price]]</f>
        <v>87.48</v>
      </c>
      <c r="M893">
        <f>COUNTIFS($C$2:$C$3934,Table4[[#This Row],[customer_id]])</f>
        <v>8</v>
      </c>
      <c r="N893" t="str">
        <f>IF(Table4[[#This Row],[customer_order_count]]=1,"New Customer","Repeat Customer")</f>
        <v>Repeat Customer</v>
      </c>
    </row>
    <row r="894" spans="1:14">
      <c r="A894" t="s">
        <v>331</v>
      </c>
      <c r="B894" s="1">
        <v>45179</v>
      </c>
      <c r="C894" t="s">
        <v>332</v>
      </c>
      <c r="D894" t="s">
        <v>333</v>
      </c>
      <c r="E894" t="s">
        <v>44</v>
      </c>
      <c r="F894" t="s">
        <v>79</v>
      </c>
      <c r="G894" t="s">
        <v>166</v>
      </c>
      <c r="H894">
        <v>1</v>
      </c>
      <c r="I894" s="3">
        <v>21.9</v>
      </c>
      <c r="J894" t="s">
        <v>16</v>
      </c>
      <c r="K894" t="s">
        <v>17</v>
      </c>
      <c r="L894" s="4">
        <f>Table4[[#This Row],[quantity]]*Table4[[#This Row],[unit_price]]</f>
        <v>21.9</v>
      </c>
      <c r="M894">
        <f>COUNTIFS($C$2:$C$3934,Table4[[#This Row],[customer_id]])</f>
        <v>3</v>
      </c>
      <c r="N894" t="str">
        <f>IF(Table4[[#This Row],[customer_order_count]]=1,"New Customer","Repeat Customer")</f>
        <v>Repeat Customer</v>
      </c>
    </row>
    <row r="895" spans="1:14">
      <c r="A895" t="s">
        <v>2125</v>
      </c>
      <c r="B895" s="1">
        <v>45554</v>
      </c>
      <c r="C895" t="s">
        <v>2126</v>
      </c>
      <c r="D895" t="s">
        <v>2127</v>
      </c>
      <c r="E895" t="s">
        <v>21</v>
      </c>
      <c r="F895" t="s">
        <v>66</v>
      </c>
      <c r="G895" t="s">
        <v>49</v>
      </c>
      <c r="H895">
        <v>1</v>
      </c>
      <c r="I895" s="3">
        <v>21.93</v>
      </c>
      <c r="J895" t="s">
        <v>85</v>
      </c>
      <c r="K895" t="s">
        <v>17</v>
      </c>
      <c r="L895" s="4">
        <f>Table4[[#This Row],[quantity]]*Table4[[#This Row],[unit_price]]</f>
        <v>21.93</v>
      </c>
      <c r="M895">
        <f>COUNTIFS($C$2:$C$3934,Table4[[#This Row],[customer_id]])</f>
        <v>3</v>
      </c>
      <c r="N895" t="str">
        <f>IF(Table4[[#This Row],[customer_order_count]]=1,"New Customer","Repeat Customer")</f>
        <v>Repeat Customer</v>
      </c>
    </row>
    <row r="896" spans="1:14">
      <c r="A896" t="s">
        <v>4940</v>
      </c>
      <c r="B896" s="1">
        <v>45270</v>
      </c>
      <c r="C896" t="s">
        <v>2865</v>
      </c>
      <c r="D896" t="s">
        <v>1507</v>
      </c>
      <c r="E896" t="s">
        <v>21</v>
      </c>
      <c r="F896" t="s">
        <v>22</v>
      </c>
      <c r="G896" t="s">
        <v>135</v>
      </c>
      <c r="H896">
        <v>2</v>
      </c>
      <c r="I896" s="3">
        <v>21.93</v>
      </c>
      <c r="J896" t="s">
        <v>16</v>
      </c>
      <c r="K896" t="s">
        <v>17</v>
      </c>
      <c r="L896" s="4">
        <f>Table4[[#This Row],[quantity]]*Table4[[#This Row],[unit_price]]</f>
        <v>43.86</v>
      </c>
      <c r="M896">
        <f>COUNTIFS($C$2:$C$3934,Table4[[#This Row],[customer_id]])</f>
        <v>3</v>
      </c>
      <c r="N896" t="str">
        <f>IF(Table4[[#This Row],[customer_order_count]]=1,"New Customer","Repeat Customer")</f>
        <v>Repeat Customer</v>
      </c>
    </row>
    <row r="897" spans="1:14">
      <c r="A897" t="s">
        <v>4068</v>
      </c>
      <c r="B897" s="1">
        <v>45122</v>
      </c>
      <c r="C897" t="s">
        <v>288</v>
      </c>
      <c r="D897" t="s">
        <v>289</v>
      </c>
      <c r="E897" t="s">
        <v>21</v>
      </c>
      <c r="F897" t="s">
        <v>28</v>
      </c>
      <c r="G897" t="s">
        <v>84</v>
      </c>
      <c r="H897">
        <v>2</v>
      </c>
      <c r="I897" s="3">
        <v>21.93</v>
      </c>
      <c r="J897" t="s">
        <v>16</v>
      </c>
      <c r="K897" t="s">
        <v>17</v>
      </c>
      <c r="L897" s="4">
        <f>Table4[[#This Row],[quantity]]*Table4[[#This Row],[unit_price]]</f>
        <v>43.86</v>
      </c>
      <c r="M897">
        <f>COUNTIFS($C$2:$C$3934,Table4[[#This Row],[customer_id]])</f>
        <v>6</v>
      </c>
      <c r="N897" t="str">
        <f>IF(Table4[[#This Row],[customer_order_count]]=1,"New Customer","Repeat Customer")</f>
        <v>Repeat Customer</v>
      </c>
    </row>
    <row r="898" spans="1:14">
      <c r="A898" t="s">
        <v>3600</v>
      </c>
      <c r="B898" s="1">
        <v>45543</v>
      </c>
      <c r="C898" t="s">
        <v>868</v>
      </c>
      <c r="D898" t="s">
        <v>869</v>
      </c>
      <c r="E898" t="s">
        <v>21</v>
      </c>
      <c r="F898" t="s">
        <v>79</v>
      </c>
      <c r="G898" t="s">
        <v>80</v>
      </c>
      <c r="H898">
        <v>1</v>
      </c>
      <c r="I898" s="3">
        <v>21.94</v>
      </c>
      <c r="J898" t="s">
        <v>16</v>
      </c>
      <c r="K898" t="s">
        <v>40</v>
      </c>
      <c r="L898" s="4">
        <f>Table4[[#This Row],[quantity]]*Table4[[#This Row],[unit_price]]</f>
        <v>21.94</v>
      </c>
      <c r="M898">
        <f>COUNTIFS($C$2:$C$3934,Table4[[#This Row],[customer_id]])</f>
        <v>7</v>
      </c>
      <c r="N898" t="str">
        <f>IF(Table4[[#This Row],[customer_order_count]]=1,"New Customer","Repeat Customer")</f>
        <v>Repeat Customer</v>
      </c>
    </row>
    <row r="899" spans="1:14">
      <c r="A899" t="s">
        <v>3987</v>
      </c>
      <c r="B899" s="1">
        <v>45364</v>
      </c>
      <c r="C899" t="s">
        <v>1968</v>
      </c>
      <c r="D899" t="s">
        <v>292</v>
      </c>
      <c r="E899" t="s">
        <v>21</v>
      </c>
      <c r="F899" t="s">
        <v>66</v>
      </c>
      <c r="G899" t="s">
        <v>49</v>
      </c>
      <c r="H899">
        <v>1</v>
      </c>
      <c r="I899" s="3">
        <v>21.95</v>
      </c>
      <c r="J899" t="s">
        <v>16</v>
      </c>
      <c r="K899" t="s">
        <v>35</v>
      </c>
      <c r="L899" s="4">
        <f>Table4[[#This Row],[quantity]]*Table4[[#This Row],[unit_price]]</f>
        <v>21.95</v>
      </c>
      <c r="M899">
        <f>COUNTIFS($C$2:$C$3934,Table4[[#This Row],[customer_id]])</f>
        <v>6</v>
      </c>
      <c r="N899" t="str">
        <f>IF(Table4[[#This Row],[customer_order_count]]=1,"New Customer","Repeat Customer")</f>
        <v>Repeat Customer</v>
      </c>
    </row>
    <row r="900" spans="1:14">
      <c r="A900" t="s">
        <v>4153</v>
      </c>
      <c r="B900" s="1">
        <v>45427</v>
      </c>
      <c r="C900" t="s">
        <v>2054</v>
      </c>
      <c r="D900" t="s">
        <v>2055</v>
      </c>
      <c r="E900" t="s">
        <v>21</v>
      </c>
      <c r="F900" t="s">
        <v>28</v>
      </c>
      <c r="G900" t="s">
        <v>45</v>
      </c>
      <c r="H900">
        <v>3</v>
      </c>
      <c r="I900" s="3">
        <v>21.95</v>
      </c>
      <c r="J900" t="s">
        <v>16</v>
      </c>
      <c r="K900" t="s">
        <v>40</v>
      </c>
      <c r="L900" s="4">
        <f>Table4[[#This Row],[quantity]]*Table4[[#This Row],[unit_price]]</f>
        <v>65.849999999999994</v>
      </c>
      <c r="M900">
        <f>COUNTIFS($C$2:$C$3934,Table4[[#This Row],[customer_id]])</f>
        <v>8</v>
      </c>
      <c r="N900" t="str">
        <f>IF(Table4[[#This Row],[customer_order_count]]=1,"New Customer","Repeat Customer")</f>
        <v>Repeat Customer</v>
      </c>
    </row>
    <row r="901" spans="1:14">
      <c r="A901" t="s">
        <v>4303</v>
      </c>
      <c r="B901" s="1">
        <v>45286</v>
      </c>
      <c r="C901" t="s">
        <v>266</v>
      </c>
      <c r="D901" t="s">
        <v>152</v>
      </c>
      <c r="E901" t="s">
        <v>21</v>
      </c>
      <c r="F901" t="s">
        <v>70</v>
      </c>
      <c r="G901" t="s">
        <v>337</v>
      </c>
      <c r="H901">
        <v>1</v>
      </c>
      <c r="I901" s="3">
        <v>22.05</v>
      </c>
      <c r="J901" t="s">
        <v>16</v>
      </c>
      <c r="K901" t="s">
        <v>30</v>
      </c>
      <c r="L901" s="4">
        <f>Table4[[#This Row],[quantity]]*Table4[[#This Row],[unit_price]]</f>
        <v>22.05</v>
      </c>
      <c r="M901">
        <f>COUNTIFS($C$2:$C$3934,Table4[[#This Row],[customer_id]])</f>
        <v>6</v>
      </c>
      <c r="N901" t="str">
        <f>IF(Table4[[#This Row],[customer_order_count]]=1,"New Customer","Repeat Customer")</f>
        <v>Repeat Customer</v>
      </c>
    </row>
    <row r="902" spans="1:14">
      <c r="A902" t="s">
        <v>5025</v>
      </c>
      <c r="B902" s="1">
        <v>45295</v>
      </c>
      <c r="C902" t="s">
        <v>385</v>
      </c>
      <c r="D902" t="s">
        <v>278</v>
      </c>
      <c r="E902" t="s">
        <v>21</v>
      </c>
      <c r="F902" t="s">
        <v>28</v>
      </c>
      <c r="G902" t="s">
        <v>114</v>
      </c>
      <c r="H902">
        <v>1</v>
      </c>
      <c r="I902" s="3">
        <v>22.06</v>
      </c>
      <c r="J902" t="s">
        <v>16</v>
      </c>
      <c r="K902" t="s">
        <v>17</v>
      </c>
      <c r="L902" s="4">
        <f>Table4[[#This Row],[quantity]]*Table4[[#This Row],[unit_price]]</f>
        <v>22.06</v>
      </c>
      <c r="M902">
        <f>COUNTIFS($C$2:$C$3934,Table4[[#This Row],[customer_id]])</f>
        <v>6</v>
      </c>
      <c r="N902" t="str">
        <f>IF(Table4[[#This Row],[customer_order_count]]=1,"New Customer","Repeat Customer")</f>
        <v>Repeat Customer</v>
      </c>
    </row>
    <row r="903" spans="1:14">
      <c r="A903" t="s">
        <v>2485</v>
      </c>
      <c r="B903" s="1">
        <v>45025</v>
      </c>
      <c r="C903" t="s">
        <v>2486</v>
      </c>
      <c r="D903" t="s">
        <v>253</v>
      </c>
      <c r="E903" t="s">
        <v>44</v>
      </c>
      <c r="F903" t="s">
        <v>66</v>
      </c>
      <c r="G903" t="s">
        <v>49</v>
      </c>
      <c r="H903">
        <v>1</v>
      </c>
      <c r="I903" s="3">
        <v>22.08</v>
      </c>
      <c r="J903" t="s">
        <v>16</v>
      </c>
      <c r="K903" t="s">
        <v>40</v>
      </c>
      <c r="L903" s="4">
        <f>Table4[[#This Row],[quantity]]*Table4[[#This Row],[unit_price]]</f>
        <v>22.08</v>
      </c>
      <c r="M903">
        <f>COUNTIFS($C$2:$C$3934,Table4[[#This Row],[customer_id]])</f>
        <v>3</v>
      </c>
      <c r="N903" t="str">
        <f>IF(Table4[[#This Row],[customer_order_count]]=1,"New Customer","Repeat Customer")</f>
        <v>Repeat Customer</v>
      </c>
    </row>
    <row r="904" spans="1:14">
      <c r="A904" t="s">
        <v>1284</v>
      </c>
      <c r="B904" s="1">
        <v>45273</v>
      </c>
      <c r="C904" t="s">
        <v>73</v>
      </c>
      <c r="D904" t="s">
        <v>74</v>
      </c>
      <c r="E904" t="s">
        <v>21</v>
      </c>
      <c r="F904" t="s">
        <v>22</v>
      </c>
      <c r="G904" t="s">
        <v>23</v>
      </c>
      <c r="H904">
        <v>3</v>
      </c>
      <c r="I904" s="3">
        <v>22.08</v>
      </c>
      <c r="J904" t="s">
        <v>24</v>
      </c>
      <c r="K904" t="s">
        <v>30</v>
      </c>
      <c r="L904" s="4">
        <f>Table4[[#This Row],[quantity]]*Table4[[#This Row],[unit_price]]</f>
        <v>66.239999999999995</v>
      </c>
      <c r="M904">
        <f>COUNTIFS($C$2:$C$3934,Table4[[#This Row],[customer_id]])</f>
        <v>5</v>
      </c>
      <c r="N904" t="str">
        <f>IF(Table4[[#This Row],[customer_order_count]]=1,"New Customer","Repeat Customer")</f>
        <v>Repeat Customer</v>
      </c>
    </row>
    <row r="905" spans="1:14">
      <c r="A905" t="s">
        <v>1258</v>
      </c>
      <c r="B905" s="1">
        <v>45169</v>
      </c>
      <c r="C905" t="s">
        <v>390</v>
      </c>
      <c r="D905" t="s">
        <v>391</v>
      </c>
      <c r="E905" t="s">
        <v>21</v>
      </c>
      <c r="F905" t="s">
        <v>56</v>
      </c>
      <c r="G905" t="s">
        <v>210</v>
      </c>
      <c r="H905">
        <v>4</v>
      </c>
      <c r="I905" s="3">
        <v>22.08</v>
      </c>
      <c r="J905" t="s">
        <v>16</v>
      </c>
      <c r="K905" t="s">
        <v>30</v>
      </c>
      <c r="L905" s="4">
        <f>Table4[[#This Row],[quantity]]*Table4[[#This Row],[unit_price]]</f>
        <v>88.32</v>
      </c>
      <c r="M905">
        <f>COUNTIFS($C$2:$C$3934,Table4[[#This Row],[customer_id]])</f>
        <v>4</v>
      </c>
      <c r="N905" t="str">
        <f>IF(Table4[[#This Row],[customer_order_count]]=1,"New Customer","Repeat Customer")</f>
        <v>Repeat Customer</v>
      </c>
    </row>
    <row r="906" spans="1:14">
      <c r="A906" t="s">
        <v>1933</v>
      </c>
      <c r="B906" s="1">
        <v>45485</v>
      </c>
      <c r="C906" t="s">
        <v>1934</v>
      </c>
      <c r="D906" t="s">
        <v>1935</v>
      </c>
      <c r="E906" t="s">
        <v>44</v>
      </c>
      <c r="F906" t="s">
        <v>66</v>
      </c>
      <c r="G906" t="s">
        <v>67</v>
      </c>
      <c r="H906">
        <v>1</v>
      </c>
      <c r="I906" s="3">
        <v>22.14</v>
      </c>
      <c r="J906" t="s">
        <v>16</v>
      </c>
      <c r="K906" t="s">
        <v>30</v>
      </c>
      <c r="L906" s="4">
        <f>Table4[[#This Row],[quantity]]*Table4[[#This Row],[unit_price]]</f>
        <v>22.14</v>
      </c>
      <c r="M906">
        <f>COUNTIFS($C$2:$C$3934,Table4[[#This Row],[customer_id]])</f>
        <v>5</v>
      </c>
      <c r="N906" t="str">
        <f>IF(Table4[[#This Row],[customer_order_count]]=1,"New Customer","Repeat Customer")</f>
        <v>Repeat Customer</v>
      </c>
    </row>
    <row r="907" spans="1:14">
      <c r="A907" t="s">
        <v>1376</v>
      </c>
      <c r="B907" s="1">
        <v>45511</v>
      </c>
      <c r="C907" t="s">
        <v>1005</v>
      </c>
      <c r="D907" t="s">
        <v>1006</v>
      </c>
      <c r="E907" t="s">
        <v>21</v>
      </c>
      <c r="F907" t="s">
        <v>66</v>
      </c>
      <c r="G907" t="s">
        <v>128</v>
      </c>
      <c r="H907">
        <v>1</v>
      </c>
      <c r="I907" s="3">
        <v>22.15</v>
      </c>
      <c r="J907" t="s">
        <v>85</v>
      </c>
      <c r="K907" t="s">
        <v>30</v>
      </c>
      <c r="L907" s="4">
        <f>Table4[[#This Row],[quantity]]*Table4[[#This Row],[unit_price]]</f>
        <v>22.15</v>
      </c>
      <c r="M907">
        <f>COUNTIFS($C$2:$C$3934,Table4[[#This Row],[customer_id]])</f>
        <v>6</v>
      </c>
      <c r="N907" t="str">
        <f>IF(Table4[[#This Row],[customer_order_count]]=1,"New Customer","Repeat Customer")</f>
        <v>Repeat Customer</v>
      </c>
    </row>
    <row r="908" spans="1:14">
      <c r="A908" t="s">
        <v>5023</v>
      </c>
      <c r="B908" s="1">
        <v>45504</v>
      </c>
      <c r="C908" t="s">
        <v>700</v>
      </c>
      <c r="D908" t="s">
        <v>1264</v>
      </c>
      <c r="E908" t="s">
        <v>21</v>
      </c>
      <c r="F908" t="s">
        <v>66</v>
      </c>
      <c r="G908" t="s">
        <v>49</v>
      </c>
      <c r="H908">
        <v>1</v>
      </c>
      <c r="I908" s="3">
        <v>22.16</v>
      </c>
      <c r="J908" t="s">
        <v>16</v>
      </c>
      <c r="K908" t="s">
        <v>17</v>
      </c>
      <c r="L908" s="4">
        <f>Table4[[#This Row],[quantity]]*Table4[[#This Row],[unit_price]]</f>
        <v>22.16</v>
      </c>
      <c r="M908">
        <f>COUNTIFS($C$2:$C$3934,Table4[[#This Row],[customer_id]])</f>
        <v>5</v>
      </c>
      <c r="N908" t="str">
        <f>IF(Table4[[#This Row],[customer_order_count]]=1,"New Customer","Repeat Customer")</f>
        <v>Repeat Customer</v>
      </c>
    </row>
    <row r="909" spans="1:14">
      <c r="A909" t="s">
        <v>5044</v>
      </c>
      <c r="B909" s="1">
        <v>45033</v>
      </c>
      <c r="C909" t="s">
        <v>402</v>
      </c>
      <c r="D909" s="2" t="s">
        <v>5257</v>
      </c>
      <c r="E909" t="s">
        <v>21</v>
      </c>
      <c r="F909" t="s">
        <v>22</v>
      </c>
      <c r="G909" t="s">
        <v>162</v>
      </c>
      <c r="H909">
        <v>1</v>
      </c>
      <c r="I909" s="3">
        <v>22.16</v>
      </c>
      <c r="J909" t="s">
        <v>16</v>
      </c>
      <c r="K909" t="s">
        <v>35</v>
      </c>
      <c r="L909" s="4">
        <f>Table4[[#This Row],[quantity]]*Table4[[#This Row],[unit_price]]</f>
        <v>22.16</v>
      </c>
      <c r="M909">
        <f>COUNTIFS($C$2:$C$3934,Table4[[#This Row],[customer_id]])</f>
        <v>3</v>
      </c>
      <c r="N909" t="str">
        <f>IF(Table4[[#This Row],[customer_order_count]]=1,"New Customer","Repeat Customer")</f>
        <v>Repeat Customer</v>
      </c>
    </row>
    <row r="910" spans="1:14">
      <c r="A910" t="s">
        <v>2544</v>
      </c>
      <c r="B910" s="1">
        <v>45243</v>
      </c>
      <c r="C910" t="s">
        <v>37</v>
      </c>
      <c r="D910" s="5" t="s">
        <v>38</v>
      </c>
      <c r="E910" t="s">
        <v>44</v>
      </c>
      <c r="F910" t="s">
        <v>28</v>
      </c>
      <c r="G910" t="s">
        <v>84</v>
      </c>
      <c r="H910">
        <v>1</v>
      </c>
      <c r="I910" s="3">
        <v>22.17</v>
      </c>
      <c r="J910" t="s">
        <v>16</v>
      </c>
      <c r="K910" t="s">
        <v>35</v>
      </c>
      <c r="L910" s="4">
        <f>Table4[[#This Row],[quantity]]*Table4[[#This Row],[unit_price]]</f>
        <v>22.17</v>
      </c>
      <c r="M910">
        <f>COUNTIFS($C$2:$C$3934,Table4[[#This Row],[customer_id]])</f>
        <v>7</v>
      </c>
      <c r="N910" t="str">
        <f>IF(Table4[[#This Row],[customer_order_count]]=1,"New Customer","Repeat Customer")</f>
        <v>Repeat Customer</v>
      </c>
    </row>
    <row r="911" spans="1:14">
      <c r="A911" t="s">
        <v>759</v>
      </c>
      <c r="B911" s="1">
        <v>45234</v>
      </c>
      <c r="C911" t="s">
        <v>760</v>
      </c>
      <c r="D911" t="s">
        <v>761</v>
      </c>
      <c r="E911" t="s">
        <v>21</v>
      </c>
      <c r="F911" t="s">
        <v>22</v>
      </c>
      <c r="G911" t="s">
        <v>142</v>
      </c>
      <c r="H911">
        <v>1</v>
      </c>
      <c r="I911" s="3">
        <v>22.23</v>
      </c>
      <c r="J911" t="s">
        <v>16</v>
      </c>
      <c r="K911" t="s">
        <v>40</v>
      </c>
      <c r="L911" s="4">
        <f>Table4[[#This Row],[quantity]]*Table4[[#This Row],[unit_price]]</f>
        <v>22.23</v>
      </c>
      <c r="M911">
        <f>COUNTIFS($C$2:$C$3934,Table4[[#This Row],[customer_id]])</f>
        <v>4</v>
      </c>
      <c r="N911" t="str">
        <f>IF(Table4[[#This Row],[customer_order_count]]=1,"New Customer","Repeat Customer")</f>
        <v>Repeat Customer</v>
      </c>
    </row>
    <row r="912" spans="1:14">
      <c r="A912" t="s">
        <v>957</v>
      </c>
      <c r="B912" s="1">
        <v>44966</v>
      </c>
      <c r="C912" t="s">
        <v>958</v>
      </c>
      <c r="D912" t="s">
        <v>959</v>
      </c>
      <c r="E912" t="s">
        <v>21</v>
      </c>
      <c r="F912" t="s">
        <v>70</v>
      </c>
      <c r="G912" t="s">
        <v>110</v>
      </c>
      <c r="H912">
        <v>1</v>
      </c>
      <c r="I912" s="3">
        <v>22.23</v>
      </c>
      <c r="J912" t="s">
        <v>85</v>
      </c>
      <c r="K912" t="s">
        <v>30</v>
      </c>
      <c r="L912" s="4">
        <f>Table4[[#This Row],[quantity]]*Table4[[#This Row],[unit_price]]</f>
        <v>22.23</v>
      </c>
      <c r="M912">
        <f>COUNTIFS($C$2:$C$3934,Table4[[#This Row],[customer_id]])</f>
        <v>5</v>
      </c>
      <c r="N912" t="str">
        <f>IF(Table4[[#This Row],[customer_order_count]]=1,"New Customer","Repeat Customer")</f>
        <v>Repeat Customer</v>
      </c>
    </row>
    <row r="913" spans="1:14">
      <c r="A913" t="s">
        <v>894</v>
      </c>
      <c r="B913" s="1">
        <v>44950</v>
      </c>
      <c r="C913" t="s">
        <v>895</v>
      </c>
      <c r="D913" t="s">
        <v>149</v>
      </c>
      <c r="E913" t="s">
        <v>21</v>
      </c>
      <c r="F913" t="s">
        <v>28</v>
      </c>
      <c r="G913" t="s">
        <v>84</v>
      </c>
      <c r="H913">
        <v>1</v>
      </c>
      <c r="I913" s="3">
        <v>22.24</v>
      </c>
      <c r="J913" t="s">
        <v>85</v>
      </c>
      <c r="K913" t="s">
        <v>17</v>
      </c>
      <c r="L913" s="4">
        <f>Table4[[#This Row],[quantity]]*Table4[[#This Row],[unit_price]]</f>
        <v>22.24</v>
      </c>
      <c r="M913">
        <f>COUNTIFS($C$2:$C$3934,Table4[[#This Row],[customer_id]])</f>
        <v>7</v>
      </c>
      <c r="N913" t="str">
        <f>IF(Table4[[#This Row],[customer_order_count]]=1,"New Customer","Repeat Customer")</f>
        <v>Repeat Customer</v>
      </c>
    </row>
    <row r="914" spans="1:14">
      <c r="A914" t="s">
        <v>4600</v>
      </c>
      <c r="B914" s="1">
        <v>45507</v>
      </c>
      <c r="C914" t="s">
        <v>469</v>
      </c>
      <c r="D914" t="s">
        <v>428</v>
      </c>
      <c r="E914" t="s">
        <v>21</v>
      </c>
      <c r="F914" t="s">
        <v>66</v>
      </c>
      <c r="G914" t="s">
        <v>128</v>
      </c>
      <c r="H914">
        <v>1</v>
      </c>
      <c r="I914" s="3">
        <v>22.24</v>
      </c>
      <c r="J914" t="s">
        <v>16</v>
      </c>
      <c r="K914" t="s">
        <v>30</v>
      </c>
      <c r="L914" s="4">
        <f>Table4[[#This Row],[quantity]]*Table4[[#This Row],[unit_price]]</f>
        <v>22.24</v>
      </c>
      <c r="M914">
        <f>COUNTIFS($C$2:$C$3934,Table4[[#This Row],[customer_id]])</f>
        <v>8</v>
      </c>
      <c r="N914" t="str">
        <f>IF(Table4[[#This Row],[customer_order_count]]=1,"New Customer","Repeat Customer")</f>
        <v>Repeat Customer</v>
      </c>
    </row>
    <row r="915" spans="1:14">
      <c r="A915" t="s">
        <v>3647</v>
      </c>
      <c r="B915" s="1">
        <v>45563</v>
      </c>
      <c r="C915" t="s">
        <v>1648</v>
      </c>
      <c r="D915" t="s">
        <v>1208</v>
      </c>
      <c r="E915" t="s">
        <v>61</v>
      </c>
      <c r="F915" t="s">
        <v>28</v>
      </c>
      <c r="G915" t="s">
        <v>29</v>
      </c>
      <c r="H915">
        <v>3</v>
      </c>
      <c r="I915" s="3">
        <v>22.24</v>
      </c>
      <c r="J915" t="s">
        <v>16</v>
      </c>
      <c r="K915" t="s">
        <v>40</v>
      </c>
      <c r="L915" s="4">
        <f>Table4[[#This Row],[quantity]]*Table4[[#This Row],[unit_price]]</f>
        <v>66.72</v>
      </c>
      <c r="M915">
        <f>COUNTIFS($C$2:$C$3934,Table4[[#This Row],[customer_id]])</f>
        <v>6</v>
      </c>
      <c r="N915" t="str">
        <f>IF(Table4[[#This Row],[customer_order_count]]=1,"New Customer","Repeat Customer")</f>
        <v>Repeat Customer</v>
      </c>
    </row>
    <row r="916" spans="1:14">
      <c r="A916" t="s">
        <v>5212</v>
      </c>
      <c r="B916" s="1">
        <v>45489</v>
      </c>
      <c r="C916" t="s">
        <v>2903</v>
      </c>
      <c r="D916" t="s">
        <v>1736</v>
      </c>
      <c r="E916" t="s">
        <v>44</v>
      </c>
      <c r="F916" t="s">
        <v>28</v>
      </c>
      <c r="G916" t="s">
        <v>29</v>
      </c>
      <c r="H916">
        <v>4</v>
      </c>
      <c r="I916" s="3">
        <v>22.26</v>
      </c>
      <c r="J916" t="s">
        <v>16</v>
      </c>
      <c r="K916" t="s">
        <v>40</v>
      </c>
      <c r="L916" s="4">
        <f>Table4[[#This Row],[quantity]]*Table4[[#This Row],[unit_price]]</f>
        <v>89.04</v>
      </c>
      <c r="M916">
        <f>COUNTIFS($C$2:$C$3934,Table4[[#This Row],[customer_id]])</f>
        <v>3</v>
      </c>
      <c r="N916" t="str">
        <f>IF(Table4[[#This Row],[customer_order_count]]=1,"New Customer","Repeat Customer")</f>
        <v>Repeat Customer</v>
      </c>
    </row>
    <row r="917" spans="1:14">
      <c r="A917" t="s">
        <v>1237</v>
      </c>
      <c r="B917" s="1">
        <v>45606</v>
      </c>
      <c r="C917" t="s">
        <v>155</v>
      </c>
      <c r="D917" t="s">
        <v>99</v>
      </c>
      <c r="E917" t="s">
        <v>21</v>
      </c>
      <c r="F917" t="s">
        <v>22</v>
      </c>
      <c r="G917" t="s">
        <v>23</v>
      </c>
      <c r="H917">
        <v>1</v>
      </c>
      <c r="I917" s="3">
        <v>22.3</v>
      </c>
      <c r="J917" t="s">
        <v>16</v>
      </c>
      <c r="K917" t="s">
        <v>17</v>
      </c>
      <c r="L917" s="4">
        <f>Table4[[#This Row],[quantity]]*Table4[[#This Row],[unit_price]]</f>
        <v>22.3</v>
      </c>
      <c r="M917">
        <f>COUNTIFS($C$2:$C$3934,Table4[[#This Row],[customer_id]])</f>
        <v>6</v>
      </c>
      <c r="N917" t="str">
        <f>IF(Table4[[#This Row],[customer_order_count]]=1,"New Customer","Repeat Customer")</f>
        <v>Repeat Customer</v>
      </c>
    </row>
    <row r="918" spans="1:14">
      <c r="A918" t="s">
        <v>2468</v>
      </c>
      <c r="B918" s="1">
        <v>45544</v>
      </c>
      <c r="C918" t="s">
        <v>978</v>
      </c>
      <c r="D918" t="s">
        <v>292</v>
      </c>
      <c r="E918" t="s">
        <v>21</v>
      </c>
      <c r="F918" t="s">
        <v>66</v>
      </c>
      <c r="G918" t="s">
        <v>67</v>
      </c>
      <c r="H918">
        <v>1</v>
      </c>
      <c r="I918" s="3">
        <v>22.33</v>
      </c>
      <c r="J918" t="s">
        <v>16</v>
      </c>
      <c r="K918" s="2" t="s">
        <v>5256</v>
      </c>
      <c r="L918" s="4">
        <f>Table4[[#This Row],[quantity]]*Table4[[#This Row],[unit_price]]</f>
        <v>22.33</v>
      </c>
      <c r="M918">
        <f>COUNTIFS($C$2:$C$3934,Table4[[#This Row],[customer_id]])</f>
        <v>9</v>
      </c>
      <c r="N918" t="str">
        <f>IF(Table4[[#This Row],[customer_order_count]]=1,"New Customer","Repeat Customer")</f>
        <v>Repeat Customer</v>
      </c>
    </row>
    <row r="919" spans="1:14">
      <c r="A919" t="s">
        <v>4171</v>
      </c>
      <c r="B919" s="1">
        <v>45468</v>
      </c>
      <c r="C919" t="s">
        <v>2927</v>
      </c>
      <c r="D919" t="s">
        <v>1331</v>
      </c>
      <c r="E919" t="s">
        <v>61</v>
      </c>
      <c r="F919" t="s">
        <v>66</v>
      </c>
      <c r="G919" t="s">
        <v>67</v>
      </c>
      <c r="H919">
        <v>3</v>
      </c>
      <c r="I919" s="3">
        <v>22.33</v>
      </c>
      <c r="J919" t="s">
        <v>16</v>
      </c>
      <c r="K919" s="5" t="s">
        <v>17</v>
      </c>
      <c r="L919" s="4">
        <f>Table4[[#This Row],[quantity]]*Table4[[#This Row],[unit_price]]</f>
        <v>66.989999999999995</v>
      </c>
      <c r="M919">
        <f>COUNTIFS($C$2:$C$3934,Table4[[#This Row],[customer_id]])</f>
        <v>3</v>
      </c>
      <c r="N919" t="str">
        <f>IF(Table4[[#This Row],[customer_order_count]]=1,"New Customer","Repeat Customer")</f>
        <v>Repeat Customer</v>
      </c>
    </row>
    <row r="920" spans="1:14">
      <c r="A920" t="s">
        <v>2705</v>
      </c>
      <c r="B920" s="1">
        <v>45093</v>
      </c>
      <c r="C920" t="s">
        <v>925</v>
      </c>
      <c r="D920" t="s">
        <v>383</v>
      </c>
      <c r="E920" t="s">
        <v>21</v>
      </c>
      <c r="F920" t="s">
        <v>28</v>
      </c>
      <c r="G920" t="s">
        <v>114</v>
      </c>
      <c r="H920">
        <v>1</v>
      </c>
      <c r="I920" s="3">
        <v>22.34</v>
      </c>
      <c r="J920" t="s">
        <v>85</v>
      </c>
      <c r="K920" t="s">
        <v>30</v>
      </c>
      <c r="L920" s="4">
        <f>Table4[[#This Row],[quantity]]*Table4[[#This Row],[unit_price]]</f>
        <v>22.34</v>
      </c>
      <c r="M920">
        <f>COUNTIFS($C$2:$C$3934,Table4[[#This Row],[customer_id]])</f>
        <v>6</v>
      </c>
      <c r="N920" t="str">
        <f>IF(Table4[[#This Row],[customer_order_count]]=1,"New Customer","Repeat Customer")</f>
        <v>Repeat Customer</v>
      </c>
    </row>
    <row r="921" spans="1:14">
      <c r="A921" t="s">
        <v>494</v>
      </c>
      <c r="B921" s="1">
        <v>45250</v>
      </c>
      <c r="C921" t="s">
        <v>495</v>
      </c>
      <c r="D921" t="s">
        <v>496</v>
      </c>
      <c r="E921" t="s">
        <v>44</v>
      </c>
      <c r="F921" t="s">
        <v>14</v>
      </c>
      <c r="G921" t="s">
        <v>34</v>
      </c>
      <c r="H921">
        <v>5</v>
      </c>
      <c r="I921" s="3">
        <v>22.34</v>
      </c>
      <c r="J921" t="s">
        <v>16</v>
      </c>
      <c r="K921" t="s">
        <v>30</v>
      </c>
      <c r="L921" s="4">
        <f>Table4[[#This Row],[quantity]]*Table4[[#This Row],[unit_price]]</f>
        <v>111.7</v>
      </c>
      <c r="M921">
        <f>COUNTIFS($C$2:$C$3934,Table4[[#This Row],[customer_id]])</f>
        <v>4</v>
      </c>
      <c r="N921" t="str">
        <f>IF(Table4[[#This Row],[customer_order_count]]=1,"New Customer","Repeat Customer")</f>
        <v>Repeat Customer</v>
      </c>
    </row>
    <row r="922" spans="1:14">
      <c r="A922" t="s">
        <v>3773</v>
      </c>
      <c r="B922" s="1">
        <v>45507</v>
      </c>
      <c r="C922" t="s">
        <v>980</v>
      </c>
      <c r="D922" t="s">
        <v>981</v>
      </c>
      <c r="E922" t="s">
        <v>21</v>
      </c>
      <c r="F922" t="s">
        <v>22</v>
      </c>
      <c r="G922" t="s">
        <v>23</v>
      </c>
      <c r="H922">
        <v>1</v>
      </c>
      <c r="I922" s="3">
        <v>22.38</v>
      </c>
      <c r="J922" t="s">
        <v>16</v>
      </c>
      <c r="K922" t="s">
        <v>40</v>
      </c>
      <c r="L922" s="4">
        <f>Table4[[#This Row],[quantity]]*Table4[[#This Row],[unit_price]]</f>
        <v>22.38</v>
      </c>
      <c r="M922">
        <f>COUNTIFS($C$2:$C$3934,Table4[[#This Row],[customer_id]])</f>
        <v>2</v>
      </c>
      <c r="N922" t="str">
        <f>IF(Table4[[#This Row],[customer_order_count]]=1,"New Customer","Repeat Customer")</f>
        <v>Repeat Customer</v>
      </c>
    </row>
    <row r="923" spans="1:14">
      <c r="A923" t="s">
        <v>1659</v>
      </c>
      <c r="B923" s="1">
        <v>45442</v>
      </c>
      <c r="C923" t="s">
        <v>1660</v>
      </c>
      <c r="D923" t="s">
        <v>693</v>
      </c>
      <c r="E923" t="s">
        <v>21</v>
      </c>
      <c r="F923" t="s">
        <v>70</v>
      </c>
      <c r="G923" t="s">
        <v>110</v>
      </c>
      <c r="H923">
        <v>1</v>
      </c>
      <c r="I923" s="3">
        <v>22.38</v>
      </c>
      <c r="J923" t="s">
        <v>85</v>
      </c>
      <c r="K923" t="s">
        <v>40</v>
      </c>
      <c r="L923" s="4">
        <f>Table4[[#This Row],[quantity]]*Table4[[#This Row],[unit_price]]</f>
        <v>22.38</v>
      </c>
      <c r="M923">
        <f>COUNTIFS($C$2:$C$3934,Table4[[#This Row],[customer_id]])</f>
        <v>3</v>
      </c>
      <c r="N923" t="str">
        <f>IF(Table4[[#This Row],[customer_order_count]]=1,"New Customer","Repeat Customer")</f>
        <v>Repeat Customer</v>
      </c>
    </row>
    <row r="924" spans="1:14">
      <c r="A924" t="s">
        <v>4499</v>
      </c>
      <c r="B924" s="1">
        <v>45482</v>
      </c>
      <c r="C924" t="s">
        <v>1530</v>
      </c>
      <c r="D924" t="s">
        <v>834</v>
      </c>
      <c r="E924" t="s">
        <v>21</v>
      </c>
      <c r="F924" t="s">
        <v>28</v>
      </c>
      <c r="G924" t="s">
        <v>114</v>
      </c>
      <c r="H924">
        <v>1</v>
      </c>
      <c r="I924" s="3">
        <v>22.43</v>
      </c>
      <c r="J924" t="s">
        <v>16</v>
      </c>
      <c r="K924" t="s">
        <v>30</v>
      </c>
      <c r="L924" s="4">
        <f>Table4[[#This Row],[quantity]]*Table4[[#This Row],[unit_price]]</f>
        <v>22.43</v>
      </c>
      <c r="M924">
        <f>COUNTIFS($C$2:$C$3934,Table4[[#This Row],[customer_id]])</f>
        <v>8</v>
      </c>
      <c r="N924" t="str">
        <f>IF(Table4[[#This Row],[customer_order_count]]=1,"New Customer","Repeat Customer")</f>
        <v>Repeat Customer</v>
      </c>
    </row>
    <row r="925" spans="1:14">
      <c r="A925" t="s">
        <v>4912</v>
      </c>
      <c r="B925" s="1">
        <v>45523</v>
      </c>
      <c r="C925" t="s">
        <v>3747</v>
      </c>
      <c r="D925" t="s">
        <v>2283</v>
      </c>
      <c r="E925" t="s">
        <v>21</v>
      </c>
      <c r="F925" t="s">
        <v>70</v>
      </c>
      <c r="G925" t="s">
        <v>89</v>
      </c>
      <c r="H925">
        <v>1</v>
      </c>
      <c r="I925" s="3">
        <v>22.44</v>
      </c>
      <c r="J925" t="s">
        <v>85</v>
      </c>
      <c r="K925" t="s">
        <v>40</v>
      </c>
      <c r="L925" s="4">
        <f>Table4[[#This Row],[quantity]]*Table4[[#This Row],[unit_price]]</f>
        <v>22.44</v>
      </c>
      <c r="M925">
        <f>COUNTIFS($C$2:$C$3934,Table4[[#This Row],[customer_id]])</f>
        <v>2</v>
      </c>
      <c r="N925" t="str">
        <f>IF(Table4[[#This Row],[customer_order_count]]=1,"New Customer","Repeat Customer")</f>
        <v>Repeat Customer</v>
      </c>
    </row>
    <row r="926" spans="1:14">
      <c r="A926" t="s">
        <v>4537</v>
      </c>
      <c r="B926" s="1">
        <v>44972</v>
      </c>
      <c r="C926" t="s">
        <v>642</v>
      </c>
      <c r="D926" t="s">
        <v>643</v>
      </c>
      <c r="E926" t="s">
        <v>21</v>
      </c>
      <c r="F926" t="s">
        <v>79</v>
      </c>
      <c r="G926" t="s">
        <v>80</v>
      </c>
      <c r="H926">
        <v>1</v>
      </c>
      <c r="I926" s="3">
        <v>22.44</v>
      </c>
      <c r="J926" t="s">
        <v>16</v>
      </c>
      <c r="K926" t="s">
        <v>30</v>
      </c>
      <c r="L926" s="4">
        <f>Table4[[#This Row],[quantity]]*Table4[[#This Row],[unit_price]]</f>
        <v>22.44</v>
      </c>
      <c r="M926">
        <f>COUNTIFS($C$2:$C$3934,Table4[[#This Row],[customer_id]])</f>
        <v>7</v>
      </c>
      <c r="N926" t="str">
        <f>IF(Table4[[#This Row],[customer_order_count]]=1,"New Customer","Repeat Customer")</f>
        <v>Repeat Customer</v>
      </c>
    </row>
    <row r="927" spans="1:14">
      <c r="A927" t="s">
        <v>3238</v>
      </c>
      <c r="B927" s="1">
        <v>45367</v>
      </c>
      <c r="C927" t="s">
        <v>2239</v>
      </c>
      <c r="D927" t="s">
        <v>95</v>
      </c>
      <c r="E927" t="s">
        <v>21</v>
      </c>
      <c r="F927" t="s">
        <v>56</v>
      </c>
      <c r="G927" t="s">
        <v>57</v>
      </c>
      <c r="H927">
        <v>1</v>
      </c>
      <c r="I927" s="3">
        <v>22.47</v>
      </c>
      <c r="J927" t="s">
        <v>16</v>
      </c>
      <c r="K927" t="s">
        <v>17</v>
      </c>
      <c r="L927" s="4">
        <f>Table4[[#This Row],[quantity]]*Table4[[#This Row],[unit_price]]</f>
        <v>22.47</v>
      </c>
      <c r="M927">
        <f>COUNTIFS($C$2:$C$3934,Table4[[#This Row],[customer_id]])</f>
        <v>10</v>
      </c>
      <c r="N927" t="str">
        <f>IF(Table4[[#This Row],[customer_order_count]]=1,"New Customer","Repeat Customer")</f>
        <v>Repeat Customer</v>
      </c>
    </row>
    <row r="928" spans="1:14">
      <c r="A928" t="s">
        <v>4888</v>
      </c>
      <c r="B928" s="1">
        <v>45606</v>
      </c>
      <c r="C928" t="s">
        <v>1127</v>
      </c>
      <c r="D928" t="s">
        <v>947</v>
      </c>
      <c r="E928" t="s">
        <v>21</v>
      </c>
      <c r="F928" t="s">
        <v>14</v>
      </c>
      <c r="G928" t="s">
        <v>258</v>
      </c>
      <c r="H928">
        <v>2</v>
      </c>
      <c r="I928" s="3">
        <v>22.48</v>
      </c>
      <c r="J928" t="s">
        <v>16</v>
      </c>
      <c r="K928" t="s">
        <v>30</v>
      </c>
      <c r="L928" s="4">
        <f>Table4[[#This Row],[quantity]]*Table4[[#This Row],[unit_price]]</f>
        <v>44.96</v>
      </c>
      <c r="M928">
        <f>COUNTIFS($C$2:$C$3934,Table4[[#This Row],[customer_id]])</f>
        <v>7</v>
      </c>
      <c r="N928" t="str">
        <f>IF(Table4[[#This Row],[customer_order_count]]=1,"New Customer","Repeat Customer")</f>
        <v>Repeat Customer</v>
      </c>
    </row>
    <row r="929" spans="1:14">
      <c r="A929" t="s">
        <v>5077</v>
      </c>
      <c r="B929" s="1">
        <v>45372</v>
      </c>
      <c r="C929" t="s">
        <v>2383</v>
      </c>
      <c r="D929" t="s">
        <v>2384</v>
      </c>
      <c r="E929" t="s">
        <v>21</v>
      </c>
      <c r="F929" t="s">
        <v>70</v>
      </c>
      <c r="G929" t="s">
        <v>526</v>
      </c>
      <c r="H929">
        <v>2</v>
      </c>
      <c r="I929" s="3">
        <v>22.49</v>
      </c>
      <c r="J929" t="s">
        <v>16</v>
      </c>
      <c r="K929" t="s">
        <v>40</v>
      </c>
      <c r="L929" s="4">
        <f>Table4[[#This Row],[quantity]]*Table4[[#This Row],[unit_price]]</f>
        <v>44.98</v>
      </c>
      <c r="M929">
        <f>COUNTIFS($C$2:$C$3934,Table4[[#This Row],[customer_id]])</f>
        <v>4</v>
      </c>
      <c r="N929" t="str">
        <f>IF(Table4[[#This Row],[customer_order_count]]=1,"New Customer","Repeat Customer")</f>
        <v>Repeat Customer</v>
      </c>
    </row>
    <row r="930" spans="1:14">
      <c r="A930" t="s">
        <v>3775</v>
      </c>
      <c r="B930" s="1">
        <v>45611</v>
      </c>
      <c r="C930" t="s">
        <v>883</v>
      </c>
      <c r="D930" t="s">
        <v>181</v>
      </c>
      <c r="E930" t="s">
        <v>21</v>
      </c>
      <c r="F930" t="s">
        <v>66</v>
      </c>
      <c r="G930" t="s">
        <v>217</v>
      </c>
      <c r="H930">
        <v>2</v>
      </c>
      <c r="I930" s="3">
        <v>22.49</v>
      </c>
      <c r="J930" t="s">
        <v>16</v>
      </c>
      <c r="K930" t="s">
        <v>35</v>
      </c>
      <c r="L930" s="4">
        <f>Table4[[#This Row],[quantity]]*Table4[[#This Row],[unit_price]]</f>
        <v>44.98</v>
      </c>
      <c r="M930">
        <f>COUNTIFS($C$2:$C$3934,Table4[[#This Row],[customer_id]])</f>
        <v>11</v>
      </c>
      <c r="N930" t="str">
        <f>IF(Table4[[#This Row],[customer_order_count]]=1,"New Customer","Repeat Customer")</f>
        <v>Repeat Customer</v>
      </c>
    </row>
    <row r="931" spans="1:14">
      <c r="A931" t="s">
        <v>1807</v>
      </c>
      <c r="B931" s="1">
        <v>45598</v>
      </c>
      <c r="C931" t="s">
        <v>1808</v>
      </c>
      <c r="D931" t="s">
        <v>124</v>
      </c>
      <c r="E931" t="s">
        <v>21</v>
      </c>
      <c r="F931" t="s">
        <v>66</v>
      </c>
      <c r="G931" t="s">
        <v>67</v>
      </c>
      <c r="H931">
        <v>1</v>
      </c>
      <c r="I931" s="3">
        <v>22.53</v>
      </c>
      <c r="J931" t="s">
        <v>16</v>
      </c>
      <c r="K931" t="s">
        <v>17</v>
      </c>
      <c r="L931" s="4">
        <f>Table4[[#This Row],[quantity]]*Table4[[#This Row],[unit_price]]</f>
        <v>22.53</v>
      </c>
      <c r="M931">
        <f>COUNTIFS($C$2:$C$3934,Table4[[#This Row],[customer_id]])</f>
        <v>4</v>
      </c>
      <c r="N931" t="str">
        <f>IF(Table4[[#This Row],[customer_order_count]]=1,"New Customer","Repeat Customer")</f>
        <v>Repeat Customer</v>
      </c>
    </row>
    <row r="932" spans="1:14">
      <c r="A932" t="s">
        <v>4297</v>
      </c>
      <c r="B932" s="1">
        <v>45332</v>
      </c>
      <c r="C932" t="s">
        <v>1540</v>
      </c>
      <c r="D932" t="s">
        <v>928</v>
      </c>
      <c r="E932" t="s">
        <v>21</v>
      </c>
      <c r="F932" t="s">
        <v>66</v>
      </c>
      <c r="G932" t="s">
        <v>128</v>
      </c>
      <c r="H932">
        <v>1</v>
      </c>
      <c r="I932" s="3">
        <v>22.53</v>
      </c>
      <c r="J932" t="s">
        <v>16</v>
      </c>
      <c r="K932" t="s">
        <v>30</v>
      </c>
      <c r="L932" s="4">
        <f>Table4[[#This Row],[quantity]]*Table4[[#This Row],[unit_price]]</f>
        <v>22.53</v>
      </c>
      <c r="M932">
        <f>COUNTIFS($C$2:$C$3934,Table4[[#This Row],[customer_id]])</f>
        <v>6</v>
      </c>
      <c r="N932" t="str">
        <f>IF(Table4[[#This Row],[customer_order_count]]=1,"New Customer","Repeat Customer")</f>
        <v>Repeat Customer</v>
      </c>
    </row>
    <row r="933" spans="1:14">
      <c r="A933" t="s">
        <v>3559</v>
      </c>
      <c r="B933" s="1">
        <v>45082</v>
      </c>
      <c r="C933" t="s">
        <v>1631</v>
      </c>
      <c r="D933" t="s">
        <v>403</v>
      </c>
      <c r="E933" t="s">
        <v>21</v>
      </c>
      <c r="F933" t="s">
        <v>66</v>
      </c>
      <c r="G933" t="s">
        <v>217</v>
      </c>
      <c r="H933">
        <v>2</v>
      </c>
      <c r="I933" s="3">
        <v>22.54</v>
      </c>
      <c r="J933" t="s">
        <v>16</v>
      </c>
      <c r="K933" t="s">
        <v>30</v>
      </c>
      <c r="L933" s="4">
        <f>Table4[[#This Row],[quantity]]*Table4[[#This Row],[unit_price]]</f>
        <v>45.08</v>
      </c>
      <c r="M933">
        <f>COUNTIFS($C$2:$C$3934,Table4[[#This Row],[customer_id]])</f>
        <v>7</v>
      </c>
      <c r="N933" t="str">
        <f>IF(Table4[[#This Row],[customer_order_count]]=1,"New Customer","Repeat Customer")</f>
        <v>Repeat Customer</v>
      </c>
    </row>
    <row r="934" spans="1:14">
      <c r="A934" t="s">
        <v>1245</v>
      </c>
      <c r="B934" s="1">
        <v>45157</v>
      </c>
      <c r="C934" t="s">
        <v>1246</v>
      </c>
      <c r="D934" t="s">
        <v>947</v>
      </c>
      <c r="E934" t="s">
        <v>21</v>
      </c>
      <c r="F934" t="s">
        <v>70</v>
      </c>
      <c r="G934" t="s">
        <v>337</v>
      </c>
      <c r="H934">
        <v>1</v>
      </c>
      <c r="I934" s="3">
        <v>22.57</v>
      </c>
      <c r="J934" t="s">
        <v>16</v>
      </c>
      <c r="K934" t="s">
        <v>40</v>
      </c>
      <c r="L934" s="4">
        <f>Table4[[#This Row],[quantity]]*Table4[[#This Row],[unit_price]]</f>
        <v>22.57</v>
      </c>
      <c r="M934">
        <f>COUNTIFS($C$2:$C$3934,Table4[[#This Row],[customer_id]])</f>
        <v>8</v>
      </c>
      <c r="N934" t="str">
        <f>IF(Table4[[#This Row],[customer_order_count]]=1,"New Customer","Repeat Customer")</f>
        <v>Repeat Customer</v>
      </c>
    </row>
    <row r="935" spans="1:14">
      <c r="A935" t="s">
        <v>1314</v>
      </c>
      <c r="B935" s="1">
        <v>45138</v>
      </c>
      <c r="C935" t="s">
        <v>1315</v>
      </c>
      <c r="D935" t="s">
        <v>887</v>
      </c>
      <c r="E935" t="s">
        <v>44</v>
      </c>
      <c r="F935" t="s">
        <v>28</v>
      </c>
      <c r="G935" t="s">
        <v>45</v>
      </c>
      <c r="H935">
        <v>1</v>
      </c>
      <c r="I935" s="3">
        <v>22.6</v>
      </c>
      <c r="J935" t="s">
        <v>16</v>
      </c>
      <c r="K935" t="s">
        <v>30</v>
      </c>
      <c r="L935" s="4">
        <f>Table4[[#This Row],[quantity]]*Table4[[#This Row],[unit_price]]</f>
        <v>22.6</v>
      </c>
      <c r="M935">
        <f>COUNTIFS($C$2:$C$3934,Table4[[#This Row],[customer_id]])</f>
        <v>4</v>
      </c>
      <c r="N935" t="str">
        <f>IF(Table4[[#This Row],[customer_order_count]]=1,"New Customer","Repeat Customer")</f>
        <v>Repeat Customer</v>
      </c>
    </row>
    <row r="936" spans="1:14">
      <c r="A936" t="s">
        <v>4585</v>
      </c>
      <c r="B936" s="1">
        <v>45266</v>
      </c>
      <c r="C936" t="s">
        <v>902</v>
      </c>
      <c r="D936" t="s">
        <v>903</v>
      </c>
      <c r="E936" t="s">
        <v>21</v>
      </c>
      <c r="F936" t="s">
        <v>14</v>
      </c>
      <c r="G936" t="s">
        <v>39</v>
      </c>
      <c r="H936">
        <v>1</v>
      </c>
      <c r="I936" s="3">
        <v>22.6</v>
      </c>
      <c r="J936" t="s">
        <v>85</v>
      </c>
      <c r="K936" t="s">
        <v>35</v>
      </c>
      <c r="L936" s="4">
        <f>Table4[[#This Row],[quantity]]*Table4[[#This Row],[unit_price]]</f>
        <v>22.6</v>
      </c>
      <c r="M936">
        <f>COUNTIFS($C$2:$C$3934,Table4[[#This Row],[customer_id]])</f>
        <v>4</v>
      </c>
      <c r="N936" t="str">
        <f>IF(Table4[[#This Row],[customer_order_count]]=1,"New Customer","Repeat Customer")</f>
        <v>Repeat Customer</v>
      </c>
    </row>
    <row r="937" spans="1:14">
      <c r="A937" t="s">
        <v>5134</v>
      </c>
      <c r="B937" s="1">
        <v>44931</v>
      </c>
      <c r="C937" t="s">
        <v>848</v>
      </c>
      <c r="D937" t="s">
        <v>340</v>
      </c>
      <c r="E937" t="s">
        <v>21</v>
      </c>
      <c r="F937" t="s">
        <v>14</v>
      </c>
      <c r="G937" t="s">
        <v>62</v>
      </c>
      <c r="H937">
        <v>1</v>
      </c>
      <c r="I937" s="3">
        <v>22.62</v>
      </c>
      <c r="J937" t="s">
        <v>16</v>
      </c>
      <c r="K937" t="s">
        <v>40</v>
      </c>
      <c r="L937" s="4">
        <f>Table4[[#This Row],[quantity]]*Table4[[#This Row],[unit_price]]</f>
        <v>22.62</v>
      </c>
      <c r="M937">
        <f>COUNTIFS($C$2:$C$3934,Table4[[#This Row],[customer_id]])</f>
        <v>9</v>
      </c>
      <c r="N937" t="str">
        <f>IF(Table4[[#This Row],[customer_order_count]]=1,"New Customer","Repeat Customer")</f>
        <v>Repeat Customer</v>
      </c>
    </row>
    <row r="938" spans="1:14">
      <c r="A938" t="s">
        <v>4776</v>
      </c>
      <c r="B938" s="1">
        <v>45648</v>
      </c>
      <c r="C938" t="s">
        <v>51</v>
      </c>
      <c r="D938" t="s">
        <v>52</v>
      </c>
      <c r="E938" t="s">
        <v>21</v>
      </c>
      <c r="F938" t="s">
        <v>22</v>
      </c>
      <c r="G938" t="s">
        <v>162</v>
      </c>
      <c r="H938">
        <v>2</v>
      </c>
      <c r="I938" s="3">
        <v>22.63</v>
      </c>
      <c r="J938" t="s">
        <v>16</v>
      </c>
      <c r="K938" t="s">
        <v>40</v>
      </c>
      <c r="L938" s="4">
        <f>Table4[[#This Row],[quantity]]*Table4[[#This Row],[unit_price]]</f>
        <v>45.26</v>
      </c>
      <c r="M938">
        <f>COUNTIFS($C$2:$C$3934,Table4[[#This Row],[customer_id]])</f>
        <v>9</v>
      </c>
      <c r="N938" t="str">
        <f>IF(Table4[[#This Row],[customer_order_count]]=1,"New Customer","Repeat Customer")</f>
        <v>Repeat Customer</v>
      </c>
    </row>
    <row r="939" spans="1:14">
      <c r="A939" t="s">
        <v>4385</v>
      </c>
      <c r="B939" s="1">
        <v>45154</v>
      </c>
      <c r="C939" t="s">
        <v>2211</v>
      </c>
      <c r="D939" t="s">
        <v>1412</v>
      </c>
      <c r="E939" t="s">
        <v>21</v>
      </c>
      <c r="F939" t="s">
        <v>56</v>
      </c>
      <c r="G939" t="s">
        <v>422</v>
      </c>
      <c r="H939">
        <v>3</v>
      </c>
      <c r="I939" s="3">
        <v>22.64</v>
      </c>
      <c r="J939" t="s">
        <v>16</v>
      </c>
      <c r="K939" t="s">
        <v>35</v>
      </c>
      <c r="L939" s="4">
        <f>Table4[[#This Row],[quantity]]*Table4[[#This Row],[unit_price]]</f>
        <v>67.92</v>
      </c>
      <c r="M939">
        <f>COUNTIFS($C$2:$C$3934,Table4[[#This Row],[customer_id]])</f>
        <v>6</v>
      </c>
      <c r="N939" t="str">
        <f>IF(Table4[[#This Row],[customer_order_count]]=1,"New Customer","Repeat Customer")</f>
        <v>Repeat Customer</v>
      </c>
    </row>
    <row r="940" spans="1:14">
      <c r="A940" t="s">
        <v>2669</v>
      </c>
      <c r="B940" s="1">
        <v>45196</v>
      </c>
      <c r="C940" t="s">
        <v>2006</v>
      </c>
      <c r="D940" t="s">
        <v>13</v>
      </c>
      <c r="E940" t="s">
        <v>44</v>
      </c>
      <c r="F940" t="s">
        <v>79</v>
      </c>
      <c r="G940" t="s">
        <v>96</v>
      </c>
      <c r="H940">
        <v>1</v>
      </c>
      <c r="I940" s="3">
        <v>22.66</v>
      </c>
      <c r="J940" t="s">
        <v>16</v>
      </c>
      <c r="K940" t="s">
        <v>30</v>
      </c>
      <c r="L940" s="4">
        <f>Table4[[#This Row],[quantity]]*Table4[[#This Row],[unit_price]]</f>
        <v>22.66</v>
      </c>
      <c r="M940">
        <f>COUNTIFS($C$2:$C$3934,Table4[[#This Row],[customer_id]])</f>
        <v>3</v>
      </c>
      <c r="N940" t="str">
        <f>IF(Table4[[#This Row],[customer_order_count]]=1,"New Customer","Repeat Customer")</f>
        <v>Repeat Customer</v>
      </c>
    </row>
    <row r="941" spans="1:14">
      <c r="A941" t="s">
        <v>4560</v>
      </c>
      <c r="B941" s="1">
        <v>45507</v>
      </c>
      <c r="C941" t="s">
        <v>589</v>
      </c>
      <c r="D941" t="s">
        <v>406</v>
      </c>
      <c r="E941" t="s">
        <v>21</v>
      </c>
      <c r="F941" t="s">
        <v>56</v>
      </c>
      <c r="G941" t="s">
        <v>254</v>
      </c>
      <c r="H941">
        <v>1</v>
      </c>
      <c r="I941" s="3">
        <v>22.66</v>
      </c>
      <c r="J941" t="s">
        <v>85</v>
      </c>
      <c r="K941" t="s">
        <v>17</v>
      </c>
      <c r="L941" s="4">
        <f>Table4[[#This Row],[quantity]]*Table4[[#This Row],[unit_price]]</f>
        <v>22.66</v>
      </c>
      <c r="M941">
        <f>COUNTIFS($C$2:$C$3934,Table4[[#This Row],[customer_id]])</f>
        <v>9</v>
      </c>
      <c r="N941" t="str">
        <f>IF(Table4[[#This Row],[customer_order_count]]=1,"New Customer","Repeat Customer")</f>
        <v>Repeat Customer</v>
      </c>
    </row>
    <row r="942" spans="1:14">
      <c r="A942" t="s">
        <v>3810</v>
      </c>
      <c r="B942" s="1">
        <v>44977</v>
      </c>
      <c r="C942" t="s">
        <v>1912</v>
      </c>
      <c r="D942" t="s">
        <v>513</v>
      </c>
      <c r="E942" t="s">
        <v>21</v>
      </c>
      <c r="F942" t="s">
        <v>14</v>
      </c>
      <c r="G942" t="s">
        <v>34</v>
      </c>
      <c r="H942">
        <v>1</v>
      </c>
      <c r="I942" s="3">
        <v>22.67</v>
      </c>
      <c r="J942" t="s">
        <v>85</v>
      </c>
      <c r="K942" t="s">
        <v>35</v>
      </c>
      <c r="L942" s="4">
        <f>Table4[[#This Row],[quantity]]*Table4[[#This Row],[unit_price]]</f>
        <v>22.67</v>
      </c>
      <c r="M942">
        <f>COUNTIFS($C$2:$C$3934,Table4[[#This Row],[customer_id]])</f>
        <v>3</v>
      </c>
      <c r="N942" t="str">
        <f>IF(Table4[[#This Row],[customer_order_count]]=1,"New Customer","Repeat Customer")</f>
        <v>Repeat Customer</v>
      </c>
    </row>
    <row r="943" spans="1:14">
      <c r="A943" t="s">
        <v>3837</v>
      </c>
      <c r="B943" s="1">
        <v>45370</v>
      </c>
      <c r="C943" t="s">
        <v>219</v>
      </c>
      <c r="D943" t="s">
        <v>220</v>
      </c>
      <c r="E943" t="s">
        <v>21</v>
      </c>
      <c r="F943" t="s">
        <v>22</v>
      </c>
      <c r="G943" t="s">
        <v>23</v>
      </c>
      <c r="H943">
        <v>1</v>
      </c>
      <c r="I943" s="3">
        <v>22.69</v>
      </c>
      <c r="J943" t="s">
        <v>16</v>
      </c>
      <c r="K943" t="s">
        <v>35</v>
      </c>
      <c r="L943" s="4">
        <f>Table4[[#This Row],[quantity]]*Table4[[#This Row],[unit_price]]</f>
        <v>22.69</v>
      </c>
      <c r="M943">
        <f>COUNTIFS($C$2:$C$3934,Table4[[#This Row],[customer_id]])</f>
        <v>8</v>
      </c>
      <c r="N943" t="str">
        <f>IF(Table4[[#This Row],[customer_order_count]]=1,"New Customer","Repeat Customer")</f>
        <v>Repeat Customer</v>
      </c>
    </row>
    <row r="944" spans="1:14">
      <c r="A944" t="s">
        <v>3457</v>
      </c>
      <c r="B944" s="1">
        <v>45570</v>
      </c>
      <c r="C944" t="s">
        <v>160</v>
      </c>
      <c r="D944" t="s">
        <v>161</v>
      </c>
      <c r="E944" t="s">
        <v>21</v>
      </c>
      <c r="F944" t="s">
        <v>66</v>
      </c>
      <c r="G944" t="s">
        <v>217</v>
      </c>
      <c r="H944">
        <v>2</v>
      </c>
      <c r="I944" s="3">
        <v>22.7</v>
      </c>
      <c r="J944" t="s">
        <v>16</v>
      </c>
      <c r="K944" t="s">
        <v>17</v>
      </c>
      <c r="L944" s="4">
        <f>Table4[[#This Row],[quantity]]*Table4[[#This Row],[unit_price]]</f>
        <v>45.4</v>
      </c>
      <c r="M944">
        <f>COUNTIFS($C$2:$C$3934,Table4[[#This Row],[customer_id]])</f>
        <v>6</v>
      </c>
      <c r="N944" t="str">
        <f>IF(Table4[[#This Row],[customer_order_count]]=1,"New Customer","Repeat Customer")</f>
        <v>Repeat Customer</v>
      </c>
    </row>
    <row r="945" spans="1:14">
      <c r="A945" t="s">
        <v>5136</v>
      </c>
      <c r="B945" s="1">
        <v>45163</v>
      </c>
      <c r="C945" t="s">
        <v>895</v>
      </c>
      <c r="D945" t="s">
        <v>149</v>
      </c>
      <c r="E945" t="s">
        <v>21</v>
      </c>
      <c r="F945" t="s">
        <v>28</v>
      </c>
      <c r="G945" t="s">
        <v>114</v>
      </c>
      <c r="H945">
        <v>2</v>
      </c>
      <c r="I945" s="3">
        <v>22.73</v>
      </c>
      <c r="J945" t="s">
        <v>16</v>
      </c>
      <c r="K945" t="s">
        <v>17</v>
      </c>
      <c r="L945" s="4">
        <f>Table4[[#This Row],[quantity]]*Table4[[#This Row],[unit_price]]</f>
        <v>45.46</v>
      </c>
      <c r="M945">
        <f>COUNTIFS($C$2:$C$3934,Table4[[#This Row],[customer_id]])</f>
        <v>7</v>
      </c>
      <c r="N945" t="str">
        <f>IF(Table4[[#This Row],[customer_order_count]]=1,"New Customer","Repeat Customer")</f>
        <v>Repeat Customer</v>
      </c>
    </row>
    <row r="946" spans="1:14">
      <c r="A946" t="s">
        <v>652</v>
      </c>
      <c r="B946" s="1">
        <v>45339</v>
      </c>
      <c r="C946" t="s">
        <v>653</v>
      </c>
      <c r="D946" t="s">
        <v>117</v>
      </c>
      <c r="E946" t="s">
        <v>21</v>
      </c>
      <c r="F946" t="s">
        <v>22</v>
      </c>
      <c r="G946" t="s">
        <v>162</v>
      </c>
      <c r="H946">
        <v>2</v>
      </c>
      <c r="I946" s="3">
        <v>22.75</v>
      </c>
      <c r="J946" t="s">
        <v>16</v>
      </c>
      <c r="K946" t="s">
        <v>40</v>
      </c>
      <c r="L946" s="4">
        <f>Table4[[#This Row],[quantity]]*Table4[[#This Row],[unit_price]]</f>
        <v>45.5</v>
      </c>
      <c r="M946">
        <f>COUNTIFS($C$2:$C$3934,Table4[[#This Row],[customer_id]])</f>
        <v>6</v>
      </c>
      <c r="N946" t="str">
        <f>IF(Table4[[#This Row],[customer_order_count]]=1,"New Customer","Repeat Customer")</f>
        <v>Repeat Customer</v>
      </c>
    </row>
    <row r="947" spans="1:14">
      <c r="A947" t="s">
        <v>1354</v>
      </c>
      <c r="B947" s="1">
        <v>44999</v>
      </c>
      <c r="C947" t="s">
        <v>1355</v>
      </c>
      <c r="D947" t="s">
        <v>138</v>
      </c>
      <c r="E947" t="s">
        <v>21</v>
      </c>
      <c r="F947" t="s">
        <v>28</v>
      </c>
      <c r="G947" t="s">
        <v>45</v>
      </c>
      <c r="H947">
        <v>3</v>
      </c>
      <c r="I947" s="3">
        <v>22.76</v>
      </c>
      <c r="J947" t="s">
        <v>85</v>
      </c>
      <c r="K947" t="s">
        <v>35</v>
      </c>
      <c r="L947" s="4">
        <f>Table4[[#This Row],[quantity]]*Table4[[#This Row],[unit_price]]</f>
        <v>68.28</v>
      </c>
      <c r="M947">
        <f>COUNTIFS($C$2:$C$3934,Table4[[#This Row],[customer_id]])</f>
        <v>4</v>
      </c>
      <c r="N947" t="str">
        <f>IF(Table4[[#This Row],[customer_order_count]]=1,"New Customer","Repeat Customer")</f>
        <v>Repeat Customer</v>
      </c>
    </row>
    <row r="948" spans="1:14">
      <c r="A948" t="s">
        <v>2814</v>
      </c>
      <c r="B948" s="1">
        <v>45510</v>
      </c>
      <c r="C948" t="s">
        <v>2815</v>
      </c>
      <c r="D948" s="2" t="s">
        <v>5257</v>
      </c>
      <c r="E948" t="s">
        <v>106</v>
      </c>
      <c r="F948" t="s">
        <v>28</v>
      </c>
      <c r="G948" t="s">
        <v>29</v>
      </c>
      <c r="H948">
        <v>1</v>
      </c>
      <c r="I948" s="3">
        <v>22.77</v>
      </c>
      <c r="J948" t="s">
        <v>85</v>
      </c>
      <c r="K948" t="s">
        <v>35</v>
      </c>
      <c r="L948" s="4">
        <f>Table4[[#This Row],[quantity]]*Table4[[#This Row],[unit_price]]</f>
        <v>22.77</v>
      </c>
      <c r="M948">
        <f>COUNTIFS($C$2:$C$3934,Table4[[#This Row],[customer_id]])</f>
        <v>1</v>
      </c>
      <c r="N948" t="str">
        <f>IF(Table4[[#This Row],[customer_order_count]]=1,"New Customer","Repeat Customer")</f>
        <v>New Customer</v>
      </c>
    </row>
    <row r="949" spans="1:14">
      <c r="A949" t="s">
        <v>1637</v>
      </c>
      <c r="B949" s="1">
        <v>45184</v>
      </c>
      <c r="C949" t="s">
        <v>1222</v>
      </c>
      <c r="D949" s="5" t="s">
        <v>229</v>
      </c>
      <c r="E949" t="s">
        <v>21</v>
      </c>
      <c r="F949" t="s">
        <v>56</v>
      </c>
      <c r="G949" t="s">
        <v>57</v>
      </c>
      <c r="H949">
        <v>2</v>
      </c>
      <c r="I949" s="3">
        <v>22.79</v>
      </c>
      <c r="J949" t="s">
        <v>16</v>
      </c>
      <c r="K949" t="s">
        <v>17</v>
      </c>
      <c r="L949" s="4">
        <f>Table4[[#This Row],[quantity]]*Table4[[#This Row],[unit_price]]</f>
        <v>45.58</v>
      </c>
      <c r="M949">
        <f>COUNTIFS($C$2:$C$3934,Table4[[#This Row],[customer_id]])</f>
        <v>4</v>
      </c>
      <c r="N949" t="str">
        <f>IF(Table4[[#This Row],[customer_order_count]]=1,"New Customer","Repeat Customer")</f>
        <v>Repeat Customer</v>
      </c>
    </row>
    <row r="950" spans="1:14">
      <c r="A950" t="s">
        <v>2890</v>
      </c>
      <c r="B950" s="1">
        <v>45035</v>
      </c>
      <c r="C950" t="s">
        <v>914</v>
      </c>
      <c r="D950" t="s">
        <v>95</v>
      </c>
      <c r="E950" t="s">
        <v>21</v>
      </c>
      <c r="F950" t="s">
        <v>22</v>
      </c>
      <c r="G950" t="s">
        <v>264</v>
      </c>
      <c r="H950">
        <v>1</v>
      </c>
      <c r="I950" s="3">
        <v>22.81</v>
      </c>
      <c r="J950" t="s">
        <v>16</v>
      </c>
      <c r="K950" t="s">
        <v>30</v>
      </c>
      <c r="L950" s="4">
        <f>Table4[[#This Row],[quantity]]*Table4[[#This Row],[unit_price]]</f>
        <v>22.81</v>
      </c>
      <c r="M950">
        <f>COUNTIFS($C$2:$C$3934,Table4[[#This Row],[customer_id]])</f>
        <v>10</v>
      </c>
      <c r="N950" t="str">
        <f>IF(Table4[[#This Row],[customer_order_count]]=1,"New Customer","Repeat Customer")</f>
        <v>Repeat Customer</v>
      </c>
    </row>
    <row r="951" spans="1:14">
      <c r="A951" t="s">
        <v>2079</v>
      </c>
      <c r="B951" s="1">
        <v>45519</v>
      </c>
      <c r="C951" t="s">
        <v>768</v>
      </c>
      <c r="D951" t="s">
        <v>769</v>
      </c>
      <c r="E951" t="s">
        <v>21</v>
      </c>
      <c r="F951" t="s">
        <v>14</v>
      </c>
      <c r="G951" t="s">
        <v>258</v>
      </c>
      <c r="H951">
        <v>1</v>
      </c>
      <c r="I951" s="3">
        <v>22.83</v>
      </c>
      <c r="J951" t="s">
        <v>16</v>
      </c>
      <c r="K951" t="s">
        <v>35</v>
      </c>
      <c r="L951" s="4">
        <f>Table4[[#This Row],[quantity]]*Table4[[#This Row],[unit_price]]</f>
        <v>22.83</v>
      </c>
      <c r="M951">
        <f>COUNTIFS($C$2:$C$3934,Table4[[#This Row],[customer_id]])</f>
        <v>4</v>
      </c>
      <c r="N951" t="str">
        <f>IF(Table4[[#This Row],[customer_order_count]]=1,"New Customer","Repeat Customer")</f>
        <v>Repeat Customer</v>
      </c>
    </row>
    <row r="952" spans="1:14">
      <c r="A952" t="s">
        <v>3240</v>
      </c>
      <c r="B952" s="1">
        <v>45545</v>
      </c>
      <c r="C952" t="s">
        <v>841</v>
      </c>
      <c r="D952" t="s">
        <v>842</v>
      </c>
      <c r="E952" t="s">
        <v>21</v>
      </c>
      <c r="F952" t="s">
        <v>28</v>
      </c>
      <c r="G952" t="s">
        <v>29</v>
      </c>
      <c r="H952">
        <v>1</v>
      </c>
      <c r="I952" s="3">
        <v>22.85</v>
      </c>
      <c r="J952" t="s">
        <v>16</v>
      </c>
      <c r="K952" t="s">
        <v>30</v>
      </c>
      <c r="L952" s="4">
        <f>Table4[[#This Row],[quantity]]*Table4[[#This Row],[unit_price]]</f>
        <v>22.85</v>
      </c>
      <c r="M952">
        <f>COUNTIFS($C$2:$C$3934,Table4[[#This Row],[customer_id]])</f>
        <v>4</v>
      </c>
      <c r="N952" t="str">
        <f>IF(Table4[[#This Row],[customer_order_count]]=1,"New Customer","Repeat Customer")</f>
        <v>Repeat Customer</v>
      </c>
    </row>
    <row r="953" spans="1:14">
      <c r="A953" t="s">
        <v>3704</v>
      </c>
      <c r="B953" s="1">
        <v>45090</v>
      </c>
      <c r="C953" t="s">
        <v>3705</v>
      </c>
      <c r="D953" t="s">
        <v>743</v>
      </c>
      <c r="E953" t="s">
        <v>44</v>
      </c>
      <c r="F953" t="s">
        <v>22</v>
      </c>
      <c r="G953" t="s">
        <v>135</v>
      </c>
      <c r="H953">
        <v>2</v>
      </c>
      <c r="I953" s="3">
        <v>22.89</v>
      </c>
      <c r="J953" t="s">
        <v>16</v>
      </c>
      <c r="K953" t="s">
        <v>40</v>
      </c>
      <c r="L953" s="4">
        <f>Table4[[#This Row],[quantity]]*Table4[[#This Row],[unit_price]]</f>
        <v>45.78</v>
      </c>
      <c r="M953">
        <f>COUNTIFS($C$2:$C$3934,Table4[[#This Row],[customer_id]])</f>
        <v>2</v>
      </c>
      <c r="N953" t="str">
        <f>IF(Table4[[#This Row],[customer_order_count]]=1,"New Customer","Repeat Customer")</f>
        <v>Repeat Customer</v>
      </c>
    </row>
    <row r="954" spans="1:14">
      <c r="A954" t="s">
        <v>4217</v>
      </c>
      <c r="B954" s="1">
        <v>45568</v>
      </c>
      <c r="C954" t="s">
        <v>3324</v>
      </c>
      <c r="D954" t="s">
        <v>213</v>
      </c>
      <c r="E954" t="s">
        <v>21</v>
      </c>
      <c r="F954" t="s">
        <v>66</v>
      </c>
      <c r="G954" t="s">
        <v>217</v>
      </c>
      <c r="H954">
        <v>1</v>
      </c>
      <c r="I954" s="3">
        <v>22.894049586776855</v>
      </c>
      <c r="J954" t="s">
        <v>16</v>
      </c>
      <c r="K954" t="s">
        <v>40</v>
      </c>
      <c r="L954" s="4">
        <f>Table4[[#This Row],[quantity]]*Table4[[#This Row],[unit_price]]</f>
        <v>22.894049586776855</v>
      </c>
      <c r="M954">
        <f>COUNTIFS($C$2:$C$3934,Table4[[#This Row],[customer_id]])</f>
        <v>5</v>
      </c>
      <c r="N954" t="str">
        <f>IF(Table4[[#This Row],[customer_order_count]]=1,"New Customer","Repeat Customer")</f>
        <v>Repeat Customer</v>
      </c>
    </row>
    <row r="955" spans="1:14">
      <c r="A955" t="s">
        <v>3692</v>
      </c>
      <c r="B955" s="1">
        <v>45159</v>
      </c>
      <c r="C955" t="s">
        <v>1906</v>
      </c>
      <c r="D955" t="s">
        <v>1907</v>
      </c>
      <c r="E955" t="s">
        <v>21</v>
      </c>
      <c r="F955" t="s">
        <v>66</v>
      </c>
      <c r="G955" t="s">
        <v>217</v>
      </c>
      <c r="H955">
        <v>1</v>
      </c>
      <c r="I955" s="3">
        <v>22.9</v>
      </c>
      <c r="J955" t="s">
        <v>16</v>
      </c>
      <c r="K955" s="2" t="s">
        <v>5256</v>
      </c>
      <c r="L955" s="4">
        <f>Table4[[#This Row],[quantity]]*Table4[[#This Row],[unit_price]]</f>
        <v>22.9</v>
      </c>
      <c r="M955">
        <f>COUNTIFS($C$2:$C$3934,Table4[[#This Row],[customer_id]])</f>
        <v>4</v>
      </c>
      <c r="N955" t="str">
        <f>IF(Table4[[#This Row],[customer_order_count]]=1,"New Customer","Repeat Customer")</f>
        <v>Repeat Customer</v>
      </c>
    </row>
    <row r="956" spans="1:14">
      <c r="A956" t="s">
        <v>4637</v>
      </c>
      <c r="B956" s="1">
        <v>45533</v>
      </c>
      <c r="C956" t="s">
        <v>222</v>
      </c>
      <c r="D956" t="s">
        <v>223</v>
      </c>
      <c r="E956" t="s">
        <v>21</v>
      </c>
      <c r="F956" t="s">
        <v>79</v>
      </c>
      <c r="G956" t="s">
        <v>230</v>
      </c>
      <c r="H956">
        <v>1</v>
      </c>
      <c r="I956" s="3">
        <v>22.9</v>
      </c>
      <c r="J956" t="s">
        <v>16</v>
      </c>
      <c r="K956" s="5" t="s">
        <v>17</v>
      </c>
      <c r="L956" s="4">
        <f>Table4[[#This Row],[quantity]]*Table4[[#This Row],[unit_price]]</f>
        <v>22.9</v>
      </c>
      <c r="M956">
        <f>COUNTIFS($C$2:$C$3934,Table4[[#This Row],[customer_id]])</f>
        <v>6</v>
      </c>
      <c r="N956" t="str">
        <f>IF(Table4[[#This Row],[customer_order_count]]=1,"New Customer","Repeat Customer")</f>
        <v>Repeat Customer</v>
      </c>
    </row>
    <row r="957" spans="1:14">
      <c r="A957" t="s">
        <v>3959</v>
      </c>
      <c r="B957" s="1">
        <v>45253</v>
      </c>
      <c r="C957" t="s">
        <v>1888</v>
      </c>
      <c r="D957" t="s">
        <v>1889</v>
      </c>
      <c r="E957" t="s">
        <v>21</v>
      </c>
      <c r="F957" t="s">
        <v>22</v>
      </c>
      <c r="G957" t="s">
        <v>135</v>
      </c>
      <c r="H957">
        <v>2</v>
      </c>
      <c r="I957" s="3">
        <v>22.9</v>
      </c>
      <c r="J957" t="s">
        <v>16</v>
      </c>
      <c r="K957" s="2" t="s">
        <v>5256</v>
      </c>
      <c r="L957" s="4">
        <f>Table4[[#This Row],[quantity]]*Table4[[#This Row],[unit_price]]</f>
        <v>45.8</v>
      </c>
      <c r="M957">
        <f>COUNTIFS($C$2:$C$3934,Table4[[#This Row],[customer_id]])</f>
        <v>6</v>
      </c>
      <c r="N957" t="str">
        <f>IF(Table4[[#This Row],[customer_order_count]]=1,"New Customer","Repeat Customer")</f>
        <v>Repeat Customer</v>
      </c>
    </row>
    <row r="958" spans="1:14">
      <c r="A958" t="s">
        <v>242</v>
      </c>
      <c r="B958" s="1">
        <v>45337</v>
      </c>
      <c r="C958" t="s">
        <v>243</v>
      </c>
      <c r="D958" t="s">
        <v>244</v>
      </c>
      <c r="E958" t="s">
        <v>21</v>
      </c>
      <c r="F958" t="s">
        <v>66</v>
      </c>
      <c r="G958" t="s">
        <v>128</v>
      </c>
      <c r="H958">
        <v>4</v>
      </c>
      <c r="I958" s="3">
        <v>22.9</v>
      </c>
      <c r="J958" t="s">
        <v>16</v>
      </c>
      <c r="K958" s="5" t="s">
        <v>35</v>
      </c>
      <c r="L958" s="4">
        <f>Table4[[#This Row],[quantity]]*Table4[[#This Row],[unit_price]]</f>
        <v>91.6</v>
      </c>
      <c r="M958">
        <f>COUNTIFS($C$2:$C$3934,Table4[[#This Row],[customer_id]])</f>
        <v>8</v>
      </c>
      <c r="N958" t="str">
        <f>IF(Table4[[#This Row],[customer_order_count]]=1,"New Customer","Repeat Customer")</f>
        <v>Repeat Customer</v>
      </c>
    </row>
    <row r="959" spans="1:14">
      <c r="A959" t="s">
        <v>3545</v>
      </c>
      <c r="B959" s="1">
        <v>45340</v>
      </c>
      <c r="C959" t="s">
        <v>461</v>
      </c>
      <c r="D959" t="s">
        <v>161</v>
      </c>
      <c r="E959" t="s">
        <v>44</v>
      </c>
      <c r="F959" t="s">
        <v>28</v>
      </c>
      <c r="G959" t="s">
        <v>139</v>
      </c>
      <c r="H959">
        <v>1</v>
      </c>
      <c r="I959" s="3">
        <v>22.92</v>
      </c>
      <c r="J959" t="s">
        <v>85</v>
      </c>
      <c r="K959" t="s">
        <v>17</v>
      </c>
      <c r="L959" s="4">
        <f>Table4[[#This Row],[quantity]]*Table4[[#This Row],[unit_price]]</f>
        <v>22.92</v>
      </c>
      <c r="M959">
        <f>COUNTIFS($C$2:$C$3934,Table4[[#This Row],[customer_id]])</f>
        <v>5</v>
      </c>
      <c r="N959" t="str">
        <f>IF(Table4[[#This Row],[customer_order_count]]=1,"New Customer","Repeat Customer")</f>
        <v>Repeat Customer</v>
      </c>
    </row>
    <row r="960" spans="1:14">
      <c r="A960" t="s">
        <v>5065</v>
      </c>
      <c r="B960" s="1">
        <v>45069</v>
      </c>
      <c r="C960" t="s">
        <v>1526</v>
      </c>
      <c r="D960" t="s">
        <v>350</v>
      </c>
      <c r="E960" t="s">
        <v>44</v>
      </c>
      <c r="F960" t="s">
        <v>22</v>
      </c>
      <c r="G960" t="s">
        <v>264</v>
      </c>
      <c r="H960">
        <v>2</v>
      </c>
      <c r="I960" s="3">
        <v>22.92</v>
      </c>
      <c r="J960" t="s">
        <v>16</v>
      </c>
      <c r="K960" t="s">
        <v>35</v>
      </c>
      <c r="L960" s="4">
        <f>Table4[[#This Row],[quantity]]*Table4[[#This Row],[unit_price]]</f>
        <v>45.84</v>
      </c>
      <c r="M960">
        <f>COUNTIFS($C$2:$C$3934,Table4[[#This Row],[customer_id]])</f>
        <v>2</v>
      </c>
      <c r="N960" t="str">
        <f>IF(Table4[[#This Row],[customer_order_count]]=1,"New Customer","Repeat Customer")</f>
        <v>Repeat Customer</v>
      </c>
    </row>
    <row r="961" spans="1:14">
      <c r="A961" t="s">
        <v>809</v>
      </c>
      <c r="B961" s="1">
        <v>45590</v>
      </c>
      <c r="C961" t="s">
        <v>810</v>
      </c>
      <c r="D961" t="s">
        <v>811</v>
      </c>
      <c r="E961" t="s">
        <v>21</v>
      </c>
      <c r="F961" t="s">
        <v>66</v>
      </c>
      <c r="G961" t="s">
        <v>67</v>
      </c>
      <c r="H961">
        <v>5</v>
      </c>
      <c r="I961" s="3">
        <v>22.94</v>
      </c>
      <c r="J961" t="s">
        <v>16</v>
      </c>
      <c r="K961" t="s">
        <v>40</v>
      </c>
      <c r="L961" s="4">
        <f>Table4[[#This Row],[quantity]]*Table4[[#This Row],[unit_price]]</f>
        <v>114.7</v>
      </c>
      <c r="M961">
        <f>COUNTIFS($C$2:$C$3934,Table4[[#This Row],[customer_id]])</f>
        <v>7</v>
      </c>
      <c r="N961" t="str">
        <f>IF(Table4[[#This Row],[customer_order_count]]=1,"New Customer","Repeat Customer")</f>
        <v>Repeat Customer</v>
      </c>
    </row>
    <row r="962" spans="1:14">
      <c r="A962" t="s">
        <v>4545</v>
      </c>
      <c r="B962" s="1">
        <v>45290</v>
      </c>
      <c r="C962" t="s">
        <v>2275</v>
      </c>
      <c r="D962" s="2" t="s">
        <v>5257</v>
      </c>
      <c r="E962" t="s">
        <v>21</v>
      </c>
      <c r="F962" t="s">
        <v>22</v>
      </c>
      <c r="G962" t="s">
        <v>264</v>
      </c>
      <c r="H962">
        <v>2</v>
      </c>
      <c r="I962" s="3">
        <v>22.95</v>
      </c>
      <c r="J962" t="s">
        <v>16</v>
      </c>
      <c r="K962" t="s">
        <v>17</v>
      </c>
      <c r="L962" s="4">
        <f>Table4[[#This Row],[quantity]]*Table4[[#This Row],[unit_price]]</f>
        <v>45.9</v>
      </c>
      <c r="M962">
        <f>COUNTIFS($C$2:$C$3934,Table4[[#This Row],[customer_id]])</f>
        <v>5</v>
      </c>
      <c r="N962" t="str">
        <f>IF(Table4[[#This Row],[customer_order_count]]=1,"New Customer","Repeat Customer")</f>
        <v>Repeat Customer</v>
      </c>
    </row>
    <row r="963" spans="1:14">
      <c r="A963" t="s">
        <v>4860</v>
      </c>
      <c r="B963" s="1">
        <v>45487</v>
      </c>
      <c r="C963" t="s">
        <v>4861</v>
      </c>
      <c r="D963" s="5" t="s">
        <v>2171</v>
      </c>
      <c r="E963" t="s">
        <v>44</v>
      </c>
      <c r="F963" t="s">
        <v>66</v>
      </c>
      <c r="G963" t="s">
        <v>128</v>
      </c>
      <c r="H963">
        <v>1</v>
      </c>
      <c r="I963" s="3">
        <v>22.97</v>
      </c>
      <c r="J963" t="s">
        <v>16</v>
      </c>
      <c r="K963" t="s">
        <v>35</v>
      </c>
      <c r="L963" s="4">
        <f>Table4[[#This Row],[quantity]]*Table4[[#This Row],[unit_price]]</f>
        <v>22.97</v>
      </c>
      <c r="M963">
        <f>COUNTIFS($C$2:$C$3934,Table4[[#This Row],[customer_id]])</f>
        <v>1</v>
      </c>
      <c r="N963" t="str">
        <f>IF(Table4[[#This Row],[customer_order_count]]=1,"New Customer","Repeat Customer")</f>
        <v>New Customer</v>
      </c>
    </row>
    <row r="964" spans="1:14">
      <c r="A964" t="s">
        <v>4543</v>
      </c>
      <c r="B964" s="1">
        <v>45016</v>
      </c>
      <c r="C964" t="s">
        <v>1561</v>
      </c>
      <c r="D964" t="s">
        <v>60</v>
      </c>
      <c r="E964" t="s">
        <v>21</v>
      </c>
      <c r="F964" t="s">
        <v>14</v>
      </c>
      <c r="G964" t="s">
        <v>62</v>
      </c>
      <c r="H964">
        <v>2</v>
      </c>
      <c r="I964" s="3">
        <v>22.97</v>
      </c>
      <c r="J964" t="s">
        <v>255</v>
      </c>
      <c r="K964" t="s">
        <v>17</v>
      </c>
      <c r="L964" s="4">
        <f>Table4[[#This Row],[quantity]]*Table4[[#This Row],[unit_price]]</f>
        <v>45.94</v>
      </c>
      <c r="M964">
        <f>COUNTIFS($C$2:$C$3934,Table4[[#This Row],[customer_id]])</f>
        <v>6</v>
      </c>
      <c r="N964" t="str">
        <f>IF(Table4[[#This Row],[customer_order_count]]=1,"New Customer","Repeat Customer")</f>
        <v>Repeat Customer</v>
      </c>
    </row>
    <row r="965" spans="1:14">
      <c r="A965" t="s">
        <v>2704</v>
      </c>
      <c r="B965" s="1">
        <v>45247</v>
      </c>
      <c r="C965" t="s">
        <v>2086</v>
      </c>
      <c r="D965" t="s">
        <v>650</v>
      </c>
      <c r="E965" t="s">
        <v>44</v>
      </c>
      <c r="F965" t="s">
        <v>22</v>
      </c>
      <c r="G965" t="s">
        <v>23</v>
      </c>
      <c r="H965">
        <v>2</v>
      </c>
      <c r="I965" s="3">
        <v>22.97</v>
      </c>
      <c r="J965" t="s">
        <v>16</v>
      </c>
      <c r="K965" t="s">
        <v>30</v>
      </c>
      <c r="L965" s="4">
        <f>Table4[[#This Row],[quantity]]*Table4[[#This Row],[unit_price]]</f>
        <v>45.94</v>
      </c>
      <c r="M965">
        <f>COUNTIFS($C$2:$C$3934,Table4[[#This Row],[customer_id]])</f>
        <v>7</v>
      </c>
      <c r="N965" t="str">
        <f>IF(Table4[[#This Row],[customer_order_count]]=1,"New Customer","Repeat Customer")</f>
        <v>Repeat Customer</v>
      </c>
    </row>
    <row r="966" spans="1:14">
      <c r="A966" t="s">
        <v>613</v>
      </c>
      <c r="B966" s="1">
        <v>45575</v>
      </c>
      <c r="C966" t="s">
        <v>614</v>
      </c>
      <c r="D966" t="s">
        <v>286</v>
      </c>
      <c r="E966" t="s">
        <v>21</v>
      </c>
      <c r="F966" t="s">
        <v>14</v>
      </c>
      <c r="G966" t="s">
        <v>100</v>
      </c>
      <c r="H966">
        <v>1</v>
      </c>
      <c r="I966" s="3">
        <v>23.05</v>
      </c>
      <c r="J966" t="s">
        <v>16</v>
      </c>
      <c r="K966" t="s">
        <v>30</v>
      </c>
      <c r="L966" s="4">
        <f>Table4[[#This Row],[quantity]]*Table4[[#This Row],[unit_price]]</f>
        <v>23.05</v>
      </c>
      <c r="M966">
        <f>COUNTIFS($C$2:$C$3934,Table4[[#This Row],[customer_id]])</f>
        <v>4</v>
      </c>
      <c r="N966" t="str">
        <f>IF(Table4[[#This Row],[customer_order_count]]=1,"New Customer","Repeat Customer")</f>
        <v>Repeat Customer</v>
      </c>
    </row>
    <row r="967" spans="1:14">
      <c r="A967" t="s">
        <v>3028</v>
      </c>
      <c r="B967" s="1">
        <v>45064</v>
      </c>
      <c r="C967" t="s">
        <v>3029</v>
      </c>
      <c r="D967" t="s">
        <v>92</v>
      </c>
      <c r="E967" t="s">
        <v>21</v>
      </c>
      <c r="F967" t="s">
        <v>28</v>
      </c>
      <c r="G967" t="s">
        <v>139</v>
      </c>
      <c r="H967">
        <v>1</v>
      </c>
      <c r="I967" s="3">
        <v>23.07</v>
      </c>
      <c r="J967" t="s">
        <v>16</v>
      </c>
      <c r="K967" t="s">
        <v>17</v>
      </c>
      <c r="L967" s="4">
        <f>Table4[[#This Row],[quantity]]*Table4[[#This Row],[unit_price]]</f>
        <v>23.07</v>
      </c>
      <c r="M967">
        <f>COUNTIFS($C$2:$C$3934,Table4[[#This Row],[customer_id]])</f>
        <v>6</v>
      </c>
      <c r="N967" t="str">
        <f>IF(Table4[[#This Row],[customer_order_count]]=1,"New Customer","Repeat Customer")</f>
        <v>Repeat Customer</v>
      </c>
    </row>
    <row r="968" spans="1:14">
      <c r="A968" t="s">
        <v>2919</v>
      </c>
      <c r="B968" s="1">
        <v>45513</v>
      </c>
      <c r="C968" t="s">
        <v>379</v>
      </c>
      <c r="D968" t="s">
        <v>380</v>
      </c>
      <c r="E968" t="s">
        <v>44</v>
      </c>
      <c r="F968" t="s">
        <v>70</v>
      </c>
      <c r="G968" t="s">
        <v>337</v>
      </c>
      <c r="H968">
        <v>1</v>
      </c>
      <c r="I968" s="3">
        <v>23.08</v>
      </c>
      <c r="J968" t="s">
        <v>16</v>
      </c>
      <c r="K968" t="s">
        <v>17</v>
      </c>
      <c r="L968" s="4">
        <f>Table4[[#This Row],[quantity]]*Table4[[#This Row],[unit_price]]</f>
        <v>23.08</v>
      </c>
      <c r="M968">
        <f>COUNTIFS($C$2:$C$3934,Table4[[#This Row],[customer_id]])</f>
        <v>7</v>
      </c>
      <c r="N968" t="str">
        <f>IF(Table4[[#This Row],[customer_order_count]]=1,"New Customer","Repeat Customer")</f>
        <v>Repeat Customer</v>
      </c>
    </row>
    <row r="969" spans="1:14">
      <c r="A969" t="s">
        <v>1083</v>
      </c>
      <c r="B969" s="1">
        <v>44975</v>
      </c>
      <c r="C969" t="s">
        <v>1084</v>
      </c>
      <c r="D969" t="s">
        <v>953</v>
      </c>
      <c r="E969" t="s">
        <v>21</v>
      </c>
      <c r="F969" t="s">
        <v>66</v>
      </c>
      <c r="G969" t="s">
        <v>67</v>
      </c>
      <c r="H969">
        <v>1</v>
      </c>
      <c r="I969" s="3">
        <v>23.12</v>
      </c>
      <c r="J969" t="s">
        <v>85</v>
      </c>
      <c r="K969" t="s">
        <v>40</v>
      </c>
      <c r="L969" s="4">
        <f>Table4[[#This Row],[quantity]]*Table4[[#This Row],[unit_price]]</f>
        <v>23.12</v>
      </c>
      <c r="M969">
        <f>COUNTIFS($C$2:$C$3934,Table4[[#This Row],[customer_id]])</f>
        <v>6</v>
      </c>
      <c r="N969" t="str">
        <f>IF(Table4[[#This Row],[customer_order_count]]=1,"New Customer","Repeat Customer")</f>
        <v>Repeat Customer</v>
      </c>
    </row>
    <row r="970" spans="1:14">
      <c r="A970" t="s">
        <v>4634</v>
      </c>
      <c r="B970" s="1">
        <v>45290</v>
      </c>
      <c r="C970" t="s">
        <v>1146</v>
      </c>
      <c r="D970" t="s">
        <v>347</v>
      </c>
      <c r="E970" t="s">
        <v>21</v>
      </c>
      <c r="F970" t="s">
        <v>28</v>
      </c>
      <c r="G970" t="s">
        <v>45</v>
      </c>
      <c r="H970">
        <v>1</v>
      </c>
      <c r="I970" s="3">
        <v>23.12</v>
      </c>
      <c r="J970" t="s">
        <v>16</v>
      </c>
      <c r="K970" t="s">
        <v>30</v>
      </c>
      <c r="L970" s="4">
        <f>Table4[[#This Row],[quantity]]*Table4[[#This Row],[unit_price]]</f>
        <v>23.12</v>
      </c>
      <c r="M970">
        <f>COUNTIFS($C$2:$C$3934,Table4[[#This Row],[customer_id]])</f>
        <v>7</v>
      </c>
      <c r="N970" t="str">
        <f>IF(Table4[[#This Row],[customer_order_count]]=1,"New Customer","Repeat Customer")</f>
        <v>Repeat Customer</v>
      </c>
    </row>
    <row r="971" spans="1:14">
      <c r="A971" t="s">
        <v>36</v>
      </c>
      <c r="B971" s="1">
        <v>45343</v>
      </c>
      <c r="C971" t="s">
        <v>37</v>
      </c>
      <c r="D971" t="s">
        <v>38</v>
      </c>
      <c r="E971" t="s">
        <v>44</v>
      </c>
      <c r="F971" t="s">
        <v>14</v>
      </c>
      <c r="G971" t="s">
        <v>39</v>
      </c>
      <c r="H971">
        <v>1</v>
      </c>
      <c r="I971" s="3">
        <v>23.12</v>
      </c>
      <c r="J971" t="s">
        <v>16</v>
      </c>
      <c r="K971" t="s">
        <v>40</v>
      </c>
      <c r="L971" s="4">
        <f>Table4[[#This Row],[quantity]]*Table4[[#This Row],[unit_price]]</f>
        <v>23.12</v>
      </c>
      <c r="M971">
        <f>COUNTIFS($C$2:$C$3934,Table4[[#This Row],[customer_id]])</f>
        <v>7</v>
      </c>
      <c r="N971" t="str">
        <f>IF(Table4[[#This Row],[customer_order_count]]=1,"New Customer","Repeat Customer")</f>
        <v>Repeat Customer</v>
      </c>
    </row>
    <row r="972" spans="1:14">
      <c r="A972" t="s">
        <v>5185</v>
      </c>
      <c r="B972" s="1">
        <v>45502</v>
      </c>
      <c r="C972" t="s">
        <v>1503</v>
      </c>
      <c r="D972" t="s">
        <v>787</v>
      </c>
      <c r="E972" t="s">
        <v>21</v>
      </c>
      <c r="F972" t="s">
        <v>56</v>
      </c>
      <c r="G972" t="s">
        <v>210</v>
      </c>
      <c r="H972">
        <v>2</v>
      </c>
      <c r="I972" s="3">
        <v>23.13</v>
      </c>
      <c r="J972" t="s">
        <v>16</v>
      </c>
      <c r="K972" t="s">
        <v>35</v>
      </c>
      <c r="L972" s="4">
        <f>Table4[[#This Row],[quantity]]*Table4[[#This Row],[unit_price]]</f>
        <v>46.26</v>
      </c>
      <c r="M972">
        <f>COUNTIFS($C$2:$C$3934,Table4[[#This Row],[customer_id]])</f>
        <v>3</v>
      </c>
      <c r="N972" t="str">
        <f>IF(Table4[[#This Row],[customer_order_count]]=1,"New Customer","Repeat Customer")</f>
        <v>Repeat Customer</v>
      </c>
    </row>
    <row r="973" spans="1:14">
      <c r="A973" t="s">
        <v>5187</v>
      </c>
      <c r="B973" s="1">
        <v>45117</v>
      </c>
      <c r="C973" t="s">
        <v>616</v>
      </c>
      <c r="D973" t="s">
        <v>617</v>
      </c>
      <c r="E973" t="s">
        <v>21</v>
      </c>
      <c r="F973" t="s">
        <v>66</v>
      </c>
      <c r="G973" t="s">
        <v>238</v>
      </c>
      <c r="H973">
        <v>2</v>
      </c>
      <c r="I973" s="3">
        <v>23.15</v>
      </c>
      <c r="J973" t="s">
        <v>16</v>
      </c>
      <c r="K973" t="s">
        <v>40</v>
      </c>
      <c r="L973" s="4">
        <f>Table4[[#This Row],[quantity]]*Table4[[#This Row],[unit_price]]</f>
        <v>46.3</v>
      </c>
      <c r="M973">
        <f>COUNTIFS($C$2:$C$3934,Table4[[#This Row],[customer_id]])</f>
        <v>5</v>
      </c>
      <c r="N973" t="str">
        <f>IF(Table4[[#This Row],[customer_order_count]]=1,"New Customer","Repeat Customer")</f>
        <v>Repeat Customer</v>
      </c>
    </row>
    <row r="974" spans="1:14">
      <c r="A974" t="s">
        <v>1576</v>
      </c>
      <c r="B974" s="1">
        <v>45396</v>
      </c>
      <c r="C974" t="s">
        <v>1577</v>
      </c>
      <c r="D974" t="s">
        <v>1578</v>
      </c>
      <c r="E974" t="s">
        <v>21</v>
      </c>
      <c r="F974" t="s">
        <v>56</v>
      </c>
      <c r="G974" t="s">
        <v>75</v>
      </c>
      <c r="H974">
        <v>1</v>
      </c>
      <c r="I974" s="3">
        <v>23.18</v>
      </c>
      <c r="J974" t="s">
        <v>16</v>
      </c>
      <c r="K974" t="s">
        <v>17</v>
      </c>
      <c r="L974" s="4">
        <f>Table4[[#This Row],[quantity]]*Table4[[#This Row],[unit_price]]</f>
        <v>23.18</v>
      </c>
      <c r="M974">
        <f>COUNTIFS($C$2:$C$3934,Table4[[#This Row],[customer_id]])</f>
        <v>2</v>
      </c>
      <c r="N974" t="str">
        <f>IF(Table4[[#This Row],[customer_order_count]]=1,"New Customer","Repeat Customer")</f>
        <v>Repeat Customer</v>
      </c>
    </row>
    <row r="975" spans="1:14">
      <c r="A975" t="s">
        <v>81</v>
      </c>
      <c r="B975" s="1">
        <v>45314</v>
      </c>
      <c r="C975" t="s">
        <v>82</v>
      </c>
      <c r="D975" t="s">
        <v>83</v>
      </c>
      <c r="E975" t="s">
        <v>21</v>
      </c>
      <c r="F975" t="s">
        <v>28</v>
      </c>
      <c r="G975" t="s">
        <v>84</v>
      </c>
      <c r="H975">
        <v>2</v>
      </c>
      <c r="I975" s="3">
        <v>23.18</v>
      </c>
      <c r="J975" t="s">
        <v>85</v>
      </c>
      <c r="K975" s="2" t="s">
        <v>5256</v>
      </c>
      <c r="L975" s="4">
        <f>Table4[[#This Row],[quantity]]*Table4[[#This Row],[unit_price]]</f>
        <v>46.36</v>
      </c>
      <c r="M975">
        <f>COUNTIFS($C$2:$C$3934,Table4[[#This Row],[customer_id]])</f>
        <v>7</v>
      </c>
      <c r="N975" t="str">
        <f>IF(Table4[[#This Row],[customer_order_count]]=1,"New Customer","Repeat Customer")</f>
        <v>Repeat Customer</v>
      </c>
    </row>
    <row r="976" spans="1:14">
      <c r="A976" t="s">
        <v>470</v>
      </c>
      <c r="B976" s="1">
        <v>45421</v>
      </c>
      <c r="C976" t="s">
        <v>471</v>
      </c>
      <c r="D976" t="s">
        <v>472</v>
      </c>
      <c r="E976" t="s">
        <v>21</v>
      </c>
      <c r="F976" t="s">
        <v>22</v>
      </c>
      <c r="G976" t="s">
        <v>264</v>
      </c>
      <c r="H976">
        <v>1</v>
      </c>
      <c r="I976" s="3">
        <v>23.21</v>
      </c>
      <c r="J976" t="s">
        <v>24</v>
      </c>
      <c r="K976" s="5" t="s">
        <v>30</v>
      </c>
      <c r="L976" s="4">
        <f>Table4[[#This Row],[quantity]]*Table4[[#This Row],[unit_price]]</f>
        <v>23.21</v>
      </c>
      <c r="M976">
        <f>COUNTIFS($C$2:$C$3934,Table4[[#This Row],[customer_id]])</f>
        <v>4</v>
      </c>
      <c r="N976" t="str">
        <f>IF(Table4[[#This Row],[customer_order_count]]=1,"New Customer","Repeat Customer")</f>
        <v>Repeat Customer</v>
      </c>
    </row>
    <row r="977" spans="1:14">
      <c r="A977" t="s">
        <v>2845</v>
      </c>
      <c r="B977" s="1">
        <v>45641</v>
      </c>
      <c r="C977" t="s">
        <v>2647</v>
      </c>
      <c r="D977" t="s">
        <v>362</v>
      </c>
      <c r="E977" t="s">
        <v>44</v>
      </c>
      <c r="F977" t="s">
        <v>56</v>
      </c>
      <c r="G977" t="s">
        <v>254</v>
      </c>
      <c r="H977">
        <v>1</v>
      </c>
      <c r="I977" s="3">
        <v>23.21</v>
      </c>
      <c r="J977" t="s">
        <v>16</v>
      </c>
      <c r="K977" t="s">
        <v>30</v>
      </c>
      <c r="L977" s="4">
        <f>Table4[[#This Row],[quantity]]*Table4[[#This Row],[unit_price]]</f>
        <v>23.21</v>
      </c>
      <c r="M977">
        <f>COUNTIFS($C$2:$C$3934,Table4[[#This Row],[customer_id]])</f>
        <v>3</v>
      </c>
      <c r="N977" t="str">
        <f>IF(Table4[[#This Row],[customer_order_count]]=1,"New Customer","Repeat Customer")</f>
        <v>Repeat Customer</v>
      </c>
    </row>
    <row r="978" spans="1:14">
      <c r="A978" t="s">
        <v>1885</v>
      </c>
      <c r="B978" s="1">
        <v>45437</v>
      </c>
      <c r="C978" t="s">
        <v>1038</v>
      </c>
      <c r="D978" t="s">
        <v>560</v>
      </c>
      <c r="E978" t="s">
        <v>21</v>
      </c>
      <c r="F978" t="s">
        <v>70</v>
      </c>
      <c r="G978" t="s">
        <v>526</v>
      </c>
      <c r="H978">
        <v>1</v>
      </c>
      <c r="I978" s="3">
        <v>23.23</v>
      </c>
      <c r="J978" t="s">
        <v>16</v>
      </c>
      <c r="K978" t="s">
        <v>30</v>
      </c>
      <c r="L978" s="4">
        <f>Table4[[#This Row],[quantity]]*Table4[[#This Row],[unit_price]]</f>
        <v>23.23</v>
      </c>
      <c r="M978">
        <f>COUNTIFS($C$2:$C$3934,Table4[[#This Row],[customer_id]])</f>
        <v>6</v>
      </c>
      <c r="N978" t="str">
        <f>IF(Table4[[#This Row],[customer_order_count]]=1,"New Customer","Repeat Customer")</f>
        <v>Repeat Customer</v>
      </c>
    </row>
    <row r="979" spans="1:14">
      <c r="A979" t="s">
        <v>5124</v>
      </c>
      <c r="B979" s="1">
        <v>45090</v>
      </c>
      <c r="C979" t="s">
        <v>2588</v>
      </c>
      <c r="D979" t="s">
        <v>2589</v>
      </c>
      <c r="E979" t="s">
        <v>61</v>
      </c>
      <c r="F979" t="s">
        <v>22</v>
      </c>
      <c r="G979" t="s">
        <v>162</v>
      </c>
      <c r="H979">
        <v>1</v>
      </c>
      <c r="I979" s="3">
        <v>23.25</v>
      </c>
      <c r="J979" t="s">
        <v>16</v>
      </c>
      <c r="K979" t="s">
        <v>30</v>
      </c>
      <c r="L979" s="4">
        <f>Table4[[#This Row],[quantity]]*Table4[[#This Row],[unit_price]]</f>
        <v>23.25</v>
      </c>
      <c r="M979">
        <f>COUNTIFS($C$2:$C$3934,Table4[[#This Row],[customer_id]])</f>
        <v>2</v>
      </c>
      <c r="N979" t="str">
        <f>IF(Table4[[#This Row],[customer_order_count]]=1,"New Customer","Repeat Customer")</f>
        <v>Repeat Customer</v>
      </c>
    </row>
    <row r="980" spans="1:14">
      <c r="A980" t="s">
        <v>3310</v>
      </c>
      <c r="B980" s="1">
        <v>45014</v>
      </c>
      <c r="C980" t="s">
        <v>2527</v>
      </c>
      <c r="D980" t="s">
        <v>787</v>
      </c>
      <c r="E980" t="s">
        <v>21</v>
      </c>
      <c r="F980" t="s">
        <v>66</v>
      </c>
      <c r="G980" t="s">
        <v>67</v>
      </c>
      <c r="H980">
        <v>1</v>
      </c>
      <c r="I980" s="3">
        <v>23.26</v>
      </c>
      <c r="J980" t="s">
        <v>16</v>
      </c>
      <c r="K980" t="s">
        <v>17</v>
      </c>
      <c r="L980" s="4">
        <f>Table4[[#This Row],[quantity]]*Table4[[#This Row],[unit_price]]</f>
        <v>23.26</v>
      </c>
      <c r="M980">
        <f>COUNTIFS($C$2:$C$3934,Table4[[#This Row],[customer_id]])</f>
        <v>4</v>
      </c>
      <c r="N980" t="str">
        <f>IF(Table4[[#This Row],[customer_order_count]]=1,"New Customer","Repeat Customer")</f>
        <v>Repeat Customer</v>
      </c>
    </row>
    <row r="981" spans="1:14">
      <c r="A981" t="s">
        <v>2492</v>
      </c>
      <c r="B981" s="1">
        <v>45056</v>
      </c>
      <c r="C981" t="s">
        <v>1437</v>
      </c>
      <c r="D981" t="s">
        <v>1054</v>
      </c>
      <c r="E981" t="s">
        <v>21</v>
      </c>
      <c r="F981" t="s">
        <v>66</v>
      </c>
      <c r="G981" t="s">
        <v>128</v>
      </c>
      <c r="H981">
        <v>1</v>
      </c>
      <c r="I981" s="3">
        <v>23.26</v>
      </c>
      <c r="J981" t="s">
        <v>16</v>
      </c>
      <c r="K981" t="s">
        <v>35</v>
      </c>
      <c r="L981" s="4">
        <f>Table4[[#This Row],[quantity]]*Table4[[#This Row],[unit_price]]</f>
        <v>23.26</v>
      </c>
      <c r="M981">
        <f>COUNTIFS($C$2:$C$3934,Table4[[#This Row],[customer_id]])</f>
        <v>5</v>
      </c>
      <c r="N981" t="str">
        <f>IF(Table4[[#This Row],[customer_order_count]]=1,"New Customer","Repeat Customer")</f>
        <v>Repeat Customer</v>
      </c>
    </row>
    <row r="982" spans="1:14">
      <c r="A982" t="s">
        <v>1688</v>
      </c>
      <c r="B982" s="1">
        <v>45119</v>
      </c>
      <c r="C982" t="s">
        <v>1411</v>
      </c>
      <c r="D982" t="s">
        <v>1412</v>
      </c>
      <c r="E982" t="s">
        <v>21</v>
      </c>
      <c r="F982" t="s">
        <v>70</v>
      </c>
      <c r="G982" t="s">
        <v>146</v>
      </c>
      <c r="H982">
        <v>2</v>
      </c>
      <c r="I982" s="3">
        <v>23.26</v>
      </c>
      <c r="J982" t="s">
        <v>16</v>
      </c>
      <c r="K982" t="s">
        <v>40</v>
      </c>
      <c r="L982" s="4">
        <f>Table4[[#This Row],[quantity]]*Table4[[#This Row],[unit_price]]</f>
        <v>46.52</v>
      </c>
      <c r="M982">
        <f>COUNTIFS($C$2:$C$3934,Table4[[#This Row],[customer_id]])</f>
        <v>4</v>
      </c>
      <c r="N982" t="str">
        <f>IF(Table4[[#This Row],[customer_order_count]]=1,"New Customer","Repeat Customer")</f>
        <v>Repeat Customer</v>
      </c>
    </row>
    <row r="983" spans="1:14">
      <c r="A983" t="s">
        <v>1193</v>
      </c>
      <c r="B983" s="1">
        <v>45457</v>
      </c>
      <c r="C983" t="s">
        <v>1194</v>
      </c>
      <c r="D983" t="s">
        <v>1195</v>
      </c>
      <c r="E983" t="s">
        <v>44</v>
      </c>
      <c r="F983" t="s">
        <v>28</v>
      </c>
      <c r="G983" t="s">
        <v>139</v>
      </c>
      <c r="H983">
        <v>1</v>
      </c>
      <c r="I983" s="3">
        <v>23.28</v>
      </c>
      <c r="J983" t="s">
        <v>24</v>
      </c>
      <c r="K983" t="s">
        <v>30</v>
      </c>
      <c r="L983" s="4">
        <f>Table4[[#This Row],[quantity]]*Table4[[#This Row],[unit_price]]</f>
        <v>23.28</v>
      </c>
      <c r="M983">
        <f>COUNTIFS($C$2:$C$3934,Table4[[#This Row],[customer_id]])</f>
        <v>4</v>
      </c>
      <c r="N983" t="str">
        <f>IF(Table4[[#This Row],[customer_order_count]]=1,"New Customer","Repeat Customer")</f>
        <v>Repeat Customer</v>
      </c>
    </row>
    <row r="984" spans="1:14">
      <c r="A984" t="s">
        <v>4636</v>
      </c>
      <c r="B984" s="1">
        <v>45001</v>
      </c>
      <c r="C984" t="s">
        <v>3127</v>
      </c>
      <c r="D984" t="s">
        <v>3128</v>
      </c>
      <c r="E984" t="s">
        <v>21</v>
      </c>
      <c r="F984" t="s">
        <v>28</v>
      </c>
      <c r="G984" t="s">
        <v>84</v>
      </c>
      <c r="H984">
        <v>1</v>
      </c>
      <c r="I984" s="3">
        <v>23.29</v>
      </c>
      <c r="J984" t="s">
        <v>85</v>
      </c>
      <c r="K984" t="s">
        <v>35</v>
      </c>
      <c r="L984" s="4">
        <f>Table4[[#This Row],[quantity]]*Table4[[#This Row],[unit_price]]</f>
        <v>23.29</v>
      </c>
      <c r="M984">
        <f>COUNTIFS($C$2:$C$3934,Table4[[#This Row],[customer_id]])</f>
        <v>5</v>
      </c>
      <c r="N984" t="str">
        <f>IF(Table4[[#This Row],[customer_order_count]]=1,"New Customer","Repeat Customer")</f>
        <v>Repeat Customer</v>
      </c>
    </row>
    <row r="985" spans="1:14">
      <c r="A985" t="s">
        <v>3522</v>
      </c>
      <c r="B985" s="1">
        <v>45291</v>
      </c>
      <c r="C985" t="s">
        <v>2459</v>
      </c>
      <c r="D985" t="s">
        <v>1507</v>
      </c>
      <c r="E985" t="s">
        <v>21</v>
      </c>
      <c r="F985" t="s">
        <v>22</v>
      </c>
      <c r="G985" t="s">
        <v>135</v>
      </c>
      <c r="H985">
        <v>2</v>
      </c>
      <c r="I985" s="3">
        <v>23.33</v>
      </c>
      <c r="J985" t="s">
        <v>16</v>
      </c>
      <c r="K985" t="s">
        <v>30</v>
      </c>
      <c r="L985" s="4">
        <f>Table4[[#This Row],[quantity]]*Table4[[#This Row],[unit_price]]</f>
        <v>46.66</v>
      </c>
      <c r="M985">
        <f>COUNTIFS($C$2:$C$3934,Table4[[#This Row],[customer_id]])</f>
        <v>4</v>
      </c>
      <c r="N985" t="str">
        <f>IF(Table4[[#This Row],[customer_order_count]]=1,"New Customer","Repeat Customer")</f>
        <v>Repeat Customer</v>
      </c>
    </row>
    <row r="986" spans="1:14">
      <c r="A986" t="s">
        <v>3823</v>
      </c>
      <c r="B986" s="1">
        <v>44981</v>
      </c>
      <c r="C986" t="s">
        <v>3824</v>
      </c>
      <c r="D986" t="s">
        <v>1832</v>
      </c>
      <c r="E986" t="s">
        <v>106</v>
      </c>
      <c r="F986" t="s">
        <v>28</v>
      </c>
      <c r="G986" t="s">
        <v>114</v>
      </c>
      <c r="H986">
        <v>1</v>
      </c>
      <c r="I986" s="3">
        <v>23.36</v>
      </c>
      <c r="J986" t="s">
        <v>85</v>
      </c>
      <c r="K986" t="s">
        <v>40</v>
      </c>
      <c r="L986" s="4">
        <f>Table4[[#This Row],[quantity]]*Table4[[#This Row],[unit_price]]</f>
        <v>23.36</v>
      </c>
      <c r="M986">
        <f>COUNTIFS($C$2:$C$3934,Table4[[#This Row],[customer_id]])</f>
        <v>1</v>
      </c>
      <c r="N986" t="str">
        <f>IF(Table4[[#This Row],[customer_order_count]]=1,"New Customer","Repeat Customer")</f>
        <v>New Customer</v>
      </c>
    </row>
    <row r="987" spans="1:14">
      <c r="A987" t="s">
        <v>297</v>
      </c>
      <c r="B987" s="1">
        <v>45587</v>
      </c>
      <c r="C987" t="s">
        <v>298</v>
      </c>
      <c r="D987" t="s">
        <v>299</v>
      </c>
      <c r="E987" t="s">
        <v>21</v>
      </c>
      <c r="F987" t="s">
        <v>22</v>
      </c>
      <c r="G987" t="s">
        <v>162</v>
      </c>
      <c r="H987">
        <v>1</v>
      </c>
      <c r="I987" s="3">
        <v>23.36</v>
      </c>
      <c r="J987" t="s">
        <v>16</v>
      </c>
      <c r="K987" t="s">
        <v>40</v>
      </c>
      <c r="L987" s="4">
        <f>Table4[[#This Row],[quantity]]*Table4[[#This Row],[unit_price]]</f>
        <v>23.36</v>
      </c>
      <c r="M987">
        <f>COUNTIFS($C$2:$C$3934,Table4[[#This Row],[customer_id]])</f>
        <v>7</v>
      </c>
      <c r="N987" t="str">
        <f>IF(Table4[[#This Row],[customer_order_count]]=1,"New Customer","Repeat Customer")</f>
        <v>Repeat Customer</v>
      </c>
    </row>
    <row r="988" spans="1:14">
      <c r="A988" t="s">
        <v>3073</v>
      </c>
      <c r="B988" s="1">
        <v>45583</v>
      </c>
      <c r="C988" t="s">
        <v>1928</v>
      </c>
      <c r="D988" t="s">
        <v>1444</v>
      </c>
      <c r="E988" t="s">
        <v>21</v>
      </c>
      <c r="F988" t="s">
        <v>28</v>
      </c>
      <c r="G988" t="s">
        <v>29</v>
      </c>
      <c r="H988">
        <v>3</v>
      </c>
      <c r="I988" s="3">
        <v>23.36</v>
      </c>
      <c r="J988" t="s">
        <v>16</v>
      </c>
      <c r="K988" t="s">
        <v>40</v>
      </c>
      <c r="L988" s="4">
        <f>Table4[[#This Row],[quantity]]*Table4[[#This Row],[unit_price]]</f>
        <v>70.08</v>
      </c>
      <c r="M988">
        <f>COUNTIFS($C$2:$C$3934,Table4[[#This Row],[customer_id]])</f>
        <v>7</v>
      </c>
      <c r="N988" t="str">
        <f>IF(Table4[[#This Row],[customer_order_count]]=1,"New Customer","Repeat Customer")</f>
        <v>Repeat Customer</v>
      </c>
    </row>
    <row r="989" spans="1:14">
      <c r="A989" t="s">
        <v>2507</v>
      </c>
      <c r="B989" s="1">
        <v>45596</v>
      </c>
      <c r="C989" t="s">
        <v>481</v>
      </c>
      <c r="D989" t="s">
        <v>247</v>
      </c>
      <c r="E989" t="s">
        <v>21</v>
      </c>
      <c r="F989" t="s">
        <v>28</v>
      </c>
      <c r="G989" t="s">
        <v>45</v>
      </c>
      <c r="H989">
        <v>1</v>
      </c>
      <c r="I989" s="3">
        <v>23.39</v>
      </c>
      <c r="J989" t="s">
        <v>16</v>
      </c>
      <c r="K989" t="s">
        <v>30</v>
      </c>
      <c r="L989" s="4">
        <f>Table4[[#This Row],[quantity]]*Table4[[#This Row],[unit_price]]</f>
        <v>23.39</v>
      </c>
      <c r="M989">
        <f>COUNTIFS($C$2:$C$3934,Table4[[#This Row],[customer_id]])</f>
        <v>7</v>
      </c>
      <c r="N989" t="str">
        <f>IF(Table4[[#This Row],[customer_order_count]]=1,"New Customer","Repeat Customer")</f>
        <v>Repeat Customer</v>
      </c>
    </row>
    <row r="990" spans="1:14">
      <c r="A990" t="s">
        <v>3318</v>
      </c>
      <c r="B990" s="1">
        <v>45407</v>
      </c>
      <c r="C990" t="s">
        <v>1924</v>
      </c>
      <c r="D990" t="s">
        <v>1124</v>
      </c>
      <c r="E990" t="s">
        <v>21</v>
      </c>
      <c r="F990" t="s">
        <v>66</v>
      </c>
      <c r="G990" t="s">
        <v>49</v>
      </c>
      <c r="H990">
        <v>1</v>
      </c>
      <c r="I990" s="3">
        <v>23.4</v>
      </c>
      <c r="J990" t="s">
        <v>16</v>
      </c>
      <c r="K990" t="s">
        <v>17</v>
      </c>
      <c r="L990" s="4">
        <f>Table4[[#This Row],[quantity]]*Table4[[#This Row],[unit_price]]</f>
        <v>23.4</v>
      </c>
      <c r="M990">
        <f>COUNTIFS($C$2:$C$3934,Table4[[#This Row],[customer_id]])</f>
        <v>3</v>
      </c>
      <c r="N990" t="str">
        <f>IF(Table4[[#This Row],[customer_order_count]]=1,"New Customer","Repeat Customer")</f>
        <v>Repeat Customer</v>
      </c>
    </row>
    <row r="991" spans="1:14">
      <c r="A991" t="s">
        <v>2092</v>
      </c>
      <c r="B991" s="1">
        <v>45455</v>
      </c>
      <c r="C991" t="s">
        <v>1480</v>
      </c>
      <c r="D991" t="s">
        <v>750</v>
      </c>
      <c r="E991" t="s">
        <v>44</v>
      </c>
      <c r="F991" t="s">
        <v>14</v>
      </c>
      <c r="G991" t="s">
        <v>34</v>
      </c>
      <c r="H991">
        <v>1</v>
      </c>
      <c r="I991" s="3">
        <v>23.41</v>
      </c>
      <c r="J991" t="s">
        <v>16</v>
      </c>
      <c r="K991" t="s">
        <v>35</v>
      </c>
      <c r="L991" s="4">
        <f>Table4[[#This Row],[quantity]]*Table4[[#This Row],[unit_price]]</f>
        <v>23.41</v>
      </c>
      <c r="M991">
        <f>COUNTIFS($C$2:$C$3934,Table4[[#This Row],[customer_id]])</f>
        <v>4</v>
      </c>
      <c r="N991" t="str">
        <f>IF(Table4[[#This Row],[customer_order_count]]=1,"New Customer","Repeat Customer")</f>
        <v>Repeat Customer</v>
      </c>
    </row>
    <row r="992" spans="1:14">
      <c r="A992" t="s">
        <v>4266</v>
      </c>
      <c r="B992" s="1">
        <v>45355</v>
      </c>
      <c r="C992" t="s">
        <v>3511</v>
      </c>
      <c r="D992" t="s">
        <v>2033</v>
      </c>
      <c r="E992" t="s">
        <v>44</v>
      </c>
      <c r="F992" t="s">
        <v>66</v>
      </c>
      <c r="G992" t="s">
        <v>128</v>
      </c>
      <c r="H992">
        <v>4</v>
      </c>
      <c r="I992" s="3">
        <v>23.41</v>
      </c>
      <c r="J992" t="s">
        <v>16</v>
      </c>
      <c r="K992" t="s">
        <v>40</v>
      </c>
      <c r="L992" s="4">
        <f>Table4[[#This Row],[quantity]]*Table4[[#This Row],[unit_price]]</f>
        <v>93.64</v>
      </c>
      <c r="M992">
        <f>COUNTIFS($C$2:$C$3934,Table4[[#This Row],[customer_id]])</f>
        <v>4</v>
      </c>
      <c r="N992" t="str">
        <f>IF(Table4[[#This Row],[customer_order_count]]=1,"New Customer","Repeat Customer")</f>
        <v>Repeat Customer</v>
      </c>
    </row>
    <row r="993" spans="1:14">
      <c r="A993" t="s">
        <v>586</v>
      </c>
      <c r="B993" s="1">
        <v>45483</v>
      </c>
      <c r="C993" t="s">
        <v>587</v>
      </c>
      <c r="D993" t="s">
        <v>475</v>
      </c>
      <c r="E993" t="s">
        <v>21</v>
      </c>
      <c r="F993" t="s">
        <v>66</v>
      </c>
      <c r="G993" t="s">
        <v>49</v>
      </c>
      <c r="H993">
        <v>4</v>
      </c>
      <c r="I993" s="3">
        <v>23.41</v>
      </c>
      <c r="J993" t="s">
        <v>16</v>
      </c>
      <c r="K993" t="s">
        <v>17</v>
      </c>
      <c r="L993" s="4">
        <f>Table4[[#This Row],[quantity]]*Table4[[#This Row],[unit_price]]</f>
        <v>93.64</v>
      </c>
      <c r="M993">
        <f>COUNTIFS($C$2:$C$3934,Table4[[#This Row],[customer_id]])</f>
        <v>6</v>
      </c>
      <c r="N993" t="str">
        <f>IF(Table4[[#This Row],[customer_order_count]]=1,"New Customer","Repeat Customer")</f>
        <v>Repeat Customer</v>
      </c>
    </row>
    <row r="994" spans="1:14">
      <c r="A994" t="s">
        <v>4053</v>
      </c>
      <c r="B994" s="1">
        <v>45630</v>
      </c>
      <c r="C994" t="s">
        <v>504</v>
      </c>
      <c r="D994" t="s">
        <v>505</v>
      </c>
      <c r="E994" t="s">
        <v>21</v>
      </c>
      <c r="F994" t="s">
        <v>56</v>
      </c>
      <c r="G994" t="s">
        <v>254</v>
      </c>
      <c r="H994">
        <v>1</v>
      </c>
      <c r="I994" s="3">
        <v>23.42</v>
      </c>
      <c r="J994" t="s">
        <v>16</v>
      </c>
      <c r="K994" t="s">
        <v>40</v>
      </c>
      <c r="L994" s="4">
        <f>Table4[[#This Row],[quantity]]*Table4[[#This Row],[unit_price]]</f>
        <v>23.42</v>
      </c>
      <c r="M994">
        <f>COUNTIFS($C$2:$C$3934,Table4[[#This Row],[customer_id]])</f>
        <v>3</v>
      </c>
      <c r="N994" t="str">
        <f>IF(Table4[[#This Row],[customer_order_count]]=1,"New Customer","Repeat Customer")</f>
        <v>Repeat Customer</v>
      </c>
    </row>
    <row r="995" spans="1:14">
      <c r="A995" t="s">
        <v>3963</v>
      </c>
      <c r="B995" s="1">
        <v>45532</v>
      </c>
      <c r="C995" t="s">
        <v>1815</v>
      </c>
      <c r="D995" t="s">
        <v>684</v>
      </c>
      <c r="E995" t="s">
        <v>21</v>
      </c>
      <c r="F995" t="s">
        <v>66</v>
      </c>
      <c r="G995" t="s">
        <v>128</v>
      </c>
      <c r="H995">
        <v>1</v>
      </c>
      <c r="I995" s="3">
        <v>23.43</v>
      </c>
      <c r="J995" t="s">
        <v>255</v>
      </c>
      <c r="K995" t="s">
        <v>30</v>
      </c>
      <c r="L995" s="4">
        <f>Table4[[#This Row],[quantity]]*Table4[[#This Row],[unit_price]]</f>
        <v>23.43</v>
      </c>
      <c r="M995">
        <f>COUNTIFS($C$2:$C$3934,Table4[[#This Row],[customer_id]])</f>
        <v>8</v>
      </c>
      <c r="N995" t="str">
        <f>IF(Table4[[#This Row],[customer_order_count]]=1,"New Customer","Repeat Customer")</f>
        <v>Repeat Customer</v>
      </c>
    </row>
    <row r="996" spans="1:14">
      <c r="A996" t="s">
        <v>3123</v>
      </c>
      <c r="B996" s="1">
        <v>45646</v>
      </c>
      <c r="C996" t="s">
        <v>1599</v>
      </c>
      <c r="D996" t="s">
        <v>1600</v>
      </c>
      <c r="E996" t="s">
        <v>21</v>
      </c>
      <c r="F996" t="s">
        <v>22</v>
      </c>
      <c r="G996" t="s">
        <v>142</v>
      </c>
      <c r="H996">
        <v>1</v>
      </c>
      <c r="I996" s="3">
        <v>23.45</v>
      </c>
      <c r="J996" t="s">
        <v>16</v>
      </c>
      <c r="K996" t="s">
        <v>35</v>
      </c>
      <c r="L996" s="4">
        <f>Table4[[#This Row],[quantity]]*Table4[[#This Row],[unit_price]]</f>
        <v>23.45</v>
      </c>
      <c r="M996">
        <f>COUNTIFS($C$2:$C$3934,Table4[[#This Row],[customer_id]])</f>
        <v>4</v>
      </c>
      <c r="N996" t="str">
        <f>IF(Table4[[#This Row],[customer_order_count]]=1,"New Customer","Repeat Customer")</f>
        <v>Repeat Customer</v>
      </c>
    </row>
    <row r="997" spans="1:14">
      <c r="A997" t="s">
        <v>4676</v>
      </c>
      <c r="B997" s="1">
        <v>45639</v>
      </c>
      <c r="C997" t="s">
        <v>2372</v>
      </c>
      <c r="D997" t="s">
        <v>1453</v>
      </c>
      <c r="E997" t="s">
        <v>21</v>
      </c>
      <c r="F997" t="s">
        <v>28</v>
      </c>
      <c r="G997" t="s">
        <v>114</v>
      </c>
      <c r="H997">
        <v>2</v>
      </c>
      <c r="I997" s="3">
        <v>23.45</v>
      </c>
      <c r="J997" t="s">
        <v>16</v>
      </c>
      <c r="K997" t="s">
        <v>40</v>
      </c>
      <c r="L997" s="4">
        <f>Table4[[#This Row],[quantity]]*Table4[[#This Row],[unit_price]]</f>
        <v>46.9</v>
      </c>
      <c r="M997">
        <f>COUNTIFS($C$2:$C$3934,Table4[[#This Row],[customer_id]])</f>
        <v>6</v>
      </c>
      <c r="N997" t="str">
        <f>IF(Table4[[#This Row],[customer_order_count]]=1,"New Customer","Repeat Customer")</f>
        <v>Repeat Customer</v>
      </c>
    </row>
    <row r="998" spans="1:14">
      <c r="A998" t="s">
        <v>2604</v>
      </c>
      <c r="B998" s="1">
        <v>45335</v>
      </c>
      <c r="C998" t="s">
        <v>2605</v>
      </c>
      <c r="D998" t="s">
        <v>2606</v>
      </c>
      <c r="E998" t="s">
        <v>21</v>
      </c>
      <c r="F998" t="s">
        <v>66</v>
      </c>
      <c r="G998" t="s">
        <v>217</v>
      </c>
      <c r="H998">
        <v>1</v>
      </c>
      <c r="I998" s="3">
        <v>23.46</v>
      </c>
      <c r="J998" t="s">
        <v>16</v>
      </c>
      <c r="K998" t="s">
        <v>40</v>
      </c>
      <c r="L998" s="4">
        <f>Table4[[#This Row],[quantity]]*Table4[[#This Row],[unit_price]]</f>
        <v>23.46</v>
      </c>
      <c r="M998">
        <f>COUNTIFS($C$2:$C$3934,Table4[[#This Row],[customer_id]])</f>
        <v>2</v>
      </c>
      <c r="N998" t="str">
        <f>IF(Table4[[#This Row],[customer_order_count]]=1,"New Customer","Repeat Customer")</f>
        <v>Repeat Customer</v>
      </c>
    </row>
    <row r="999" spans="1:14">
      <c r="A999" t="s">
        <v>2773</v>
      </c>
      <c r="B999" s="1">
        <v>45503</v>
      </c>
      <c r="C999" t="s">
        <v>2774</v>
      </c>
      <c r="D999" t="s">
        <v>560</v>
      </c>
      <c r="E999" t="s">
        <v>61</v>
      </c>
      <c r="F999" t="s">
        <v>66</v>
      </c>
      <c r="G999" t="s">
        <v>217</v>
      </c>
      <c r="H999">
        <v>1</v>
      </c>
      <c r="I999" s="3">
        <v>23.49</v>
      </c>
      <c r="J999" t="s">
        <v>16</v>
      </c>
      <c r="K999" t="s">
        <v>40</v>
      </c>
      <c r="L999" s="4">
        <f>Table4[[#This Row],[quantity]]*Table4[[#This Row],[unit_price]]</f>
        <v>23.49</v>
      </c>
      <c r="M999">
        <f>COUNTIFS($C$2:$C$3934,Table4[[#This Row],[customer_id]])</f>
        <v>3</v>
      </c>
      <c r="N999" t="str">
        <f>IF(Table4[[#This Row],[customer_order_count]]=1,"New Customer","Repeat Customer")</f>
        <v>Repeat Customer</v>
      </c>
    </row>
    <row r="1000" spans="1:14">
      <c r="A1000" t="s">
        <v>1111</v>
      </c>
      <c r="B1000" s="1">
        <v>45078</v>
      </c>
      <c r="C1000" t="s">
        <v>395</v>
      </c>
      <c r="D1000" t="s">
        <v>396</v>
      </c>
      <c r="E1000" t="s">
        <v>21</v>
      </c>
      <c r="F1000" t="s">
        <v>28</v>
      </c>
      <c r="G1000" t="s">
        <v>29</v>
      </c>
      <c r="H1000">
        <v>1</v>
      </c>
      <c r="I1000" s="3">
        <v>23.54</v>
      </c>
      <c r="J1000" t="s">
        <v>16</v>
      </c>
      <c r="K1000" t="s">
        <v>17</v>
      </c>
      <c r="L1000" s="4">
        <f>Table4[[#This Row],[quantity]]*Table4[[#This Row],[unit_price]]</f>
        <v>23.54</v>
      </c>
      <c r="M1000">
        <f>COUNTIFS($C$2:$C$3934,Table4[[#This Row],[customer_id]])</f>
        <v>6</v>
      </c>
      <c r="N1000" t="str">
        <f>IF(Table4[[#This Row],[customer_order_count]]=1,"New Customer","Repeat Customer")</f>
        <v>Repeat Customer</v>
      </c>
    </row>
    <row r="1001" spans="1:14">
      <c r="A1001" t="s">
        <v>3069</v>
      </c>
      <c r="B1001" s="1">
        <v>44965</v>
      </c>
      <c r="C1001" t="s">
        <v>2155</v>
      </c>
      <c r="D1001" t="s">
        <v>105</v>
      </c>
      <c r="E1001" t="s">
        <v>21</v>
      </c>
      <c r="F1001" t="s">
        <v>14</v>
      </c>
      <c r="G1001" t="s">
        <v>258</v>
      </c>
      <c r="H1001">
        <v>2</v>
      </c>
      <c r="I1001" s="3">
        <v>23.55</v>
      </c>
      <c r="J1001" t="s">
        <v>16</v>
      </c>
      <c r="K1001" t="s">
        <v>17</v>
      </c>
      <c r="L1001" s="4">
        <f>Table4[[#This Row],[quantity]]*Table4[[#This Row],[unit_price]]</f>
        <v>47.1</v>
      </c>
      <c r="M1001">
        <f>COUNTIFS($C$2:$C$3934,Table4[[#This Row],[customer_id]])</f>
        <v>5</v>
      </c>
      <c r="N1001" t="str">
        <f>IF(Table4[[#This Row],[customer_order_count]]=1,"New Customer","Repeat Customer")</f>
        <v>Repeat Customer</v>
      </c>
    </row>
    <row r="1002" spans="1:14">
      <c r="A1002" t="s">
        <v>2635</v>
      </c>
      <c r="B1002" s="1">
        <v>45212</v>
      </c>
      <c r="C1002" t="s">
        <v>1113</v>
      </c>
      <c r="D1002" t="s">
        <v>1114</v>
      </c>
      <c r="E1002" t="s">
        <v>21</v>
      </c>
      <c r="F1002" t="s">
        <v>70</v>
      </c>
      <c r="G1002" t="s">
        <v>89</v>
      </c>
      <c r="H1002">
        <v>1</v>
      </c>
      <c r="I1002" s="3">
        <v>23.56</v>
      </c>
      <c r="J1002" t="s">
        <v>85</v>
      </c>
      <c r="K1002" t="s">
        <v>40</v>
      </c>
      <c r="L1002" s="4">
        <f>Table4[[#This Row],[quantity]]*Table4[[#This Row],[unit_price]]</f>
        <v>23.56</v>
      </c>
      <c r="M1002">
        <f>COUNTIFS($C$2:$C$3934,Table4[[#This Row],[customer_id]])</f>
        <v>7</v>
      </c>
      <c r="N1002" t="str">
        <f>IF(Table4[[#This Row],[customer_order_count]]=1,"New Customer","Repeat Customer")</f>
        <v>Repeat Customer</v>
      </c>
    </row>
    <row r="1003" spans="1:14">
      <c r="A1003" t="s">
        <v>1891</v>
      </c>
      <c r="B1003" s="1">
        <v>45293</v>
      </c>
      <c r="C1003" t="s">
        <v>379</v>
      </c>
      <c r="D1003" t="s">
        <v>380</v>
      </c>
      <c r="E1003" t="s">
        <v>44</v>
      </c>
      <c r="F1003" t="s">
        <v>79</v>
      </c>
      <c r="G1003" t="s">
        <v>96</v>
      </c>
      <c r="H1003">
        <v>1</v>
      </c>
      <c r="I1003" s="3">
        <v>23.57</v>
      </c>
      <c r="J1003" t="s">
        <v>16</v>
      </c>
      <c r="K1003" t="s">
        <v>17</v>
      </c>
      <c r="L1003" s="4">
        <f>Table4[[#This Row],[quantity]]*Table4[[#This Row],[unit_price]]</f>
        <v>23.57</v>
      </c>
      <c r="M1003">
        <f>COUNTIFS($C$2:$C$3934,Table4[[#This Row],[customer_id]])</f>
        <v>7</v>
      </c>
      <c r="N1003" t="str">
        <f>IF(Table4[[#This Row],[customer_order_count]]=1,"New Customer","Repeat Customer")</f>
        <v>Repeat Customer</v>
      </c>
    </row>
    <row r="1004" spans="1:14">
      <c r="A1004" t="s">
        <v>3469</v>
      </c>
      <c r="B1004" s="1">
        <v>45041</v>
      </c>
      <c r="C1004" t="s">
        <v>1079</v>
      </c>
      <c r="D1004" t="s">
        <v>1080</v>
      </c>
      <c r="E1004" t="s">
        <v>21</v>
      </c>
      <c r="F1004" t="s">
        <v>22</v>
      </c>
      <c r="G1004" t="s">
        <v>142</v>
      </c>
      <c r="H1004">
        <v>1</v>
      </c>
      <c r="I1004" s="3">
        <v>23.58</v>
      </c>
      <c r="J1004" t="s">
        <v>16</v>
      </c>
      <c r="K1004" t="s">
        <v>17</v>
      </c>
      <c r="L1004" s="4">
        <f>Table4[[#This Row],[quantity]]*Table4[[#This Row],[unit_price]]</f>
        <v>23.58</v>
      </c>
      <c r="M1004">
        <f>COUNTIFS($C$2:$C$3934,Table4[[#This Row],[customer_id]])</f>
        <v>7</v>
      </c>
      <c r="N1004" t="str">
        <f>IF(Table4[[#This Row],[customer_order_count]]=1,"New Customer","Repeat Customer")</f>
        <v>Repeat Customer</v>
      </c>
    </row>
    <row r="1005" spans="1:14">
      <c r="A1005" t="s">
        <v>3941</v>
      </c>
      <c r="B1005" s="1">
        <v>45084</v>
      </c>
      <c r="C1005" t="s">
        <v>1827</v>
      </c>
      <c r="D1005" t="s">
        <v>1828</v>
      </c>
      <c r="E1005" t="s">
        <v>21</v>
      </c>
      <c r="F1005" t="s">
        <v>66</v>
      </c>
      <c r="G1005" t="s">
        <v>238</v>
      </c>
      <c r="H1005">
        <v>1</v>
      </c>
      <c r="I1005" s="3">
        <v>23.58</v>
      </c>
      <c r="J1005" t="s">
        <v>85</v>
      </c>
      <c r="K1005" t="s">
        <v>40</v>
      </c>
      <c r="L1005" s="4">
        <f>Table4[[#This Row],[quantity]]*Table4[[#This Row],[unit_price]]</f>
        <v>23.58</v>
      </c>
      <c r="M1005">
        <f>COUNTIFS($C$2:$C$3934,Table4[[#This Row],[customer_id]])</f>
        <v>4</v>
      </c>
      <c r="N1005" t="str">
        <f>IF(Table4[[#This Row],[customer_order_count]]=1,"New Customer","Repeat Customer")</f>
        <v>Repeat Customer</v>
      </c>
    </row>
    <row r="1006" spans="1:14">
      <c r="A1006" t="s">
        <v>1802</v>
      </c>
      <c r="B1006" s="1">
        <v>44950</v>
      </c>
      <c r="C1006" t="s">
        <v>1803</v>
      </c>
      <c r="D1006" t="s">
        <v>1804</v>
      </c>
      <c r="E1006" t="s">
        <v>21</v>
      </c>
      <c r="F1006" t="s">
        <v>66</v>
      </c>
      <c r="G1006" t="s">
        <v>67</v>
      </c>
      <c r="H1006">
        <v>2</v>
      </c>
      <c r="I1006" s="3">
        <v>23.58</v>
      </c>
      <c r="J1006" t="s">
        <v>16</v>
      </c>
      <c r="K1006" s="2" t="s">
        <v>5256</v>
      </c>
      <c r="L1006" s="4">
        <f>Table4[[#This Row],[quantity]]*Table4[[#This Row],[unit_price]]</f>
        <v>47.16</v>
      </c>
      <c r="M1006">
        <f>COUNTIFS($C$2:$C$3934,Table4[[#This Row],[customer_id]])</f>
        <v>5</v>
      </c>
      <c r="N1006" t="str">
        <f>IF(Table4[[#This Row],[customer_order_count]]=1,"New Customer","Repeat Customer")</f>
        <v>Repeat Customer</v>
      </c>
    </row>
    <row r="1007" spans="1:14">
      <c r="A1007" t="s">
        <v>1224</v>
      </c>
      <c r="B1007" s="1">
        <v>45466</v>
      </c>
      <c r="C1007" t="s">
        <v>724</v>
      </c>
      <c r="D1007" t="s">
        <v>725</v>
      </c>
      <c r="E1007" t="s">
        <v>44</v>
      </c>
      <c r="F1007" t="s">
        <v>66</v>
      </c>
      <c r="G1007" t="s">
        <v>67</v>
      </c>
      <c r="H1007">
        <v>3</v>
      </c>
      <c r="I1007" s="3">
        <v>23.6</v>
      </c>
      <c r="J1007" t="s">
        <v>16</v>
      </c>
      <c r="K1007" s="2" t="s">
        <v>5256</v>
      </c>
      <c r="L1007" s="4">
        <f>Table4[[#This Row],[quantity]]*Table4[[#This Row],[unit_price]]</f>
        <v>70.800000000000011</v>
      </c>
      <c r="M1007">
        <f>COUNTIFS($C$2:$C$3934,Table4[[#This Row],[customer_id]])</f>
        <v>5</v>
      </c>
      <c r="N1007" t="str">
        <f>IF(Table4[[#This Row],[customer_order_count]]=1,"New Customer","Repeat Customer")</f>
        <v>Repeat Customer</v>
      </c>
    </row>
    <row r="1008" spans="1:14">
      <c r="A1008" t="s">
        <v>3975</v>
      </c>
      <c r="B1008" s="1">
        <v>45104</v>
      </c>
      <c r="C1008" t="s">
        <v>2562</v>
      </c>
      <c r="D1008" t="s">
        <v>808</v>
      </c>
      <c r="E1008" t="s">
        <v>21</v>
      </c>
      <c r="F1008" t="s">
        <v>22</v>
      </c>
      <c r="G1008" t="s">
        <v>142</v>
      </c>
      <c r="H1008">
        <v>1</v>
      </c>
      <c r="I1008" s="3">
        <v>23.65</v>
      </c>
      <c r="J1008" t="s">
        <v>16</v>
      </c>
      <c r="K1008" s="5" t="s">
        <v>35</v>
      </c>
      <c r="L1008" s="4">
        <f>Table4[[#This Row],[quantity]]*Table4[[#This Row],[unit_price]]</f>
        <v>23.65</v>
      </c>
      <c r="M1008">
        <f>COUNTIFS($C$2:$C$3934,Table4[[#This Row],[customer_id]])</f>
        <v>3</v>
      </c>
      <c r="N1008" t="str">
        <f>IF(Table4[[#This Row],[customer_order_count]]=1,"New Customer","Repeat Customer")</f>
        <v>Repeat Customer</v>
      </c>
    </row>
    <row r="1009" spans="1:14">
      <c r="A1009" t="s">
        <v>5084</v>
      </c>
      <c r="B1009" s="1">
        <v>45006</v>
      </c>
      <c r="C1009" t="s">
        <v>2275</v>
      </c>
      <c r="D1009" t="s">
        <v>582</v>
      </c>
      <c r="E1009" t="s">
        <v>21</v>
      </c>
      <c r="F1009" t="s">
        <v>28</v>
      </c>
      <c r="G1009" t="s">
        <v>29</v>
      </c>
      <c r="H1009">
        <v>1</v>
      </c>
      <c r="I1009" s="3">
        <v>23.66</v>
      </c>
      <c r="J1009" t="s">
        <v>16</v>
      </c>
      <c r="K1009" s="2" t="s">
        <v>5256</v>
      </c>
      <c r="L1009" s="4">
        <f>Table4[[#This Row],[quantity]]*Table4[[#This Row],[unit_price]]</f>
        <v>23.66</v>
      </c>
      <c r="M1009">
        <f>COUNTIFS($C$2:$C$3934,Table4[[#This Row],[customer_id]])</f>
        <v>5</v>
      </c>
      <c r="N1009" t="str">
        <f>IF(Table4[[#This Row],[customer_order_count]]=1,"New Customer","Repeat Customer")</f>
        <v>Repeat Customer</v>
      </c>
    </row>
    <row r="1010" spans="1:14">
      <c r="A1010" t="s">
        <v>5049</v>
      </c>
      <c r="B1010" s="1">
        <v>45465</v>
      </c>
      <c r="C1010" t="s">
        <v>5050</v>
      </c>
      <c r="D1010" t="s">
        <v>740</v>
      </c>
      <c r="E1010" t="s">
        <v>44</v>
      </c>
      <c r="F1010" t="s">
        <v>66</v>
      </c>
      <c r="G1010" t="s">
        <v>238</v>
      </c>
      <c r="H1010">
        <v>1</v>
      </c>
      <c r="I1010" s="3">
        <v>23.67</v>
      </c>
      <c r="J1010" t="s">
        <v>255</v>
      </c>
      <c r="K1010" s="5" t="s">
        <v>40</v>
      </c>
      <c r="L1010" s="4">
        <f>Table4[[#This Row],[quantity]]*Table4[[#This Row],[unit_price]]</f>
        <v>23.67</v>
      </c>
      <c r="M1010">
        <f>COUNTIFS($C$2:$C$3934,Table4[[#This Row],[customer_id]])</f>
        <v>1</v>
      </c>
      <c r="N1010" t="str">
        <f>IF(Table4[[#This Row],[customer_order_count]]=1,"New Customer","Repeat Customer")</f>
        <v>New Customer</v>
      </c>
    </row>
    <row r="1011" spans="1:14">
      <c r="A1011" t="s">
        <v>4746</v>
      </c>
      <c r="B1011" s="1">
        <v>45618</v>
      </c>
      <c r="C1011" t="s">
        <v>126</v>
      </c>
      <c r="D1011" t="s">
        <v>127</v>
      </c>
      <c r="E1011" t="s">
        <v>21</v>
      </c>
      <c r="F1011" t="s">
        <v>70</v>
      </c>
      <c r="G1011" t="s">
        <v>110</v>
      </c>
      <c r="H1011">
        <v>1</v>
      </c>
      <c r="I1011" s="3">
        <v>23.67</v>
      </c>
      <c r="J1011" t="s">
        <v>16</v>
      </c>
      <c r="K1011" t="s">
        <v>30</v>
      </c>
      <c r="L1011" s="4">
        <f>Table4[[#This Row],[quantity]]*Table4[[#This Row],[unit_price]]</f>
        <v>23.67</v>
      </c>
      <c r="M1011">
        <f>COUNTIFS($C$2:$C$3934,Table4[[#This Row],[customer_id]])</f>
        <v>4</v>
      </c>
      <c r="N1011" t="str">
        <f>IF(Table4[[#This Row],[customer_order_count]]=1,"New Customer","Repeat Customer")</f>
        <v>Repeat Customer</v>
      </c>
    </row>
    <row r="1012" spans="1:14">
      <c r="A1012" t="s">
        <v>3403</v>
      </c>
      <c r="B1012" s="1">
        <v>45189</v>
      </c>
      <c r="C1012" t="s">
        <v>1306</v>
      </c>
      <c r="D1012" t="s">
        <v>38</v>
      </c>
      <c r="E1012" t="s">
        <v>44</v>
      </c>
      <c r="F1012" t="s">
        <v>28</v>
      </c>
      <c r="G1012" t="s">
        <v>139</v>
      </c>
      <c r="H1012">
        <v>3</v>
      </c>
      <c r="I1012" s="3">
        <v>23.67</v>
      </c>
      <c r="J1012" t="s">
        <v>16</v>
      </c>
      <c r="K1012" t="s">
        <v>35</v>
      </c>
      <c r="L1012" s="4">
        <f>Table4[[#This Row],[quantity]]*Table4[[#This Row],[unit_price]]</f>
        <v>71.010000000000005</v>
      </c>
      <c r="M1012">
        <f>COUNTIFS($C$2:$C$3934,Table4[[#This Row],[customer_id]])</f>
        <v>3</v>
      </c>
      <c r="N1012" t="str">
        <f>IF(Table4[[#This Row],[customer_order_count]]=1,"New Customer","Repeat Customer")</f>
        <v>Repeat Customer</v>
      </c>
    </row>
    <row r="1013" spans="1:14">
      <c r="A1013" t="s">
        <v>2590</v>
      </c>
      <c r="B1013" s="1">
        <v>45030</v>
      </c>
      <c r="C1013" t="s">
        <v>2591</v>
      </c>
      <c r="D1013" t="s">
        <v>1323</v>
      </c>
      <c r="E1013" t="s">
        <v>21</v>
      </c>
      <c r="F1013" t="s">
        <v>14</v>
      </c>
      <c r="G1013" t="s">
        <v>34</v>
      </c>
      <c r="H1013">
        <v>1</v>
      </c>
      <c r="I1013" s="3">
        <v>23.69</v>
      </c>
      <c r="J1013" t="s">
        <v>16</v>
      </c>
      <c r="K1013" t="s">
        <v>17</v>
      </c>
      <c r="L1013" s="4">
        <f>Table4[[#This Row],[quantity]]*Table4[[#This Row],[unit_price]]</f>
        <v>23.69</v>
      </c>
      <c r="M1013">
        <f>COUNTIFS($C$2:$C$3934,Table4[[#This Row],[customer_id]])</f>
        <v>2</v>
      </c>
      <c r="N1013" t="str">
        <f>IF(Table4[[#This Row],[customer_order_count]]=1,"New Customer","Repeat Customer")</f>
        <v>Repeat Customer</v>
      </c>
    </row>
    <row r="1014" spans="1:14">
      <c r="A1014" t="s">
        <v>4916</v>
      </c>
      <c r="B1014" s="1">
        <v>45199</v>
      </c>
      <c r="C1014" t="s">
        <v>606</v>
      </c>
      <c r="D1014" t="s">
        <v>269</v>
      </c>
      <c r="E1014" t="s">
        <v>61</v>
      </c>
      <c r="F1014" t="s">
        <v>28</v>
      </c>
      <c r="G1014" t="s">
        <v>45</v>
      </c>
      <c r="H1014">
        <v>1</v>
      </c>
      <c r="I1014" s="3">
        <v>23.71</v>
      </c>
      <c r="J1014" t="s">
        <v>16</v>
      </c>
      <c r="K1014" t="s">
        <v>35</v>
      </c>
      <c r="L1014" s="4">
        <f>Table4[[#This Row],[quantity]]*Table4[[#This Row],[unit_price]]</f>
        <v>23.71</v>
      </c>
      <c r="M1014">
        <f>COUNTIFS($C$2:$C$3934,Table4[[#This Row],[customer_id]])</f>
        <v>6</v>
      </c>
      <c r="N1014" t="str">
        <f>IF(Table4[[#This Row],[customer_order_count]]=1,"New Customer","Repeat Customer")</f>
        <v>Repeat Customer</v>
      </c>
    </row>
    <row r="1015" spans="1:14">
      <c r="A1015" t="s">
        <v>2889</v>
      </c>
      <c r="B1015" s="1">
        <v>45549</v>
      </c>
      <c r="C1015" t="s">
        <v>2717</v>
      </c>
      <c r="D1015" t="s">
        <v>173</v>
      </c>
      <c r="E1015" t="s">
        <v>21</v>
      </c>
      <c r="F1015" t="s">
        <v>28</v>
      </c>
      <c r="G1015" t="s">
        <v>84</v>
      </c>
      <c r="H1015">
        <v>2</v>
      </c>
      <c r="I1015" s="3">
        <v>23.72</v>
      </c>
      <c r="J1015" t="s">
        <v>16</v>
      </c>
      <c r="K1015" t="s">
        <v>40</v>
      </c>
      <c r="L1015" s="4">
        <f>Table4[[#This Row],[quantity]]*Table4[[#This Row],[unit_price]]</f>
        <v>47.44</v>
      </c>
      <c r="M1015">
        <f>COUNTIFS($C$2:$C$3934,Table4[[#This Row],[customer_id]])</f>
        <v>4</v>
      </c>
      <c r="N1015" t="str">
        <f>IF(Table4[[#This Row],[customer_order_count]]=1,"New Customer","Repeat Customer")</f>
        <v>Repeat Customer</v>
      </c>
    </row>
    <row r="1016" spans="1:14">
      <c r="A1016" t="s">
        <v>2818</v>
      </c>
      <c r="B1016" s="1">
        <v>45624</v>
      </c>
      <c r="C1016" t="s">
        <v>2819</v>
      </c>
      <c r="D1016" t="s">
        <v>1241</v>
      </c>
      <c r="E1016" t="s">
        <v>21</v>
      </c>
      <c r="F1016" t="s">
        <v>66</v>
      </c>
      <c r="G1016" t="s">
        <v>217</v>
      </c>
      <c r="H1016">
        <v>5</v>
      </c>
      <c r="I1016" s="3">
        <v>23.72</v>
      </c>
      <c r="J1016" t="s">
        <v>16</v>
      </c>
      <c r="K1016" t="s">
        <v>40</v>
      </c>
      <c r="L1016" s="4">
        <f>Table4[[#This Row],[quantity]]*Table4[[#This Row],[unit_price]]</f>
        <v>118.6</v>
      </c>
      <c r="M1016">
        <f>COUNTIFS($C$2:$C$3934,Table4[[#This Row],[customer_id]])</f>
        <v>2</v>
      </c>
      <c r="N1016" t="str">
        <f>IF(Table4[[#This Row],[customer_order_count]]=1,"New Customer","Repeat Customer")</f>
        <v>Repeat Customer</v>
      </c>
    </row>
    <row r="1017" spans="1:14">
      <c r="A1017" t="s">
        <v>1098</v>
      </c>
      <c r="B1017" s="1">
        <v>44958</v>
      </c>
      <c r="C1017" t="s">
        <v>202</v>
      </c>
      <c r="D1017" t="s">
        <v>203</v>
      </c>
      <c r="E1017" t="s">
        <v>21</v>
      </c>
      <c r="F1017" t="s">
        <v>56</v>
      </c>
      <c r="G1017" t="s">
        <v>210</v>
      </c>
      <c r="H1017">
        <v>1</v>
      </c>
      <c r="I1017" s="3">
        <v>23.73</v>
      </c>
      <c r="J1017" t="s">
        <v>16</v>
      </c>
      <c r="K1017" t="s">
        <v>30</v>
      </c>
      <c r="L1017" s="4">
        <f>Table4[[#This Row],[quantity]]*Table4[[#This Row],[unit_price]]</f>
        <v>23.73</v>
      </c>
      <c r="M1017">
        <f>COUNTIFS($C$2:$C$3934,Table4[[#This Row],[customer_id]])</f>
        <v>8</v>
      </c>
      <c r="N1017" t="str">
        <f>IF(Table4[[#This Row],[customer_order_count]]=1,"New Customer","Repeat Customer")</f>
        <v>Repeat Customer</v>
      </c>
    </row>
    <row r="1018" spans="1:14">
      <c r="A1018" t="s">
        <v>4780</v>
      </c>
      <c r="B1018" s="1">
        <v>45263</v>
      </c>
      <c r="C1018" t="s">
        <v>2964</v>
      </c>
      <c r="D1018" t="s">
        <v>1828</v>
      </c>
      <c r="E1018" t="s">
        <v>44</v>
      </c>
      <c r="F1018" t="s">
        <v>66</v>
      </c>
      <c r="G1018" t="s">
        <v>49</v>
      </c>
      <c r="H1018">
        <v>1</v>
      </c>
      <c r="I1018" s="3">
        <v>23.73</v>
      </c>
      <c r="J1018" t="s">
        <v>16</v>
      </c>
      <c r="K1018" t="s">
        <v>30</v>
      </c>
      <c r="L1018" s="4">
        <f>Table4[[#This Row],[quantity]]*Table4[[#This Row],[unit_price]]</f>
        <v>23.73</v>
      </c>
      <c r="M1018">
        <f>COUNTIFS($C$2:$C$3934,Table4[[#This Row],[customer_id]])</f>
        <v>3</v>
      </c>
      <c r="N1018" t="str">
        <f>IF(Table4[[#This Row],[customer_order_count]]=1,"New Customer","Repeat Customer")</f>
        <v>Repeat Customer</v>
      </c>
    </row>
    <row r="1019" spans="1:14">
      <c r="A1019" t="s">
        <v>4267</v>
      </c>
      <c r="B1019" s="1">
        <v>45300</v>
      </c>
      <c r="C1019" t="s">
        <v>3504</v>
      </c>
      <c r="D1019" t="s">
        <v>173</v>
      </c>
      <c r="E1019" t="s">
        <v>21</v>
      </c>
      <c r="F1019" t="s">
        <v>28</v>
      </c>
      <c r="G1019" t="s">
        <v>139</v>
      </c>
      <c r="H1019">
        <v>3</v>
      </c>
      <c r="I1019" s="3">
        <v>23.73</v>
      </c>
      <c r="J1019" t="s">
        <v>24</v>
      </c>
      <c r="K1019" t="s">
        <v>30</v>
      </c>
      <c r="L1019" s="4">
        <f>Table4[[#This Row],[quantity]]*Table4[[#This Row],[unit_price]]</f>
        <v>71.19</v>
      </c>
      <c r="M1019">
        <f>COUNTIFS($C$2:$C$3934,Table4[[#This Row],[customer_id]])</f>
        <v>4</v>
      </c>
      <c r="N1019" t="str">
        <f>IF(Table4[[#This Row],[customer_order_count]]=1,"New Customer","Repeat Customer")</f>
        <v>Repeat Customer</v>
      </c>
    </row>
    <row r="1020" spans="1:14">
      <c r="A1020" t="s">
        <v>1502</v>
      </c>
      <c r="B1020" s="1">
        <v>45384</v>
      </c>
      <c r="C1020" t="s">
        <v>1503</v>
      </c>
      <c r="D1020" t="s">
        <v>787</v>
      </c>
      <c r="E1020" t="s">
        <v>21</v>
      </c>
      <c r="F1020" t="s">
        <v>56</v>
      </c>
      <c r="G1020" t="s">
        <v>75</v>
      </c>
      <c r="H1020">
        <v>1</v>
      </c>
      <c r="I1020" s="3">
        <v>23.75</v>
      </c>
      <c r="J1020" t="s">
        <v>16</v>
      </c>
      <c r="K1020" t="s">
        <v>40</v>
      </c>
      <c r="L1020" s="4">
        <f>Table4[[#This Row],[quantity]]*Table4[[#This Row],[unit_price]]</f>
        <v>23.75</v>
      </c>
      <c r="M1020">
        <f>COUNTIFS($C$2:$C$3934,Table4[[#This Row],[customer_id]])</f>
        <v>3</v>
      </c>
      <c r="N1020" t="str">
        <f>IF(Table4[[#This Row],[customer_order_count]]=1,"New Customer","Repeat Customer")</f>
        <v>Repeat Customer</v>
      </c>
    </row>
    <row r="1021" spans="1:14">
      <c r="A1021" t="s">
        <v>2694</v>
      </c>
      <c r="B1021" s="1">
        <v>44943</v>
      </c>
      <c r="C1021" t="s">
        <v>2010</v>
      </c>
      <c r="D1021" t="s">
        <v>372</v>
      </c>
      <c r="E1021" t="s">
        <v>44</v>
      </c>
      <c r="F1021" t="s">
        <v>22</v>
      </c>
      <c r="G1021" t="s">
        <v>142</v>
      </c>
      <c r="H1021">
        <v>1</v>
      </c>
      <c r="I1021" s="3">
        <v>23.76</v>
      </c>
      <c r="J1021" t="s">
        <v>16</v>
      </c>
      <c r="K1021" t="s">
        <v>30</v>
      </c>
      <c r="L1021" s="4">
        <f>Table4[[#This Row],[quantity]]*Table4[[#This Row],[unit_price]]</f>
        <v>23.76</v>
      </c>
      <c r="M1021">
        <f>COUNTIFS($C$2:$C$3934,Table4[[#This Row],[customer_id]])</f>
        <v>5</v>
      </c>
      <c r="N1021" t="str">
        <f>IF(Table4[[#This Row],[customer_order_count]]=1,"New Customer","Repeat Customer")</f>
        <v>Repeat Customer</v>
      </c>
    </row>
    <row r="1022" spans="1:14">
      <c r="A1022" t="s">
        <v>4436</v>
      </c>
      <c r="B1022" s="1">
        <v>44990</v>
      </c>
      <c r="C1022" t="s">
        <v>3096</v>
      </c>
      <c r="D1022" t="s">
        <v>1208</v>
      </c>
      <c r="E1022" t="s">
        <v>61</v>
      </c>
      <c r="F1022" t="s">
        <v>14</v>
      </c>
      <c r="G1022" t="s">
        <v>34</v>
      </c>
      <c r="H1022">
        <v>2</v>
      </c>
      <c r="I1022" s="3">
        <v>23.78</v>
      </c>
      <c r="J1022" t="s">
        <v>16</v>
      </c>
      <c r="K1022" t="s">
        <v>40</v>
      </c>
      <c r="L1022" s="4">
        <f>Table4[[#This Row],[quantity]]*Table4[[#This Row],[unit_price]]</f>
        <v>47.56</v>
      </c>
      <c r="M1022">
        <f>COUNTIFS($C$2:$C$3934,Table4[[#This Row],[customer_id]])</f>
        <v>3</v>
      </c>
      <c r="N1022" t="str">
        <f>IF(Table4[[#This Row],[customer_order_count]]=1,"New Customer","Repeat Customer")</f>
        <v>Repeat Customer</v>
      </c>
    </row>
    <row r="1023" spans="1:14">
      <c r="A1023" t="s">
        <v>4339</v>
      </c>
      <c r="B1023" s="1">
        <v>45065</v>
      </c>
      <c r="C1023" t="s">
        <v>3131</v>
      </c>
      <c r="D1023" t="s">
        <v>145</v>
      </c>
      <c r="E1023" t="s">
        <v>21</v>
      </c>
      <c r="F1023" t="s">
        <v>79</v>
      </c>
      <c r="G1023" t="s">
        <v>80</v>
      </c>
      <c r="H1023">
        <v>1</v>
      </c>
      <c r="I1023" s="3">
        <v>23.8</v>
      </c>
      <c r="J1023" t="s">
        <v>16</v>
      </c>
      <c r="K1023" s="2" t="s">
        <v>5256</v>
      </c>
      <c r="L1023" s="4">
        <f>Table4[[#This Row],[quantity]]*Table4[[#This Row],[unit_price]]</f>
        <v>23.8</v>
      </c>
      <c r="M1023">
        <f>COUNTIFS($C$2:$C$3934,Table4[[#This Row],[customer_id]])</f>
        <v>3</v>
      </c>
      <c r="N1023" t="str">
        <f>IF(Table4[[#This Row],[customer_order_count]]=1,"New Customer","Repeat Customer")</f>
        <v>Repeat Customer</v>
      </c>
    </row>
    <row r="1024" spans="1:14">
      <c r="A1024" t="s">
        <v>3678</v>
      </c>
      <c r="B1024" s="1">
        <v>45468</v>
      </c>
      <c r="C1024" t="s">
        <v>1648</v>
      </c>
      <c r="D1024" t="s">
        <v>1208</v>
      </c>
      <c r="E1024" t="s">
        <v>61</v>
      </c>
      <c r="F1024" t="s">
        <v>14</v>
      </c>
      <c r="G1024" t="s">
        <v>34</v>
      </c>
      <c r="H1024">
        <v>1</v>
      </c>
      <c r="I1024" s="3">
        <v>23.81</v>
      </c>
      <c r="J1024" t="s">
        <v>16</v>
      </c>
      <c r="K1024" s="5" t="s">
        <v>40</v>
      </c>
      <c r="L1024" s="4">
        <f>Table4[[#This Row],[quantity]]*Table4[[#This Row],[unit_price]]</f>
        <v>23.81</v>
      </c>
      <c r="M1024">
        <f>COUNTIFS($C$2:$C$3934,Table4[[#This Row],[customer_id]])</f>
        <v>6</v>
      </c>
      <c r="N1024" t="str">
        <f>IF(Table4[[#This Row],[customer_order_count]]=1,"New Customer","Repeat Customer")</f>
        <v>Repeat Customer</v>
      </c>
    </row>
    <row r="1025" spans="1:14">
      <c r="A1025" t="s">
        <v>4872</v>
      </c>
      <c r="B1025" s="1">
        <v>45155</v>
      </c>
      <c r="C1025" t="s">
        <v>2408</v>
      </c>
      <c r="D1025" t="s">
        <v>2409</v>
      </c>
      <c r="E1025" t="s">
        <v>21</v>
      </c>
      <c r="F1025" t="s">
        <v>22</v>
      </c>
      <c r="G1025" t="s">
        <v>23</v>
      </c>
      <c r="H1025">
        <v>1</v>
      </c>
      <c r="I1025" s="3">
        <v>23.86</v>
      </c>
      <c r="J1025" t="s">
        <v>24</v>
      </c>
      <c r="K1025" t="s">
        <v>35</v>
      </c>
      <c r="L1025" s="4">
        <f>Table4[[#This Row],[quantity]]*Table4[[#This Row],[unit_price]]</f>
        <v>23.86</v>
      </c>
      <c r="M1025">
        <f>COUNTIFS($C$2:$C$3934,Table4[[#This Row],[customer_id]])</f>
        <v>6</v>
      </c>
      <c r="N1025" t="str">
        <f>IF(Table4[[#This Row],[customer_order_count]]=1,"New Customer","Repeat Customer")</f>
        <v>Repeat Customer</v>
      </c>
    </row>
    <row r="1026" spans="1:14">
      <c r="A1026" t="s">
        <v>4466</v>
      </c>
      <c r="B1026" s="1">
        <v>45463</v>
      </c>
      <c r="C1026" t="s">
        <v>474</v>
      </c>
      <c r="D1026" t="s">
        <v>475</v>
      </c>
      <c r="E1026" t="s">
        <v>21</v>
      </c>
      <c r="F1026" t="s">
        <v>28</v>
      </c>
      <c r="G1026" t="s">
        <v>45</v>
      </c>
      <c r="H1026">
        <v>1</v>
      </c>
      <c r="I1026" s="3">
        <v>23.87</v>
      </c>
      <c r="J1026" t="s">
        <v>16</v>
      </c>
      <c r="K1026" t="s">
        <v>40</v>
      </c>
      <c r="L1026" s="4">
        <f>Table4[[#This Row],[quantity]]*Table4[[#This Row],[unit_price]]</f>
        <v>23.87</v>
      </c>
      <c r="M1026">
        <f>COUNTIFS($C$2:$C$3934,Table4[[#This Row],[customer_id]])</f>
        <v>6</v>
      </c>
      <c r="N1026" t="str">
        <f>IF(Table4[[#This Row],[customer_order_count]]=1,"New Customer","Repeat Customer")</f>
        <v>Repeat Customer</v>
      </c>
    </row>
    <row r="1027" spans="1:14">
      <c r="A1027" t="s">
        <v>4288</v>
      </c>
      <c r="B1027" s="1">
        <v>45385</v>
      </c>
      <c r="C1027" t="s">
        <v>2331</v>
      </c>
      <c r="D1027" t="s">
        <v>165</v>
      </c>
      <c r="E1027" t="s">
        <v>21</v>
      </c>
      <c r="F1027" t="s">
        <v>66</v>
      </c>
      <c r="G1027" t="s">
        <v>128</v>
      </c>
      <c r="H1027">
        <v>1</v>
      </c>
      <c r="I1027" s="3">
        <v>23.88</v>
      </c>
      <c r="J1027" t="s">
        <v>16</v>
      </c>
      <c r="K1027" t="s">
        <v>35</v>
      </c>
      <c r="L1027" s="4">
        <f>Table4[[#This Row],[quantity]]*Table4[[#This Row],[unit_price]]</f>
        <v>23.88</v>
      </c>
      <c r="M1027">
        <f>COUNTIFS($C$2:$C$3934,Table4[[#This Row],[customer_id]])</f>
        <v>5</v>
      </c>
      <c r="N1027" t="str">
        <f>IF(Table4[[#This Row],[customer_order_count]]=1,"New Customer","Repeat Customer")</f>
        <v>Repeat Customer</v>
      </c>
    </row>
    <row r="1028" spans="1:14">
      <c r="A1028" t="s">
        <v>3290</v>
      </c>
      <c r="B1028" s="1">
        <v>44931</v>
      </c>
      <c r="C1028" t="s">
        <v>2054</v>
      </c>
      <c r="D1028" t="s">
        <v>2055</v>
      </c>
      <c r="E1028" t="s">
        <v>21</v>
      </c>
      <c r="F1028" t="s">
        <v>70</v>
      </c>
      <c r="G1028" t="s">
        <v>526</v>
      </c>
      <c r="H1028">
        <v>1</v>
      </c>
      <c r="I1028" s="3">
        <v>23.9</v>
      </c>
      <c r="J1028" t="s">
        <v>24</v>
      </c>
      <c r="K1028" t="s">
        <v>17</v>
      </c>
      <c r="L1028" s="4">
        <f>Table4[[#This Row],[quantity]]*Table4[[#This Row],[unit_price]]</f>
        <v>23.9</v>
      </c>
      <c r="M1028">
        <f>COUNTIFS($C$2:$C$3934,Table4[[#This Row],[customer_id]])</f>
        <v>8</v>
      </c>
      <c r="N1028" t="str">
        <f>IF(Table4[[#This Row],[customer_order_count]]=1,"New Customer","Repeat Customer")</f>
        <v>Repeat Customer</v>
      </c>
    </row>
    <row r="1029" spans="1:14">
      <c r="A1029" t="s">
        <v>1004</v>
      </c>
      <c r="B1029" s="1">
        <v>45408</v>
      </c>
      <c r="C1029" t="s">
        <v>1005</v>
      </c>
      <c r="D1029" t="s">
        <v>1006</v>
      </c>
      <c r="E1029" t="s">
        <v>21</v>
      </c>
      <c r="F1029" t="s">
        <v>66</v>
      </c>
      <c r="G1029" t="s">
        <v>238</v>
      </c>
      <c r="H1029">
        <v>1</v>
      </c>
      <c r="I1029" s="3">
        <v>23.91</v>
      </c>
      <c r="J1029" t="s">
        <v>16</v>
      </c>
      <c r="K1029" t="s">
        <v>30</v>
      </c>
      <c r="L1029" s="4">
        <f>Table4[[#This Row],[quantity]]*Table4[[#This Row],[unit_price]]</f>
        <v>23.91</v>
      </c>
      <c r="M1029">
        <f>COUNTIFS($C$2:$C$3934,Table4[[#This Row],[customer_id]])</f>
        <v>6</v>
      </c>
      <c r="N1029" t="str">
        <f>IF(Table4[[#This Row],[customer_order_count]]=1,"New Customer","Repeat Customer")</f>
        <v>Repeat Customer</v>
      </c>
    </row>
    <row r="1030" spans="1:14">
      <c r="A1030" t="s">
        <v>3345</v>
      </c>
      <c r="B1030" s="1">
        <v>45187</v>
      </c>
      <c r="C1030" t="s">
        <v>1822</v>
      </c>
      <c r="D1030" t="s">
        <v>1823</v>
      </c>
      <c r="E1030" t="s">
        <v>106</v>
      </c>
      <c r="F1030" t="s">
        <v>56</v>
      </c>
      <c r="G1030" t="s">
        <v>422</v>
      </c>
      <c r="H1030">
        <v>1</v>
      </c>
      <c r="I1030" s="3">
        <v>23.91</v>
      </c>
      <c r="J1030" t="s">
        <v>16</v>
      </c>
      <c r="K1030" t="s">
        <v>17</v>
      </c>
      <c r="L1030" s="4">
        <f>Table4[[#This Row],[quantity]]*Table4[[#This Row],[unit_price]]</f>
        <v>23.91</v>
      </c>
      <c r="M1030">
        <f>COUNTIFS($C$2:$C$3934,Table4[[#This Row],[customer_id]])</f>
        <v>3</v>
      </c>
      <c r="N1030" t="str">
        <f>IF(Table4[[#This Row],[customer_order_count]]=1,"New Customer","Repeat Customer")</f>
        <v>Repeat Customer</v>
      </c>
    </row>
    <row r="1031" spans="1:14">
      <c r="A1031" t="s">
        <v>3084</v>
      </c>
      <c r="B1031" s="1">
        <v>45304</v>
      </c>
      <c r="C1031" t="s">
        <v>1105</v>
      </c>
      <c r="D1031" t="s">
        <v>609</v>
      </c>
      <c r="E1031" t="s">
        <v>21</v>
      </c>
      <c r="F1031" t="s">
        <v>66</v>
      </c>
      <c r="G1031" t="s">
        <v>238</v>
      </c>
      <c r="H1031">
        <v>1</v>
      </c>
      <c r="I1031" s="3">
        <v>23.92</v>
      </c>
      <c r="J1031" t="s">
        <v>24</v>
      </c>
      <c r="K1031" t="s">
        <v>30</v>
      </c>
      <c r="L1031" s="4">
        <f>Table4[[#This Row],[quantity]]*Table4[[#This Row],[unit_price]]</f>
        <v>23.92</v>
      </c>
      <c r="M1031">
        <f>COUNTIFS($C$2:$C$3934,Table4[[#This Row],[customer_id]])</f>
        <v>6</v>
      </c>
      <c r="N1031" t="str">
        <f>IF(Table4[[#This Row],[customer_order_count]]=1,"New Customer","Repeat Customer")</f>
        <v>Repeat Customer</v>
      </c>
    </row>
    <row r="1032" spans="1:14">
      <c r="A1032" t="s">
        <v>5216</v>
      </c>
      <c r="B1032" s="1">
        <v>45229</v>
      </c>
      <c r="C1032" t="s">
        <v>1977</v>
      </c>
      <c r="D1032" t="s">
        <v>491</v>
      </c>
      <c r="E1032" t="s">
        <v>44</v>
      </c>
      <c r="F1032" t="s">
        <v>14</v>
      </c>
      <c r="G1032" t="s">
        <v>258</v>
      </c>
      <c r="H1032">
        <v>2</v>
      </c>
      <c r="I1032" s="3">
        <v>23.92</v>
      </c>
      <c r="J1032" t="s">
        <v>255</v>
      </c>
      <c r="K1032" s="2" t="s">
        <v>5256</v>
      </c>
      <c r="L1032" s="4">
        <f>Table4[[#This Row],[quantity]]*Table4[[#This Row],[unit_price]]</f>
        <v>47.84</v>
      </c>
      <c r="M1032">
        <f>COUNTIFS($C$2:$C$3934,Table4[[#This Row],[customer_id]])</f>
        <v>3</v>
      </c>
      <c r="N1032" t="str">
        <f>IF(Table4[[#This Row],[customer_order_count]]=1,"New Customer","Repeat Customer")</f>
        <v>Repeat Customer</v>
      </c>
    </row>
    <row r="1033" spans="1:14">
      <c r="A1033" t="s">
        <v>4019</v>
      </c>
      <c r="B1033" s="1">
        <v>45324</v>
      </c>
      <c r="C1033" t="s">
        <v>440</v>
      </c>
      <c r="D1033" t="s">
        <v>441</v>
      </c>
      <c r="E1033" t="s">
        <v>21</v>
      </c>
      <c r="F1033" t="s">
        <v>56</v>
      </c>
      <c r="G1033" t="s">
        <v>118</v>
      </c>
      <c r="H1033">
        <v>1</v>
      </c>
      <c r="I1033" s="3">
        <v>23.93</v>
      </c>
      <c r="J1033" t="s">
        <v>16</v>
      </c>
      <c r="K1033" s="2" t="s">
        <v>5256</v>
      </c>
      <c r="L1033" s="4">
        <f>Table4[[#This Row],[quantity]]*Table4[[#This Row],[unit_price]]</f>
        <v>23.93</v>
      </c>
      <c r="M1033">
        <f>COUNTIFS($C$2:$C$3934,Table4[[#This Row],[customer_id]])</f>
        <v>5</v>
      </c>
      <c r="N1033" t="str">
        <f>IF(Table4[[#This Row],[customer_order_count]]=1,"New Customer","Repeat Customer")</f>
        <v>Repeat Customer</v>
      </c>
    </row>
    <row r="1034" spans="1:14">
      <c r="A1034" t="s">
        <v>3456</v>
      </c>
      <c r="B1034" s="1">
        <v>45395</v>
      </c>
      <c r="C1034" t="s">
        <v>1418</v>
      </c>
      <c r="D1034" t="s">
        <v>1419</v>
      </c>
      <c r="E1034" t="s">
        <v>44</v>
      </c>
      <c r="F1034" t="s">
        <v>79</v>
      </c>
      <c r="G1034" t="s">
        <v>541</v>
      </c>
      <c r="H1034">
        <v>1</v>
      </c>
      <c r="I1034" s="3">
        <v>23.97</v>
      </c>
      <c r="J1034" t="s">
        <v>16</v>
      </c>
      <c r="K1034" s="5" t="s">
        <v>40</v>
      </c>
      <c r="L1034" s="4">
        <f>Table4[[#This Row],[quantity]]*Table4[[#This Row],[unit_price]]</f>
        <v>23.97</v>
      </c>
      <c r="M1034">
        <f>COUNTIFS($C$2:$C$3934,Table4[[#This Row],[customer_id]])</f>
        <v>5</v>
      </c>
      <c r="N1034" t="str">
        <f>IF(Table4[[#This Row],[customer_order_count]]=1,"New Customer","Repeat Customer")</f>
        <v>Repeat Customer</v>
      </c>
    </row>
    <row r="1035" spans="1:14">
      <c r="A1035" t="s">
        <v>4719</v>
      </c>
      <c r="B1035" s="1">
        <v>45384</v>
      </c>
      <c r="C1035" t="s">
        <v>711</v>
      </c>
      <c r="D1035" t="s">
        <v>505</v>
      </c>
      <c r="E1035" t="s">
        <v>21</v>
      </c>
      <c r="F1035" t="s">
        <v>70</v>
      </c>
      <c r="G1035" t="s">
        <v>337</v>
      </c>
      <c r="H1035">
        <v>1</v>
      </c>
      <c r="I1035" s="3">
        <v>23.98</v>
      </c>
      <c r="J1035" t="s">
        <v>16</v>
      </c>
      <c r="K1035" t="s">
        <v>35</v>
      </c>
      <c r="L1035" s="4">
        <f>Table4[[#This Row],[quantity]]*Table4[[#This Row],[unit_price]]</f>
        <v>23.98</v>
      </c>
      <c r="M1035">
        <f>COUNTIFS($C$2:$C$3934,Table4[[#This Row],[customer_id]])</f>
        <v>8</v>
      </c>
      <c r="N1035" t="str">
        <f>IF(Table4[[#This Row],[customer_order_count]]=1,"New Customer","Repeat Customer")</f>
        <v>Repeat Customer</v>
      </c>
    </row>
    <row r="1036" spans="1:14">
      <c r="A1036" t="s">
        <v>3626</v>
      </c>
      <c r="B1036" s="1">
        <v>45500</v>
      </c>
      <c r="C1036" t="s">
        <v>1577</v>
      </c>
      <c r="D1036" t="s">
        <v>1578</v>
      </c>
      <c r="E1036" t="s">
        <v>21</v>
      </c>
      <c r="F1036" t="s">
        <v>66</v>
      </c>
      <c r="G1036" t="s">
        <v>128</v>
      </c>
      <c r="H1036">
        <v>1</v>
      </c>
      <c r="I1036" s="3">
        <v>23.99</v>
      </c>
      <c r="J1036" t="s">
        <v>16</v>
      </c>
      <c r="K1036" t="s">
        <v>17</v>
      </c>
      <c r="L1036" s="4">
        <f>Table4[[#This Row],[quantity]]*Table4[[#This Row],[unit_price]]</f>
        <v>23.99</v>
      </c>
      <c r="M1036">
        <f>COUNTIFS($C$2:$C$3934,Table4[[#This Row],[customer_id]])</f>
        <v>2</v>
      </c>
      <c r="N1036" t="str">
        <f>IF(Table4[[#This Row],[customer_order_count]]=1,"New Customer","Repeat Customer")</f>
        <v>Repeat Customer</v>
      </c>
    </row>
    <row r="1037" spans="1:14">
      <c r="A1037" t="s">
        <v>847</v>
      </c>
      <c r="B1037" s="1">
        <v>45593</v>
      </c>
      <c r="C1037" t="s">
        <v>848</v>
      </c>
      <c r="D1037" t="s">
        <v>340</v>
      </c>
      <c r="E1037" t="s">
        <v>21</v>
      </c>
      <c r="F1037" t="s">
        <v>70</v>
      </c>
      <c r="G1037" t="s">
        <v>146</v>
      </c>
      <c r="H1037">
        <v>1</v>
      </c>
      <c r="I1037" s="3">
        <v>23.99</v>
      </c>
      <c r="J1037" t="s">
        <v>16</v>
      </c>
      <c r="K1037" t="s">
        <v>17</v>
      </c>
      <c r="L1037" s="4">
        <f>Table4[[#This Row],[quantity]]*Table4[[#This Row],[unit_price]]</f>
        <v>23.99</v>
      </c>
      <c r="M1037">
        <f>COUNTIFS($C$2:$C$3934,Table4[[#This Row],[customer_id]])</f>
        <v>9</v>
      </c>
      <c r="N1037" t="str">
        <f>IF(Table4[[#This Row],[customer_order_count]]=1,"New Customer","Repeat Customer")</f>
        <v>Repeat Customer</v>
      </c>
    </row>
    <row r="1038" spans="1:14">
      <c r="A1038" t="s">
        <v>4154</v>
      </c>
      <c r="B1038" s="1">
        <v>45191</v>
      </c>
      <c r="C1038" t="s">
        <v>495</v>
      </c>
      <c r="D1038" t="s">
        <v>496</v>
      </c>
      <c r="E1038" t="s">
        <v>44</v>
      </c>
      <c r="F1038" t="s">
        <v>56</v>
      </c>
      <c r="G1038" t="s">
        <v>254</v>
      </c>
      <c r="H1038">
        <v>1</v>
      </c>
      <c r="I1038" s="3">
        <v>24</v>
      </c>
      <c r="J1038" t="s">
        <v>16</v>
      </c>
      <c r="K1038" t="s">
        <v>35</v>
      </c>
      <c r="L1038" s="4">
        <f>Table4[[#This Row],[quantity]]*Table4[[#This Row],[unit_price]]</f>
        <v>24</v>
      </c>
      <c r="M1038">
        <f>COUNTIFS($C$2:$C$3934,Table4[[#This Row],[customer_id]])</f>
        <v>4</v>
      </c>
      <c r="N1038" t="str">
        <f>IF(Table4[[#This Row],[customer_order_count]]=1,"New Customer","Repeat Customer")</f>
        <v>Repeat Customer</v>
      </c>
    </row>
    <row r="1039" spans="1:14">
      <c r="A1039" t="s">
        <v>4480</v>
      </c>
      <c r="B1039" s="1">
        <v>45149</v>
      </c>
      <c r="C1039" t="s">
        <v>1082</v>
      </c>
      <c r="D1039" t="s">
        <v>380</v>
      </c>
      <c r="E1039" t="s">
        <v>21</v>
      </c>
      <c r="F1039" t="s">
        <v>66</v>
      </c>
      <c r="G1039" t="s">
        <v>128</v>
      </c>
      <c r="H1039">
        <v>2</v>
      </c>
      <c r="I1039" s="3">
        <v>24</v>
      </c>
      <c r="J1039" t="s">
        <v>16</v>
      </c>
      <c r="K1039" t="s">
        <v>17</v>
      </c>
      <c r="L1039" s="4">
        <f>Table4[[#This Row],[quantity]]*Table4[[#This Row],[unit_price]]</f>
        <v>48</v>
      </c>
      <c r="M1039">
        <f>COUNTIFS($C$2:$C$3934,Table4[[#This Row],[customer_id]])</f>
        <v>5</v>
      </c>
      <c r="N1039" t="str">
        <f>IF(Table4[[#This Row],[customer_order_count]]=1,"New Customer","Repeat Customer")</f>
        <v>Repeat Customer</v>
      </c>
    </row>
    <row r="1040" spans="1:14">
      <c r="A1040" t="s">
        <v>3487</v>
      </c>
      <c r="B1040" s="1">
        <v>45541</v>
      </c>
      <c r="C1040" t="s">
        <v>306</v>
      </c>
      <c r="D1040" t="s">
        <v>307</v>
      </c>
      <c r="E1040" t="s">
        <v>44</v>
      </c>
      <c r="F1040" t="s">
        <v>22</v>
      </c>
      <c r="G1040" t="s">
        <v>264</v>
      </c>
      <c r="H1040">
        <v>1</v>
      </c>
      <c r="I1040" s="3">
        <v>24.02</v>
      </c>
      <c r="J1040" t="s">
        <v>16</v>
      </c>
      <c r="K1040" t="s">
        <v>17</v>
      </c>
      <c r="L1040" s="4">
        <f>Table4[[#This Row],[quantity]]*Table4[[#This Row],[unit_price]]</f>
        <v>24.02</v>
      </c>
      <c r="M1040">
        <f>COUNTIFS($C$2:$C$3934,Table4[[#This Row],[customer_id]])</f>
        <v>2</v>
      </c>
      <c r="N1040" t="str">
        <f>IF(Table4[[#This Row],[customer_order_count]]=1,"New Customer","Repeat Customer")</f>
        <v>Repeat Customer</v>
      </c>
    </row>
    <row r="1041" spans="1:14">
      <c r="A1041" t="s">
        <v>4709</v>
      </c>
      <c r="B1041" s="1">
        <v>45101</v>
      </c>
      <c r="C1041" t="s">
        <v>1079</v>
      </c>
      <c r="D1041" t="s">
        <v>1080</v>
      </c>
      <c r="E1041" t="s">
        <v>21</v>
      </c>
      <c r="F1041" t="s">
        <v>70</v>
      </c>
      <c r="G1041" t="s">
        <v>170</v>
      </c>
      <c r="H1041">
        <v>1</v>
      </c>
      <c r="I1041" s="3">
        <v>24.07</v>
      </c>
      <c r="J1041" t="s">
        <v>16</v>
      </c>
      <c r="K1041" t="s">
        <v>30</v>
      </c>
      <c r="L1041" s="4">
        <f>Table4[[#This Row],[quantity]]*Table4[[#This Row],[unit_price]]</f>
        <v>24.07</v>
      </c>
      <c r="M1041">
        <f>COUNTIFS($C$2:$C$3934,Table4[[#This Row],[customer_id]])</f>
        <v>7</v>
      </c>
      <c r="N1041" t="str">
        <f>IF(Table4[[#This Row],[customer_order_count]]=1,"New Customer","Repeat Customer")</f>
        <v>Repeat Customer</v>
      </c>
    </row>
    <row r="1042" spans="1:14">
      <c r="A1042" t="s">
        <v>4308</v>
      </c>
      <c r="B1042" s="1">
        <v>44978</v>
      </c>
      <c r="C1042" t="s">
        <v>4309</v>
      </c>
      <c r="D1042" t="s">
        <v>1412</v>
      </c>
      <c r="E1042" t="s">
        <v>44</v>
      </c>
      <c r="F1042" t="s">
        <v>66</v>
      </c>
      <c r="G1042" t="s">
        <v>49</v>
      </c>
      <c r="H1042">
        <v>2</v>
      </c>
      <c r="I1042" s="3">
        <v>24.08</v>
      </c>
      <c r="J1042" t="s">
        <v>16</v>
      </c>
      <c r="K1042" t="s">
        <v>40</v>
      </c>
      <c r="L1042" s="4">
        <f>Table4[[#This Row],[quantity]]*Table4[[#This Row],[unit_price]]</f>
        <v>48.16</v>
      </c>
      <c r="M1042">
        <f>COUNTIFS($C$2:$C$3934,Table4[[#This Row],[customer_id]])</f>
        <v>1</v>
      </c>
      <c r="N1042" t="str">
        <f>IF(Table4[[#This Row],[customer_order_count]]=1,"New Customer","Repeat Customer")</f>
        <v>New Customer</v>
      </c>
    </row>
    <row r="1043" spans="1:14">
      <c r="A1043" t="s">
        <v>1316</v>
      </c>
      <c r="B1043" s="1">
        <v>45135</v>
      </c>
      <c r="C1043" t="s">
        <v>54</v>
      </c>
      <c r="D1043" t="s">
        <v>55</v>
      </c>
      <c r="E1043" t="s">
        <v>21</v>
      </c>
      <c r="F1043" t="s">
        <v>56</v>
      </c>
      <c r="G1043" t="s">
        <v>254</v>
      </c>
      <c r="H1043">
        <v>1</v>
      </c>
      <c r="I1043" s="3">
        <v>24.09</v>
      </c>
      <c r="J1043" t="s">
        <v>16</v>
      </c>
      <c r="K1043" t="s">
        <v>17</v>
      </c>
      <c r="L1043" s="4">
        <f>Table4[[#This Row],[quantity]]*Table4[[#This Row],[unit_price]]</f>
        <v>24.09</v>
      </c>
      <c r="M1043">
        <f>COUNTIFS($C$2:$C$3934,Table4[[#This Row],[customer_id]])</f>
        <v>6</v>
      </c>
      <c r="N1043" t="str">
        <f>IF(Table4[[#This Row],[customer_order_count]]=1,"New Customer","Repeat Customer")</f>
        <v>Repeat Customer</v>
      </c>
    </row>
    <row r="1044" spans="1:14">
      <c r="A1044" t="s">
        <v>3865</v>
      </c>
      <c r="B1044" s="1">
        <v>45596</v>
      </c>
      <c r="C1044" t="s">
        <v>1097</v>
      </c>
      <c r="D1044" t="s">
        <v>560</v>
      </c>
      <c r="E1044" t="s">
        <v>21</v>
      </c>
      <c r="F1044" t="s">
        <v>70</v>
      </c>
      <c r="G1044" t="s">
        <v>526</v>
      </c>
      <c r="H1044">
        <v>3</v>
      </c>
      <c r="I1044" s="3">
        <v>24.12</v>
      </c>
      <c r="J1044" t="s">
        <v>16</v>
      </c>
      <c r="K1044" t="s">
        <v>40</v>
      </c>
      <c r="L1044" s="4">
        <f>Table4[[#This Row],[quantity]]*Table4[[#This Row],[unit_price]]</f>
        <v>72.36</v>
      </c>
      <c r="M1044">
        <f>COUNTIFS($C$2:$C$3934,Table4[[#This Row],[customer_id]])</f>
        <v>7</v>
      </c>
      <c r="N1044" t="str">
        <f>IF(Table4[[#This Row],[customer_order_count]]=1,"New Customer","Repeat Customer")</f>
        <v>Repeat Customer</v>
      </c>
    </row>
    <row r="1045" spans="1:14">
      <c r="A1045" t="s">
        <v>1635</v>
      </c>
      <c r="B1045" s="1">
        <v>45457</v>
      </c>
      <c r="C1045" t="s">
        <v>1636</v>
      </c>
      <c r="D1045" t="s">
        <v>956</v>
      </c>
      <c r="E1045" t="s">
        <v>21</v>
      </c>
      <c r="F1045" t="s">
        <v>14</v>
      </c>
      <c r="G1045" t="s">
        <v>62</v>
      </c>
      <c r="H1045">
        <v>3</v>
      </c>
      <c r="I1045" s="3">
        <v>24.13</v>
      </c>
      <c r="J1045" t="s">
        <v>16</v>
      </c>
      <c r="K1045" t="s">
        <v>35</v>
      </c>
      <c r="L1045" s="4">
        <f>Table4[[#This Row],[quantity]]*Table4[[#This Row],[unit_price]]</f>
        <v>72.39</v>
      </c>
      <c r="M1045">
        <f>COUNTIFS($C$2:$C$3934,Table4[[#This Row],[customer_id]])</f>
        <v>5</v>
      </c>
      <c r="N1045" t="str">
        <f>IF(Table4[[#This Row],[customer_order_count]]=1,"New Customer","Repeat Customer")</f>
        <v>Repeat Customer</v>
      </c>
    </row>
    <row r="1046" spans="1:14">
      <c r="A1046" t="s">
        <v>3885</v>
      </c>
      <c r="B1046" s="1">
        <v>45388</v>
      </c>
      <c r="C1046" t="s">
        <v>2647</v>
      </c>
      <c r="D1046" t="s">
        <v>362</v>
      </c>
      <c r="E1046" t="s">
        <v>44</v>
      </c>
      <c r="F1046" t="s">
        <v>14</v>
      </c>
      <c r="G1046" t="s">
        <v>62</v>
      </c>
      <c r="H1046">
        <v>1</v>
      </c>
      <c r="I1046" s="3">
        <v>24.13</v>
      </c>
      <c r="J1046" t="s">
        <v>16</v>
      </c>
      <c r="K1046" t="s">
        <v>17</v>
      </c>
      <c r="L1046" s="4">
        <f>Table4[[#This Row],[quantity]]*Table4[[#This Row],[unit_price]]</f>
        <v>24.13</v>
      </c>
      <c r="M1046">
        <f>COUNTIFS($C$2:$C$3934,Table4[[#This Row],[customer_id]])</f>
        <v>3</v>
      </c>
      <c r="N1046" t="str">
        <f>IF(Table4[[#This Row],[customer_order_count]]=1,"New Customer","Repeat Customer")</f>
        <v>Repeat Customer</v>
      </c>
    </row>
    <row r="1047" spans="1:14">
      <c r="A1047" t="s">
        <v>3223</v>
      </c>
      <c r="B1047" s="1">
        <v>45129</v>
      </c>
      <c r="C1047" t="s">
        <v>3224</v>
      </c>
      <c r="D1047" t="s">
        <v>3225</v>
      </c>
      <c r="E1047" t="s">
        <v>44</v>
      </c>
      <c r="F1047" t="s">
        <v>56</v>
      </c>
      <c r="G1047" t="s">
        <v>118</v>
      </c>
      <c r="H1047">
        <v>1</v>
      </c>
      <c r="I1047" s="3">
        <v>24.14</v>
      </c>
      <c r="J1047" t="s">
        <v>16</v>
      </c>
      <c r="K1047" t="s">
        <v>35</v>
      </c>
      <c r="L1047" s="4">
        <f>Table4[[#This Row],[quantity]]*Table4[[#This Row],[unit_price]]</f>
        <v>24.14</v>
      </c>
      <c r="M1047">
        <f>COUNTIFS($C$2:$C$3934,Table4[[#This Row],[customer_id]])</f>
        <v>2</v>
      </c>
      <c r="N1047" t="str">
        <f>IF(Table4[[#This Row],[customer_order_count]]=1,"New Customer","Repeat Customer")</f>
        <v>Repeat Customer</v>
      </c>
    </row>
    <row r="1048" spans="1:14">
      <c r="A1048" t="s">
        <v>574</v>
      </c>
      <c r="B1048" s="1">
        <v>45014</v>
      </c>
      <c r="C1048" t="s">
        <v>575</v>
      </c>
      <c r="D1048" t="s">
        <v>576</v>
      </c>
      <c r="E1048" t="s">
        <v>21</v>
      </c>
      <c r="F1048" t="s">
        <v>28</v>
      </c>
      <c r="G1048" t="s">
        <v>45</v>
      </c>
      <c r="H1048">
        <v>4</v>
      </c>
      <c r="I1048" s="3">
        <v>24.14</v>
      </c>
      <c r="J1048" t="s">
        <v>16</v>
      </c>
      <c r="K1048" t="s">
        <v>17</v>
      </c>
      <c r="L1048" s="4">
        <f>Table4[[#This Row],[quantity]]*Table4[[#This Row],[unit_price]]</f>
        <v>96.56</v>
      </c>
      <c r="M1048">
        <f>COUNTIFS($C$2:$C$3934,Table4[[#This Row],[customer_id]])</f>
        <v>4</v>
      </c>
      <c r="N1048" t="str">
        <f>IF(Table4[[#This Row],[customer_order_count]]=1,"New Customer","Repeat Customer")</f>
        <v>Repeat Customer</v>
      </c>
    </row>
    <row r="1049" spans="1:14">
      <c r="A1049" t="s">
        <v>3884</v>
      </c>
      <c r="B1049" s="1">
        <v>45625</v>
      </c>
      <c r="C1049" t="s">
        <v>1246</v>
      </c>
      <c r="D1049" t="s">
        <v>947</v>
      </c>
      <c r="E1049" t="s">
        <v>21</v>
      </c>
      <c r="F1049" t="s">
        <v>66</v>
      </c>
      <c r="G1049" t="s">
        <v>238</v>
      </c>
      <c r="H1049">
        <v>1</v>
      </c>
      <c r="I1049" s="3">
        <v>24.17</v>
      </c>
      <c r="J1049" t="s">
        <v>16</v>
      </c>
      <c r="K1049" t="s">
        <v>40</v>
      </c>
      <c r="L1049" s="4">
        <f>Table4[[#This Row],[quantity]]*Table4[[#This Row],[unit_price]]</f>
        <v>24.17</v>
      </c>
      <c r="M1049">
        <f>COUNTIFS($C$2:$C$3934,Table4[[#This Row],[customer_id]])</f>
        <v>8</v>
      </c>
      <c r="N1049" t="str">
        <f>IF(Table4[[#This Row],[customer_order_count]]=1,"New Customer","Repeat Customer")</f>
        <v>Repeat Customer</v>
      </c>
    </row>
    <row r="1050" spans="1:14">
      <c r="A1050" t="s">
        <v>3461</v>
      </c>
      <c r="B1050" s="1">
        <v>45443</v>
      </c>
      <c r="C1050" t="s">
        <v>757</v>
      </c>
      <c r="D1050" t="s">
        <v>758</v>
      </c>
      <c r="E1050" t="s">
        <v>21</v>
      </c>
      <c r="F1050" t="s">
        <v>14</v>
      </c>
      <c r="G1050" t="s">
        <v>100</v>
      </c>
      <c r="H1050">
        <v>3</v>
      </c>
      <c r="I1050" s="3">
        <v>24.19</v>
      </c>
      <c r="J1050" t="s">
        <v>16</v>
      </c>
      <c r="K1050" t="s">
        <v>30</v>
      </c>
      <c r="L1050" s="4">
        <f>Table4[[#This Row],[quantity]]*Table4[[#This Row],[unit_price]]</f>
        <v>72.570000000000007</v>
      </c>
      <c r="M1050">
        <f>COUNTIFS($C$2:$C$3934,Table4[[#This Row],[customer_id]])</f>
        <v>4</v>
      </c>
      <c r="N1050" t="str">
        <f>IF(Table4[[#This Row],[customer_order_count]]=1,"New Customer","Repeat Customer")</f>
        <v>Repeat Customer</v>
      </c>
    </row>
    <row r="1051" spans="1:14">
      <c r="A1051" t="s">
        <v>4998</v>
      </c>
      <c r="B1051" s="1">
        <v>45220</v>
      </c>
      <c r="C1051" t="s">
        <v>1274</v>
      </c>
      <c r="D1051" t="s">
        <v>535</v>
      </c>
      <c r="E1051" t="s">
        <v>44</v>
      </c>
      <c r="F1051" t="s">
        <v>28</v>
      </c>
      <c r="G1051" t="s">
        <v>139</v>
      </c>
      <c r="H1051">
        <v>1</v>
      </c>
      <c r="I1051" s="3">
        <v>24.22</v>
      </c>
      <c r="J1051" t="s">
        <v>16</v>
      </c>
      <c r="K1051" t="s">
        <v>40</v>
      </c>
      <c r="L1051" s="4">
        <f>Table4[[#This Row],[quantity]]*Table4[[#This Row],[unit_price]]</f>
        <v>24.22</v>
      </c>
      <c r="M1051">
        <f>COUNTIFS($C$2:$C$3934,Table4[[#This Row],[customer_id]])</f>
        <v>3</v>
      </c>
      <c r="N1051" t="str">
        <f>IF(Table4[[#This Row],[customer_order_count]]=1,"New Customer","Repeat Customer")</f>
        <v>Repeat Customer</v>
      </c>
    </row>
    <row r="1052" spans="1:14">
      <c r="A1052" t="s">
        <v>785</v>
      </c>
      <c r="B1052" s="1">
        <v>45565</v>
      </c>
      <c r="C1052" t="s">
        <v>786</v>
      </c>
      <c r="D1052" t="s">
        <v>787</v>
      </c>
      <c r="E1052" t="s">
        <v>61</v>
      </c>
      <c r="F1052" t="s">
        <v>79</v>
      </c>
      <c r="G1052" t="s">
        <v>204</v>
      </c>
      <c r="H1052">
        <v>2</v>
      </c>
      <c r="I1052" s="3">
        <v>24.24</v>
      </c>
      <c r="J1052" t="s">
        <v>16</v>
      </c>
      <c r="K1052" t="s">
        <v>30</v>
      </c>
      <c r="L1052" s="4">
        <f>Table4[[#This Row],[quantity]]*Table4[[#This Row],[unit_price]]</f>
        <v>48.48</v>
      </c>
      <c r="M1052">
        <f>COUNTIFS($C$2:$C$3934,Table4[[#This Row],[customer_id]])</f>
        <v>2</v>
      </c>
      <c r="N1052" t="str">
        <f>IF(Table4[[#This Row],[customer_order_count]]=1,"New Customer","Repeat Customer")</f>
        <v>Repeat Customer</v>
      </c>
    </row>
    <row r="1053" spans="1:14">
      <c r="A1053" t="s">
        <v>4477</v>
      </c>
      <c r="B1053" s="1">
        <v>44935</v>
      </c>
      <c r="C1053" t="s">
        <v>1353</v>
      </c>
      <c r="D1053" t="s">
        <v>1057</v>
      </c>
      <c r="E1053" t="s">
        <v>21</v>
      </c>
      <c r="F1053" t="s">
        <v>70</v>
      </c>
      <c r="G1053" t="s">
        <v>337</v>
      </c>
      <c r="H1053">
        <v>1</v>
      </c>
      <c r="I1053" s="3">
        <v>24.26</v>
      </c>
      <c r="J1053" t="s">
        <v>16</v>
      </c>
      <c r="K1053" t="s">
        <v>40</v>
      </c>
      <c r="L1053" s="4">
        <f>Table4[[#This Row],[quantity]]*Table4[[#This Row],[unit_price]]</f>
        <v>24.26</v>
      </c>
      <c r="M1053">
        <f>COUNTIFS($C$2:$C$3934,Table4[[#This Row],[customer_id]])</f>
        <v>4</v>
      </c>
      <c r="N1053" t="str">
        <f>IF(Table4[[#This Row],[customer_order_count]]=1,"New Customer","Repeat Customer")</f>
        <v>Repeat Customer</v>
      </c>
    </row>
    <row r="1054" spans="1:14">
      <c r="A1054" t="s">
        <v>1966</v>
      </c>
      <c r="B1054" s="1">
        <v>45383</v>
      </c>
      <c r="C1054" t="s">
        <v>733</v>
      </c>
      <c r="D1054" t="s">
        <v>734</v>
      </c>
      <c r="E1054" t="s">
        <v>21</v>
      </c>
      <c r="F1054" t="s">
        <v>70</v>
      </c>
      <c r="G1054" t="s">
        <v>71</v>
      </c>
      <c r="H1054">
        <v>2</v>
      </c>
      <c r="I1054" s="3">
        <v>24.27</v>
      </c>
      <c r="J1054" t="s">
        <v>85</v>
      </c>
      <c r="K1054" s="2" t="s">
        <v>5256</v>
      </c>
      <c r="L1054" s="4">
        <f>Table4[[#This Row],[quantity]]*Table4[[#This Row],[unit_price]]</f>
        <v>48.54</v>
      </c>
      <c r="M1054">
        <f>COUNTIFS($C$2:$C$3934,Table4[[#This Row],[customer_id]])</f>
        <v>5</v>
      </c>
      <c r="N1054" t="str">
        <f>IF(Table4[[#This Row],[customer_order_count]]=1,"New Customer","Repeat Customer")</f>
        <v>Repeat Customer</v>
      </c>
    </row>
    <row r="1055" spans="1:14">
      <c r="A1055" t="s">
        <v>3723</v>
      </c>
      <c r="B1055" s="1">
        <v>45254</v>
      </c>
      <c r="C1055" t="s">
        <v>3724</v>
      </c>
      <c r="D1055" t="s">
        <v>928</v>
      </c>
      <c r="E1055" t="s">
        <v>21</v>
      </c>
      <c r="F1055" t="s">
        <v>14</v>
      </c>
      <c r="G1055" t="s">
        <v>258</v>
      </c>
      <c r="H1055">
        <v>1</v>
      </c>
      <c r="I1055" s="3">
        <v>24.29</v>
      </c>
      <c r="J1055" t="s">
        <v>16</v>
      </c>
      <c r="K1055" s="5" t="s">
        <v>40</v>
      </c>
      <c r="L1055" s="4">
        <f>Table4[[#This Row],[quantity]]*Table4[[#This Row],[unit_price]]</f>
        <v>24.29</v>
      </c>
      <c r="M1055">
        <f>COUNTIFS($C$2:$C$3934,Table4[[#This Row],[customer_id]])</f>
        <v>3</v>
      </c>
      <c r="N1055" t="str">
        <f>IF(Table4[[#This Row],[customer_order_count]]=1,"New Customer","Repeat Customer")</f>
        <v>Repeat Customer</v>
      </c>
    </row>
    <row r="1056" spans="1:14">
      <c r="A1056" t="s">
        <v>4433</v>
      </c>
      <c r="B1056" s="1">
        <v>45325</v>
      </c>
      <c r="C1056" t="s">
        <v>771</v>
      </c>
      <c r="D1056" t="s">
        <v>772</v>
      </c>
      <c r="E1056" t="s">
        <v>21</v>
      </c>
      <c r="F1056" t="s">
        <v>66</v>
      </c>
      <c r="G1056" t="s">
        <v>128</v>
      </c>
      <c r="H1056">
        <v>1</v>
      </c>
      <c r="I1056" s="3">
        <v>24.31</v>
      </c>
      <c r="J1056" t="s">
        <v>16</v>
      </c>
      <c r="K1056" t="s">
        <v>35</v>
      </c>
      <c r="L1056" s="4">
        <f>Table4[[#This Row],[quantity]]*Table4[[#This Row],[unit_price]]</f>
        <v>24.31</v>
      </c>
      <c r="M1056">
        <f>COUNTIFS($C$2:$C$3934,Table4[[#This Row],[customer_id]])</f>
        <v>5</v>
      </c>
      <c r="N1056" t="str">
        <f>IF(Table4[[#This Row],[customer_order_count]]=1,"New Customer","Repeat Customer")</f>
        <v>Repeat Customer</v>
      </c>
    </row>
    <row r="1057" spans="1:14">
      <c r="A1057" t="s">
        <v>2992</v>
      </c>
      <c r="B1057" s="1">
        <v>45542</v>
      </c>
      <c r="C1057" t="s">
        <v>2993</v>
      </c>
      <c r="D1057" t="s">
        <v>1065</v>
      </c>
      <c r="E1057" t="s">
        <v>21</v>
      </c>
      <c r="F1057" t="s">
        <v>70</v>
      </c>
      <c r="G1057" t="s">
        <v>110</v>
      </c>
      <c r="H1057">
        <v>1</v>
      </c>
      <c r="I1057" s="3">
        <v>24.31</v>
      </c>
      <c r="J1057" t="s">
        <v>16</v>
      </c>
      <c r="K1057" t="s">
        <v>35</v>
      </c>
      <c r="L1057" s="4">
        <f>Table4[[#This Row],[quantity]]*Table4[[#This Row],[unit_price]]</f>
        <v>24.31</v>
      </c>
      <c r="M1057">
        <f>COUNTIFS($C$2:$C$3934,Table4[[#This Row],[customer_id]])</f>
        <v>5</v>
      </c>
      <c r="N1057" t="str">
        <f>IF(Table4[[#This Row],[customer_order_count]]=1,"New Customer","Repeat Customer")</f>
        <v>Repeat Customer</v>
      </c>
    </row>
    <row r="1058" spans="1:14">
      <c r="A1058" t="s">
        <v>2257</v>
      </c>
      <c r="B1058" s="1">
        <v>45199</v>
      </c>
      <c r="C1058" t="s">
        <v>1418</v>
      </c>
      <c r="D1058" t="s">
        <v>1419</v>
      </c>
      <c r="E1058" t="s">
        <v>44</v>
      </c>
      <c r="F1058" t="s">
        <v>79</v>
      </c>
      <c r="G1058" t="s">
        <v>204</v>
      </c>
      <c r="H1058">
        <v>2</v>
      </c>
      <c r="I1058" s="3">
        <v>24.32</v>
      </c>
      <c r="J1058" t="s">
        <v>16</v>
      </c>
      <c r="K1058" s="2" t="s">
        <v>5256</v>
      </c>
      <c r="L1058" s="4">
        <f>Table4[[#This Row],[quantity]]*Table4[[#This Row],[unit_price]]</f>
        <v>48.64</v>
      </c>
      <c r="M1058">
        <f>COUNTIFS($C$2:$C$3934,Table4[[#This Row],[customer_id]])</f>
        <v>5</v>
      </c>
      <c r="N1058" t="str">
        <f>IF(Table4[[#This Row],[customer_order_count]]=1,"New Customer","Repeat Customer")</f>
        <v>Repeat Customer</v>
      </c>
    </row>
    <row r="1059" spans="1:14">
      <c r="A1059" t="s">
        <v>3036</v>
      </c>
      <c r="B1059" s="1">
        <v>45078</v>
      </c>
      <c r="C1059" t="s">
        <v>1229</v>
      </c>
      <c r="D1059" t="s">
        <v>1230</v>
      </c>
      <c r="E1059" t="s">
        <v>21</v>
      </c>
      <c r="F1059" t="s">
        <v>70</v>
      </c>
      <c r="G1059" t="s">
        <v>526</v>
      </c>
      <c r="H1059">
        <v>1</v>
      </c>
      <c r="I1059" s="3">
        <v>24.33</v>
      </c>
      <c r="J1059" t="s">
        <v>16</v>
      </c>
      <c r="K1059" s="5" t="s">
        <v>30</v>
      </c>
      <c r="L1059" s="4">
        <f>Table4[[#This Row],[quantity]]*Table4[[#This Row],[unit_price]]</f>
        <v>24.33</v>
      </c>
      <c r="M1059">
        <f>COUNTIFS($C$2:$C$3934,Table4[[#This Row],[customer_id]])</f>
        <v>3</v>
      </c>
      <c r="N1059" t="str">
        <f>IF(Table4[[#This Row],[customer_order_count]]=1,"New Customer","Repeat Customer")</f>
        <v>Repeat Customer</v>
      </c>
    </row>
    <row r="1060" spans="1:14">
      <c r="A1060" t="s">
        <v>3350</v>
      </c>
      <c r="B1060" s="1">
        <v>45390</v>
      </c>
      <c r="C1060" t="s">
        <v>1335</v>
      </c>
      <c r="D1060" t="s">
        <v>1336</v>
      </c>
      <c r="E1060" t="s">
        <v>21</v>
      </c>
      <c r="F1060" t="s">
        <v>56</v>
      </c>
      <c r="G1060" t="s">
        <v>75</v>
      </c>
      <c r="H1060">
        <v>1</v>
      </c>
      <c r="I1060" s="3">
        <v>24.34</v>
      </c>
      <c r="J1060" t="s">
        <v>16</v>
      </c>
      <c r="K1060" t="s">
        <v>40</v>
      </c>
      <c r="L1060" s="4">
        <f>Table4[[#This Row],[quantity]]*Table4[[#This Row],[unit_price]]</f>
        <v>24.34</v>
      </c>
      <c r="M1060">
        <f>COUNTIFS($C$2:$C$3934,Table4[[#This Row],[customer_id]])</f>
        <v>7</v>
      </c>
      <c r="N1060" t="str">
        <f>IF(Table4[[#This Row],[customer_order_count]]=1,"New Customer","Repeat Customer")</f>
        <v>Repeat Customer</v>
      </c>
    </row>
    <row r="1061" spans="1:14">
      <c r="A1061" t="s">
        <v>4712</v>
      </c>
      <c r="B1061" s="1">
        <v>45214</v>
      </c>
      <c r="C1061" t="s">
        <v>1820</v>
      </c>
      <c r="D1061" t="s">
        <v>464</v>
      </c>
      <c r="E1061" t="s">
        <v>21</v>
      </c>
      <c r="F1061" t="s">
        <v>70</v>
      </c>
      <c r="G1061" t="s">
        <v>71</v>
      </c>
      <c r="H1061">
        <v>2</v>
      </c>
      <c r="I1061" s="3">
        <v>24.34</v>
      </c>
      <c r="J1061" t="s">
        <v>16</v>
      </c>
      <c r="K1061" t="s">
        <v>30</v>
      </c>
      <c r="L1061" s="4">
        <f>Table4[[#This Row],[quantity]]*Table4[[#This Row],[unit_price]]</f>
        <v>48.68</v>
      </c>
      <c r="M1061">
        <f>COUNTIFS($C$2:$C$3934,Table4[[#This Row],[customer_id]])</f>
        <v>4</v>
      </c>
      <c r="N1061" t="str">
        <f>IF(Table4[[#This Row],[customer_order_count]]=1,"New Customer","Repeat Customer")</f>
        <v>Repeat Customer</v>
      </c>
    </row>
    <row r="1062" spans="1:14">
      <c r="A1062" t="s">
        <v>4559</v>
      </c>
      <c r="B1062" s="1">
        <v>44930</v>
      </c>
      <c r="C1062" t="s">
        <v>4320</v>
      </c>
      <c r="D1062" t="s">
        <v>1453</v>
      </c>
      <c r="E1062" t="s">
        <v>61</v>
      </c>
      <c r="F1062" t="s">
        <v>66</v>
      </c>
      <c r="G1062" t="s">
        <v>238</v>
      </c>
      <c r="H1062">
        <v>1</v>
      </c>
      <c r="I1062" s="3">
        <v>24.35</v>
      </c>
      <c r="J1062" t="s">
        <v>16</v>
      </c>
      <c r="K1062" t="s">
        <v>17</v>
      </c>
      <c r="L1062" s="4">
        <f>Table4[[#This Row],[quantity]]*Table4[[#This Row],[unit_price]]</f>
        <v>24.35</v>
      </c>
      <c r="M1062">
        <f>COUNTIFS($C$2:$C$3934,Table4[[#This Row],[customer_id]])</f>
        <v>3</v>
      </c>
      <c r="N1062" t="str">
        <f>IF(Table4[[#This Row],[customer_order_count]]=1,"New Customer","Repeat Customer")</f>
        <v>Repeat Customer</v>
      </c>
    </row>
    <row r="1063" spans="1:14">
      <c r="A1063" t="s">
        <v>948</v>
      </c>
      <c r="B1063" s="1">
        <v>45455</v>
      </c>
      <c r="C1063" t="s">
        <v>949</v>
      </c>
      <c r="D1063" t="s">
        <v>950</v>
      </c>
      <c r="E1063" t="s">
        <v>21</v>
      </c>
      <c r="F1063" t="s">
        <v>66</v>
      </c>
      <c r="G1063" t="s">
        <v>49</v>
      </c>
      <c r="H1063">
        <v>1</v>
      </c>
      <c r="I1063" s="3">
        <v>24.38</v>
      </c>
      <c r="J1063" t="s">
        <v>24</v>
      </c>
      <c r="K1063" t="s">
        <v>30</v>
      </c>
      <c r="L1063" s="4">
        <f>Table4[[#This Row],[quantity]]*Table4[[#This Row],[unit_price]]</f>
        <v>24.38</v>
      </c>
      <c r="M1063">
        <f>COUNTIFS($C$2:$C$3934,Table4[[#This Row],[customer_id]])</f>
        <v>3</v>
      </c>
      <c r="N1063" t="str">
        <f>IF(Table4[[#This Row],[customer_order_count]]=1,"New Customer","Repeat Customer")</f>
        <v>Repeat Customer</v>
      </c>
    </row>
    <row r="1064" spans="1:14">
      <c r="A1064" t="s">
        <v>4571</v>
      </c>
      <c r="B1064" s="1">
        <v>45475</v>
      </c>
      <c r="C1064" t="s">
        <v>543</v>
      </c>
      <c r="D1064" t="s">
        <v>544</v>
      </c>
      <c r="E1064" t="s">
        <v>21</v>
      </c>
      <c r="F1064" t="s">
        <v>79</v>
      </c>
      <c r="G1064" t="s">
        <v>80</v>
      </c>
      <c r="H1064">
        <v>2</v>
      </c>
      <c r="I1064" s="3">
        <v>24.38</v>
      </c>
      <c r="J1064" t="s">
        <v>16</v>
      </c>
      <c r="K1064" t="s">
        <v>30</v>
      </c>
      <c r="L1064" s="4">
        <f>Table4[[#This Row],[quantity]]*Table4[[#This Row],[unit_price]]</f>
        <v>48.76</v>
      </c>
      <c r="M1064">
        <f>COUNTIFS($C$2:$C$3934,Table4[[#This Row],[customer_id]])</f>
        <v>6</v>
      </c>
      <c r="N1064" t="str">
        <f>IF(Table4[[#This Row],[customer_order_count]]=1,"New Customer","Repeat Customer")</f>
        <v>Repeat Customer</v>
      </c>
    </row>
    <row r="1065" spans="1:14">
      <c r="A1065" t="s">
        <v>2571</v>
      </c>
      <c r="B1065" s="1">
        <v>45010</v>
      </c>
      <c r="C1065" t="s">
        <v>2266</v>
      </c>
      <c r="D1065" t="s">
        <v>464</v>
      </c>
      <c r="E1065" t="s">
        <v>44</v>
      </c>
      <c r="F1065" t="s">
        <v>22</v>
      </c>
      <c r="G1065" t="s">
        <v>162</v>
      </c>
      <c r="H1065">
        <v>3</v>
      </c>
      <c r="I1065" s="3">
        <v>24.4</v>
      </c>
      <c r="J1065" t="s">
        <v>16</v>
      </c>
      <c r="K1065" t="s">
        <v>30</v>
      </c>
      <c r="L1065" s="4">
        <f>Table4[[#This Row],[quantity]]*Table4[[#This Row],[unit_price]]</f>
        <v>73.199999999999989</v>
      </c>
      <c r="M1065">
        <f>COUNTIFS($C$2:$C$3934,Table4[[#This Row],[customer_id]])</f>
        <v>5</v>
      </c>
      <c r="N1065" t="str">
        <f>IF(Table4[[#This Row],[customer_order_count]]=1,"New Customer","Repeat Customer")</f>
        <v>Repeat Customer</v>
      </c>
    </row>
    <row r="1066" spans="1:14">
      <c r="A1066" t="s">
        <v>5118</v>
      </c>
      <c r="B1066" s="1">
        <v>45418</v>
      </c>
      <c r="C1066" t="s">
        <v>263</v>
      </c>
      <c r="D1066" t="s">
        <v>78</v>
      </c>
      <c r="E1066" t="s">
        <v>21</v>
      </c>
      <c r="F1066" t="s">
        <v>66</v>
      </c>
      <c r="G1066" t="s">
        <v>217</v>
      </c>
      <c r="H1066">
        <v>1</v>
      </c>
      <c r="I1066" s="3">
        <v>24.41</v>
      </c>
      <c r="J1066" t="s">
        <v>16</v>
      </c>
      <c r="K1066" t="s">
        <v>40</v>
      </c>
      <c r="L1066" s="4">
        <f>Table4[[#This Row],[quantity]]*Table4[[#This Row],[unit_price]]</f>
        <v>24.41</v>
      </c>
      <c r="M1066">
        <f>COUNTIFS($C$2:$C$3934,Table4[[#This Row],[customer_id]])</f>
        <v>5</v>
      </c>
      <c r="N1066" t="str">
        <f>IF(Table4[[#This Row],[customer_order_count]]=1,"New Customer","Repeat Customer")</f>
        <v>Repeat Customer</v>
      </c>
    </row>
    <row r="1067" spans="1:14">
      <c r="A1067" t="s">
        <v>194</v>
      </c>
      <c r="B1067" s="1">
        <v>45522</v>
      </c>
      <c r="C1067" t="s">
        <v>195</v>
      </c>
      <c r="D1067" t="s">
        <v>196</v>
      </c>
      <c r="E1067" t="s">
        <v>21</v>
      </c>
      <c r="F1067" t="s">
        <v>56</v>
      </c>
      <c r="G1067" t="s">
        <v>57</v>
      </c>
      <c r="H1067">
        <v>1</v>
      </c>
      <c r="I1067" s="3">
        <v>24.42</v>
      </c>
      <c r="J1067" t="s">
        <v>16</v>
      </c>
      <c r="K1067" t="s">
        <v>40</v>
      </c>
      <c r="L1067" s="4">
        <f>Table4[[#This Row],[quantity]]*Table4[[#This Row],[unit_price]]</f>
        <v>24.42</v>
      </c>
      <c r="M1067">
        <f>COUNTIFS($C$2:$C$3934,Table4[[#This Row],[customer_id]])</f>
        <v>5</v>
      </c>
      <c r="N1067" t="str">
        <f>IF(Table4[[#This Row],[customer_order_count]]=1,"New Customer","Repeat Customer")</f>
        <v>Repeat Customer</v>
      </c>
    </row>
    <row r="1068" spans="1:14">
      <c r="A1068" t="s">
        <v>3399</v>
      </c>
      <c r="B1068" s="1">
        <v>45001</v>
      </c>
      <c r="C1068" t="s">
        <v>3003</v>
      </c>
      <c r="D1068" t="s">
        <v>502</v>
      </c>
      <c r="E1068" t="s">
        <v>44</v>
      </c>
      <c r="F1068" t="s">
        <v>28</v>
      </c>
      <c r="G1068" t="s">
        <v>84</v>
      </c>
      <c r="H1068">
        <v>5</v>
      </c>
      <c r="I1068" s="3">
        <v>24.42</v>
      </c>
      <c r="J1068" t="s">
        <v>16</v>
      </c>
      <c r="K1068" t="s">
        <v>35</v>
      </c>
      <c r="L1068" s="4">
        <f>Table4[[#This Row],[quantity]]*Table4[[#This Row],[unit_price]]</f>
        <v>122.10000000000001</v>
      </c>
      <c r="M1068">
        <f>COUNTIFS($C$2:$C$3934,Table4[[#This Row],[customer_id]])</f>
        <v>3</v>
      </c>
      <c r="N1068" t="str">
        <f>IF(Table4[[#This Row],[customer_order_count]]=1,"New Customer","Repeat Customer")</f>
        <v>Repeat Customer</v>
      </c>
    </row>
    <row r="1069" spans="1:14">
      <c r="A1069" t="s">
        <v>290</v>
      </c>
      <c r="B1069" s="1">
        <v>45044</v>
      </c>
      <c r="C1069" t="s">
        <v>291</v>
      </c>
      <c r="D1069" t="s">
        <v>292</v>
      </c>
      <c r="E1069" t="s">
        <v>21</v>
      </c>
      <c r="F1069" t="s">
        <v>66</v>
      </c>
      <c r="G1069" t="s">
        <v>128</v>
      </c>
      <c r="H1069">
        <v>1</v>
      </c>
      <c r="I1069" s="3">
        <v>24.48</v>
      </c>
      <c r="J1069" t="s">
        <v>16</v>
      </c>
      <c r="K1069" t="s">
        <v>35</v>
      </c>
      <c r="L1069" s="4">
        <f>Table4[[#This Row],[quantity]]*Table4[[#This Row],[unit_price]]</f>
        <v>24.48</v>
      </c>
      <c r="M1069">
        <f>COUNTIFS($C$2:$C$3934,Table4[[#This Row],[customer_id]])</f>
        <v>5</v>
      </c>
      <c r="N1069" t="str">
        <f>IF(Table4[[#This Row],[customer_order_count]]=1,"New Customer","Repeat Customer")</f>
        <v>Repeat Customer</v>
      </c>
    </row>
    <row r="1070" spans="1:14">
      <c r="A1070" t="s">
        <v>2665</v>
      </c>
      <c r="B1070" s="1">
        <v>45474</v>
      </c>
      <c r="C1070" t="s">
        <v>1921</v>
      </c>
      <c r="D1070" t="s">
        <v>1922</v>
      </c>
      <c r="E1070" t="s">
        <v>21</v>
      </c>
      <c r="F1070" t="s">
        <v>14</v>
      </c>
      <c r="G1070" t="s">
        <v>62</v>
      </c>
      <c r="H1070">
        <v>1</v>
      </c>
      <c r="I1070" s="3">
        <v>24.49</v>
      </c>
      <c r="J1070" t="s">
        <v>85</v>
      </c>
      <c r="K1070" t="s">
        <v>30</v>
      </c>
      <c r="L1070" s="4">
        <f>Table4[[#This Row],[quantity]]*Table4[[#This Row],[unit_price]]</f>
        <v>24.49</v>
      </c>
      <c r="M1070">
        <f>COUNTIFS($C$2:$C$3934,Table4[[#This Row],[customer_id]])</f>
        <v>5</v>
      </c>
      <c r="N1070" t="str">
        <f>IF(Table4[[#This Row],[customer_order_count]]=1,"New Customer","Repeat Customer")</f>
        <v>Repeat Customer</v>
      </c>
    </row>
    <row r="1071" spans="1:14">
      <c r="A1071" t="s">
        <v>548</v>
      </c>
      <c r="B1071" s="1">
        <v>44951</v>
      </c>
      <c r="C1071" t="s">
        <v>549</v>
      </c>
      <c r="D1071" t="s">
        <v>226</v>
      </c>
      <c r="E1071" t="s">
        <v>44</v>
      </c>
      <c r="F1071" t="s">
        <v>28</v>
      </c>
      <c r="G1071" t="s">
        <v>114</v>
      </c>
      <c r="H1071">
        <v>1</v>
      </c>
      <c r="I1071" s="3">
        <v>24.5</v>
      </c>
      <c r="J1071" t="s">
        <v>16</v>
      </c>
      <c r="K1071" t="s">
        <v>30</v>
      </c>
      <c r="L1071" s="4">
        <f>Table4[[#This Row],[quantity]]*Table4[[#This Row],[unit_price]]</f>
        <v>24.5</v>
      </c>
      <c r="M1071">
        <f>COUNTIFS($C$2:$C$3934,Table4[[#This Row],[customer_id]])</f>
        <v>3</v>
      </c>
      <c r="N1071" t="str">
        <f>IF(Table4[[#This Row],[customer_order_count]]=1,"New Customer","Repeat Customer")</f>
        <v>Repeat Customer</v>
      </c>
    </row>
    <row r="1072" spans="1:14">
      <c r="A1072" t="s">
        <v>5202</v>
      </c>
      <c r="B1072" s="1">
        <v>45610</v>
      </c>
      <c r="C1072" t="s">
        <v>177</v>
      </c>
      <c r="D1072" t="s">
        <v>178</v>
      </c>
      <c r="E1072" t="s">
        <v>21</v>
      </c>
      <c r="F1072" t="s">
        <v>56</v>
      </c>
      <c r="G1072" t="s">
        <v>75</v>
      </c>
      <c r="H1072">
        <v>1</v>
      </c>
      <c r="I1072" s="3">
        <v>24.51</v>
      </c>
      <c r="J1072" t="s">
        <v>16</v>
      </c>
      <c r="K1072" t="s">
        <v>17</v>
      </c>
      <c r="L1072" s="4">
        <f>Table4[[#This Row],[quantity]]*Table4[[#This Row],[unit_price]]</f>
        <v>24.51</v>
      </c>
      <c r="M1072">
        <f>COUNTIFS($C$2:$C$3934,Table4[[#This Row],[customer_id]])</f>
        <v>6</v>
      </c>
      <c r="N1072" t="str">
        <f>IF(Table4[[#This Row],[customer_order_count]]=1,"New Customer","Repeat Customer")</f>
        <v>Repeat Customer</v>
      </c>
    </row>
    <row r="1073" spans="1:14">
      <c r="A1073" t="s">
        <v>3592</v>
      </c>
      <c r="B1073" s="1">
        <v>45402</v>
      </c>
      <c r="C1073" t="s">
        <v>534</v>
      </c>
      <c r="D1073" t="s">
        <v>535</v>
      </c>
      <c r="E1073" t="s">
        <v>21</v>
      </c>
      <c r="F1073" t="s">
        <v>66</v>
      </c>
      <c r="G1073" t="s">
        <v>49</v>
      </c>
      <c r="H1073">
        <v>1</v>
      </c>
      <c r="I1073" s="3">
        <v>24.58</v>
      </c>
      <c r="J1073" t="s">
        <v>16</v>
      </c>
      <c r="K1073" t="s">
        <v>17</v>
      </c>
      <c r="L1073" s="4">
        <f>Table4[[#This Row],[quantity]]*Table4[[#This Row],[unit_price]]</f>
        <v>24.58</v>
      </c>
      <c r="M1073">
        <f>COUNTIFS($C$2:$C$3934,Table4[[#This Row],[customer_id]])</f>
        <v>6</v>
      </c>
      <c r="N1073" t="str">
        <f>IF(Table4[[#This Row],[customer_order_count]]=1,"New Customer","Repeat Customer")</f>
        <v>Repeat Customer</v>
      </c>
    </row>
    <row r="1074" spans="1:14">
      <c r="A1074" t="s">
        <v>2867</v>
      </c>
      <c r="B1074" s="1">
        <v>44964</v>
      </c>
      <c r="C1074" t="s">
        <v>1492</v>
      </c>
      <c r="D1074" t="s">
        <v>1070</v>
      </c>
      <c r="E1074" t="s">
        <v>44</v>
      </c>
      <c r="F1074" t="s">
        <v>14</v>
      </c>
      <c r="G1074" t="s">
        <v>100</v>
      </c>
      <c r="H1074">
        <v>2</v>
      </c>
      <c r="I1074" s="3">
        <v>24.58</v>
      </c>
      <c r="J1074" t="s">
        <v>16</v>
      </c>
      <c r="K1074" t="s">
        <v>17</v>
      </c>
      <c r="L1074" s="4">
        <f>Table4[[#This Row],[quantity]]*Table4[[#This Row],[unit_price]]</f>
        <v>49.16</v>
      </c>
      <c r="M1074">
        <f>COUNTIFS($C$2:$C$3934,Table4[[#This Row],[customer_id]])</f>
        <v>5</v>
      </c>
      <c r="N1074" t="str">
        <f>IF(Table4[[#This Row],[customer_order_count]]=1,"New Customer","Repeat Customer")</f>
        <v>Repeat Customer</v>
      </c>
    </row>
    <row r="1075" spans="1:14">
      <c r="A1075" t="s">
        <v>3690</v>
      </c>
      <c r="B1075" s="1">
        <v>45595</v>
      </c>
      <c r="C1075" t="s">
        <v>222</v>
      </c>
      <c r="D1075" t="s">
        <v>223</v>
      </c>
      <c r="E1075" t="s">
        <v>21</v>
      </c>
      <c r="F1075" t="s">
        <v>22</v>
      </c>
      <c r="G1075" t="s">
        <v>264</v>
      </c>
      <c r="H1075">
        <v>1</v>
      </c>
      <c r="I1075" s="3">
        <v>24.59</v>
      </c>
      <c r="J1075" t="s">
        <v>16</v>
      </c>
      <c r="K1075" t="s">
        <v>17</v>
      </c>
      <c r="L1075" s="4">
        <f>Table4[[#This Row],[quantity]]*Table4[[#This Row],[unit_price]]</f>
        <v>24.59</v>
      </c>
      <c r="M1075">
        <f>COUNTIFS($C$2:$C$3934,Table4[[#This Row],[customer_id]])</f>
        <v>6</v>
      </c>
      <c r="N1075" t="str">
        <f>IF(Table4[[#This Row],[customer_order_count]]=1,"New Customer","Repeat Customer")</f>
        <v>Repeat Customer</v>
      </c>
    </row>
    <row r="1076" spans="1:14">
      <c r="A1076" t="s">
        <v>2167</v>
      </c>
      <c r="B1076" s="1">
        <v>45347</v>
      </c>
      <c r="C1076" t="s">
        <v>98</v>
      </c>
      <c r="D1076" t="s">
        <v>99</v>
      </c>
      <c r="E1076" t="s">
        <v>21</v>
      </c>
      <c r="F1076" t="s">
        <v>28</v>
      </c>
      <c r="G1076" t="s">
        <v>29</v>
      </c>
      <c r="H1076">
        <v>1</v>
      </c>
      <c r="I1076" s="3">
        <v>24.59</v>
      </c>
      <c r="J1076" t="s">
        <v>16</v>
      </c>
      <c r="K1076" t="s">
        <v>35</v>
      </c>
      <c r="L1076" s="4">
        <f>Table4[[#This Row],[quantity]]*Table4[[#This Row],[unit_price]]</f>
        <v>24.59</v>
      </c>
      <c r="M1076">
        <f>COUNTIFS($C$2:$C$3934,Table4[[#This Row],[customer_id]])</f>
        <v>7</v>
      </c>
      <c r="N1076" t="str">
        <f>IF(Table4[[#This Row],[customer_order_count]]=1,"New Customer","Repeat Customer")</f>
        <v>Repeat Customer</v>
      </c>
    </row>
    <row r="1077" spans="1:14">
      <c r="A1077" t="s">
        <v>2101</v>
      </c>
      <c r="B1077" s="1">
        <v>45444</v>
      </c>
      <c r="C1077" t="s">
        <v>775</v>
      </c>
      <c r="D1077" t="s">
        <v>678</v>
      </c>
      <c r="E1077" t="s">
        <v>44</v>
      </c>
      <c r="F1077" t="s">
        <v>66</v>
      </c>
      <c r="G1077" t="s">
        <v>217</v>
      </c>
      <c r="H1077">
        <v>2</v>
      </c>
      <c r="I1077" s="3">
        <v>24.61</v>
      </c>
      <c r="J1077" t="s">
        <v>16</v>
      </c>
      <c r="K1077" t="s">
        <v>40</v>
      </c>
      <c r="L1077" s="4">
        <f>Table4[[#This Row],[quantity]]*Table4[[#This Row],[unit_price]]</f>
        <v>49.22</v>
      </c>
      <c r="M1077">
        <f>COUNTIFS($C$2:$C$3934,Table4[[#This Row],[customer_id]])</f>
        <v>5</v>
      </c>
      <c r="N1077" t="str">
        <f>IF(Table4[[#This Row],[customer_order_count]]=1,"New Customer","Repeat Customer")</f>
        <v>Repeat Customer</v>
      </c>
    </row>
    <row r="1078" spans="1:14">
      <c r="A1078" t="s">
        <v>2657</v>
      </c>
      <c r="B1078" s="1">
        <v>45076</v>
      </c>
      <c r="C1078" t="s">
        <v>2170</v>
      </c>
      <c r="D1078" t="s">
        <v>2171</v>
      </c>
      <c r="E1078" t="s">
        <v>21</v>
      </c>
      <c r="F1078" t="s">
        <v>66</v>
      </c>
      <c r="G1078" t="s">
        <v>238</v>
      </c>
      <c r="H1078">
        <v>1</v>
      </c>
      <c r="I1078" s="3">
        <v>24.66</v>
      </c>
      <c r="J1078" t="s">
        <v>255</v>
      </c>
      <c r="K1078" t="s">
        <v>30</v>
      </c>
      <c r="L1078" s="4">
        <f>Table4[[#This Row],[quantity]]*Table4[[#This Row],[unit_price]]</f>
        <v>24.66</v>
      </c>
      <c r="M1078">
        <f>COUNTIFS($C$2:$C$3934,Table4[[#This Row],[customer_id]])</f>
        <v>5</v>
      </c>
      <c r="N1078" t="str">
        <f>IF(Table4[[#This Row],[customer_order_count]]=1,"New Customer","Repeat Customer")</f>
        <v>Repeat Customer</v>
      </c>
    </row>
    <row r="1079" spans="1:14">
      <c r="A1079" t="s">
        <v>2852</v>
      </c>
      <c r="B1079" s="1">
        <v>45315</v>
      </c>
      <c r="C1079" t="s">
        <v>1710</v>
      </c>
      <c r="D1079" t="s">
        <v>396</v>
      </c>
      <c r="E1079" t="s">
        <v>21</v>
      </c>
      <c r="F1079" t="s">
        <v>79</v>
      </c>
      <c r="G1079" t="s">
        <v>96</v>
      </c>
      <c r="H1079">
        <v>2</v>
      </c>
      <c r="I1079" s="3">
        <v>24.67</v>
      </c>
      <c r="J1079" t="s">
        <v>16</v>
      </c>
      <c r="K1079" t="s">
        <v>35</v>
      </c>
      <c r="L1079" s="4">
        <f>Table4[[#This Row],[quantity]]*Table4[[#This Row],[unit_price]]</f>
        <v>49.34</v>
      </c>
      <c r="M1079">
        <f>COUNTIFS($C$2:$C$3934,Table4[[#This Row],[customer_id]])</f>
        <v>10</v>
      </c>
      <c r="N1079" t="str">
        <f>IF(Table4[[#This Row],[customer_order_count]]=1,"New Customer","Repeat Customer")</f>
        <v>Repeat Customer</v>
      </c>
    </row>
    <row r="1080" spans="1:14">
      <c r="A1080" t="s">
        <v>1150</v>
      </c>
      <c r="B1080" s="1">
        <v>45408</v>
      </c>
      <c r="C1080" t="s">
        <v>575</v>
      </c>
      <c r="D1080" t="s">
        <v>576</v>
      </c>
      <c r="E1080" t="s">
        <v>21</v>
      </c>
      <c r="F1080" t="s">
        <v>79</v>
      </c>
      <c r="G1080" t="s">
        <v>541</v>
      </c>
      <c r="H1080">
        <v>1</v>
      </c>
      <c r="I1080" s="3">
        <v>24.68</v>
      </c>
      <c r="J1080" t="s">
        <v>16</v>
      </c>
      <c r="K1080" t="s">
        <v>40</v>
      </c>
      <c r="L1080" s="4">
        <f>Table4[[#This Row],[quantity]]*Table4[[#This Row],[unit_price]]</f>
        <v>24.68</v>
      </c>
      <c r="M1080">
        <f>COUNTIFS($C$2:$C$3934,Table4[[#This Row],[customer_id]])</f>
        <v>4</v>
      </c>
      <c r="N1080" t="str">
        <f>IF(Table4[[#This Row],[customer_order_count]]=1,"New Customer","Repeat Customer")</f>
        <v>Repeat Customer</v>
      </c>
    </row>
    <row r="1081" spans="1:14">
      <c r="A1081" t="s">
        <v>1094</v>
      </c>
      <c r="B1081" s="1">
        <v>45616</v>
      </c>
      <c r="C1081" t="s">
        <v>1095</v>
      </c>
      <c r="D1081" t="s">
        <v>229</v>
      </c>
      <c r="E1081" t="s">
        <v>21</v>
      </c>
      <c r="F1081" t="s">
        <v>79</v>
      </c>
      <c r="G1081" t="s">
        <v>80</v>
      </c>
      <c r="H1081">
        <v>4</v>
      </c>
      <c r="I1081" s="3">
        <v>24.69</v>
      </c>
      <c r="J1081" t="s">
        <v>85</v>
      </c>
      <c r="K1081" t="s">
        <v>17</v>
      </c>
      <c r="L1081" s="4">
        <f>Table4[[#This Row],[quantity]]*Table4[[#This Row],[unit_price]]</f>
        <v>98.76</v>
      </c>
      <c r="M1081">
        <f>COUNTIFS($C$2:$C$3934,Table4[[#This Row],[customer_id]])</f>
        <v>7</v>
      </c>
      <c r="N1081" t="str">
        <f>IF(Table4[[#This Row],[customer_order_count]]=1,"New Customer","Repeat Customer")</f>
        <v>Repeat Customer</v>
      </c>
    </row>
    <row r="1082" spans="1:14">
      <c r="A1082" t="s">
        <v>2837</v>
      </c>
      <c r="B1082" s="1">
        <v>45008</v>
      </c>
      <c r="C1082" t="s">
        <v>498</v>
      </c>
      <c r="D1082" t="s">
        <v>499</v>
      </c>
      <c r="E1082" t="s">
        <v>21</v>
      </c>
      <c r="F1082" t="s">
        <v>22</v>
      </c>
      <c r="G1082" t="s">
        <v>23</v>
      </c>
      <c r="H1082">
        <v>1</v>
      </c>
      <c r="I1082" s="3">
        <v>24.71</v>
      </c>
      <c r="J1082" t="s">
        <v>16</v>
      </c>
      <c r="K1082" t="s">
        <v>30</v>
      </c>
      <c r="L1082" s="4">
        <f>Table4[[#This Row],[quantity]]*Table4[[#This Row],[unit_price]]</f>
        <v>24.71</v>
      </c>
      <c r="M1082">
        <f>COUNTIFS($C$2:$C$3934,Table4[[#This Row],[customer_id]])</f>
        <v>4</v>
      </c>
      <c r="N1082" t="str">
        <f>IF(Table4[[#This Row],[customer_order_count]]=1,"New Customer","Repeat Customer")</f>
        <v>Repeat Customer</v>
      </c>
    </row>
    <row r="1083" spans="1:14">
      <c r="A1083" t="s">
        <v>3004</v>
      </c>
      <c r="B1083" s="1">
        <v>45293</v>
      </c>
      <c r="C1083" t="s">
        <v>263</v>
      </c>
      <c r="D1083" t="s">
        <v>78</v>
      </c>
      <c r="E1083" t="s">
        <v>21</v>
      </c>
      <c r="F1083" t="s">
        <v>66</v>
      </c>
      <c r="G1083" t="s">
        <v>238</v>
      </c>
      <c r="H1083">
        <v>2</v>
      </c>
      <c r="I1083" s="3">
        <v>24.72</v>
      </c>
      <c r="J1083" t="s">
        <v>16</v>
      </c>
      <c r="K1083" t="s">
        <v>17</v>
      </c>
      <c r="L1083" s="4">
        <f>Table4[[#This Row],[quantity]]*Table4[[#This Row],[unit_price]]</f>
        <v>49.44</v>
      </c>
      <c r="M1083">
        <f>COUNTIFS($C$2:$C$3934,Table4[[#This Row],[customer_id]])</f>
        <v>5</v>
      </c>
      <c r="N1083" t="str">
        <f>IF(Table4[[#This Row],[customer_order_count]]=1,"New Customer","Repeat Customer")</f>
        <v>Repeat Customer</v>
      </c>
    </row>
    <row r="1084" spans="1:14">
      <c r="A1084" t="s">
        <v>1223</v>
      </c>
      <c r="B1084" s="1">
        <v>45604</v>
      </c>
      <c r="C1084" t="s">
        <v>642</v>
      </c>
      <c r="D1084" t="s">
        <v>643</v>
      </c>
      <c r="E1084" t="s">
        <v>21</v>
      </c>
      <c r="F1084" t="s">
        <v>79</v>
      </c>
      <c r="G1084" t="s">
        <v>398</v>
      </c>
      <c r="H1084">
        <v>2</v>
      </c>
      <c r="I1084" s="3">
        <v>24.72</v>
      </c>
      <c r="J1084" t="s">
        <v>16</v>
      </c>
      <c r="K1084" s="2" t="s">
        <v>5256</v>
      </c>
      <c r="L1084" s="4">
        <f>Table4[[#This Row],[quantity]]*Table4[[#This Row],[unit_price]]</f>
        <v>49.44</v>
      </c>
      <c r="M1084">
        <f>COUNTIFS($C$2:$C$3934,Table4[[#This Row],[customer_id]])</f>
        <v>7</v>
      </c>
      <c r="N1084" t="str">
        <f>IF(Table4[[#This Row],[customer_order_count]]=1,"New Customer","Repeat Customer")</f>
        <v>Repeat Customer</v>
      </c>
    </row>
    <row r="1085" spans="1:14">
      <c r="A1085" t="s">
        <v>3696</v>
      </c>
      <c r="B1085" s="1">
        <v>45551</v>
      </c>
      <c r="C1085" t="s">
        <v>729</v>
      </c>
      <c r="D1085" t="s">
        <v>1067</v>
      </c>
      <c r="E1085" t="s">
        <v>44</v>
      </c>
      <c r="F1085" t="s">
        <v>70</v>
      </c>
      <c r="G1085" t="s">
        <v>526</v>
      </c>
      <c r="H1085">
        <v>4</v>
      </c>
      <c r="I1085" s="3">
        <v>24.72</v>
      </c>
      <c r="J1085" t="s">
        <v>16</v>
      </c>
      <c r="K1085" s="5" t="s">
        <v>35</v>
      </c>
      <c r="L1085" s="4">
        <f>Table4[[#This Row],[quantity]]*Table4[[#This Row],[unit_price]]</f>
        <v>98.88</v>
      </c>
      <c r="M1085">
        <f>COUNTIFS($C$2:$C$3934,Table4[[#This Row],[customer_id]])</f>
        <v>5</v>
      </c>
      <c r="N1085" t="str">
        <f>IF(Table4[[#This Row],[customer_order_count]]=1,"New Customer","Repeat Customer")</f>
        <v>Repeat Customer</v>
      </c>
    </row>
    <row r="1086" spans="1:14">
      <c r="A1086" t="s">
        <v>328</v>
      </c>
      <c r="B1086" s="1">
        <v>45425</v>
      </c>
      <c r="C1086" t="s">
        <v>329</v>
      </c>
      <c r="D1086" t="s">
        <v>330</v>
      </c>
      <c r="E1086" t="s">
        <v>21</v>
      </c>
      <c r="F1086" t="s">
        <v>22</v>
      </c>
      <c r="G1086" t="s">
        <v>264</v>
      </c>
      <c r="H1086">
        <v>2</v>
      </c>
      <c r="I1086" s="3">
        <v>24.75</v>
      </c>
      <c r="J1086" t="s">
        <v>16</v>
      </c>
      <c r="K1086" t="s">
        <v>40</v>
      </c>
      <c r="L1086" s="4">
        <f>Table4[[#This Row],[quantity]]*Table4[[#This Row],[unit_price]]</f>
        <v>49.5</v>
      </c>
      <c r="M1086">
        <f>COUNTIFS($C$2:$C$3934,Table4[[#This Row],[customer_id]])</f>
        <v>5</v>
      </c>
      <c r="N1086" t="str">
        <f>IF(Table4[[#This Row],[customer_order_count]]=1,"New Customer","Repeat Customer")</f>
        <v>Repeat Customer</v>
      </c>
    </row>
    <row r="1087" spans="1:14">
      <c r="A1087" t="s">
        <v>1455</v>
      </c>
      <c r="B1087" s="1">
        <v>45029</v>
      </c>
      <c r="C1087" t="s">
        <v>1456</v>
      </c>
      <c r="D1087" t="s">
        <v>20</v>
      </c>
      <c r="E1087" t="s">
        <v>21</v>
      </c>
      <c r="F1087" t="s">
        <v>14</v>
      </c>
      <c r="G1087" t="s">
        <v>39</v>
      </c>
      <c r="H1087">
        <v>1</v>
      </c>
      <c r="I1087" s="3">
        <v>24.8</v>
      </c>
      <c r="J1087" t="s">
        <v>16</v>
      </c>
      <c r="K1087" t="s">
        <v>17</v>
      </c>
      <c r="L1087" s="4">
        <f>Table4[[#This Row],[quantity]]*Table4[[#This Row],[unit_price]]</f>
        <v>24.8</v>
      </c>
      <c r="M1087">
        <f>COUNTIFS($C$2:$C$3934,Table4[[#This Row],[customer_id]])</f>
        <v>4</v>
      </c>
      <c r="N1087" t="str">
        <f>IF(Table4[[#This Row],[customer_order_count]]=1,"New Customer","Repeat Customer")</f>
        <v>Repeat Customer</v>
      </c>
    </row>
    <row r="1088" spans="1:14">
      <c r="A1088" t="s">
        <v>3137</v>
      </c>
      <c r="B1088" s="1">
        <v>45489</v>
      </c>
      <c r="C1088" t="s">
        <v>1064</v>
      </c>
      <c r="D1088" t="s">
        <v>1065</v>
      </c>
      <c r="E1088" t="s">
        <v>21</v>
      </c>
      <c r="F1088" t="s">
        <v>70</v>
      </c>
      <c r="G1088" t="s">
        <v>526</v>
      </c>
      <c r="H1088">
        <v>1</v>
      </c>
      <c r="I1088" s="3">
        <v>24.8</v>
      </c>
      <c r="J1088" t="s">
        <v>16</v>
      </c>
      <c r="K1088" t="s">
        <v>17</v>
      </c>
      <c r="L1088" s="4">
        <f>Table4[[#This Row],[quantity]]*Table4[[#This Row],[unit_price]]</f>
        <v>24.8</v>
      </c>
      <c r="M1088">
        <f>COUNTIFS($C$2:$C$3934,Table4[[#This Row],[customer_id]])</f>
        <v>7</v>
      </c>
      <c r="N1088" t="str">
        <f>IF(Table4[[#This Row],[customer_order_count]]=1,"New Customer","Repeat Customer")</f>
        <v>Repeat Customer</v>
      </c>
    </row>
    <row r="1089" spans="1:14">
      <c r="A1089" t="s">
        <v>3772</v>
      </c>
      <c r="B1089" s="1">
        <v>45538</v>
      </c>
      <c r="C1089" t="s">
        <v>3008</v>
      </c>
      <c r="D1089" t="s">
        <v>99</v>
      </c>
      <c r="E1089" t="s">
        <v>21</v>
      </c>
      <c r="F1089" t="s">
        <v>14</v>
      </c>
      <c r="G1089" t="s">
        <v>39</v>
      </c>
      <c r="H1089">
        <v>1</v>
      </c>
      <c r="I1089" s="3">
        <v>24.82</v>
      </c>
      <c r="J1089" t="s">
        <v>16</v>
      </c>
      <c r="K1089" t="s">
        <v>35</v>
      </c>
      <c r="L1089" s="4">
        <f>Table4[[#This Row],[quantity]]*Table4[[#This Row],[unit_price]]</f>
        <v>24.82</v>
      </c>
      <c r="M1089">
        <f>COUNTIFS($C$2:$C$3934,Table4[[#This Row],[customer_id]])</f>
        <v>3</v>
      </c>
      <c r="N1089" t="str">
        <f>IF(Table4[[#This Row],[customer_order_count]]=1,"New Customer","Repeat Customer")</f>
        <v>Repeat Customer</v>
      </c>
    </row>
    <row r="1090" spans="1:14">
      <c r="A1090" t="s">
        <v>4313</v>
      </c>
      <c r="B1090" s="1">
        <v>45257</v>
      </c>
      <c r="C1090" t="s">
        <v>437</v>
      </c>
      <c r="D1090" t="s">
        <v>438</v>
      </c>
      <c r="E1090" t="s">
        <v>21</v>
      </c>
      <c r="F1090" t="s">
        <v>79</v>
      </c>
      <c r="G1090" t="s">
        <v>204</v>
      </c>
      <c r="H1090">
        <v>1</v>
      </c>
      <c r="I1090" s="3">
        <v>24.82</v>
      </c>
      <c r="J1090" t="s">
        <v>16</v>
      </c>
      <c r="K1090" t="s">
        <v>30</v>
      </c>
      <c r="L1090" s="4">
        <f>Table4[[#This Row],[quantity]]*Table4[[#This Row],[unit_price]]</f>
        <v>24.82</v>
      </c>
      <c r="M1090">
        <f>COUNTIFS($C$2:$C$3934,Table4[[#This Row],[customer_id]])</f>
        <v>7</v>
      </c>
      <c r="N1090" t="str">
        <f>IF(Table4[[#This Row],[customer_order_count]]=1,"New Customer","Repeat Customer")</f>
        <v>Repeat Customer</v>
      </c>
    </row>
    <row r="1091" spans="1:14">
      <c r="A1091" t="s">
        <v>2641</v>
      </c>
      <c r="B1091" s="1">
        <v>45071</v>
      </c>
      <c r="C1091" t="s">
        <v>2067</v>
      </c>
      <c r="D1091" t="s">
        <v>165</v>
      </c>
      <c r="E1091" t="s">
        <v>21</v>
      </c>
      <c r="F1091" t="s">
        <v>22</v>
      </c>
      <c r="G1091" t="s">
        <v>23</v>
      </c>
      <c r="H1091">
        <v>1</v>
      </c>
      <c r="I1091" s="3">
        <v>24.83</v>
      </c>
      <c r="J1091" t="s">
        <v>16</v>
      </c>
      <c r="K1091" t="s">
        <v>40</v>
      </c>
      <c r="L1091" s="4">
        <f>Table4[[#This Row],[quantity]]*Table4[[#This Row],[unit_price]]</f>
        <v>24.83</v>
      </c>
      <c r="M1091">
        <f>COUNTIFS($C$2:$C$3934,Table4[[#This Row],[customer_id]])</f>
        <v>4</v>
      </c>
      <c r="N1091" t="str">
        <f>IF(Table4[[#This Row],[customer_order_count]]=1,"New Customer","Repeat Customer")</f>
        <v>Repeat Customer</v>
      </c>
    </row>
    <row r="1092" spans="1:14">
      <c r="A1092" t="s">
        <v>167</v>
      </c>
      <c r="B1092" s="1">
        <v>45560</v>
      </c>
      <c r="C1092" t="s">
        <v>168</v>
      </c>
      <c r="D1092" t="s">
        <v>169</v>
      </c>
      <c r="E1092" t="s">
        <v>21</v>
      </c>
      <c r="F1092" t="s">
        <v>70</v>
      </c>
      <c r="G1092" t="s">
        <v>170</v>
      </c>
      <c r="H1092">
        <v>2</v>
      </c>
      <c r="I1092" s="3">
        <v>24.84</v>
      </c>
      <c r="J1092" t="s">
        <v>16</v>
      </c>
      <c r="K1092" t="s">
        <v>40</v>
      </c>
      <c r="L1092" s="4">
        <f>Table4[[#This Row],[quantity]]*Table4[[#This Row],[unit_price]]</f>
        <v>49.68</v>
      </c>
      <c r="M1092">
        <f>COUNTIFS($C$2:$C$3934,Table4[[#This Row],[customer_id]])</f>
        <v>6</v>
      </c>
      <c r="N1092" t="str">
        <f>IF(Table4[[#This Row],[customer_order_count]]=1,"New Customer","Repeat Customer")</f>
        <v>Repeat Customer</v>
      </c>
    </row>
    <row r="1093" spans="1:14">
      <c r="A1093" t="s">
        <v>1251</v>
      </c>
      <c r="B1093" s="1">
        <v>45337</v>
      </c>
      <c r="C1093" t="s">
        <v>1252</v>
      </c>
      <c r="D1093" t="s">
        <v>281</v>
      </c>
      <c r="E1093" t="s">
        <v>21</v>
      </c>
      <c r="F1093" t="s">
        <v>66</v>
      </c>
      <c r="G1093" t="s">
        <v>238</v>
      </c>
      <c r="H1093">
        <v>1</v>
      </c>
      <c r="I1093" s="3">
        <v>24.85</v>
      </c>
      <c r="J1093" t="s">
        <v>16</v>
      </c>
      <c r="K1093" t="s">
        <v>30</v>
      </c>
      <c r="L1093" s="4">
        <f>Table4[[#This Row],[quantity]]*Table4[[#This Row],[unit_price]]</f>
        <v>24.85</v>
      </c>
      <c r="M1093">
        <f>COUNTIFS($C$2:$C$3934,Table4[[#This Row],[customer_id]])</f>
        <v>6</v>
      </c>
      <c r="N1093" t="str">
        <f>IF(Table4[[#This Row],[customer_order_count]]=1,"New Customer","Repeat Customer")</f>
        <v>Repeat Customer</v>
      </c>
    </row>
    <row r="1094" spans="1:14">
      <c r="A1094" t="s">
        <v>4278</v>
      </c>
      <c r="B1094" s="1">
        <v>45565</v>
      </c>
      <c r="C1094" t="s">
        <v>512</v>
      </c>
      <c r="D1094" t="s">
        <v>513</v>
      </c>
      <c r="E1094" t="s">
        <v>21</v>
      </c>
      <c r="F1094" t="s">
        <v>28</v>
      </c>
      <c r="G1094" t="s">
        <v>139</v>
      </c>
      <c r="H1094">
        <v>1</v>
      </c>
      <c r="I1094" s="3">
        <v>24.85</v>
      </c>
      <c r="J1094" t="s">
        <v>16</v>
      </c>
      <c r="K1094" t="s">
        <v>30</v>
      </c>
      <c r="L1094" s="4">
        <f>Table4[[#This Row],[quantity]]*Table4[[#This Row],[unit_price]]</f>
        <v>24.85</v>
      </c>
      <c r="M1094">
        <f>COUNTIFS($C$2:$C$3934,Table4[[#This Row],[customer_id]])</f>
        <v>5</v>
      </c>
      <c r="N1094" t="str">
        <f>IF(Table4[[#This Row],[customer_order_count]]=1,"New Customer","Repeat Customer")</f>
        <v>Repeat Customer</v>
      </c>
    </row>
    <row r="1095" spans="1:14">
      <c r="A1095" t="s">
        <v>5200</v>
      </c>
      <c r="B1095" s="1">
        <v>45325</v>
      </c>
      <c r="C1095" t="s">
        <v>1205</v>
      </c>
      <c r="D1095" t="s">
        <v>372</v>
      </c>
      <c r="E1095" t="s">
        <v>44</v>
      </c>
      <c r="F1095" t="s">
        <v>66</v>
      </c>
      <c r="G1095" t="s">
        <v>49</v>
      </c>
      <c r="H1095">
        <v>3</v>
      </c>
      <c r="I1095" s="3">
        <v>24.85</v>
      </c>
      <c r="J1095" t="s">
        <v>255</v>
      </c>
      <c r="K1095" t="s">
        <v>35</v>
      </c>
      <c r="L1095" s="4">
        <f>Table4[[#This Row],[quantity]]*Table4[[#This Row],[unit_price]]</f>
        <v>74.550000000000011</v>
      </c>
      <c r="M1095">
        <f>COUNTIFS($C$2:$C$3934,Table4[[#This Row],[customer_id]])</f>
        <v>4</v>
      </c>
      <c r="N1095" t="str">
        <f>IF(Table4[[#This Row],[customer_order_count]]=1,"New Customer","Repeat Customer")</f>
        <v>Repeat Customer</v>
      </c>
    </row>
    <row r="1096" spans="1:14">
      <c r="A1096" t="s">
        <v>4369</v>
      </c>
      <c r="B1096" s="1">
        <v>45258</v>
      </c>
      <c r="C1096" t="s">
        <v>419</v>
      </c>
      <c r="D1096" t="s">
        <v>420</v>
      </c>
      <c r="E1096" t="s">
        <v>21</v>
      </c>
      <c r="F1096" t="s">
        <v>66</v>
      </c>
      <c r="G1096" t="s">
        <v>217</v>
      </c>
      <c r="H1096">
        <v>1</v>
      </c>
      <c r="I1096" s="3">
        <v>24.89</v>
      </c>
      <c r="J1096" t="s">
        <v>16</v>
      </c>
      <c r="K1096" t="s">
        <v>17</v>
      </c>
      <c r="L1096" s="4">
        <f>Table4[[#This Row],[quantity]]*Table4[[#This Row],[unit_price]]</f>
        <v>24.89</v>
      </c>
      <c r="M1096">
        <f>COUNTIFS($C$2:$C$3934,Table4[[#This Row],[customer_id]])</f>
        <v>5</v>
      </c>
      <c r="N1096" t="str">
        <f>IF(Table4[[#This Row],[customer_order_count]]=1,"New Customer","Repeat Customer")</f>
        <v>Repeat Customer</v>
      </c>
    </row>
    <row r="1097" spans="1:14">
      <c r="A1097" t="s">
        <v>3657</v>
      </c>
      <c r="B1097" s="1">
        <v>45073</v>
      </c>
      <c r="C1097" t="s">
        <v>2088</v>
      </c>
      <c r="D1097" t="s">
        <v>435</v>
      </c>
      <c r="E1097" t="s">
        <v>21</v>
      </c>
      <c r="F1097" t="s">
        <v>66</v>
      </c>
      <c r="G1097" t="s">
        <v>128</v>
      </c>
      <c r="H1097">
        <v>1</v>
      </c>
      <c r="I1097" s="3">
        <v>24.9</v>
      </c>
      <c r="J1097" t="s">
        <v>255</v>
      </c>
      <c r="K1097" t="s">
        <v>40</v>
      </c>
      <c r="L1097" s="4">
        <f>Table4[[#This Row],[quantity]]*Table4[[#This Row],[unit_price]]</f>
        <v>24.9</v>
      </c>
      <c r="M1097">
        <f>COUNTIFS($C$2:$C$3934,Table4[[#This Row],[customer_id]])</f>
        <v>9</v>
      </c>
      <c r="N1097" t="str">
        <f>IF(Table4[[#This Row],[customer_order_count]]=1,"New Customer","Repeat Customer")</f>
        <v>Repeat Customer</v>
      </c>
    </row>
    <row r="1098" spans="1:14">
      <c r="A1098" t="s">
        <v>2695</v>
      </c>
      <c r="B1098" s="1">
        <v>45587</v>
      </c>
      <c r="C1098" t="s">
        <v>458</v>
      </c>
      <c r="D1098" s="2" t="s">
        <v>5257</v>
      </c>
      <c r="E1098" t="s">
        <v>21</v>
      </c>
      <c r="F1098" t="s">
        <v>14</v>
      </c>
      <c r="G1098" t="s">
        <v>100</v>
      </c>
      <c r="H1098">
        <v>3</v>
      </c>
      <c r="I1098" s="3">
        <v>24.93</v>
      </c>
      <c r="J1098" t="s">
        <v>16</v>
      </c>
      <c r="K1098" t="s">
        <v>30</v>
      </c>
      <c r="L1098" s="4">
        <f>Table4[[#This Row],[quantity]]*Table4[[#This Row],[unit_price]]</f>
        <v>74.789999999999992</v>
      </c>
      <c r="M1098">
        <f>COUNTIFS($C$2:$C$3934,Table4[[#This Row],[customer_id]])</f>
        <v>4</v>
      </c>
      <c r="N1098" t="str">
        <f>IF(Table4[[#This Row],[customer_order_count]]=1,"New Customer","Repeat Customer")</f>
        <v>Repeat Customer</v>
      </c>
    </row>
    <row r="1099" spans="1:14">
      <c r="A1099" t="s">
        <v>4398</v>
      </c>
      <c r="B1099" s="1">
        <v>45613</v>
      </c>
      <c r="C1099" t="s">
        <v>3234</v>
      </c>
      <c r="D1099" s="2" t="s">
        <v>5257</v>
      </c>
      <c r="E1099" t="s">
        <v>21</v>
      </c>
      <c r="F1099" t="s">
        <v>14</v>
      </c>
      <c r="G1099" t="s">
        <v>34</v>
      </c>
      <c r="H1099">
        <v>4</v>
      </c>
      <c r="I1099" s="3">
        <v>24.96</v>
      </c>
      <c r="J1099" t="s">
        <v>24</v>
      </c>
      <c r="K1099" t="s">
        <v>30</v>
      </c>
      <c r="L1099" s="4">
        <f>Table4[[#This Row],[quantity]]*Table4[[#This Row],[unit_price]]</f>
        <v>99.84</v>
      </c>
      <c r="M1099">
        <f>COUNTIFS($C$2:$C$3934,Table4[[#This Row],[customer_id]])</f>
        <v>4</v>
      </c>
      <c r="N1099" t="str">
        <f>IF(Table4[[#This Row],[customer_order_count]]=1,"New Customer","Repeat Customer")</f>
        <v>Repeat Customer</v>
      </c>
    </row>
    <row r="1100" spans="1:14">
      <c r="A1100" t="s">
        <v>4099</v>
      </c>
      <c r="B1100" s="1">
        <v>45365</v>
      </c>
      <c r="C1100" t="s">
        <v>1575</v>
      </c>
      <c r="D1100" s="2" t="s">
        <v>5257</v>
      </c>
      <c r="E1100" t="s">
        <v>44</v>
      </c>
      <c r="F1100" t="s">
        <v>70</v>
      </c>
      <c r="G1100" t="s">
        <v>110</v>
      </c>
      <c r="H1100">
        <v>1</v>
      </c>
      <c r="I1100" s="3">
        <v>24.97</v>
      </c>
      <c r="J1100" t="s">
        <v>16</v>
      </c>
      <c r="K1100" t="s">
        <v>40</v>
      </c>
      <c r="L1100" s="4">
        <f>Table4[[#This Row],[quantity]]*Table4[[#This Row],[unit_price]]</f>
        <v>24.97</v>
      </c>
      <c r="M1100">
        <f>COUNTIFS($C$2:$C$3934,Table4[[#This Row],[customer_id]])</f>
        <v>5</v>
      </c>
      <c r="N1100" t="str">
        <f>IF(Table4[[#This Row],[customer_order_count]]=1,"New Customer","Repeat Customer")</f>
        <v>Repeat Customer</v>
      </c>
    </row>
    <row r="1101" spans="1:14">
      <c r="A1101" t="s">
        <v>4713</v>
      </c>
      <c r="B1101" s="1">
        <v>45401</v>
      </c>
      <c r="C1101" t="s">
        <v>335</v>
      </c>
      <c r="D1101" s="5" t="s">
        <v>213</v>
      </c>
      <c r="E1101" t="s">
        <v>21</v>
      </c>
      <c r="F1101" t="s">
        <v>28</v>
      </c>
      <c r="G1101" t="s">
        <v>139</v>
      </c>
      <c r="H1101">
        <v>1</v>
      </c>
      <c r="I1101" s="3">
        <v>24.97</v>
      </c>
      <c r="J1101" t="s">
        <v>16</v>
      </c>
      <c r="K1101" t="s">
        <v>35</v>
      </c>
      <c r="L1101" s="4">
        <f>Table4[[#This Row],[quantity]]*Table4[[#This Row],[unit_price]]</f>
        <v>24.97</v>
      </c>
      <c r="M1101">
        <f>COUNTIFS($C$2:$C$3934,Table4[[#This Row],[customer_id]])</f>
        <v>4</v>
      </c>
      <c r="N1101" t="str">
        <f>IF(Table4[[#This Row],[customer_order_count]]=1,"New Customer","Repeat Customer")</f>
        <v>Repeat Customer</v>
      </c>
    </row>
    <row r="1102" spans="1:14">
      <c r="A1102" t="s">
        <v>4869</v>
      </c>
      <c r="B1102" s="1">
        <v>45473</v>
      </c>
      <c r="C1102" t="s">
        <v>973</v>
      </c>
      <c r="D1102" t="s">
        <v>496</v>
      </c>
      <c r="E1102" t="s">
        <v>21</v>
      </c>
      <c r="F1102" t="s">
        <v>66</v>
      </c>
      <c r="G1102" t="s">
        <v>67</v>
      </c>
      <c r="H1102">
        <v>2</v>
      </c>
      <c r="I1102" s="3">
        <v>24.98</v>
      </c>
      <c r="J1102" t="s">
        <v>16</v>
      </c>
      <c r="K1102" s="2" t="s">
        <v>5256</v>
      </c>
      <c r="L1102" s="4">
        <f>Table4[[#This Row],[quantity]]*Table4[[#This Row],[unit_price]]</f>
        <v>49.96</v>
      </c>
      <c r="M1102">
        <f>COUNTIFS($C$2:$C$3934,Table4[[#This Row],[customer_id]])</f>
        <v>5</v>
      </c>
      <c r="N1102" t="str">
        <f>IF(Table4[[#This Row],[customer_order_count]]=1,"New Customer","Repeat Customer")</f>
        <v>Repeat Customer</v>
      </c>
    </row>
    <row r="1103" spans="1:14">
      <c r="A1103" t="s">
        <v>1001</v>
      </c>
      <c r="B1103" s="1">
        <v>45305</v>
      </c>
      <c r="C1103" t="s">
        <v>183</v>
      </c>
      <c r="D1103" t="s">
        <v>857</v>
      </c>
      <c r="E1103" t="s">
        <v>21</v>
      </c>
      <c r="F1103" t="s">
        <v>28</v>
      </c>
      <c r="G1103" t="s">
        <v>114</v>
      </c>
      <c r="H1103">
        <v>4</v>
      </c>
      <c r="I1103" s="3">
        <v>24.98</v>
      </c>
      <c r="J1103" t="s">
        <v>16</v>
      </c>
      <c r="K1103" s="5" t="s">
        <v>40</v>
      </c>
      <c r="L1103" s="4">
        <f>Table4[[#This Row],[quantity]]*Table4[[#This Row],[unit_price]]</f>
        <v>99.92</v>
      </c>
      <c r="M1103">
        <f>COUNTIFS($C$2:$C$3934,Table4[[#This Row],[customer_id]])</f>
        <v>7</v>
      </c>
      <c r="N1103" t="str">
        <f>IF(Table4[[#This Row],[customer_order_count]]=1,"New Customer","Repeat Customer")</f>
        <v>Repeat Customer</v>
      </c>
    </row>
    <row r="1104" spans="1:14">
      <c r="A1104" t="s">
        <v>618</v>
      </c>
      <c r="B1104" s="1">
        <v>45297</v>
      </c>
      <c r="C1104" t="s">
        <v>619</v>
      </c>
      <c r="D1104" t="s">
        <v>620</v>
      </c>
      <c r="E1104" t="s">
        <v>21</v>
      </c>
      <c r="F1104" t="s">
        <v>66</v>
      </c>
      <c r="G1104" t="s">
        <v>128</v>
      </c>
      <c r="H1104">
        <v>1</v>
      </c>
      <c r="I1104" s="3">
        <v>25.01</v>
      </c>
      <c r="J1104" t="s">
        <v>16</v>
      </c>
      <c r="K1104" t="s">
        <v>17</v>
      </c>
      <c r="L1104" s="4">
        <f>Table4[[#This Row],[quantity]]*Table4[[#This Row],[unit_price]]</f>
        <v>25.01</v>
      </c>
      <c r="M1104">
        <f>COUNTIFS($C$2:$C$3934,Table4[[#This Row],[customer_id]])</f>
        <v>4</v>
      </c>
      <c r="N1104" t="str">
        <f>IF(Table4[[#This Row],[customer_order_count]]=1,"New Customer","Repeat Customer")</f>
        <v>Repeat Customer</v>
      </c>
    </row>
    <row r="1105" spans="1:14">
      <c r="A1105" t="s">
        <v>2325</v>
      </c>
      <c r="B1105" s="1">
        <v>45512</v>
      </c>
      <c r="C1105" t="s">
        <v>2326</v>
      </c>
      <c r="D1105" t="s">
        <v>962</v>
      </c>
      <c r="E1105" t="s">
        <v>21</v>
      </c>
      <c r="F1105" t="s">
        <v>22</v>
      </c>
      <c r="G1105" t="s">
        <v>264</v>
      </c>
      <c r="H1105">
        <v>1</v>
      </c>
      <c r="I1105" s="3">
        <v>25.01</v>
      </c>
      <c r="J1105" t="s">
        <v>24</v>
      </c>
      <c r="K1105" t="s">
        <v>17</v>
      </c>
      <c r="L1105" s="4">
        <f>Table4[[#This Row],[quantity]]*Table4[[#This Row],[unit_price]]</f>
        <v>25.01</v>
      </c>
      <c r="M1105">
        <f>COUNTIFS($C$2:$C$3934,Table4[[#This Row],[customer_id]])</f>
        <v>2</v>
      </c>
      <c r="N1105" t="str">
        <f>IF(Table4[[#This Row],[customer_order_count]]=1,"New Customer","Repeat Customer")</f>
        <v>Repeat Customer</v>
      </c>
    </row>
    <row r="1106" spans="1:14">
      <c r="A1106" t="s">
        <v>2841</v>
      </c>
      <c r="B1106" s="1">
        <v>45073</v>
      </c>
      <c r="C1106" t="s">
        <v>1989</v>
      </c>
      <c r="D1106" t="s">
        <v>340</v>
      </c>
      <c r="E1106" t="s">
        <v>21</v>
      </c>
      <c r="F1106" t="s">
        <v>56</v>
      </c>
      <c r="G1106" t="s">
        <v>57</v>
      </c>
      <c r="H1106">
        <v>2</v>
      </c>
      <c r="I1106" s="3">
        <v>25.02</v>
      </c>
      <c r="J1106" t="s">
        <v>16</v>
      </c>
      <c r="K1106" t="s">
        <v>17</v>
      </c>
      <c r="L1106" s="4">
        <f>Table4[[#This Row],[quantity]]*Table4[[#This Row],[unit_price]]</f>
        <v>50.04</v>
      </c>
      <c r="M1106">
        <f>COUNTIFS($C$2:$C$3934,Table4[[#This Row],[customer_id]])</f>
        <v>8</v>
      </c>
      <c r="N1106" t="str">
        <f>IF(Table4[[#This Row],[customer_order_count]]=1,"New Customer","Repeat Customer")</f>
        <v>Repeat Customer</v>
      </c>
    </row>
    <row r="1107" spans="1:14">
      <c r="A1107" t="s">
        <v>4714</v>
      </c>
      <c r="B1107" s="1">
        <v>45392</v>
      </c>
      <c r="C1107" t="s">
        <v>1735</v>
      </c>
      <c r="D1107" t="s">
        <v>1736</v>
      </c>
      <c r="E1107" t="s">
        <v>21</v>
      </c>
      <c r="F1107" t="s">
        <v>66</v>
      </c>
      <c r="G1107" t="s">
        <v>217</v>
      </c>
      <c r="H1107">
        <v>1</v>
      </c>
      <c r="I1107" s="3">
        <v>25.03</v>
      </c>
      <c r="J1107" t="s">
        <v>85</v>
      </c>
      <c r="K1107" t="s">
        <v>30</v>
      </c>
      <c r="L1107" s="4">
        <f>Table4[[#This Row],[quantity]]*Table4[[#This Row],[unit_price]]</f>
        <v>25.03</v>
      </c>
      <c r="M1107">
        <f>COUNTIFS($C$2:$C$3934,Table4[[#This Row],[customer_id]])</f>
        <v>3</v>
      </c>
      <c r="N1107" t="str">
        <f>IF(Table4[[#This Row],[customer_order_count]]=1,"New Customer","Repeat Customer")</f>
        <v>Repeat Customer</v>
      </c>
    </row>
    <row r="1108" spans="1:14">
      <c r="A1108" t="s">
        <v>1089</v>
      </c>
      <c r="B1108" s="1">
        <v>45433</v>
      </c>
      <c r="C1108" t="s">
        <v>1090</v>
      </c>
      <c r="D1108" t="s">
        <v>1091</v>
      </c>
      <c r="E1108" t="s">
        <v>44</v>
      </c>
      <c r="F1108" t="s">
        <v>66</v>
      </c>
      <c r="G1108" t="s">
        <v>217</v>
      </c>
      <c r="H1108">
        <v>1</v>
      </c>
      <c r="I1108" s="3">
        <v>25.03</v>
      </c>
      <c r="J1108" t="s">
        <v>16</v>
      </c>
      <c r="K1108" t="s">
        <v>30</v>
      </c>
      <c r="L1108" s="4">
        <f>Table4[[#This Row],[quantity]]*Table4[[#This Row],[unit_price]]</f>
        <v>25.03</v>
      </c>
      <c r="M1108">
        <f>COUNTIFS($C$2:$C$3934,Table4[[#This Row],[customer_id]])</f>
        <v>4</v>
      </c>
      <c r="N1108" t="str">
        <f>IF(Table4[[#This Row],[customer_order_count]]=1,"New Customer","Repeat Customer")</f>
        <v>Repeat Customer</v>
      </c>
    </row>
    <row r="1109" spans="1:14">
      <c r="A1109" t="s">
        <v>2714</v>
      </c>
      <c r="B1109" s="1">
        <v>45098</v>
      </c>
      <c r="C1109" t="s">
        <v>2715</v>
      </c>
      <c r="D1109" t="s">
        <v>1331</v>
      </c>
      <c r="E1109" t="s">
        <v>61</v>
      </c>
      <c r="F1109" t="s">
        <v>56</v>
      </c>
      <c r="G1109" t="s">
        <v>75</v>
      </c>
      <c r="H1109">
        <v>2</v>
      </c>
      <c r="I1109" s="3">
        <v>25.03</v>
      </c>
      <c r="J1109" t="s">
        <v>16</v>
      </c>
      <c r="K1109" t="s">
        <v>30</v>
      </c>
      <c r="L1109" s="4">
        <f>Table4[[#This Row],[quantity]]*Table4[[#This Row],[unit_price]]</f>
        <v>50.06</v>
      </c>
      <c r="M1109">
        <f>COUNTIFS($C$2:$C$3934,Table4[[#This Row],[customer_id]])</f>
        <v>1</v>
      </c>
      <c r="N1109" t="str">
        <f>IF(Table4[[#This Row],[customer_order_count]]=1,"New Customer","Repeat Customer")</f>
        <v>New Customer</v>
      </c>
    </row>
    <row r="1110" spans="1:14">
      <c r="A1110" t="s">
        <v>5121</v>
      </c>
      <c r="B1110" s="1">
        <v>45029</v>
      </c>
      <c r="C1110" t="s">
        <v>864</v>
      </c>
      <c r="D1110" t="s">
        <v>88</v>
      </c>
      <c r="E1110" t="s">
        <v>61</v>
      </c>
      <c r="F1110" t="s">
        <v>66</v>
      </c>
      <c r="G1110" t="s">
        <v>238</v>
      </c>
      <c r="H1110">
        <v>1</v>
      </c>
      <c r="I1110" s="3">
        <v>25.04</v>
      </c>
      <c r="J1110" t="s">
        <v>16</v>
      </c>
      <c r="K1110" t="s">
        <v>30</v>
      </c>
      <c r="L1110" s="4">
        <f>Table4[[#This Row],[quantity]]*Table4[[#This Row],[unit_price]]</f>
        <v>25.04</v>
      </c>
      <c r="M1110">
        <f>COUNTIFS($C$2:$C$3934,Table4[[#This Row],[customer_id]])</f>
        <v>5</v>
      </c>
      <c r="N1110" t="str">
        <f>IF(Table4[[#This Row],[customer_order_count]]=1,"New Customer","Repeat Customer")</f>
        <v>Repeat Customer</v>
      </c>
    </row>
    <row r="1111" spans="1:14">
      <c r="A1111" t="s">
        <v>898</v>
      </c>
      <c r="B1111" s="1">
        <v>45407</v>
      </c>
      <c r="C1111" t="s">
        <v>835</v>
      </c>
      <c r="D1111" t="s">
        <v>836</v>
      </c>
      <c r="E1111" t="s">
        <v>21</v>
      </c>
      <c r="F1111" t="s">
        <v>22</v>
      </c>
      <c r="G1111" t="s">
        <v>162</v>
      </c>
      <c r="H1111">
        <v>1</v>
      </c>
      <c r="I1111" s="3">
        <v>25.05</v>
      </c>
      <c r="J1111" t="s">
        <v>85</v>
      </c>
      <c r="K1111" t="s">
        <v>17</v>
      </c>
      <c r="L1111" s="4">
        <f>Table4[[#This Row],[quantity]]*Table4[[#This Row],[unit_price]]</f>
        <v>25.05</v>
      </c>
      <c r="M1111">
        <f>COUNTIFS($C$2:$C$3934,Table4[[#This Row],[customer_id]])</f>
        <v>2</v>
      </c>
      <c r="N1111" t="str">
        <f>IF(Table4[[#This Row],[customer_order_count]]=1,"New Customer","Repeat Customer")</f>
        <v>Repeat Customer</v>
      </c>
    </row>
    <row r="1112" spans="1:14">
      <c r="A1112" t="s">
        <v>3453</v>
      </c>
      <c r="B1112" s="1">
        <v>45513</v>
      </c>
      <c r="C1112" t="s">
        <v>1573</v>
      </c>
      <c r="D1112" t="s">
        <v>693</v>
      </c>
      <c r="E1112" t="s">
        <v>21</v>
      </c>
      <c r="F1112" t="s">
        <v>66</v>
      </c>
      <c r="G1112" t="s">
        <v>128</v>
      </c>
      <c r="H1112">
        <v>1</v>
      </c>
      <c r="I1112" s="3">
        <v>25.06</v>
      </c>
      <c r="J1112" t="s">
        <v>16</v>
      </c>
      <c r="K1112" t="s">
        <v>17</v>
      </c>
      <c r="L1112" s="4">
        <f>Table4[[#This Row],[quantity]]*Table4[[#This Row],[unit_price]]</f>
        <v>25.06</v>
      </c>
      <c r="M1112">
        <f>COUNTIFS($C$2:$C$3934,Table4[[#This Row],[customer_id]])</f>
        <v>7</v>
      </c>
      <c r="N1112" t="str">
        <f>IF(Table4[[#This Row],[customer_order_count]]=1,"New Customer","Repeat Customer")</f>
        <v>Repeat Customer</v>
      </c>
    </row>
    <row r="1113" spans="1:14">
      <c r="A1113" t="s">
        <v>889</v>
      </c>
      <c r="B1113" s="1">
        <v>44927</v>
      </c>
      <c r="C1113" t="s">
        <v>890</v>
      </c>
      <c r="D1113" t="s">
        <v>891</v>
      </c>
      <c r="E1113" t="s">
        <v>21</v>
      </c>
      <c r="F1113" t="s">
        <v>79</v>
      </c>
      <c r="G1113" t="s">
        <v>96</v>
      </c>
      <c r="H1113">
        <v>1</v>
      </c>
      <c r="I1113" s="3">
        <v>25.07</v>
      </c>
      <c r="J1113" t="s">
        <v>24</v>
      </c>
      <c r="K1113" t="s">
        <v>40</v>
      </c>
      <c r="L1113" s="4">
        <f>Table4[[#This Row],[quantity]]*Table4[[#This Row],[unit_price]]</f>
        <v>25.07</v>
      </c>
      <c r="M1113">
        <f>COUNTIFS($C$2:$C$3934,Table4[[#This Row],[customer_id]])</f>
        <v>3</v>
      </c>
      <c r="N1113" t="str">
        <f>IF(Table4[[#This Row],[customer_order_count]]=1,"New Customer","Repeat Customer")</f>
        <v>Repeat Customer</v>
      </c>
    </row>
    <row r="1114" spans="1:14">
      <c r="A1114" t="s">
        <v>1871</v>
      </c>
      <c r="B1114" s="1">
        <v>44957</v>
      </c>
      <c r="C1114" t="s">
        <v>777</v>
      </c>
      <c r="D1114" t="s">
        <v>778</v>
      </c>
      <c r="E1114" t="s">
        <v>44</v>
      </c>
      <c r="F1114" t="s">
        <v>66</v>
      </c>
      <c r="G1114" t="s">
        <v>128</v>
      </c>
      <c r="H1114">
        <v>1</v>
      </c>
      <c r="I1114" s="3">
        <v>25.08</v>
      </c>
      <c r="J1114" t="s">
        <v>16</v>
      </c>
      <c r="K1114" t="s">
        <v>35</v>
      </c>
      <c r="L1114" s="4">
        <f>Table4[[#This Row],[quantity]]*Table4[[#This Row],[unit_price]]</f>
        <v>25.08</v>
      </c>
      <c r="M1114">
        <f>COUNTIFS($C$2:$C$3934,Table4[[#This Row],[customer_id]])</f>
        <v>3</v>
      </c>
      <c r="N1114" t="str">
        <f>IF(Table4[[#This Row],[customer_order_count]]=1,"New Customer","Repeat Customer")</f>
        <v>Repeat Customer</v>
      </c>
    </row>
    <row r="1115" spans="1:14">
      <c r="A1115" t="s">
        <v>3687</v>
      </c>
      <c r="B1115" s="1">
        <v>45154</v>
      </c>
      <c r="C1115" t="s">
        <v>2922</v>
      </c>
      <c r="D1115" t="s">
        <v>519</v>
      </c>
      <c r="E1115" t="s">
        <v>44</v>
      </c>
      <c r="F1115" t="s">
        <v>22</v>
      </c>
      <c r="G1115" t="s">
        <v>264</v>
      </c>
      <c r="H1115">
        <v>1</v>
      </c>
      <c r="I1115" s="3">
        <v>25.09</v>
      </c>
      <c r="J1115" t="s">
        <v>16</v>
      </c>
      <c r="K1115" t="s">
        <v>40</v>
      </c>
      <c r="L1115" s="4">
        <f>Table4[[#This Row],[quantity]]*Table4[[#This Row],[unit_price]]</f>
        <v>25.09</v>
      </c>
      <c r="M1115">
        <f>COUNTIFS($C$2:$C$3934,Table4[[#This Row],[customer_id]])</f>
        <v>4</v>
      </c>
      <c r="N1115" t="str">
        <f>IF(Table4[[#This Row],[customer_order_count]]=1,"New Customer","Repeat Customer")</f>
        <v>Repeat Customer</v>
      </c>
    </row>
    <row r="1116" spans="1:14">
      <c r="A1116" t="s">
        <v>3779</v>
      </c>
      <c r="B1116" s="1">
        <v>45493</v>
      </c>
      <c r="C1116" t="s">
        <v>1335</v>
      </c>
      <c r="D1116" t="s">
        <v>1336</v>
      </c>
      <c r="E1116" t="s">
        <v>21</v>
      </c>
      <c r="F1116" t="s">
        <v>28</v>
      </c>
      <c r="G1116" t="s">
        <v>45</v>
      </c>
      <c r="H1116">
        <v>2</v>
      </c>
      <c r="I1116" s="3">
        <v>25.1</v>
      </c>
      <c r="J1116" t="s">
        <v>16</v>
      </c>
      <c r="K1116" t="s">
        <v>35</v>
      </c>
      <c r="L1116" s="4">
        <f>Table4[[#This Row],[quantity]]*Table4[[#This Row],[unit_price]]</f>
        <v>50.2</v>
      </c>
      <c r="M1116">
        <f>COUNTIFS($C$2:$C$3934,Table4[[#This Row],[customer_id]])</f>
        <v>7</v>
      </c>
      <c r="N1116" t="str">
        <f>IF(Table4[[#This Row],[customer_order_count]]=1,"New Customer","Repeat Customer")</f>
        <v>Repeat Customer</v>
      </c>
    </row>
    <row r="1117" spans="1:14">
      <c r="A1117" t="s">
        <v>3367</v>
      </c>
      <c r="B1117" s="1">
        <v>45204</v>
      </c>
      <c r="C1117" t="s">
        <v>739</v>
      </c>
      <c r="D1117" t="s">
        <v>740</v>
      </c>
      <c r="E1117" t="s">
        <v>21</v>
      </c>
      <c r="F1117" t="s">
        <v>28</v>
      </c>
      <c r="G1117" t="s">
        <v>45</v>
      </c>
      <c r="H1117">
        <v>4</v>
      </c>
      <c r="I1117" s="3">
        <v>25.1</v>
      </c>
      <c r="J1117" t="s">
        <v>255</v>
      </c>
      <c r="K1117" t="s">
        <v>30</v>
      </c>
      <c r="L1117" s="4">
        <f>Table4[[#This Row],[quantity]]*Table4[[#This Row],[unit_price]]</f>
        <v>100.4</v>
      </c>
      <c r="M1117">
        <f>COUNTIFS($C$2:$C$3934,Table4[[#This Row],[customer_id]])</f>
        <v>7</v>
      </c>
      <c r="N1117" t="str">
        <f>IF(Table4[[#This Row],[customer_order_count]]=1,"New Customer","Repeat Customer")</f>
        <v>Repeat Customer</v>
      </c>
    </row>
    <row r="1118" spans="1:14">
      <c r="A1118" t="s">
        <v>3575</v>
      </c>
      <c r="B1118" s="1">
        <v>45528</v>
      </c>
      <c r="C1118" t="s">
        <v>1708</v>
      </c>
      <c r="D1118" t="s">
        <v>127</v>
      </c>
      <c r="E1118" t="s">
        <v>21</v>
      </c>
      <c r="F1118" t="s">
        <v>66</v>
      </c>
      <c r="G1118" t="s">
        <v>217</v>
      </c>
      <c r="H1118">
        <v>1</v>
      </c>
      <c r="I1118" s="3">
        <v>25.16</v>
      </c>
      <c r="J1118" t="s">
        <v>16</v>
      </c>
      <c r="K1118" t="s">
        <v>17</v>
      </c>
      <c r="L1118" s="4">
        <f>Table4[[#This Row],[quantity]]*Table4[[#This Row],[unit_price]]</f>
        <v>25.16</v>
      </c>
      <c r="M1118">
        <f>COUNTIFS($C$2:$C$3934,Table4[[#This Row],[customer_id]])</f>
        <v>9</v>
      </c>
      <c r="N1118" t="str">
        <f>IF(Table4[[#This Row],[customer_order_count]]=1,"New Customer","Repeat Customer")</f>
        <v>Repeat Customer</v>
      </c>
    </row>
    <row r="1119" spans="1:14">
      <c r="A1119" t="s">
        <v>2300</v>
      </c>
      <c r="B1119" s="1">
        <v>45005</v>
      </c>
      <c r="C1119" t="s">
        <v>2301</v>
      </c>
      <c r="D1119" t="s">
        <v>1922</v>
      </c>
      <c r="E1119" t="s">
        <v>21</v>
      </c>
      <c r="F1119" t="s">
        <v>79</v>
      </c>
      <c r="G1119" t="s">
        <v>398</v>
      </c>
      <c r="H1119">
        <v>2</v>
      </c>
      <c r="I1119" s="3">
        <v>25.16</v>
      </c>
      <c r="J1119" t="s">
        <v>16</v>
      </c>
      <c r="K1119" t="s">
        <v>30</v>
      </c>
      <c r="L1119" s="4">
        <f>Table4[[#This Row],[quantity]]*Table4[[#This Row],[unit_price]]</f>
        <v>50.32</v>
      </c>
      <c r="M1119">
        <f>COUNTIFS($C$2:$C$3934,Table4[[#This Row],[customer_id]])</f>
        <v>6</v>
      </c>
      <c r="N1119" t="str">
        <f>IF(Table4[[#This Row],[customer_order_count]]=1,"New Customer","Repeat Customer")</f>
        <v>Repeat Customer</v>
      </c>
    </row>
    <row r="1120" spans="1:14">
      <c r="A1120" t="s">
        <v>4310</v>
      </c>
      <c r="B1120" s="1">
        <v>45102</v>
      </c>
      <c r="C1120" t="s">
        <v>1490</v>
      </c>
      <c r="D1120" t="s">
        <v>261</v>
      </c>
      <c r="E1120" t="s">
        <v>21</v>
      </c>
      <c r="F1120" t="s">
        <v>66</v>
      </c>
      <c r="G1120" t="s">
        <v>128</v>
      </c>
      <c r="H1120">
        <v>3</v>
      </c>
      <c r="I1120" s="3">
        <v>25.16</v>
      </c>
      <c r="J1120" t="s">
        <v>16</v>
      </c>
      <c r="K1120" t="s">
        <v>35</v>
      </c>
      <c r="L1120" s="4">
        <f>Table4[[#This Row],[quantity]]*Table4[[#This Row],[unit_price]]</f>
        <v>75.48</v>
      </c>
      <c r="M1120">
        <f>COUNTIFS($C$2:$C$3934,Table4[[#This Row],[customer_id]])</f>
        <v>5</v>
      </c>
      <c r="N1120" t="str">
        <f>IF(Table4[[#This Row],[customer_order_count]]=1,"New Customer","Repeat Customer")</f>
        <v>Repeat Customer</v>
      </c>
    </row>
    <row r="1121" spans="1:14">
      <c r="A1121" t="s">
        <v>4517</v>
      </c>
      <c r="B1121" s="1">
        <v>45450</v>
      </c>
      <c r="C1121" t="s">
        <v>871</v>
      </c>
      <c r="D1121" t="s">
        <v>872</v>
      </c>
      <c r="E1121" t="s">
        <v>21</v>
      </c>
      <c r="F1121" t="s">
        <v>56</v>
      </c>
      <c r="G1121" t="s">
        <v>210</v>
      </c>
      <c r="H1121">
        <v>2</v>
      </c>
      <c r="I1121" s="3">
        <v>25.18</v>
      </c>
      <c r="J1121" t="s">
        <v>16</v>
      </c>
      <c r="K1121" t="s">
        <v>30</v>
      </c>
      <c r="L1121" s="4">
        <f>Table4[[#This Row],[quantity]]*Table4[[#This Row],[unit_price]]</f>
        <v>50.36</v>
      </c>
      <c r="M1121">
        <f>COUNTIFS($C$2:$C$3934,Table4[[#This Row],[customer_id]])</f>
        <v>5</v>
      </c>
      <c r="N1121" t="str">
        <f>IF(Table4[[#This Row],[customer_order_count]]=1,"New Customer","Repeat Customer")</f>
        <v>Repeat Customer</v>
      </c>
    </row>
    <row r="1122" spans="1:14">
      <c r="A1122" t="s">
        <v>605</v>
      </c>
      <c r="B1122" s="1">
        <v>45532</v>
      </c>
      <c r="C1122" t="s">
        <v>606</v>
      </c>
      <c r="D1122" t="s">
        <v>269</v>
      </c>
      <c r="E1122" t="s">
        <v>61</v>
      </c>
      <c r="F1122" t="s">
        <v>28</v>
      </c>
      <c r="G1122" t="s">
        <v>29</v>
      </c>
      <c r="H1122">
        <v>1</v>
      </c>
      <c r="I1122" s="3">
        <v>25.19</v>
      </c>
      <c r="J1122" t="s">
        <v>16</v>
      </c>
      <c r="K1122" t="s">
        <v>17</v>
      </c>
      <c r="L1122" s="4">
        <f>Table4[[#This Row],[quantity]]*Table4[[#This Row],[unit_price]]</f>
        <v>25.19</v>
      </c>
      <c r="M1122">
        <f>COUNTIFS($C$2:$C$3934,Table4[[#This Row],[customer_id]])</f>
        <v>6</v>
      </c>
      <c r="N1122" t="str">
        <f>IF(Table4[[#This Row],[customer_order_count]]=1,"New Customer","Repeat Customer")</f>
        <v>Repeat Customer</v>
      </c>
    </row>
    <row r="1123" spans="1:14">
      <c r="A1123" t="s">
        <v>1377</v>
      </c>
      <c r="B1123" s="1">
        <v>45007</v>
      </c>
      <c r="C1123" t="s">
        <v>838</v>
      </c>
      <c r="D1123" t="s">
        <v>839</v>
      </c>
      <c r="E1123" t="s">
        <v>44</v>
      </c>
      <c r="F1123" t="s">
        <v>66</v>
      </c>
      <c r="G1123" t="s">
        <v>217</v>
      </c>
      <c r="H1123">
        <v>1</v>
      </c>
      <c r="I1123" s="3">
        <v>25.2</v>
      </c>
      <c r="J1123" t="s">
        <v>16</v>
      </c>
      <c r="K1123" t="s">
        <v>35</v>
      </c>
      <c r="L1123" s="4">
        <f>Table4[[#This Row],[quantity]]*Table4[[#This Row],[unit_price]]</f>
        <v>25.2</v>
      </c>
      <c r="M1123">
        <f>COUNTIFS($C$2:$C$3934,Table4[[#This Row],[customer_id]])</f>
        <v>5</v>
      </c>
      <c r="N1123" t="str">
        <f>IF(Table4[[#This Row],[customer_order_count]]=1,"New Customer","Repeat Customer")</f>
        <v>Repeat Customer</v>
      </c>
    </row>
    <row r="1124" spans="1:14">
      <c r="A1124" t="s">
        <v>2559</v>
      </c>
      <c r="B1124" s="1">
        <v>45255</v>
      </c>
      <c r="C1124" t="s">
        <v>2560</v>
      </c>
      <c r="D1124" t="s">
        <v>828</v>
      </c>
      <c r="E1124" t="s">
        <v>44</v>
      </c>
      <c r="F1124" t="s">
        <v>66</v>
      </c>
      <c r="G1124" t="s">
        <v>67</v>
      </c>
      <c r="H1124">
        <v>1</v>
      </c>
      <c r="I1124" s="3">
        <v>25.21</v>
      </c>
      <c r="J1124" t="s">
        <v>16</v>
      </c>
      <c r="K1124" t="s">
        <v>30</v>
      </c>
      <c r="L1124" s="4">
        <f>Table4[[#This Row],[quantity]]*Table4[[#This Row],[unit_price]]</f>
        <v>25.21</v>
      </c>
      <c r="M1124">
        <f>COUNTIFS($C$2:$C$3934,Table4[[#This Row],[customer_id]])</f>
        <v>5</v>
      </c>
      <c r="N1124" t="str">
        <f>IF(Table4[[#This Row],[customer_order_count]]=1,"New Customer","Repeat Customer")</f>
        <v>Repeat Customer</v>
      </c>
    </row>
    <row r="1125" spans="1:14">
      <c r="A1125" t="s">
        <v>3738</v>
      </c>
      <c r="B1125" s="1">
        <v>45053</v>
      </c>
      <c r="C1125" t="s">
        <v>2486</v>
      </c>
      <c r="D1125" t="s">
        <v>253</v>
      </c>
      <c r="E1125" t="s">
        <v>44</v>
      </c>
      <c r="F1125" t="s">
        <v>79</v>
      </c>
      <c r="G1125" t="s">
        <v>541</v>
      </c>
      <c r="H1125">
        <v>1</v>
      </c>
      <c r="I1125" s="3">
        <v>25.23</v>
      </c>
      <c r="J1125" t="s">
        <v>16</v>
      </c>
      <c r="K1125" t="s">
        <v>40</v>
      </c>
      <c r="L1125" s="4">
        <f>Table4[[#This Row],[quantity]]*Table4[[#This Row],[unit_price]]</f>
        <v>25.23</v>
      </c>
      <c r="M1125">
        <f>COUNTIFS($C$2:$C$3934,Table4[[#This Row],[customer_id]])</f>
        <v>3</v>
      </c>
      <c r="N1125" t="str">
        <f>IF(Table4[[#This Row],[customer_order_count]]=1,"New Customer","Repeat Customer")</f>
        <v>Repeat Customer</v>
      </c>
    </row>
    <row r="1126" spans="1:14">
      <c r="A1126" t="s">
        <v>2176</v>
      </c>
      <c r="B1126" s="1">
        <v>44992</v>
      </c>
      <c r="C1126" t="s">
        <v>2177</v>
      </c>
      <c r="D1126" t="s">
        <v>519</v>
      </c>
      <c r="E1126" t="s">
        <v>21</v>
      </c>
      <c r="F1126" t="s">
        <v>28</v>
      </c>
      <c r="G1126" t="s">
        <v>45</v>
      </c>
      <c r="H1126">
        <v>2</v>
      </c>
      <c r="I1126" s="3">
        <v>25.24</v>
      </c>
      <c r="J1126" t="s">
        <v>16</v>
      </c>
      <c r="K1126" t="s">
        <v>35</v>
      </c>
      <c r="L1126" s="4">
        <f>Table4[[#This Row],[quantity]]*Table4[[#This Row],[unit_price]]</f>
        <v>50.48</v>
      </c>
      <c r="M1126">
        <f>COUNTIFS($C$2:$C$3934,Table4[[#This Row],[customer_id]])</f>
        <v>2</v>
      </c>
      <c r="N1126" t="str">
        <f>IF(Table4[[#This Row],[customer_order_count]]=1,"New Customer","Repeat Customer")</f>
        <v>Repeat Customer</v>
      </c>
    </row>
    <row r="1127" spans="1:14">
      <c r="A1127" t="s">
        <v>2202</v>
      </c>
      <c r="B1127" s="1">
        <v>45117</v>
      </c>
      <c r="C1127" t="s">
        <v>724</v>
      </c>
      <c r="D1127" t="s">
        <v>725</v>
      </c>
      <c r="E1127" t="s">
        <v>44</v>
      </c>
      <c r="F1127" t="s">
        <v>70</v>
      </c>
      <c r="G1127" t="s">
        <v>526</v>
      </c>
      <c r="H1127">
        <v>1</v>
      </c>
      <c r="I1127" s="3">
        <v>25.25</v>
      </c>
      <c r="J1127" t="s">
        <v>16</v>
      </c>
      <c r="K1127" t="s">
        <v>17</v>
      </c>
      <c r="L1127" s="4">
        <f>Table4[[#This Row],[quantity]]*Table4[[#This Row],[unit_price]]</f>
        <v>25.25</v>
      </c>
      <c r="M1127">
        <f>COUNTIFS($C$2:$C$3934,Table4[[#This Row],[customer_id]])</f>
        <v>5</v>
      </c>
      <c r="N1127" t="str">
        <f>IF(Table4[[#This Row],[customer_order_count]]=1,"New Customer","Repeat Customer")</f>
        <v>Repeat Customer</v>
      </c>
    </row>
    <row r="1128" spans="1:14">
      <c r="A1128" t="s">
        <v>1598</v>
      </c>
      <c r="B1128" s="1">
        <v>45001</v>
      </c>
      <c r="C1128" t="s">
        <v>1599</v>
      </c>
      <c r="D1128" t="s">
        <v>1600</v>
      </c>
      <c r="E1128" t="s">
        <v>21</v>
      </c>
      <c r="F1128" t="s">
        <v>70</v>
      </c>
      <c r="G1128" t="s">
        <v>146</v>
      </c>
      <c r="H1128">
        <v>1</v>
      </c>
      <c r="I1128" s="3">
        <v>25.29</v>
      </c>
      <c r="J1128" t="s">
        <v>85</v>
      </c>
      <c r="K1128" s="2" t="s">
        <v>5256</v>
      </c>
      <c r="L1128" s="4">
        <f>Table4[[#This Row],[quantity]]*Table4[[#This Row],[unit_price]]</f>
        <v>25.29</v>
      </c>
      <c r="M1128">
        <f>COUNTIFS($C$2:$C$3934,Table4[[#This Row],[customer_id]])</f>
        <v>4</v>
      </c>
      <c r="N1128" t="str">
        <f>IF(Table4[[#This Row],[customer_order_count]]=1,"New Customer","Repeat Customer")</f>
        <v>Repeat Customer</v>
      </c>
    </row>
    <row r="1129" spans="1:14">
      <c r="A1129" t="s">
        <v>3319</v>
      </c>
      <c r="B1129" s="1">
        <v>45228</v>
      </c>
      <c r="C1129" t="s">
        <v>2065</v>
      </c>
      <c r="D1129" t="s">
        <v>1412</v>
      </c>
      <c r="E1129" t="s">
        <v>21</v>
      </c>
      <c r="F1129" t="s">
        <v>66</v>
      </c>
      <c r="G1129" t="s">
        <v>49</v>
      </c>
      <c r="H1129">
        <v>2</v>
      </c>
      <c r="I1129" s="3">
        <v>25.3</v>
      </c>
      <c r="J1129" t="s">
        <v>16</v>
      </c>
      <c r="K1129" s="2" t="s">
        <v>5256</v>
      </c>
      <c r="L1129" s="4">
        <f>Table4[[#This Row],[quantity]]*Table4[[#This Row],[unit_price]]</f>
        <v>50.6</v>
      </c>
      <c r="M1129">
        <f>COUNTIFS($C$2:$C$3934,Table4[[#This Row],[customer_id]])</f>
        <v>4</v>
      </c>
      <c r="N1129" t="str">
        <f>IF(Table4[[#This Row],[customer_order_count]]=1,"New Customer","Repeat Customer")</f>
        <v>Repeat Customer</v>
      </c>
    </row>
    <row r="1130" spans="1:14">
      <c r="A1130" t="s">
        <v>4809</v>
      </c>
      <c r="B1130" s="1">
        <v>45234</v>
      </c>
      <c r="C1130" t="s">
        <v>2139</v>
      </c>
      <c r="D1130" t="s">
        <v>2140</v>
      </c>
      <c r="E1130" t="s">
        <v>21</v>
      </c>
      <c r="F1130" t="s">
        <v>66</v>
      </c>
      <c r="G1130" t="s">
        <v>49</v>
      </c>
      <c r="H1130">
        <v>1</v>
      </c>
      <c r="I1130" s="3">
        <v>25.32</v>
      </c>
      <c r="J1130" t="s">
        <v>16</v>
      </c>
      <c r="K1130" s="5" t="s">
        <v>35</v>
      </c>
      <c r="L1130" s="4">
        <f>Table4[[#This Row],[quantity]]*Table4[[#This Row],[unit_price]]</f>
        <v>25.32</v>
      </c>
      <c r="M1130">
        <f>COUNTIFS($C$2:$C$3934,Table4[[#This Row],[customer_id]])</f>
        <v>6</v>
      </c>
      <c r="N1130" t="str">
        <f>IF(Table4[[#This Row],[customer_order_count]]=1,"New Customer","Repeat Customer")</f>
        <v>Repeat Customer</v>
      </c>
    </row>
    <row r="1131" spans="1:14">
      <c r="A1131" t="s">
        <v>2662</v>
      </c>
      <c r="B1131" s="1">
        <v>44967</v>
      </c>
      <c r="C1131" t="s">
        <v>1710</v>
      </c>
      <c r="D1131" t="s">
        <v>396</v>
      </c>
      <c r="E1131" t="s">
        <v>21</v>
      </c>
      <c r="F1131" t="s">
        <v>66</v>
      </c>
      <c r="G1131" t="s">
        <v>217</v>
      </c>
      <c r="H1131">
        <v>1</v>
      </c>
      <c r="I1131" s="3">
        <v>25.33</v>
      </c>
      <c r="J1131" t="s">
        <v>16</v>
      </c>
      <c r="K1131" t="s">
        <v>40</v>
      </c>
      <c r="L1131" s="4">
        <f>Table4[[#This Row],[quantity]]*Table4[[#This Row],[unit_price]]</f>
        <v>25.33</v>
      </c>
      <c r="M1131">
        <f>COUNTIFS($C$2:$C$3934,Table4[[#This Row],[customer_id]])</f>
        <v>10</v>
      </c>
      <c r="N1131" t="str">
        <f>IF(Table4[[#This Row],[customer_order_count]]=1,"New Customer","Repeat Customer")</f>
        <v>Repeat Customer</v>
      </c>
    </row>
    <row r="1132" spans="1:14">
      <c r="A1132" t="s">
        <v>3429</v>
      </c>
      <c r="B1132" s="1">
        <v>45554</v>
      </c>
      <c r="C1132" t="s">
        <v>69</v>
      </c>
      <c r="D1132" t="s">
        <v>820</v>
      </c>
      <c r="E1132" t="s">
        <v>21</v>
      </c>
      <c r="F1132" t="s">
        <v>22</v>
      </c>
      <c r="G1132" t="s">
        <v>135</v>
      </c>
      <c r="H1132">
        <v>2</v>
      </c>
      <c r="I1132" s="3">
        <v>25.33</v>
      </c>
      <c r="J1132" t="s">
        <v>85</v>
      </c>
      <c r="K1132" t="s">
        <v>17</v>
      </c>
      <c r="L1132" s="4">
        <f>Table4[[#This Row],[quantity]]*Table4[[#This Row],[unit_price]]</f>
        <v>50.66</v>
      </c>
      <c r="M1132">
        <f>COUNTIFS($C$2:$C$3934,Table4[[#This Row],[customer_id]])</f>
        <v>8</v>
      </c>
      <c r="N1132" t="str">
        <f>IF(Table4[[#This Row],[customer_order_count]]=1,"New Customer","Repeat Customer")</f>
        <v>Repeat Customer</v>
      </c>
    </row>
    <row r="1133" spans="1:14">
      <c r="A1133" t="s">
        <v>4966</v>
      </c>
      <c r="B1133" s="1">
        <v>45620</v>
      </c>
      <c r="C1133" t="s">
        <v>1012</v>
      </c>
      <c r="D1133" t="s">
        <v>372</v>
      </c>
      <c r="E1133" t="s">
        <v>21</v>
      </c>
      <c r="F1133" t="s">
        <v>14</v>
      </c>
      <c r="G1133" t="s">
        <v>62</v>
      </c>
      <c r="H1133">
        <v>2</v>
      </c>
      <c r="I1133" s="3">
        <v>25.34</v>
      </c>
      <c r="J1133" t="s">
        <v>255</v>
      </c>
      <c r="K1133" t="s">
        <v>35</v>
      </c>
      <c r="L1133" s="4">
        <f>Table4[[#This Row],[quantity]]*Table4[[#This Row],[unit_price]]</f>
        <v>50.68</v>
      </c>
      <c r="M1133">
        <f>COUNTIFS($C$2:$C$3934,Table4[[#This Row],[customer_id]])</f>
        <v>6</v>
      </c>
      <c r="N1133" t="str">
        <f>IF(Table4[[#This Row],[customer_order_count]]=1,"New Customer","Repeat Customer")</f>
        <v>Repeat Customer</v>
      </c>
    </row>
    <row r="1134" spans="1:14">
      <c r="A1134" t="s">
        <v>2718</v>
      </c>
      <c r="B1134" s="1">
        <v>45006</v>
      </c>
      <c r="C1134" t="s">
        <v>1447</v>
      </c>
      <c r="D1134" t="s">
        <v>55</v>
      </c>
      <c r="E1134" t="s">
        <v>21</v>
      </c>
      <c r="F1134" t="s">
        <v>22</v>
      </c>
      <c r="G1134" t="s">
        <v>135</v>
      </c>
      <c r="H1134">
        <v>1</v>
      </c>
      <c r="I1134" s="3">
        <v>25.35</v>
      </c>
      <c r="J1134" t="s">
        <v>16</v>
      </c>
      <c r="K1134" t="s">
        <v>17</v>
      </c>
      <c r="L1134" s="4">
        <f>Table4[[#This Row],[quantity]]*Table4[[#This Row],[unit_price]]</f>
        <v>25.35</v>
      </c>
      <c r="M1134">
        <f>COUNTIFS($C$2:$C$3934,Table4[[#This Row],[customer_id]])</f>
        <v>7</v>
      </c>
      <c r="N1134" t="str">
        <f>IF(Table4[[#This Row],[customer_order_count]]=1,"New Customer","Repeat Customer")</f>
        <v>Repeat Customer</v>
      </c>
    </row>
    <row r="1135" spans="1:14">
      <c r="A1135" t="s">
        <v>4056</v>
      </c>
      <c r="B1135" s="1">
        <v>45506</v>
      </c>
      <c r="C1135" t="s">
        <v>1330</v>
      </c>
      <c r="D1135" t="s">
        <v>1331</v>
      </c>
      <c r="E1135" t="s">
        <v>21</v>
      </c>
      <c r="F1135" t="s">
        <v>66</v>
      </c>
      <c r="G1135" t="s">
        <v>128</v>
      </c>
      <c r="H1135">
        <v>2</v>
      </c>
      <c r="I1135" s="3">
        <v>25.35</v>
      </c>
      <c r="J1135" t="s">
        <v>16</v>
      </c>
      <c r="K1135" t="s">
        <v>40</v>
      </c>
      <c r="L1135" s="4">
        <f>Table4[[#This Row],[quantity]]*Table4[[#This Row],[unit_price]]</f>
        <v>50.7</v>
      </c>
      <c r="M1135">
        <f>COUNTIFS($C$2:$C$3934,Table4[[#This Row],[customer_id]])</f>
        <v>5</v>
      </c>
      <c r="N1135" t="str">
        <f>IF(Table4[[#This Row],[customer_order_count]]=1,"New Customer","Repeat Customer")</f>
        <v>Repeat Customer</v>
      </c>
    </row>
    <row r="1136" spans="1:14">
      <c r="A1136" t="s">
        <v>2681</v>
      </c>
      <c r="B1136" s="1">
        <v>45021</v>
      </c>
      <c r="C1136" t="s">
        <v>2395</v>
      </c>
      <c r="D1136" t="s">
        <v>92</v>
      </c>
      <c r="E1136" t="s">
        <v>21</v>
      </c>
      <c r="F1136" t="s">
        <v>66</v>
      </c>
      <c r="G1136" t="s">
        <v>67</v>
      </c>
      <c r="H1136">
        <v>2</v>
      </c>
      <c r="I1136" s="3">
        <v>25.37</v>
      </c>
      <c r="J1136" t="s">
        <v>16</v>
      </c>
      <c r="K1136" t="s">
        <v>35</v>
      </c>
      <c r="L1136" s="4">
        <f>Table4[[#This Row],[quantity]]*Table4[[#This Row],[unit_price]]</f>
        <v>50.74</v>
      </c>
      <c r="M1136">
        <f>COUNTIFS($C$2:$C$3934,Table4[[#This Row],[customer_id]])</f>
        <v>7</v>
      </c>
      <c r="N1136" t="str">
        <f>IF(Table4[[#This Row],[customer_order_count]]=1,"New Customer","Repeat Customer")</f>
        <v>Repeat Customer</v>
      </c>
    </row>
    <row r="1137" spans="1:14">
      <c r="A1137" t="s">
        <v>2480</v>
      </c>
      <c r="B1137" s="1">
        <v>45120</v>
      </c>
      <c r="C1137" t="s">
        <v>2481</v>
      </c>
      <c r="D1137" t="s">
        <v>2482</v>
      </c>
      <c r="E1137" t="s">
        <v>61</v>
      </c>
      <c r="F1137" t="s">
        <v>79</v>
      </c>
      <c r="G1137" t="s">
        <v>166</v>
      </c>
      <c r="H1137">
        <v>1</v>
      </c>
      <c r="I1137" s="3">
        <v>25.38</v>
      </c>
      <c r="J1137" t="s">
        <v>16</v>
      </c>
      <c r="K1137" t="s">
        <v>35</v>
      </c>
      <c r="L1137" s="4">
        <f>Table4[[#This Row],[quantity]]*Table4[[#This Row],[unit_price]]</f>
        <v>25.38</v>
      </c>
      <c r="M1137">
        <f>COUNTIFS($C$2:$C$3934,Table4[[#This Row],[customer_id]])</f>
        <v>4</v>
      </c>
      <c r="N1137" t="str">
        <f>IF(Table4[[#This Row],[customer_order_count]]=1,"New Customer","Repeat Customer")</f>
        <v>Repeat Customer</v>
      </c>
    </row>
    <row r="1138" spans="1:14">
      <c r="A1138" t="s">
        <v>1816</v>
      </c>
      <c r="B1138" s="1">
        <v>45025</v>
      </c>
      <c r="C1138" t="s">
        <v>1817</v>
      </c>
      <c r="D1138" t="s">
        <v>1818</v>
      </c>
      <c r="E1138" t="s">
        <v>61</v>
      </c>
      <c r="F1138" t="s">
        <v>28</v>
      </c>
      <c r="G1138" t="s">
        <v>139</v>
      </c>
      <c r="H1138">
        <v>2</v>
      </c>
      <c r="I1138" s="3">
        <v>25.391499999999994</v>
      </c>
      <c r="J1138" t="s">
        <v>16</v>
      </c>
      <c r="K1138" t="s">
        <v>40</v>
      </c>
      <c r="L1138" s="4">
        <f>Table4[[#This Row],[quantity]]*Table4[[#This Row],[unit_price]]</f>
        <v>50.782999999999987</v>
      </c>
      <c r="M1138">
        <f>COUNTIFS($C$2:$C$3934,Table4[[#This Row],[customer_id]])</f>
        <v>4</v>
      </c>
      <c r="N1138" t="str">
        <f>IF(Table4[[#This Row],[customer_order_count]]=1,"New Customer","Repeat Customer")</f>
        <v>Repeat Customer</v>
      </c>
    </row>
    <row r="1139" spans="1:14">
      <c r="A1139" t="s">
        <v>4314</v>
      </c>
      <c r="B1139" s="1">
        <v>45372</v>
      </c>
      <c r="C1139" t="s">
        <v>185</v>
      </c>
      <c r="D1139" t="s">
        <v>186</v>
      </c>
      <c r="E1139" t="s">
        <v>21</v>
      </c>
      <c r="F1139" t="s">
        <v>22</v>
      </c>
      <c r="G1139" t="s">
        <v>142</v>
      </c>
      <c r="H1139">
        <v>2</v>
      </c>
      <c r="I1139" s="3">
        <v>25.4</v>
      </c>
      <c r="J1139" t="s">
        <v>16</v>
      </c>
      <c r="K1139" t="s">
        <v>40</v>
      </c>
      <c r="L1139" s="4">
        <f>Table4[[#This Row],[quantity]]*Table4[[#This Row],[unit_price]]</f>
        <v>50.8</v>
      </c>
      <c r="M1139">
        <f>COUNTIFS($C$2:$C$3934,Table4[[#This Row],[customer_id]])</f>
        <v>4</v>
      </c>
      <c r="N1139" t="str">
        <f>IF(Table4[[#This Row],[customer_order_count]]=1,"New Customer","Repeat Customer")</f>
        <v>Repeat Customer</v>
      </c>
    </row>
    <row r="1140" spans="1:14">
      <c r="A1140" t="s">
        <v>1628</v>
      </c>
      <c r="B1140" s="1">
        <v>45010</v>
      </c>
      <c r="C1140" t="s">
        <v>94</v>
      </c>
      <c r="D1140" t="s">
        <v>95</v>
      </c>
      <c r="E1140" t="s">
        <v>21</v>
      </c>
      <c r="F1140" t="s">
        <v>28</v>
      </c>
      <c r="G1140" t="s">
        <v>29</v>
      </c>
      <c r="H1140">
        <v>1</v>
      </c>
      <c r="I1140" s="3">
        <v>25.44</v>
      </c>
      <c r="J1140" t="s">
        <v>16</v>
      </c>
      <c r="K1140" t="s">
        <v>35</v>
      </c>
      <c r="L1140" s="4">
        <f>Table4[[#This Row],[quantity]]*Table4[[#This Row],[unit_price]]</f>
        <v>25.44</v>
      </c>
      <c r="M1140">
        <f>COUNTIFS($C$2:$C$3934,Table4[[#This Row],[customer_id]])</f>
        <v>4</v>
      </c>
      <c r="N1140" t="str">
        <f>IF(Table4[[#This Row],[customer_order_count]]=1,"New Customer","Repeat Customer")</f>
        <v>Repeat Customer</v>
      </c>
    </row>
    <row r="1141" spans="1:14">
      <c r="A1141" t="s">
        <v>4346</v>
      </c>
      <c r="B1141" s="1">
        <v>44991</v>
      </c>
      <c r="C1141" t="s">
        <v>883</v>
      </c>
      <c r="D1141" t="s">
        <v>181</v>
      </c>
      <c r="E1141" t="s">
        <v>21</v>
      </c>
      <c r="F1141" t="s">
        <v>66</v>
      </c>
      <c r="G1141" t="s">
        <v>128</v>
      </c>
      <c r="H1141">
        <v>4</v>
      </c>
      <c r="I1141" s="3">
        <v>25.46</v>
      </c>
      <c r="J1141" t="s">
        <v>16</v>
      </c>
      <c r="K1141" t="s">
        <v>17</v>
      </c>
      <c r="L1141" s="4">
        <f>Table4[[#This Row],[quantity]]*Table4[[#This Row],[unit_price]]</f>
        <v>101.84</v>
      </c>
      <c r="M1141">
        <f>COUNTIFS($C$2:$C$3934,Table4[[#This Row],[customer_id]])</f>
        <v>11</v>
      </c>
      <c r="N1141" t="str">
        <f>IF(Table4[[#This Row],[customer_order_count]]=1,"New Customer","Repeat Customer")</f>
        <v>Repeat Customer</v>
      </c>
    </row>
    <row r="1142" spans="1:14">
      <c r="A1142" t="s">
        <v>147</v>
      </c>
      <c r="B1142" s="1">
        <v>45348</v>
      </c>
      <c r="C1142" t="s">
        <v>148</v>
      </c>
      <c r="D1142" t="s">
        <v>149</v>
      </c>
      <c r="E1142" t="s">
        <v>21</v>
      </c>
      <c r="F1142" t="s">
        <v>28</v>
      </c>
      <c r="G1142" t="s">
        <v>29</v>
      </c>
      <c r="H1142">
        <v>1</v>
      </c>
      <c r="I1142" s="3">
        <v>25.47</v>
      </c>
      <c r="J1142" t="s">
        <v>16</v>
      </c>
      <c r="K1142" t="s">
        <v>35</v>
      </c>
      <c r="L1142" s="4">
        <f>Table4[[#This Row],[quantity]]*Table4[[#This Row],[unit_price]]</f>
        <v>25.47</v>
      </c>
      <c r="M1142">
        <f>COUNTIFS($C$2:$C$3934,Table4[[#This Row],[customer_id]])</f>
        <v>6</v>
      </c>
      <c r="N1142" t="str">
        <f>IF(Table4[[#This Row],[customer_order_count]]=1,"New Customer","Repeat Customer")</f>
        <v>Repeat Customer</v>
      </c>
    </row>
    <row r="1143" spans="1:14">
      <c r="A1143" t="s">
        <v>3422</v>
      </c>
      <c r="B1143" s="1">
        <v>45622</v>
      </c>
      <c r="C1143" t="s">
        <v>721</v>
      </c>
      <c r="D1143" t="s">
        <v>722</v>
      </c>
      <c r="E1143" t="s">
        <v>21</v>
      </c>
      <c r="F1143" t="s">
        <v>66</v>
      </c>
      <c r="G1143" t="s">
        <v>67</v>
      </c>
      <c r="H1143">
        <v>2</v>
      </c>
      <c r="I1143" s="3">
        <v>25.47</v>
      </c>
      <c r="J1143" t="s">
        <v>16</v>
      </c>
      <c r="K1143" t="s">
        <v>30</v>
      </c>
      <c r="L1143" s="4">
        <f>Table4[[#This Row],[quantity]]*Table4[[#This Row],[unit_price]]</f>
        <v>50.94</v>
      </c>
      <c r="M1143">
        <f>COUNTIFS($C$2:$C$3934,Table4[[#This Row],[customer_id]])</f>
        <v>6</v>
      </c>
      <c r="N1143" t="str">
        <f>IF(Table4[[#This Row],[customer_order_count]]=1,"New Customer","Repeat Customer")</f>
        <v>Repeat Customer</v>
      </c>
    </row>
    <row r="1144" spans="1:14">
      <c r="A1144" t="s">
        <v>3751</v>
      </c>
      <c r="B1144" s="1">
        <v>45121</v>
      </c>
      <c r="C1144" t="s">
        <v>141</v>
      </c>
      <c r="D1144" t="s">
        <v>105</v>
      </c>
      <c r="E1144" t="s">
        <v>21</v>
      </c>
      <c r="F1144" t="s">
        <v>22</v>
      </c>
      <c r="G1144" t="s">
        <v>162</v>
      </c>
      <c r="H1144">
        <v>1</v>
      </c>
      <c r="I1144" s="3">
        <v>25.48</v>
      </c>
      <c r="J1144" t="s">
        <v>16</v>
      </c>
      <c r="K1144" t="s">
        <v>30</v>
      </c>
      <c r="L1144" s="4">
        <f>Table4[[#This Row],[quantity]]*Table4[[#This Row],[unit_price]]</f>
        <v>25.48</v>
      </c>
      <c r="M1144">
        <f>COUNTIFS($C$2:$C$3934,Table4[[#This Row],[customer_id]])</f>
        <v>6</v>
      </c>
      <c r="N1144" t="str">
        <f>IF(Table4[[#This Row],[customer_order_count]]=1,"New Customer","Repeat Customer")</f>
        <v>Repeat Customer</v>
      </c>
    </row>
    <row r="1145" spans="1:14">
      <c r="A1145" t="s">
        <v>4826</v>
      </c>
      <c r="B1145" s="1">
        <v>45246</v>
      </c>
      <c r="C1145" t="s">
        <v>1227</v>
      </c>
      <c r="D1145" t="s">
        <v>223</v>
      </c>
      <c r="E1145" t="s">
        <v>61</v>
      </c>
      <c r="F1145" t="s">
        <v>66</v>
      </c>
      <c r="G1145" t="s">
        <v>128</v>
      </c>
      <c r="H1145">
        <v>1</v>
      </c>
      <c r="I1145" s="3">
        <v>25.48</v>
      </c>
      <c r="J1145" t="s">
        <v>16</v>
      </c>
      <c r="K1145" t="s">
        <v>30</v>
      </c>
      <c r="L1145" s="4">
        <f>Table4[[#This Row],[quantity]]*Table4[[#This Row],[unit_price]]</f>
        <v>25.48</v>
      </c>
      <c r="M1145">
        <f>COUNTIFS($C$2:$C$3934,Table4[[#This Row],[customer_id]])</f>
        <v>2</v>
      </c>
      <c r="N1145" t="str">
        <f>IF(Table4[[#This Row],[customer_order_count]]=1,"New Customer","Repeat Customer")</f>
        <v>Repeat Customer</v>
      </c>
    </row>
    <row r="1146" spans="1:14">
      <c r="A1146" t="s">
        <v>2985</v>
      </c>
      <c r="B1146" s="1">
        <v>45368</v>
      </c>
      <c r="C1146" t="s">
        <v>1200</v>
      </c>
      <c r="D1146" t="s">
        <v>452</v>
      </c>
      <c r="E1146" t="s">
        <v>21</v>
      </c>
      <c r="F1146" t="s">
        <v>79</v>
      </c>
      <c r="G1146" t="s">
        <v>200</v>
      </c>
      <c r="H1146">
        <v>1</v>
      </c>
      <c r="I1146" s="3">
        <v>25.49</v>
      </c>
      <c r="J1146" t="s">
        <v>16</v>
      </c>
      <c r="K1146" t="s">
        <v>30</v>
      </c>
      <c r="L1146" s="4">
        <f>Table4[[#This Row],[quantity]]*Table4[[#This Row],[unit_price]]</f>
        <v>25.49</v>
      </c>
      <c r="M1146">
        <f>COUNTIFS($C$2:$C$3934,Table4[[#This Row],[customer_id]])</f>
        <v>4</v>
      </c>
      <c r="N1146" t="str">
        <f>IF(Table4[[#This Row],[customer_order_count]]=1,"New Customer","Repeat Customer")</f>
        <v>Repeat Customer</v>
      </c>
    </row>
    <row r="1147" spans="1:14">
      <c r="A1147" t="s">
        <v>4027</v>
      </c>
      <c r="B1147" s="1">
        <v>45350</v>
      </c>
      <c r="C1147" t="s">
        <v>271</v>
      </c>
      <c r="D1147" t="s">
        <v>272</v>
      </c>
      <c r="E1147" t="s">
        <v>61</v>
      </c>
      <c r="F1147" t="s">
        <v>28</v>
      </c>
      <c r="G1147" t="s">
        <v>139</v>
      </c>
      <c r="H1147">
        <v>1</v>
      </c>
      <c r="I1147" s="3">
        <v>25.5</v>
      </c>
      <c r="J1147" t="s">
        <v>16</v>
      </c>
      <c r="K1147" t="s">
        <v>30</v>
      </c>
      <c r="L1147" s="4">
        <f>Table4[[#This Row],[quantity]]*Table4[[#This Row],[unit_price]]</f>
        <v>25.5</v>
      </c>
      <c r="M1147">
        <f>COUNTIFS($C$2:$C$3934,Table4[[#This Row],[customer_id]])</f>
        <v>5</v>
      </c>
      <c r="N1147" t="str">
        <f>IF(Table4[[#This Row],[customer_order_count]]=1,"New Customer","Repeat Customer")</f>
        <v>Repeat Customer</v>
      </c>
    </row>
    <row r="1148" spans="1:14">
      <c r="A1148" t="s">
        <v>1824</v>
      </c>
      <c r="B1148" s="1">
        <v>45444</v>
      </c>
      <c r="C1148" t="s">
        <v>1825</v>
      </c>
      <c r="D1148" t="s">
        <v>158</v>
      </c>
      <c r="E1148" t="s">
        <v>44</v>
      </c>
      <c r="F1148" t="s">
        <v>66</v>
      </c>
      <c r="G1148" t="s">
        <v>217</v>
      </c>
      <c r="H1148">
        <v>2</v>
      </c>
      <c r="I1148" s="3">
        <v>25.51</v>
      </c>
      <c r="J1148" t="s">
        <v>16</v>
      </c>
      <c r="K1148" t="s">
        <v>17</v>
      </c>
      <c r="L1148" s="4">
        <f>Table4[[#This Row],[quantity]]*Table4[[#This Row],[unit_price]]</f>
        <v>51.02</v>
      </c>
      <c r="M1148">
        <f>COUNTIFS($C$2:$C$3934,Table4[[#This Row],[customer_id]])</f>
        <v>2</v>
      </c>
      <c r="N1148" t="str">
        <f>IF(Table4[[#This Row],[customer_order_count]]=1,"New Customer","Repeat Customer")</f>
        <v>Repeat Customer</v>
      </c>
    </row>
    <row r="1149" spans="1:14">
      <c r="A1149" t="s">
        <v>1326</v>
      </c>
      <c r="B1149" s="1">
        <v>45033</v>
      </c>
      <c r="C1149" t="s">
        <v>353</v>
      </c>
      <c r="D1149" t="s">
        <v>310</v>
      </c>
      <c r="E1149" t="s">
        <v>44</v>
      </c>
      <c r="F1149" t="s">
        <v>66</v>
      </c>
      <c r="G1149" t="s">
        <v>238</v>
      </c>
      <c r="H1149">
        <v>1</v>
      </c>
      <c r="I1149" s="3">
        <v>25.52</v>
      </c>
      <c r="J1149" t="s">
        <v>16</v>
      </c>
      <c r="K1149" t="s">
        <v>30</v>
      </c>
      <c r="L1149" s="4">
        <f>Table4[[#This Row],[quantity]]*Table4[[#This Row],[unit_price]]</f>
        <v>25.52</v>
      </c>
      <c r="M1149">
        <f>COUNTIFS($C$2:$C$3934,Table4[[#This Row],[customer_id]])</f>
        <v>5</v>
      </c>
      <c r="N1149" t="str">
        <f>IF(Table4[[#This Row],[customer_order_count]]=1,"New Customer","Repeat Customer")</f>
        <v>Repeat Customer</v>
      </c>
    </row>
    <row r="1150" spans="1:14">
      <c r="A1150" t="s">
        <v>5009</v>
      </c>
      <c r="B1150" s="1">
        <v>45017</v>
      </c>
      <c r="C1150" t="s">
        <v>861</v>
      </c>
      <c r="D1150" t="s">
        <v>787</v>
      </c>
      <c r="E1150" t="s">
        <v>21</v>
      </c>
      <c r="F1150" t="s">
        <v>79</v>
      </c>
      <c r="G1150" t="s">
        <v>200</v>
      </c>
      <c r="H1150">
        <v>1</v>
      </c>
      <c r="I1150" s="3">
        <v>25.52</v>
      </c>
      <c r="J1150" t="s">
        <v>16</v>
      </c>
      <c r="K1150" t="s">
        <v>40</v>
      </c>
      <c r="L1150" s="4">
        <f>Table4[[#This Row],[quantity]]*Table4[[#This Row],[unit_price]]</f>
        <v>25.52</v>
      </c>
      <c r="M1150">
        <f>COUNTIFS($C$2:$C$3934,Table4[[#This Row],[customer_id]])</f>
        <v>9</v>
      </c>
      <c r="N1150" t="str">
        <f>IF(Table4[[#This Row],[customer_order_count]]=1,"New Customer","Repeat Customer")</f>
        <v>Repeat Customer</v>
      </c>
    </row>
    <row r="1151" spans="1:14">
      <c r="A1151" t="s">
        <v>3969</v>
      </c>
      <c r="B1151" s="1">
        <v>45034</v>
      </c>
      <c r="C1151" t="s">
        <v>2477</v>
      </c>
      <c r="D1151" t="s">
        <v>602</v>
      </c>
      <c r="E1151" t="s">
        <v>44</v>
      </c>
      <c r="F1151" t="s">
        <v>66</v>
      </c>
      <c r="G1151" t="s">
        <v>217</v>
      </c>
      <c r="H1151">
        <v>1</v>
      </c>
      <c r="I1151" s="3">
        <v>25.52</v>
      </c>
      <c r="J1151" t="s">
        <v>16</v>
      </c>
      <c r="K1151" t="s">
        <v>35</v>
      </c>
      <c r="L1151" s="4">
        <f>Table4[[#This Row],[quantity]]*Table4[[#This Row],[unit_price]]</f>
        <v>25.52</v>
      </c>
      <c r="M1151">
        <f>COUNTIFS($C$2:$C$3934,Table4[[#This Row],[customer_id]])</f>
        <v>3</v>
      </c>
      <c r="N1151" t="str">
        <f>IF(Table4[[#This Row],[customer_order_count]]=1,"New Customer","Repeat Customer")</f>
        <v>Repeat Customer</v>
      </c>
    </row>
    <row r="1152" spans="1:14">
      <c r="A1152" t="s">
        <v>4107</v>
      </c>
      <c r="B1152" s="1">
        <v>44935</v>
      </c>
      <c r="C1152" t="s">
        <v>191</v>
      </c>
      <c r="D1152" t="s">
        <v>78</v>
      </c>
      <c r="E1152" t="s">
        <v>21</v>
      </c>
      <c r="F1152" t="s">
        <v>66</v>
      </c>
      <c r="G1152" t="s">
        <v>217</v>
      </c>
      <c r="H1152">
        <v>1</v>
      </c>
      <c r="I1152" s="3">
        <v>25.54</v>
      </c>
      <c r="J1152" t="s">
        <v>16</v>
      </c>
      <c r="K1152" t="s">
        <v>30</v>
      </c>
      <c r="L1152" s="4">
        <f>Table4[[#This Row],[quantity]]*Table4[[#This Row],[unit_price]]</f>
        <v>25.54</v>
      </c>
      <c r="M1152">
        <f>COUNTIFS($C$2:$C$3934,Table4[[#This Row],[customer_id]])</f>
        <v>6</v>
      </c>
      <c r="N1152" t="str">
        <f>IF(Table4[[#This Row],[customer_order_count]]=1,"New Customer","Repeat Customer")</f>
        <v>Repeat Customer</v>
      </c>
    </row>
    <row r="1153" spans="1:14">
      <c r="A1153" t="s">
        <v>3374</v>
      </c>
      <c r="B1153" s="1">
        <v>45498</v>
      </c>
      <c r="C1153" t="s">
        <v>2008</v>
      </c>
      <c r="D1153" t="s">
        <v>417</v>
      </c>
      <c r="E1153" t="s">
        <v>21</v>
      </c>
      <c r="F1153" t="s">
        <v>66</v>
      </c>
      <c r="G1153" t="s">
        <v>128</v>
      </c>
      <c r="H1153">
        <v>2</v>
      </c>
      <c r="I1153" s="3">
        <v>25.55</v>
      </c>
      <c r="J1153" t="s">
        <v>16</v>
      </c>
      <c r="K1153" t="s">
        <v>17</v>
      </c>
      <c r="L1153" s="4">
        <f>Table4[[#This Row],[quantity]]*Table4[[#This Row],[unit_price]]</f>
        <v>51.1</v>
      </c>
      <c r="M1153">
        <f>COUNTIFS($C$2:$C$3934,Table4[[#This Row],[customer_id]])</f>
        <v>7</v>
      </c>
      <c r="N1153" t="str">
        <f>IF(Table4[[#This Row],[customer_order_count]]=1,"New Customer","Repeat Customer")</f>
        <v>Repeat Customer</v>
      </c>
    </row>
    <row r="1154" spans="1:14">
      <c r="A1154" t="s">
        <v>4438</v>
      </c>
      <c r="B1154" s="1">
        <v>45540</v>
      </c>
      <c r="C1154" t="s">
        <v>3230</v>
      </c>
      <c r="D1154" t="s">
        <v>1006</v>
      </c>
      <c r="E1154" t="s">
        <v>61</v>
      </c>
      <c r="F1154" t="s">
        <v>66</v>
      </c>
      <c r="G1154" t="s">
        <v>128</v>
      </c>
      <c r="H1154">
        <v>1</v>
      </c>
      <c r="I1154" s="3">
        <v>25.56</v>
      </c>
      <c r="J1154" t="s">
        <v>16</v>
      </c>
      <c r="K1154" t="s">
        <v>40</v>
      </c>
      <c r="L1154" s="4">
        <f>Table4[[#This Row],[quantity]]*Table4[[#This Row],[unit_price]]</f>
        <v>25.56</v>
      </c>
      <c r="M1154">
        <f>COUNTIFS($C$2:$C$3934,Table4[[#This Row],[customer_id]])</f>
        <v>3</v>
      </c>
      <c r="N1154" t="str">
        <f>IF(Table4[[#This Row],[customer_order_count]]=1,"New Customer","Repeat Customer")</f>
        <v>Repeat Customer</v>
      </c>
    </row>
    <row r="1155" spans="1:14">
      <c r="A1155" t="s">
        <v>4905</v>
      </c>
      <c r="B1155" s="1">
        <v>45598</v>
      </c>
      <c r="C1155" t="s">
        <v>4906</v>
      </c>
      <c r="D1155" s="2" t="s">
        <v>5257</v>
      </c>
      <c r="E1155" t="s">
        <v>106</v>
      </c>
      <c r="F1155" t="s">
        <v>22</v>
      </c>
      <c r="G1155" t="s">
        <v>135</v>
      </c>
      <c r="H1155">
        <v>1</v>
      </c>
      <c r="I1155" s="3">
        <v>25.57</v>
      </c>
      <c r="J1155" t="s">
        <v>16</v>
      </c>
      <c r="K1155" t="s">
        <v>30</v>
      </c>
      <c r="L1155" s="4">
        <f>Table4[[#This Row],[quantity]]*Table4[[#This Row],[unit_price]]</f>
        <v>25.57</v>
      </c>
      <c r="M1155">
        <f>COUNTIFS($C$2:$C$3934,Table4[[#This Row],[customer_id]])</f>
        <v>1</v>
      </c>
      <c r="N1155" t="str">
        <f>IF(Table4[[#This Row],[customer_order_count]]=1,"New Customer","Repeat Customer")</f>
        <v>New Customer</v>
      </c>
    </row>
    <row r="1156" spans="1:14">
      <c r="A1156" t="s">
        <v>3005</v>
      </c>
      <c r="B1156" s="1">
        <v>45537</v>
      </c>
      <c r="C1156" t="s">
        <v>353</v>
      </c>
      <c r="D1156" s="5" t="s">
        <v>310</v>
      </c>
      <c r="E1156" t="s">
        <v>44</v>
      </c>
      <c r="F1156" t="s">
        <v>14</v>
      </c>
      <c r="G1156" t="s">
        <v>62</v>
      </c>
      <c r="H1156">
        <v>1</v>
      </c>
      <c r="I1156" s="3">
        <v>25.58</v>
      </c>
      <c r="J1156" t="s">
        <v>16</v>
      </c>
      <c r="K1156" t="s">
        <v>35</v>
      </c>
      <c r="L1156" s="4">
        <f>Table4[[#This Row],[quantity]]*Table4[[#This Row],[unit_price]]</f>
        <v>25.58</v>
      </c>
      <c r="M1156">
        <f>COUNTIFS($C$2:$C$3934,Table4[[#This Row],[customer_id]])</f>
        <v>5</v>
      </c>
      <c r="N1156" t="str">
        <f>IF(Table4[[#This Row],[customer_order_count]]=1,"New Customer","Repeat Customer")</f>
        <v>Repeat Customer</v>
      </c>
    </row>
    <row r="1157" spans="1:14">
      <c r="A1157" t="s">
        <v>1564</v>
      </c>
      <c r="B1157" s="1">
        <v>45611</v>
      </c>
      <c r="C1157" t="s">
        <v>1021</v>
      </c>
      <c r="D1157" t="s">
        <v>1022</v>
      </c>
      <c r="E1157" t="s">
        <v>21</v>
      </c>
      <c r="F1157" t="s">
        <v>66</v>
      </c>
      <c r="G1157" t="s">
        <v>217</v>
      </c>
      <c r="H1157">
        <v>2</v>
      </c>
      <c r="I1157" s="3">
        <v>25.58</v>
      </c>
      <c r="J1157" t="s">
        <v>16</v>
      </c>
      <c r="K1157" t="s">
        <v>40</v>
      </c>
      <c r="L1157" s="4">
        <f>Table4[[#This Row],[quantity]]*Table4[[#This Row],[unit_price]]</f>
        <v>51.16</v>
      </c>
      <c r="M1157">
        <f>COUNTIFS($C$2:$C$3934,Table4[[#This Row],[customer_id]])</f>
        <v>6</v>
      </c>
      <c r="N1157" t="str">
        <f>IF(Table4[[#This Row],[customer_order_count]]=1,"New Customer","Repeat Customer")</f>
        <v>Repeat Customer</v>
      </c>
    </row>
    <row r="1158" spans="1:14">
      <c r="A1158" t="s">
        <v>3055</v>
      </c>
      <c r="B1158" s="1">
        <v>45062</v>
      </c>
      <c r="C1158" t="s">
        <v>3056</v>
      </c>
      <c r="D1158" t="s">
        <v>2953</v>
      </c>
      <c r="E1158" t="s">
        <v>61</v>
      </c>
      <c r="F1158" t="s">
        <v>22</v>
      </c>
      <c r="G1158" t="s">
        <v>135</v>
      </c>
      <c r="H1158">
        <v>1</v>
      </c>
      <c r="I1158" s="3">
        <v>25.59</v>
      </c>
      <c r="J1158" t="s">
        <v>85</v>
      </c>
      <c r="K1158" t="s">
        <v>40</v>
      </c>
      <c r="L1158" s="4">
        <f>Table4[[#This Row],[quantity]]*Table4[[#This Row],[unit_price]]</f>
        <v>25.59</v>
      </c>
      <c r="M1158">
        <f>COUNTIFS($C$2:$C$3934,Table4[[#This Row],[customer_id]])</f>
        <v>3</v>
      </c>
      <c r="N1158" t="str">
        <f>IF(Table4[[#This Row],[customer_order_count]]=1,"New Customer","Repeat Customer")</f>
        <v>Repeat Customer</v>
      </c>
    </row>
    <row r="1159" spans="1:14">
      <c r="A1159" t="s">
        <v>2185</v>
      </c>
      <c r="B1159" s="1">
        <v>45157</v>
      </c>
      <c r="C1159" t="s">
        <v>861</v>
      </c>
      <c r="D1159" t="s">
        <v>787</v>
      </c>
      <c r="E1159" t="s">
        <v>21</v>
      </c>
      <c r="F1159" t="s">
        <v>28</v>
      </c>
      <c r="G1159" t="s">
        <v>114</v>
      </c>
      <c r="H1159">
        <v>1</v>
      </c>
      <c r="I1159" s="3">
        <v>25.62</v>
      </c>
      <c r="J1159" t="s">
        <v>16</v>
      </c>
      <c r="K1159" t="s">
        <v>17</v>
      </c>
      <c r="L1159" s="4">
        <f>Table4[[#This Row],[quantity]]*Table4[[#This Row],[unit_price]]</f>
        <v>25.62</v>
      </c>
      <c r="M1159">
        <f>COUNTIFS($C$2:$C$3934,Table4[[#This Row],[customer_id]])</f>
        <v>9</v>
      </c>
      <c r="N1159" t="str">
        <f>IF(Table4[[#This Row],[customer_order_count]]=1,"New Customer","Repeat Customer")</f>
        <v>Repeat Customer</v>
      </c>
    </row>
    <row r="1160" spans="1:14">
      <c r="A1160" t="s">
        <v>3106</v>
      </c>
      <c r="B1160" s="1">
        <v>45560</v>
      </c>
      <c r="C1160" t="s">
        <v>745</v>
      </c>
      <c r="D1160" t="s">
        <v>318</v>
      </c>
      <c r="E1160" t="s">
        <v>21</v>
      </c>
      <c r="F1160" t="s">
        <v>66</v>
      </c>
      <c r="G1160" t="s">
        <v>128</v>
      </c>
      <c r="H1160">
        <v>1</v>
      </c>
      <c r="I1160" s="3">
        <v>25.62</v>
      </c>
      <c r="J1160" t="s">
        <v>255</v>
      </c>
      <c r="K1160" t="s">
        <v>30</v>
      </c>
      <c r="L1160" s="4">
        <f>Table4[[#This Row],[quantity]]*Table4[[#This Row],[unit_price]]</f>
        <v>25.62</v>
      </c>
      <c r="M1160">
        <f>COUNTIFS($C$2:$C$3934,Table4[[#This Row],[customer_id]])</f>
        <v>4</v>
      </c>
      <c r="N1160" t="str">
        <f>IF(Table4[[#This Row],[customer_order_count]]=1,"New Customer","Repeat Customer")</f>
        <v>Repeat Customer</v>
      </c>
    </row>
    <row r="1161" spans="1:14">
      <c r="A1161" t="s">
        <v>2858</v>
      </c>
      <c r="B1161" s="1">
        <v>45427</v>
      </c>
      <c r="C1161" t="s">
        <v>537</v>
      </c>
      <c r="D1161" t="s">
        <v>538</v>
      </c>
      <c r="E1161" t="s">
        <v>21</v>
      </c>
      <c r="F1161" t="s">
        <v>56</v>
      </c>
      <c r="G1161" t="s">
        <v>118</v>
      </c>
      <c r="H1161">
        <v>1</v>
      </c>
      <c r="I1161" s="3">
        <v>25.62</v>
      </c>
      <c r="J1161" t="s">
        <v>16</v>
      </c>
      <c r="K1161" t="s">
        <v>30</v>
      </c>
      <c r="L1161" s="4">
        <f>Table4[[#This Row],[quantity]]*Table4[[#This Row],[unit_price]]</f>
        <v>25.62</v>
      </c>
      <c r="M1161">
        <f>COUNTIFS($C$2:$C$3934,Table4[[#This Row],[customer_id]])</f>
        <v>9</v>
      </c>
      <c r="N1161" t="str">
        <f>IF(Table4[[#This Row],[customer_order_count]]=1,"New Customer","Repeat Customer")</f>
        <v>Repeat Customer</v>
      </c>
    </row>
    <row r="1162" spans="1:14">
      <c r="A1162" t="s">
        <v>4204</v>
      </c>
      <c r="B1162" s="1">
        <v>45609</v>
      </c>
      <c r="C1162" t="s">
        <v>1097</v>
      </c>
      <c r="D1162" t="s">
        <v>560</v>
      </c>
      <c r="E1162" t="s">
        <v>21</v>
      </c>
      <c r="F1162" t="s">
        <v>28</v>
      </c>
      <c r="G1162" t="s">
        <v>84</v>
      </c>
      <c r="H1162">
        <v>2</v>
      </c>
      <c r="I1162" s="3">
        <v>25.63</v>
      </c>
      <c r="J1162" t="s">
        <v>16</v>
      </c>
      <c r="K1162" t="s">
        <v>30</v>
      </c>
      <c r="L1162" s="4">
        <f>Table4[[#This Row],[quantity]]*Table4[[#This Row],[unit_price]]</f>
        <v>51.26</v>
      </c>
      <c r="M1162">
        <f>COUNTIFS($C$2:$C$3934,Table4[[#This Row],[customer_id]])</f>
        <v>7</v>
      </c>
      <c r="N1162" t="str">
        <f>IF(Table4[[#This Row],[customer_order_count]]=1,"New Customer","Repeat Customer")</f>
        <v>Repeat Customer</v>
      </c>
    </row>
    <row r="1163" spans="1:14">
      <c r="A1163" t="s">
        <v>3438</v>
      </c>
      <c r="B1163" s="1">
        <v>45474</v>
      </c>
      <c r="C1163" t="s">
        <v>2566</v>
      </c>
      <c r="D1163" t="s">
        <v>981</v>
      </c>
      <c r="E1163" t="s">
        <v>21</v>
      </c>
      <c r="F1163" t="s">
        <v>66</v>
      </c>
      <c r="G1163" t="s">
        <v>128</v>
      </c>
      <c r="H1163">
        <v>2</v>
      </c>
      <c r="I1163" s="3">
        <v>25.64</v>
      </c>
      <c r="J1163" t="s">
        <v>16</v>
      </c>
      <c r="K1163" s="2" t="s">
        <v>5256</v>
      </c>
      <c r="L1163" s="4">
        <f>Table4[[#This Row],[quantity]]*Table4[[#This Row],[unit_price]]</f>
        <v>51.28</v>
      </c>
      <c r="M1163">
        <f>COUNTIFS($C$2:$C$3934,Table4[[#This Row],[customer_id]])</f>
        <v>5</v>
      </c>
      <c r="N1163" t="str">
        <f>IF(Table4[[#This Row],[customer_order_count]]=1,"New Customer","Repeat Customer")</f>
        <v>Repeat Customer</v>
      </c>
    </row>
    <row r="1164" spans="1:14">
      <c r="A1164" t="s">
        <v>125</v>
      </c>
      <c r="B1164" s="1">
        <v>44966</v>
      </c>
      <c r="C1164" t="s">
        <v>126</v>
      </c>
      <c r="D1164" t="s">
        <v>127</v>
      </c>
      <c r="E1164" t="s">
        <v>21</v>
      </c>
      <c r="F1164" t="s">
        <v>66</v>
      </c>
      <c r="G1164" t="s">
        <v>128</v>
      </c>
      <c r="H1164">
        <v>1</v>
      </c>
      <c r="I1164" s="3">
        <v>25.66</v>
      </c>
      <c r="J1164" t="s">
        <v>16</v>
      </c>
      <c r="K1164" s="5" t="s">
        <v>17</v>
      </c>
      <c r="L1164" s="4">
        <f>Table4[[#This Row],[quantity]]*Table4[[#This Row],[unit_price]]</f>
        <v>25.66</v>
      </c>
      <c r="M1164">
        <f>COUNTIFS($C$2:$C$3934,Table4[[#This Row],[customer_id]])</f>
        <v>4</v>
      </c>
      <c r="N1164" t="str">
        <f>IF(Table4[[#This Row],[customer_order_count]]=1,"New Customer","Repeat Customer")</f>
        <v>Repeat Customer</v>
      </c>
    </row>
    <row r="1165" spans="1:14">
      <c r="A1165" t="s">
        <v>3088</v>
      </c>
      <c r="B1165" s="1">
        <v>45575</v>
      </c>
      <c r="C1165" t="s">
        <v>668</v>
      </c>
      <c r="D1165" t="s">
        <v>669</v>
      </c>
      <c r="E1165" t="s">
        <v>44</v>
      </c>
      <c r="F1165" t="s">
        <v>66</v>
      </c>
      <c r="G1165" t="s">
        <v>128</v>
      </c>
      <c r="H1165">
        <v>1</v>
      </c>
      <c r="I1165" s="3">
        <v>25.66</v>
      </c>
      <c r="J1165" t="s">
        <v>16</v>
      </c>
      <c r="K1165" t="s">
        <v>35</v>
      </c>
      <c r="L1165" s="4">
        <f>Table4[[#This Row],[quantity]]*Table4[[#This Row],[unit_price]]</f>
        <v>25.66</v>
      </c>
      <c r="M1165">
        <f>COUNTIFS($C$2:$C$3934,Table4[[#This Row],[customer_id]])</f>
        <v>7</v>
      </c>
      <c r="N1165" t="str">
        <f>IF(Table4[[#This Row],[customer_order_count]]=1,"New Customer","Repeat Customer")</f>
        <v>Repeat Customer</v>
      </c>
    </row>
    <row r="1166" spans="1:14">
      <c r="A1166" t="s">
        <v>159</v>
      </c>
      <c r="B1166" s="1">
        <v>44943</v>
      </c>
      <c r="C1166" t="s">
        <v>160</v>
      </c>
      <c r="D1166" t="s">
        <v>161</v>
      </c>
      <c r="E1166" t="s">
        <v>21</v>
      </c>
      <c r="F1166" t="s">
        <v>22</v>
      </c>
      <c r="G1166" t="s">
        <v>162</v>
      </c>
      <c r="H1166">
        <v>1</v>
      </c>
      <c r="I1166" s="3">
        <v>25.68</v>
      </c>
      <c r="J1166" t="s">
        <v>16</v>
      </c>
      <c r="K1166" t="s">
        <v>35</v>
      </c>
      <c r="L1166" s="4">
        <f>Table4[[#This Row],[quantity]]*Table4[[#This Row],[unit_price]]</f>
        <v>25.68</v>
      </c>
      <c r="M1166">
        <f>COUNTIFS($C$2:$C$3934,Table4[[#This Row],[customer_id]])</f>
        <v>6</v>
      </c>
      <c r="N1166" t="str">
        <f>IF(Table4[[#This Row],[customer_order_count]]=1,"New Customer","Repeat Customer")</f>
        <v>Repeat Customer</v>
      </c>
    </row>
    <row r="1167" spans="1:14">
      <c r="A1167" t="s">
        <v>5021</v>
      </c>
      <c r="B1167" s="1">
        <v>44995</v>
      </c>
      <c r="C1167" t="s">
        <v>1005</v>
      </c>
      <c r="D1167" t="s">
        <v>1006</v>
      </c>
      <c r="E1167" t="s">
        <v>21</v>
      </c>
      <c r="F1167" t="s">
        <v>22</v>
      </c>
      <c r="G1167" t="s">
        <v>135</v>
      </c>
      <c r="H1167">
        <v>2</v>
      </c>
      <c r="I1167" s="3">
        <v>25.69</v>
      </c>
      <c r="J1167" t="s">
        <v>16</v>
      </c>
      <c r="K1167" t="s">
        <v>17</v>
      </c>
      <c r="L1167" s="4">
        <f>Table4[[#This Row],[quantity]]*Table4[[#This Row],[unit_price]]</f>
        <v>51.38</v>
      </c>
      <c r="M1167">
        <f>COUNTIFS($C$2:$C$3934,Table4[[#This Row],[customer_id]])</f>
        <v>6</v>
      </c>
      <c r="N1167" t="str">
        <f>IF(Table4[[#This Row],[customer_order_count]]=1,"New Customer","Repeat Customer")</f>
        <v>Repeat Customer</v>
      </c>
    </row>
    <row r="1168" spans="1:14">
      <c r="A1168" t="s">
        <v>2368</v>
      </c>
      <c r="B1168" s="1">
        <v>45459</v>
      </c>
      <c r="C1168" t="s">
        <v>1350</v>
      </c>
      <c r="D1168" t="s">
        <v>48</v>
      </c>
      <c r="E1168" t="s">
        <v>21</v>
      </c>
      <c r="F1168" t="s">
        <v>22</v>
      </c>
      <c r="G1168" t="s">
        <v>264</v>
      </c>
      <c r="H1168">
        <v>2</v>
      </c>
      <c r="I1168" s="3">
        <v>25.71</v>
      </c>
      <c r="J1168" t="s">
        <v>16</v>
      </c>
      <c r="K1168" t="s">
        <v>17</v>
      </c>
      <c r="L1168" s="4">
        <f>Table4[[#This Row],[quantity]]*Table4[[#This Row],[unit_price]]</f>
        <v>51.42</v>
      </c>
      <c r="M1168">
        <f>COUNTIFS($C$2:$C$3934,Table4[[#This Row],[customer_id]])</f>
        <v>5</v>
      </c>
      <c r="N1168" t="str">
        <f>IF(Table4[[#This Row],[customer_order_count]]=1,"New Customer","Repeat Customer")</f>
        <v>Repeat Customer</v>
      </c>
    </row>
    <row r="1169" spans="1:14">
      <c r="A1169" t="s">
        <v>3962</v>
      </c>
      <c r="B1169" s="1">
        <v>45208</v>
      </c>
      <c r="C1169" t="s">
        <v>364</v>
      </c>
      <c r="D1169" t="s">
        <v>365</v>
      </c>
      <c r="E1169" t="s">
        <v>21</v>
      </c>
      <c r="F1169" t="s">
        <v>22</v>
      </c>
      <c r="G1169" t="s">
        <v>135</v>
      </c>
      <c r="H1169">
        <v>1</v>
      </c>
      <c r="I1169" s="3">
        <v>25.72</v>
      </c>
      <c r="J1169" t="s">
        <v>16</v>
      </c>
      <c r="K1169" t="s">
        <v>40</v>
      </c>
      <c r="L1169" s="4">
        <f>Table4[[#This Row],[quantity]]*Table4[[#This Row],[unit_price]]</f>
        <v>25.72</v>
      </c>
      <c r="M1169">
        <f>COUNTIFS($C$2:$C$3934,Table4[[#This Row],[customer_id]])</f>
        <v>6</v>
      </c>
      <c r="N1169" t="str">
        <f>IF(Table4[[#This Row],[customer_order_count]]=1,"New Customer","Repeat Customer")</f>
        <v>Repeat Customer</v>
      </c>
    </row>
    <row r="1170" spans="1:14">
      <c r="A1170" t="s">
        <v>4011</v>
      </c>
      <c r="B1170" s="1">
        <v>45517</v>
      </c>
      <c r="C1170" t="s">
        <v>168</v>
      </c>
      <c r="D1170" t="s">
        <v>169</v>
      </c>
      <c r="E1170" t="s">
        <v>21</v>
      </c>
      <c r="F1170" t="s">
        <v>66</v>
      </c>
      <c r="G1170" t="s">
        <v>238</v>
      </c>
      <c r="H1170">
        <v>1</v>
      </c>
      <c r="I1170" s="3">
        <v>25.74</v>
      </c>
      <c r="J1170" t="s">
        <v>16</v>
      </c>
      <c r="K1170" t="s">
        <v>35</v>
      </c>
      <c r="L1170" s="4">
        <f>Table4[[#This Row],[quantity]]*Table4[[#This Row],[unit_price]]</f>
        <v>25.74</v>
      </c>
      <c r="M1170">
        <f>COUNTIFS($C$2:$C$3934,Table4[[#This Row],[customer_id]])</f>
        <v>6</v>
      </c>
      <c r="N1170" t="str">
        <f>IF(Table4[[#This Row],[customer_order_count]]=1,"New Customer","Repeat Customer")</f>
        <v>Repeat Customer</v>
      </c>
    </row>
    <row r="1171" spans="1:14">
      <c r="A1171" t="s">
        <v>3295</v>
      </c>
      <c r="B1171" s="1">
        <v>45009</v>
      </c>
      <c r="C1171" t="s">
        <v>1131</v>
      </c>
      <c r="D1171" t="s">
        <v>962</v>
      </c>
      <c r="E1171" t="s">
        <v>21</v>
      </c>
      <c r="F1171" t="s">
        <v>28</v>
      </c>
      <c r="G1171" t="s">
        <v>45</v>
      </c>
      <c r="H1171">
        <v>1</v>
      </c>
      <c r="I1171" s="3">
        <v>25.74</v>
      </c>
      <c r="J1171" t="s">
        <v>16</v>
      </c>
      <c r="K1171" s="2" t="s">
        <v>5256</v>
      </c>
      <c r="L1171" s="4">
        <f>Table4[[#This Row],[quantity]]*Table4[[#This Row],[unit_price]]</f>
        <v>25.74</v>
      </c>
      <c r="M1171">
        <f>COUNTIFS($C$2:$C$3934,Table4[[#This Row],[customer_id]])</f>
        <v>8</v>
      </c>
      <c r="N1171" t="str">
        <f>IF(Table4[[#This Row],[customer_order_count]]=1,"New Customer","Repeat Customer")</f>
        <v>Repeat Customer</v>
      </c>
    </row>
    <row r="1172" spans="1:14">
      <c r="A1172" t="s">
        <v>363</v>
      </c>
      <c r="B1172" s="1">
        <v>45145</v>
      </c>
      <c r="C1172" t="s">
        <v>364</v>
      </c>
      <c r="D1172" t="s">
        <v>365</v>
      </c>
      <c r="E1172" t="s">
        <v>21</v>
      </c>
      <c r="F1172" t="s">
        <v>66</v>
      </c>
      <c r="G1172" t="s">
        <v>238</v>
      </c>
      <c r="H1172">
        <v>4</v>
      </c>
      <c r="I1172" s="3">
        <v>25.75</v>
      </c>
      <c r="J1172" t="s">
        <v>16</v>
      </c>
      <c r="K1172" s="5" t="s">
        <v>35</v>
      </c>
      <c r="L1172" s="4">
        <f>Table4[[#This Row],[quantity]]*Table4[[#This Row],[unit_price]]</f>
        <v>103</v>
      </c>
      <c r="M1172">
        <f>COUNTIFS($C$2:$C$3934,Table4[[#This Row],[customer_id]])</f>
        <v>6</v>
      </c>
      <c r="N1172" t="str">
        <f>IF(Table4[[#This Row],[customer_order_count]]=1,"New Customer","Repeat Customer")</f>
        <v>Repeat Customer</v>
      </c>
    </row>
    <row r="1173" spans="1:14">
      <c r="A1173" t="s">
        <v>4754</v>
      </c>
      <c r="B1173" s="1">
        <v>45414</v>
      </c>
      <c r="C1173" t="s">
        <v>973</v>
      </c>
      <c r="D1173" t="s">
        <v>496</v>
      </c>
      <c r="E1173" t="s">
        <v>21</v>
      </c>
      <c r="F1173" t="s">
        <v>22</v>
      </c>
      <c r="G1173" t="s">
        <v>162</v>
      </c>
      <c r="H1173">
        <v>1</v>
      </c>
      <c r="I1173" s="3">
        <v>25.77</v>
      </c>
      <c r="J1173" t="s">
        <v>16</v>
      </c>
      <c r="K1173" t="s">
        <v>30</v>
      </c>
      <c r="L1173" s="4">
        <f>Table4[[#This Row],[quantity]]*Table4[[#This Row],[unit_price]]</f>
        <v>25.77</v>
      </c>
      <c r="M1173">
        <f>COUNTIFS($C$2:$C$3934,Table4[[#This Row],[customer_id]])</f>
        <v>5</v>
      </c>
      <c r="N1173" t="str">
        <f>IF(Table4[[#This Row],[customer_order_count]]=1,"New Customer","Repeat Customer")</f>
        <v>Repeat Customer</v>
      </c>
    </row>
    <row r="1174" spans="1:14">
      <c r="A1174" t="s">
        <v>4808</v>
      </c>
      <c r="B1174" s="1">
        <v>45115</v>
      </c>
      <c r="C1174" t="s">
        <v>1740</v>
      </c>
      <c r="D1174" t="s">
        <v>250</v>
      </c>
      <c r="E1174" t="s">
        <v>21</v>
      </c>
      <c r="F1174" t="s">
        <v>14</v>
      </c>
      <c r="G1174" t="s">
        <v>258</v>
      </c>
      <c r="H1174">
        <v>1</v>
      </c>
      <c r="I1174" s="3">
        <v>25.77</v>
      </c>
      <c r="J1174" t="s">
        <v>16</v>
      </c>
      <c r="K1174" t="s">
        <v>30</v>
      </c>
      <c r="L1174" s="4">
        <f>Table4[[#This Row],[quantity]]*Table4[[#This Row],[unit_price]]</f>
        <v>25.77</v>
      </c>
      <c r="M1174">
        <f>COUNTIFS($C$2:$C$3934,Table4[[#This Row],[customer_id]])</f>
        <v>6</v>
      </c>
      <c r="N1174" t="str">
        <f>IF(Table4[[#This Row],[customer_order_count]]=1,"New Customer","Repeat Customer")</f>
        <v>Repeat Customer</v>
      </c>
    </row>
    <row r="1175" spans="1:14">
      <c r="A1175" t="s">
        <v>5210</v>
      </c>
      <c r="B1175" s="1">
        <v>45000</v>
      </c>
      <c r="C1175" t="s">
        <v>1439</v>
      </c>
      <c r="D1175" t="s">
        <v>1440</v>
      </c>
      <c r="E1175" t="s">
        <v>21</v>
      </c>
      <c r="F1175" t="s">
        <v>79</v>
      </c>
      <c r="G1175" t="s">
        <v>398</v>
      </c>
      <c r="H1175">
        <v>2</v>
      </c>
      <c r="I1175" s="3">
        <v>25.8</v>
      </c>
      <c r="J1175" t="s">
        <v>16</v>
      </c>
      <c r="K1175" t="s">
        <v>17</v>
      </c>
      <c r="L1175" s="4">
        <f>Table4[[#This Row],[quantity]]*Table4[[#This Row],[unit_price]]</f>
        <v>51.6</v>
      </c>
      <c r="M1175">
        <f>COUNTIFS($C$2:$C$3934,Table4[[#This Row],[customer_id]])</f>
        <v>5</v>
      </c>
      <c r="N1175" t="str">
        <f>IF(Table4[[#This Row],[customer_order_count]]=1,"New Customer","Repeat Customer")</f>
        <v>Repeat Customer</v>
      </c>
    </row>
    <row r="1176" spans="1:14">
      <c r="A1176" t="s">
        <v>2943</v>
      </c>
      <c r="B1176" s="1">
        <v>45431</v>
      </c>
      <c r="C1176" t="s">
        <v>1513</v>
      </c>
      <c r="D1176" t="s">
        <v>1514</v>
      </c>
      <c r="E1176" t="s">
        <v>21</v>
      </c>
      <c r="F1176" t="s">
        <v>66</v>
      </c>
      <c r="G1176" t="s">
        <v>67</v>
      </c>
      <c r="H1176">
        <v>1</v>
      </c>
      <c r="I1176" s="3">
        <v>25.83</v>
      </c>
      <c r="J1176" t="s">
        <v>16</v>
      </c>
      <c r="K1176" t="s">
        <v>30</v>
      </c>
      <c r="L1176" s="4">
        <f>Table4[[#This Row],[quantity]]*Table4[[#This Row],[unit_price]]</f>
        <v>25.83</v>
      </c>
      <c r="M1176">
        <f>COUNTIFS($C$2:$C$3934,Table4[[#This Row],[customer_id]])</f>
        <v>5</v>
      </c>
      <c r="N1176" t="str">
        <f>IF(Table4[[#This Row],[customer_order_count]]=1,"New Customer","Repeat Customer")</f>
        <v>Repeat Customer</v>
      </c>
    </row>
    <row r="1177" spans="1:14">
      <c r="A1177" t="s">
        <v>4845</v>
      </c>
      <c r="B1177" s="1">
        <v>45356</v>
      </c>
      <c r="C1177" t="s">
        <v>1158</v>
      </c>
      <c r="D1177" t="s">
        <v>449</v>
      </c>
      <c r="E1177" t="s">
        <v>21</v>
      </c>
      <c r="F1177" t="s">
        <v>28</v>
      </c>
      <c r="G1177" t="s">
        <v>114</v>
      </c>
      <c r="H1177">
        <v>1</v>
      </c>
      <c r="I1177" s="3">
        <v>25.86</v>
      </c>
      <c r="J1177" t="s">
        <v>16</v>
      </c>
      <c r="K1177" t="s">
        <v>40</v>
      </c>
      <c r="L1177" s="4">
        <f>Table4[[#This Row],[quantity]]*Table4[[#This Row],[unit_price]]</f>
        <v>25.86</v>
      </c>
      <c r="M1177">
        <f>COUNTIFS($C$2:$C$3934,Table4[[#This Row],[customer_id]])</f>
        <v>5</v>
      </c>
      <c r="N1177" t="str">
        <f>IF(Table4[[#This Row],[customer_order_count]]=1,"New Customer","Repeat Customer")</f>
        <v>Repeat Customer</v>
      </c>
    </row>
    <row r="1178" spans="1:14">
      <c r="A1178" t="s">
        <v>2780</v>
      </c>
      <c r="B1178" s="1">
        <v>45206</v>
      </c>
      <c r="C1178" t="s">
        <v>1252</v>
      </c>
      <c r="D1178" t="s">
        <v>281</v>
      </c>
      <c r="E1178" t="s">
        <v>21</v>
      </c>
      <c r="F1178" t="s">
        <v>66</v>
      </c>
      <c r="G1178" t="s">
        <v>128</v>
      </c>
      <c r="H1178">
        <v>2</v>
      </c>
      <c r="I1178" s="3">
        <v>25.86</v>
      </c>
      <c r="J1178" t="s">
        <v>16</v>
      </c>
      <c r="K1178" t="s">
        <v>17</v>
      </c>
      <c r="L1178" s="4">
        <f>Table4[[#This Row],[quantity]]*Table4[[#This Row],[unit_price]]</f>
        <v>51.72</v>
      </c>
      <c r="M1178">
        <f>COUNTIFS($C$2:$C$3934,Table4[[#This Row],[customer_id]])</f>
        <v>6</v>
      </c>
      <c r="N1178" t="str">
        <f>IF(Table4[[#This Row],[customer_order_count]]=1,"New Customer","Repeat Customer")</f>
        <v>Repeat Customer</v>
      </c>
    </row>
    <row r="1179" spans="1:14">
      <c r="A1179" t="s">
        <v>4141</v>
      </c>
      <c r="B1179" s="1">
        <v>45143</v>
      </c>
      <c r="C1179" t="s">
        <v>405</v>
      </c>
      <c r="D1179" t="s">
        <v>406</v>
      </c>
      <c r="E1179" t="s">
        <v>21</v>
      </c>
      <c r="F1179" t="s">
        <v>70</v>
      </c>
      <c r="G1179" t="s">
        <v>110</v>
      </c>
      <c r="H1179">
        <v>1</v>
      </c>
      <c r="I1179" s="3">
        <v>25.87</v>
      </c>
      <c r="J1179" t="s">
        <v>16</v>
      </c>
      <c r="K1179" t="s">
        <v>40</v>
      </c>
      <c r="L1179" s="4">
        <f>Table4[[#This Row],[quantity]]*Table4[[#This Row],[unit_price]]</f>
        <v>25.87</v>
      </c>
      <c r="M1179">
        <f>COUNTIFS($C$2:$C$3934,Table4[[#This Row],[customer_id]])</f>
        <v>5</v>
      </c>
      <c r="N1179" t="str">
        <f>IF(Table4[[#This Row],[customer_order_count]]=1,"New Customer","Repeat Customer")</f>
        <v>Repeat Customer</v>
      </c>
    </row>
    <row r="1180" spans="1:14">
      <c r="A1180" t="s">
        <v>1407</v>
      </c>
      <c r="B1180" s="1">
        <v>45303</v>
      </c>
      <c r="C1180" t="s">
        <v>260</v>
      </c>
      <c r="D1180" t="s">
        <v>261</v>
      </c>
      <c r="E1180" t="s">
        <v>44</v>
      </c>
      <c r="F1180" t="s">
        <v>66</v>
      </c>
      <c r="G1180" t="s">
        <v>238</v>
      </c>
      <c r="H1180">
        <v>1</v>
      </c>
      <c r="I1180" s="3">
        <v>25.87</v>
      </c>
      <c r="J1180" t="s">
        <v>16</v>
      </c>
      <c r="K1180" t="s">
        <v>30</v>
      </c>
      <c r="L1180" s="4">
        <f>Table4[[#This Row],[quantity]]*Table4[[#This Row],[unit_price]]</f>
        <v>25.87</v>
      </c>
      <c r="M1180">
        <f>COUNTIFS($C$2:$C$3934,Table4[[#This Row],[customer_id]])</f>
        <v>7</v>
      </c>
      <c r="N1180" t="str">
        <f>IF(Table4[[#This Row],[customer_order_count]]=1,"New Customer","Repeat Customer")</f>
        <v>Repeat Customer</v>
      </c>
    </row>
    <row r="1181" spans="1:14">
      <c r="A1181" t="s">
        <v>1621</v>
      </c>
      <c r="B1181" s="1">
        <v>45172</v>
      </c>
      <c r="C1181" t="s">
        <v>180</v>
      </c>
      <c r="D1181" t="s">
        <v>181</v>
      </c>
      <c r="E1181" t="s">
        <v>21</v>
      </c>
      <c r="F1181" t="s">
        <v>66</v>
      </c>
      <c r="G1181" t="s">
        <v>238</v>
      </c>
      <c r="H1181">
        <v>1</v>
      </c>
      <c r="I1181" s="3">
        <v>25.88</v>
      </c>
      <c r="J1181" t="s">
        <v>16</v>
      </c>
      <c r="K1181" t="s">
        <v>35</v>
      </c>
      <c r="L1181" s="4">
        <f>Table4[[#This Row],[quantity]]*Table4[[#This Row],[unit_price]]</f>
        <v>25.88</v>
      </c>
      <c r="M1181">
        <f>COUNTIFS($C$2:$C$3934,Table4[[#This Row],[customer_id]])</f>
        <v>5</v>
      </c>
      <c r="N1181" t="str">
        <f>IF(Table4[[#This Row],[customer_order_count]]=1,"New Customer","Repeat Customer")</f>
        <v>Repeat Customer</v>
      </c>
    </row>
    <row r="1182" spans="1:14">
      <c r="A1182" t="s">
        <v>4534</v>
      </c>
      <c r="B1182" s="1">
        <v>44928</v>
      </c>
      <c r="C1182" t="s">
        <v>2277</v>
      </c>
      <c r="D1182" t="s">
        <v>1440</v>
      </c>
      <c r="E1182" t="s">
        <v>44</v>
      </c>
      <c r="F1182" t="s">
        <v>28</v>
      </c>
      <c r="G1182" t="s">
        <v>45</v>
      </c>
      <c r="H1182">
        <v>1</v>
      </c>
      <c r="I1182" s="3">
        <v>25.88</v>
      </c>
      <c r="J1182" t="s">
        <v>16</v>
      </c>
      <c r="K1182" t="s">
        <v>17</v>
      </c>
      <c r="L1182" s="4">
        <f>Table4[[#This Row],[quantity]]*Table4[[#This Row],[unit_price]]</f>
        <v>25.88</v>
      </c>
      <c r="M1182">
        <f>COUNTIFS($C$2:$C$3934,Table4[[#This Row],[customer_id]])</f>
        <v>4</v>
      </c>
      <c r="N1182" t="str">
        <f>IF(Table4[[#This Row],[customer_order_count]]=1,"New Customer","Repeat Customer")</f>
        <v>Repeat Customer</v>
      </c>
    </row>
    <row r="1183" spans="1:14">
      <c r="A1183" t="s">
        <v>4573</v>
      </c>
      <c r="B1183" s="1">
        <v>45425</v>
      </c>
      <c r="C1183" t="s">
        <v>578</v>
      </c>
      <c r="D1183" t="s">
        <v>579</v>
      </c>
      <c r="E1183" t="s">
        <v>21</v>
      </c>
      <c r="F1183" t="s">
        <v>22</v>
      </c>
      <c r="G1183" t="s">
        <v>142</v>
      </c>
      <c r="H1183">
        <v>1</v>
      </c>
      <c r="I1183" s="3">
        <v>25.88</v>
      </c>
      <c r="J1183" t="s">
        <v>24</v>
      </c>
      <c r="K1183" t="s">
        <v>40</v>
      </c>
      <c r="L1183" s="4">
        <f>Table4[[#This Row],[quantity]]*Table4[[#This Row],[unit_price]]</f>
        <v>25.88</v>
      </c>
      <c r="M1183">
        <f>COUNTIFS($C$2:$C$3934,Table4[[#This Row],[customer_id]])</f>
        <v>10</v>
      </c>
      <c r="N1183" t="str">
        <f>IF(Table4[[#This Row],[customer_order_count]]=1,"New Customer","Repeat Customer")</f>
        <v>Repeat Customer</v>
      </c>
    </row>
    <row r="1184" spans="1:14">
      <c r="A1184" t="s">
        <v>2375</v>
      </c>
      <c r="B1184" s="1">
        <v>45060</v>
      </c>
      <c r="C1184" t="s">
        <v>2376</v>
      </c>
      <c r="D1184" t="s">
        <v>1818</v>
      </c>
      <c r="E1184" t="s">
        <v>44</v>
      </c>
      <c r="F1184" t="s">
        <v>70</v>
      </c>
      <c r="G1184" t="s">
        <v>89</v>
      </c>
      <c r="H1184">
        <v>1</v>
      </c>
      <c r="I1184" s="3">
        <v>25.88</v>
      </c>
      <c r="J1184" t="s">
        <v>16</v>
      </c>
      <c r="K1184" t="s">
        <v>30</v>
      </c>
      <c r="L1184" s="4">
        <f>Table4[[#This Row],[quantity]]*Table4[[#This Row],[unit_price]]</f>
        <v>25.88</v>
      </c>
      <c r="M1184">
        <f>COUNTIFS($C$2:$C$3934,Table4[[#This Row],[customer_id]])</f>
        <v>4</v>
      </c>
      <c r="N1184" t="str">
        <f>IF(Table4[[#This Row],[customer_order_count]]=1,"New Customer","Repeat Customer")</f>
        <v>Repeat Customer</v>
      </c>
    </row>
    <row r="1185" spans="1:14">
      <c r="A1185" t="s">
        <v>2991</v>
      </c>
      <c r="B1185" s="1">
        <v>45409</v>
      </c>
      <c r="C1185" t="s">
        <v>2119</v>
      </c>
      <c r="D1185" t="s">
        <v>48</v>
      </c>
      <c r="E1185" t="s">
        <v>21</v>
      </c>
      <c r="F1185" t="s">
        <v>22</v>
      </c>
      <c r="G1185" t="s">
        <v>264</v>
      </c>
      <c r="H1185">
        <v>1</v>
      </c>
      <c r="I1185" s="3">
        <v>25.9</v>
      </c>
      <c r="J1185" t="s">
        <v>16</v>
      </c>
      <c r="K1185" t="s">
        <v>35</v>
      </c>
      <c r="L1185" s="4">
        <f>Table4[[#This Row],[quantity]]*Table4[[#This Row],[unit_price]]</f>
        <v>25.9</v>
      </c>
      <c r="M1185">
        <f>COUNTIFS($C$2:$C$3934,Table4[[#This Row],[customer_id]])</f>
        <v>3</v>
      </c>
      <c r="N1185" t="str">
        <f>IF(Table4[[#This Row],[customer_order_count]]=1,"New Customer","Repeat Customer")</f>
        <v>Repeat Customer</v>
      </c>
    </row>
    <row r="1186" spans="1:14">
      <c r="A1186" t="s">
        <v>1672</v>
      </c>
      <c r="B1186" s="1">
        <v>45093</v>
      </c>
      <c r="C1186" t="s">
        <v>1673</v>
      </c>
      <c r="D1186" t="s">
        <v>1674</v>
      </c>
      <c r="E1186" t="s">
        <v>21</v>
      </c>
      <c r="F1186" t="s">
        <v>28</v>
      </c>
      <c r="G1186" t="s">
        <v>29</v>
      </c>
      <c r="H1186">
        <v>2</v>
      </c>
      <c r="I1186" s="3">
        <v>25.902155172413806</v>
      </c>
      <c r="J1186" t="s">
        <v>24</v>
      </c>
      <c r="K1186" t="s">
        <v>40</v>
      </c>
      <c r="L1186" s="4">
        <f>Table4[[#This Row],[quantity]]*Table4[[#This Row],[unit_price]]</f>
        <v>51.804310344827613</v>
      </c>
      <c r="M1186">
        <f>COUNTIFS($C$2:$C$3934,Table4[[#This Row],[customer_id]])</f>
        <v>2</v>
      </c>
      <c r="N1186" t="str">
        <f>IF(Table4[[#This Row],[customer_order_count]]=1,"New Customer","Repeat Customer")</f>
        <v>Repeat Customer</v>
      </c>
    </row>
    <row r="1187" spans="1:14">
      <c r="A1187" t="s">
        <v>2926</v>
      </c>
      <c r="B1187" s="1">
        <v>45511</v>
      </c>
      <c r="C1187" t="s">
        <v>2927</v>
      </c>
      <c r="D1187" t="s">
        <v>1331</v>
      </c>
      <c r="E1187" t="s">
        <v>61</v>
      </c>
      <c r="F1187" t="s">
        <v>28</v>
      </c>
      <c r="G1187" t="s">
        <v>29</v>
      </c>
      <c r="H1187">
        <v>3</v>
      </c>
      <c r="I1187" s="3">
        <v>25.902155172413806</v>
      </c>
      <c r="J1187" t="s">
        <v>16</v>
      </c>
      <c r="K1187" t="s">
        <v>40</v>
      </c>
      <c r="L1187" s="4">
        <f>Table4[[#This Row],[quantity]]*Table4[[#This Row],[unit_price]]</f>
        <v>77.706465517241412</v>
      </c>
      <c r="M1187">
        <f>COUNTIFS($C$2:$C$3934,Table4[[#This Row],[customer_id]])</f>
        <v>3</v>
      </c>
      <c r="N1187" t="str">
        <f>IF(Table4[[#This Row],[customer_order_count]]=1,"New Customer","Repeat Customer")</f>
        <v>Repeat Customer</v>
      </c>
    </row>
    <row r="1188" spans="1:14">
      <c r="A1188" t="s">
        <v>1846</v>
      </c>
      <c r="B1188" s="1">
        <v>45239</v>
      </c>
      <c r="C1188" t="s">
        <v>1730</v>
      </c>
      <c r="D1188" t="s">
        <v>1731</v>
      </c>
      <c r="E1188" t="s">
        <v>106</v>
      </c>
      <c r="F1188" t="s">
        <v>79</v>
      </c>
      <c r="G1188" t="s">
        <v>204</v>
      </c>
      <c r="H1188">
        <v>1</v>
      </c>
      <c r="I1188" s="3">
        <v>25.91</v>
      </c>
      <c r="J1188" t="s">
        <v>16</v>
      </c>
      <c r="K1188" t="s">
        <v>17</v>
      </c>
      <c r="L1188" s="4">
        <f>Table4[[#This Row],[quantity]]*Table4[[#This Row],[unit_price]]</f>
        <v>25.91</v>
      </c>
      <c r="M1188">
        <f>COUNTIFS($C$2:$C$3934,Table4[[#This Row],[customer_id]])</f>
        <v>2</v>
      </c>
      <c r="N1188" t="str">
        <f>IF(Table4[[#This Row],[customer_order_count]]=1,"New Customer","Repeat Customer")</f>
        <v>Repeat Customer</v>
      </c>
    </row>
    <row r="1189" spans="1:14">
      <c r="A1189" t="s">
        <v>4088</v>
      </c>
      <c r="B1189" s="1">
        <v>45622</v>
      </c>
      <c r="C1189" t="s">
        <v>301</v>
      </c>
      <c r="D1189" t="s">
        <v>189</v>
      </c>
      <c r="E1189" t="s">
        <v>21</v>
      </c>
      <c r="F1189" t="s">
        <v>28</v>
      </c>
      <c r="G1189" t="s">
        <v>45</v>
      </c>
      <c r="H1189">
        <v>1</v>
      </c>
      <c r="I1189" s="3">
        <v>25.918431372549026</v>
      </c>
      <c r="J1189" t="s">
        <v>16</v>
      </c>
      <c r="K1189" t="s">
        <v>35</v>
      </c>
      <c r="L1189" s="4">
        <f>Table4[[#This Row],[quantity]]*Table4[[#This Row],[unit_price]]</f>
        <v>25.918431372549026</v>
      </c>
      <c r="M1189">
        <f>COUNTIFS($C$2:$C$3934,Table4[[#This Row],[customer_id]])</f>
        <v>5</v>
      </c>
      <c r="N1189" t="str">
        <f>IF(Table4[[#This Row],[customer_order_count]]=1,"New Customer","Repeat Customer")</f>
        <v>Repeat Customer</v>
      </c>
    </row>
    <row r="1190" spans="1:14">
      <c r="A1190" t="s">
        <v>2319</v>
      </c>
      <c r="B1190" s="1">
        <v>45581</v>
      </c>
      <c r="C1190" t="s">
        <v>2320</v>
      </c>
      <c r="D1190" t="s">
        <v>310</v>
      </c>
      <c r="E1190" t="s">
        <v>44</v>
      </c>
      <c r="F1190" t="s">
        <v>28</v>
      </c>
      <c r="G1190" t="s">
        <v>45</v>
      </c>
      <c r="H1190">
        <v>1</v>
      </c>
      <c r="I1190" s="3">
        <v>25.918431372549026</v>
      </c>
      <c r="J1190" t="s">
        <v>16</v>
      </c>
      <c r="K1190" t="s">
        <v>40</v>
      </c>
      <c r="L1190" s="4">
        <f>Table4[[#This Row],[quantity]]*Table4[[#This Row],[unit_price]]</f>
        <v>25.918431372549026</v>
      </c>
      <c r="M1190">
        <f>COUNTIFS($C$2:$C$3934,Table4[[#This Row],[customer_id]])</f>
        <v>6</v>
      </c>
      <c r="N1190" t="str">
        <f>IF(Table4[[#This Row],[customer_order_count]]=1,"New Customer","Repeat Customer")</f>
        <v>Repeat Customer</v>
      </c>
    </row>
    <row r="1191" spans="1:14">
      <c r="A1191" t="s">
        <v>3815</v>
      </c>
      <c r="B1191" s="1">
        <v>45004</v>
      </c>
      <c r="C1191" t="s">
        <v>454</v>
      </c>
      <c r="D1191" t="s">
        <v>299</v>
      </c>
      <c r="E1191" t="s">
        <v>44</v>
      </c>
      <c r="F1191" t="s">
        <v>66</v>
      </c>
      <c r="G1191" t="s">
        <v>217</v>
      </c>
      <c r="H1191">
        <v>1</v>
      </c>
      <c r="I1191" s="3">
        <v>25.92</v>
      </c>
      <c r="J1191" t="s">
        <v>16</v>
      </c>
      <c r="K1191" t="s">
        <v>40</v>
      </c>
      <c r="L1191" s="4">
        <f>Table4[[#This Row],[quantity]]*Table4[[#This Row],[unit_price]]</f>
        <v>25.92</v>
      </c>
      <c r="M1191">
        <f>COUNTIFS($C$2:$C$3934,Table4[[#This Row],[customer_id]])</f>
        <v>3</v>
      </c>
      <c r="N1191" t="str">
        <f>IF(Table4[[#This Row],[customer_order_count]]=1,"New Customer","Repeat Customer")</f>
        <v>Repeat Customer</v>
      </c>
    </row>
    <row r="1192" spans="1:14">
      <c r="A1192" t="s">
        <v>4021</v>
      </c>
      <c r="B1192" s="1">
        <v>45137</v>
      </c>
      <c r="C1192" t="s">
        <v>280</v>
      </c>
      <c r="D1192" t="s">
        <v>281</v>
      </c>
      <c r="E1192" t="s">
        <v>44</v>
      </c>
      <c r="F1192" t="s">
        <v>70</v>
      </c>
      <c r="G1192" t="s">
        <v>337</v>
      </c>
      <c r="H1192">
        <v>3</v>
      </c>
      <c r="I1192" s="3">
        <v>25.94</v>
      </c>
      <c r="J1192" t="s">
        <v>16</v>
      </c>
      <c r="K1192" t="s">
        <v>30</v>
      </c>
      <c r="L1192" s="4">
        <f>Table4[[#This Row],[quantity]]*Table4[[#This Row],[unit_price]]</f>
        <v>77.820000000000007</v>
      </c>
      <c r="M1192">
        <f>COUNTIFS($C$2:$C$3934,Table4[[#This Row],[customer_id]])</f>
        <v>6</v>
      </c>
      <c r="N1192" t="str">
        <f>IF(Table4[[#This Row],[customer_order_count]]=1,"New Customer","Repeat Customer")</f>
        <v>Repeat Customer</v>
      </c>
    </row>
    <row r="1193" spans="1:14">
      <c r="A1193" t="s">
        <v>3547</v>
      </c>
      <c r="B1193" s="1">
        <v>45486</v>
      </c>
      <c r="C1193" t="s">
        <v>175</v>
      </c>
      <c r="D1193" t="s">
        <v>105</v>
      </c>
      <c r="E1193" t="s">
        <v>44</v>
      </c>
      <c r="F1193" t="s">
        <v>28</v>
      </c>
      <c r="G1193" t="s">
        <v>84</v>
      </c>
      <c r="H1193">
        <v>1</v>
      </c>
      <c r="I1193" s="3">
        <v>25.94</v>
      </c>
      <c r="J1193" t="s">
        <v>16</v>
      </c>
      <c r="K1193" t="s">
        <v>17</v>
      </c>
      <c r="L1193" s="4">
        <f>Table4[[#This Row],[quantity]]*Table4[[#This Row],[unit_price]]</f>
        <v>25.94</v>
      </c>
      <c r="M1193">
        <f>COUNTIFS($C$2:$C$3934,Table4[[#This Row],[customer_id]])</f>
        <v>4</v>
      </c>
      <c r="N1193" t="str">
        <f>IF(Table4[[#This Row],[customer_order_count]]=1,"New Customer","Repeat Customer")</f>
        <v>Repeat Customer</v>
      </c>
    </row>
    <row r="1194" spans="1:14">
      <c r="A1194" t="s">
        <v>4561</v>
      </c>
      <c r="B1194" s="1">
        <v>45358</v>
      </c>
      <c r="C1194" t="s">
        <v>993</v>
      </c>
      <c r="D1194" t="s">
        <v>117</v>
      </c>
      <c r="E1194" t="s">
        <v>21</v>
      </c>
      <c r="F1194" t="s">
        <v>28</v>
      </c>
      <c r="G1194" t="s">
        <v>139</v>
      </c>
      <c r="H1194">
        <v>1</v>
      </c>
      <c r="I1194" s="3">
        <v>25.97</v>
      </c>
      <c r="J1194" t="s">
        <v>16</v>
      </c>
      <c r="K1194" t="s">
        <v>30</v>
      </c>
      <c r="L1194" s="4">
        <f>Table4[[#This Row],[quantity]]*Table4[[#This Row],[unit_price]]</f>
        <v>25.97</v>
      </c>
      <c r="M1194">
        <f>COUNTIFS($C$2:$C$3934,Table4[[#This Row],[customer_id]])</f>
        <v>5</v>
      </c>
      <c r="N1194" t="str">
        <f>IF(Table4[[#This Row],[customer_order_count]]=1,"New Customer","Repeat Customer")</f>
        <v>Repeat Customer</v>
      </c>
    </row>
    <row r="1195" spans="1:14">
      <c r="A1195" t="s">
        <v>3972</v>
      </c>
      <c r="B1195" s="1">
        <v>45070</v>
      </c>
      <c r="C1195" t="s">
        <v>2372</v>
      </c>
      <c r="D1195" t="s">
        <v>1453</v>
      </c>
      <c r="E1195" t="s">
        <v>21</v>
      </c>
      <c r="F1195" t="s">
        <v>70</v>
      </c>
      <c r="G1195" t="s">
        <v>337</v>
      </c>
      <c r="H1195">
        <v>2</v>
      </c>
      <c r="I1195" s="3">
        <v>25.97</v>
      </c>
      <c r="J1195" t="s">
        <v>85</v>
      </c>
      <c r="K1195" t="s">
        <v>40</v>
      </c>
      <c r="L1195" s="4">
        <f>Table4[[#This Row],[quantity]]*Table4[[#This Row],[unit_price]]</f>
        <v>51.94</v>
      </c>
      <c r="M1195">
        <f>COUNTIFS($C$2:$C$3934,Table4[[#This Row],[customer_id]])</f>
        <v>6</v>
      </c>
      <c r="N1195" t="str">
        <f>IF(Table4[[#This Row],[customer_order_count]]=1,"New Customer","Repeat Customer")</f>
        <v>Repeat Customer</v>
      </c>
    </row>
    <row r="1196" spans="1:14">
      <c r="A1196" t="s">
        <v>3856</v>
      </c>
      <c r="B1196" s="1">
        <v>45132</v>
      </c>
      <c r="C1196" t="s">
        <v>353</v>
      </c>
      <c r="D1196" t="s">
        <v>310</v>
      </c>
      <c r="E1196" t="s">
        <v>44</v>
      </c>
      <c r="F1196" t="s">
        <v>79</v>
      </c>
      <c r="G1196" t="s">
        <v>80</v>
      </c>
      <c r="H1196">
        <v>1</v>
      </c>
      <c r="I1196" s="3">
        <v>25.98</v>
      </c>
      <c r="J1196" t="s">
        <v>16</v>
      </c>
      <c r="K1196" t="s">
        <v>35</v>
      </c>
      <c r="L1196" s="4">
        <f>Table4[[#This Row],[quantity]]*Table4[[#This Row],[unit_price]]</f>
        <v>25.98</v>
      </c>
      <c r="M1196">
        <f>COUNTIFS($C$2:$C$3934,Table4[[#This Row],[customer_id]])</f>
        <v>5</v>
      </c>
      <c r="N1196" t="str">
        <f>IF(Table4[[#This Row],[customer_order_count]]=1,"New Customer","Repeat Customer")</f>
        <v>Repeat Customer</v>
      </c>
    </row>
    <row r="1197" spans="1:14">
      <c r="A1197" t="s">
        <v>4469</v>
      </c>
      <c r="B1197" s="1">
        <v>45551</v>
      </c>
      <c r="C1197" t="s">
        <v>868</v>
      </c>
      <c r="D1197" t="s">
        <v>869</v>
      </c>
      <c r="E1197" t="s">
        <v>21</v>
      </c>
      <c r="F1197" t="s">
        <v>28</v>
      </c>
      <c r="G1197" t="s">
        <v>139</v>
      </c>
      <c r="H1197">
        <v>1</v>
      </c>
      <c r="I1197" s="3">
        <v>25.99</v>
      </c>
      <c r="J1197" t="s">
        <v>16</v>
      </c>
      <c r="K1197" t="s">
        <v>35</v>
      </c>
      <c r="L1197" s="4">
        <f>Table4[[#This Row],[quantity]]*Table4[[#This Row],[unit_price]]</f>
        <v>25.99</v>
      </c>
      <c r="M1197">
        <f>COUNTIFS($C$2:$C$3934,Table4[[#This Row],[customer_id]])</f>
        <v>7</v>
      </c>
      <c r="N1197" t="str">
        <f>IF(Table4[[#This Row],[customer_order_count]]=1,"New Customer","Repeat Customer")</f>
        <v>Repeat Customer</v>
      </c>
    </row>
    <row r="1198" spans="1:14">
      <c r="A1198" t="s">
        <v>5175</v>
      </c>
      <c r="B1198" s="1">
        <v>45374</v>
      </c>
      <c r="C1198" t="s">
        <v>565</v>
      </c>
      <c r="D1198" t="s">
        <v>566</v>
      </c>
      <c r="E1198" t="s">
        <v>44</v>
      </c>
      <c r="F1198" t="s">
        <v>66</v>
      </c>
      <c r="G1198" t="s">
        <v>49</v>
      </c>
      <c r="H1198">
        <v>1</v>
      </c>
      <c r="I1198" s="3">
        <v>26</v>
      </c>
      <c r="J1198" t="s">
        <v>16</v>
      </c>
      <c r="K1198" t="s">
        <v>30</v>
      </c>
      <c r="L1198" s="4">
        <f>Table4[[#This Row],[quantity]]*Table4[[#This Row],[unit_price]]</f>
        <v>26</v>
      </c>
      <c r="M1198">
        <f>COUNTIFS($C$2:$C$3934,Table4[[#This Row],[customer_id]])</f>
        <v>5</v>
      </c>
      <c r="N1198" t="str">
        <f>IF(Table4[[#This Row],[customer_order_count]]=1,"New Customer","Repeat Customer")</f>
        <v>Repeat Customer</v>
      </c>
    </row>
    <row r="1199" spans="1:14">
      <c r="A1199" t="s">
        <v>2422</v>
      </c>
      <c r="B1199" s="1">
        <v>45071</v>
      </c>
      <c r="C1199" t="s">
        <v>1868</v>
      </c>
      <c r="D1199" t="s">
        <v>1869</v>
      </c>
      <c r="E1199" t="s">
        <v>21</v>
      </c>
      <c r="F1199" t="s">
        <v>14</v>
      </c>
      <c r="G1199" t="s">
        <v>15</v>
      </c>
      <c r="H1199">
        <v>2</v>
      </c>
      <c r="I1199" s="3">
        <v>26</v>
      </c>
      <c r="J1199" t="s">
        <v>16</v>
      </c>
      <c r="K1199" t="s">
        <v>35</v>
      </c>
      <c r="L1199" s="4">
        <f>Table4[[#This Row],[quantity]]*Table4[[#This Row],[unit_price]]</f>
        <v>52</v>
      </c>
      <c r="M1199">
        <f>COUNTIFS($C$2:$C$3934,Table4[[#This Row],[customer_id]])</f>
        <v>3</v>
      </c>
      <c r="N1199" t="str">
        <f>IF(Table4[[#This Row],[customer_order_count]]=1,"New Customer","Repeat Customer")</f>
        <v>Repeat Customer</v>
      </c>
    </row>
    <row r="1200" spans="1:14">
      <c r="A1200" t="s">
        <v>3348</v>
      </c>
      <c r="B1200" s="1">
        <v>45519</v>
      </c>
      <c r="C1200" t="s">
        <v>1269</v>
      </c>
      <c r="D1200" t="s">
        <v>359</v>
      </c>
      <c r="E1200" t="s">
        <v>21</v>
      </c>
      <c r="F1200" t="s">
        <v>66</v>
      </c>
      <c r="G1200" t="s">
        <v>128</v>
      </c>
      <c r="H1200">
        <v>3</v>
      </c>
      <c r="I1200" s="3">
        <v>26.02</v>
      </c>
      <c r="J1200" t="s">
        <v>16</v>
      </c>
      <c r="K1200" t="s">
        <v>30</v>
      </c>
      <c r="L1200" s="4">
        <f>Table4[[#This Row],[quantity]]*Table4[[#This Row],[unit_price]]</f>
        <v>78.06</v>
      </c>
      <c r="M1200">
        <f>COUNTIFS($C$2:$C$3934,Table4[[#This Row],[customer_id]])</f>
        <v>6</v>
      </c>
      <c r="N1200" t="str">
        <f>IF(Table4[[#This Row],[customer_order_count]]=1,"New Customer","Repeat Customer")</f>
        <v>Repeat Customer</v>
      </c>
    </row>
    <row r="1201" spans="1:14">
      <c r="A1201" t="s">
        <v>593</v>
      </c>
      <c r="B1201" s="1">
        <v>45638</v>
      </c>
      <c r="C1201" t="s">
        <v>451</v>
      </c>
      <c r="D1201" t="s">
        <v>452</v>
      </c>
      <c r="E1201" t="s">
        <v>44</v>
      </c>
      <c r="F1201" t="s">
        <v>66</v>
      </c>
      <c r="G1201" t="s">
        <v>67</v>
      </c>
      <c r="H1201">
        <v>1</v>
      </c>
      <c r="I1201" s="3">
        <v>26.03</v>
      </c>
      <c r="J1201" t="s">
        <v>16</v>
      </c>
      <c r="K1201" t="s">
        <v>17</v>
      </c>
      <c r="L1201" s="4">
        <f>Table4[[#This Row],[quantity]]*Table4[[#This Row],[unit_price]]</f>
        <v>26.03</v>
      </c>
      <c r="M1201">
        <f>COUNTIFS($C$2:$C$3934,Table4[[#This Row],[customer_id]])</f>
        <v>8</v>
      </c>
      <c r="N1201" t="str">
        <f>IF(Table4[[#This Row],[customer_order_count]]=1,"New Customer","Repeat Customer")</f>
        <v>Repeat Customer</v>
      </c>
    </row>
    <row r="1202" spans="1:14">
      <c r="A1202" t="s">
        <v>4247</v>
      </c>
      <c r="B1202" s="1">
        <v>45376</v>
      </c>
      <c r="C1202" t="s">
        <v>2732</v>
      </c>
      <c r="D1202" t="s">
        <v>582</v>
      </c>
      <c r="E1202" t="s">
        <v>21</v>
      </c>
      <c r="F1202" t="s">
        <v>14</v>
      </c>
      <c r="G1202" t="s">
        <v>39</v>
      </c>
      <c r="H1202">
        <v>1</v>
      </c>
      <c r="I1202" s="3">
        <v>26.03</v>
      </c>
      <c r="J1202" t="s">
        <v>16</v>
      </c>
      <c r="K1202" t="s">
        <v>30</v>
      </c>
      <c r="L1202" s="4">
        <f>Table4[[#This Row],[quantity]]*Table4[[#This Row],[unit_price]]</f>
        <v>26.03</v>
      </c>
      <c r="M1202">
        <f>COUNTIFS($C$2:$C$3934,Table4[[#This Row],[customer_id]])</f>
        <v>3</v>
      </c>
      <c r="N1202" t="str">
        <f>IF(Table4[[#This Row],[customer_order_count]]=1,"New Customer","Repeat Customer")</f>
        <v>Repeat Customer</v>
      </c>
    </row>
    <row r="1203" spans="1:14">
      <c r="A1203" t="s">
        <v>2989</v>
      </c>
      <c r="B1203" s="1">
        <v>44988</v>
      </c>
      <c r="C1203" t="s">
        <v>1814</v>
      </c>
      <c r="D1203" t="s">
        <v>1453</v>
      </c>
      <c r="E1203" t="s">
        <v>21</v>
      </c>
      <c r="F1203" t="s">
        <v>66</v>
      </c>
      <c r="G1203" t="s">
        <v>49</v>
      </c>
      <c r="H1203">
        <v>2</v>
      </c>
      <c r="I1203" s="3">
        <v>26.03</v>
      </c>
      <c r="J1203" t="s">
        <v>16</v>
      </c>
      <c r="K1203" t="s">
        <v>35</v>
      </c>
      <c r="L1203" s="4">
        <f>Table4[[#This Row],[quantity]]*Table4[[#This Row],[unit_price]]</f>
        <v>52.06</v>
      </c>
      <c r="M1203">
        <f>COUNTIFS($C$2:$C$3934,Table4[[#This Row],[customer_id]])</f>
        <v>8</v>
      </c>
      <c r="N1203" t="str">
        <f>IF(Table4[[#This Row],[customer_order_count]]=1,"New Customer","Repeat Customer")</f>
        <v>Repeat Customer</v>
      </c>
    </row>
    <row r="1204" spans="1:14">
      <c r="A1204" t="s">
        <v>4323</v>
      </c>
      <c r="B1204" s="1">
        <v>45132</v>
      </c>
      <c r="C1204" t="s">
        <v>2069</v>
      </c>
      <c r="D1204" t="s">
        <v>646</v>
      </c>
      <c r="E1204" t="s">
        <v>44</v>
      </c>
      <c r="F1204" t="s">
        <v>79</v>
      </c>
      <c r="G1204" t="s">
        <v>398</v>
      </c>
      <c r="H1204">
        <v>1</v>
      </c>
      <c r="I1204" s="3">
        <v>26.05</v>
      </c>
      <c r="J1204" t="s">
        <v>24</v>
      </c>
      <c r="K1204" t="s">
        <v>30</v>
      </c>
      <c r="L1204" s="4">
        <f>Table4[[#This Row],[quantity]]*Table4[[#This Row],[unit_price]]</f>
        <v>26.05</v>
      </c>
      <c r="M1204">
        <f>COUNTIFS($C$2:$C$3934,Table4[[#This Row],[customer_id]])</f>
        <v>4</v>
      </c>
      <c r="N1204" t="str">
        <f>IF(Table4[[#This Row],[customer_order_count]]=1,"New Customer","Repeat Customer")</f>
        <v>Repeat Customer</v>
      </c>
    </row>
    <row r="1205" spans="1:14">
      <c r="A1205" t="s">
        <v>5147</v>
      </c>
      <c r="B1205" s="1">
        <v>44948</v>
      </c>
      <c r="C1205" t="s">
        <v>298</v>
      </c>
      <c r="D1205" t="s">
        <v>299</v>
      </c>
      <c r="E1205" t="s">
        <v>21</v>
      </c>
      <c r="F1205" t="s">
        <v>79</v>
      </c>
      <c r="G1205" t="s">
        <v>541</v>
      </c>
      <c r="H1205">
        <v>1</v>
      </c>
      <c r="I1205" s="3">
        <v>26.05</v>
      </c>
      <c r="J1205" t="s">
        <v>16</v>
      </c>
      <c r="K1205" t="s">
        <v>35</v>
      </c>
      <c r="L1205" s="4">
        <f>Table4[[#This Row],[quantity]]*Table4[[#This Row],[unit_price]]</f>
        <v>26.05</v>
      </c>
      <c r="M1205">
        <f>COUNTIFS($C$2:$C$3934,Table4[[#This Row],[customer_id]])</f>
        <v>7</v>
      </c>
      <c r="N1205" t="str">
        <f>IF(Table4[[#This Row],[customer_order_count]]=1,"New Customer","Repeat Customer")</f>
        <v>Repeat Customer</v>
      </c>
    </row>
    <row r="1206" spans="1:14">
      <c r="A1206" t="s">
        <v>500</v>
      </c>
      <c r="B1206" s="1">
        <v>45116</v>
      </c>
      <c r="C1206" t="s">
        <v>501</v>
      </c>
      <c r="D1206" t="s">
        <v>502</v>
      </c>
      <c r="E1206" t="s">
        <v>21</v>
      </c>
      <c r="F1206" t="s">
        <v>56</v>
      </c>
      <c r="G1206" t="s">
        <v>422</v>
      </c>
      <c r="H1206">
        <v>1</v>
      </c>
      <c r="I1206" s="3">
        <v>26.05</v>
      </c>
      <c r="J1206" t="s">
        <v>16</v>
      </c>
      <c r="K1206" t="s">
        <v>35</v>
      </c>
      <c r="L1206" s="4">
        <f>Table4[[#This Row],[quantity]]*Table4[[#This Row],[unit_price]]</f>
        <v>26.05</v>
      </c>
      <c r="M1206">
        <f>COUNTIFS($C$2:$C$3934,Table4[[#This Row],[customer_id]])</f>
        <v>6</v>
      </c>
      <c r="N1206" t="str">
        <f>IF(Table4[[#This Row],[customer_order_count]]=1,"New Customer","Repeat Customer")</f>
        <v>Repeat Customer</v>
      </c>
    </row>
    <row r="1207" spans="1:14">
      <c r="A1207" t="s">
        <v>3718</v>
      </c>
      <c r="B1207" s="1">
        <v>45389</v>
      </c>
      <c r="C1207" t="s">
        <v>927</v>
      </c>
      <c r="D1207" t="s">
        <v>928</v>
      </c>
      <c r="E1207" t="s">
        <v>44</v>
      </c>
      <c r="F1207" t="s">
        <v>28</v>
      </c>
      <c r="G1207" t="s">
        <v>45</v>
      </c>
      <c r="H1207">
        <v>1</v>
      </c>
      <c r="I1207" s="3">
        <v>26.07</v>
      </c>
      <c r="J1207" t="s">
        <v>16</v>
      </c>
      <c r="K1207" t="s">
        <v>40</v>
      </c>
      <c r="L1207" s="4">
        <f>Table4[[#This Row],[quantity]]*Table4[[#This Row],[unit_price]]</f>
        <v>26.07</v>
      </c>
      <c r="M1207">
        <f>COUNTIFS($C$2:$C$3934,Table4[[#This Row],[customer_id]])</f>
        <v>6</v>
      </c>
      <c r="N1207" t="str">
        <f>IF(Table4[[#This Row],[customer_order_count]]=1,"New Customer","Repeat Customer")</f>
        <v>Repeat Customer</v>
      </c>
    </row>
    <row r="1208" spans="1:14">
      <c r="A1208" t="s">
        <v>3420</v>
      </c>
      <c r="B1208" s="1">
        <v>45210</v>
      </c>
      <c r="C1208" t="s">
        <v>424</v>
      </c>
      <c r="D1208" t="s">
        <v>425</v>
      </c>
      <c r="E1208" t="s">
        <v>21</v>
      </c>
      <c r="F1208" t="s">
        <v>66</v>
      </c>
      <c r="G1208" t="s">
        <v>49</v>
      </c>
      <c r="H1208">
        <v>2</v>
      </c>
      <c r="I1208" s="3">
        <v>26.07</v>
      </c>
      <c r="J1208" t="s">
        <v>16</v>
      </c>
      <c r="K1208" t="s">
        <v>17</v>
      </c>
      <c r="L1208" s="4">
        <f>Table4[[#This Row],[quantity]]*Table4[[#This Row],[unit_price]]</f>
        <v>52.14</v>
      </c>
      <c r="M1208">
        <f>COUNTIFS($C$2:$C$3934,Table4[[#This Row],[customer_id]])</f>
        <v>7</v>
      </c>
      <c r="N1208" t="str">
        <f>IF(Table4[[#This Row],[customer_order_count]]=1,"New Customer","Repeat Customer")</f>
        <v>Repeat Customer</v>
      </c>
    </row>
    <row r="1209" spans="1:14">
      <c r="A1209" t="s">
        <v>1133</v>
      </c>
      <c r="B1209" s="1">
        <v>45432</v>
      </c>
      <c r="C1209" t="s">
        <v>1134</v>
      </c>
      <c r="D1209" s="2" t="s">
        <v>5257</v>
      </c>
      <c r="E1209" t="s">
        <v>44</v>
      </c>
      <c r="F1209" t="s">
        <v>56</v>
      </c>
      <c r="G1209" t="s">
        <v>75</v>
      </c>
      <c r="H1209">
        <v>5</v>
      </c>
      <c r="I1209" s="3">
        <v>26.08</v>
      </c>
      <c r="J1209" t="s">
        <v>85</v>
      </c>
      <c r="K1209" t="s">
        <v>40</v>
      </c>
      <c r="L1209" s="4">
        <f>Table4[[#This Row],[quantity]]*Table4[[#This Row],[unit_price]]</f>
        <v>130.39999999999998</v>
      </c>
      <c r="M1209">
        <f>COUNTIFS($C$2:$C$3934,Table4[[#This Row],[customer_id]])</f>
        <v>3</v>
      </c>
      <c r="N1209" t="str">
        <f>IF(Table4[[#This Row],[customer_order_count]]=1,"New Customer","Repeat Customer")</f>
        <v>Repeat Customer</v>
      </c>
    </row>
    <row r="1210" spans="1:14">
      <c r="A1210" t="s">
        <v>2743</v>
      </c>
      <c r="B1210" s="1">
        <v>45349</v>
      </c>
      <c r="C1210" t="s">
        <v>724</v>
      </c>
      <c r="D1210" s="5" t="s">
        <v>725</v>
      </c>
      <c r="E1210" t="s">
        <v>44</v>
      </c>
      <c r="F1210" t="s">
        <v>56</v>
      </c>
      <c r="G1210" t="s">
        <v>57</v>
      </c>
      <c r="H1210">
        <v>2</v>
      </c>
      <c r="I1210" s="3">
        <v>26.13</v>
      </c>
      <c r="J1210" t="s">
        <v>16</v>
      </c>
      <c r="K1210" t="s">
        <v>35</v>
      </c>
      <c r="L1210" s="4">
        <f>Table4[[#This Row],[quantity]]*Table4[[#This Row],[unit_price]]</f>
        <v>52.26</v>
      </c>
      <c r="M1210">
        <f>COUNTIFS($C$2:$C$3934,Table4[[#This Row],[customer_id]])</f>
        <v>5</v>
      </c>
      <c r="N1210" t="str">
        <f>IF(Table4[[#This Row],[customer_order_count]]=1,"New Customer","Repeat Customer")</f>
        <v>Repeat Customer</v>
      </c>
    </row>
    <row r="1211" spans="1:14">
      <c r="A1211" t="s">
        <v>2676</v>
      </c>
      <c r="B1211" s="1">
        <v>45468</v>
      </c>
      <c r="C1211" t="s">
        <v>1603</v>
      </c>
      <c r="D1211" t="s">
        <v>226</v>
      </c>
      <c r="E1211" t="s">
        <v>21</v>
      </c>
      <c r="F1211" t="s">
        <v>14</v>
      </c>
      <c r="G1211" t="s">
        <v>39</v>
      </c>
      <c r="H1211">
        <v>2</v>
      </c>
      <c r="I1211" s="3">
        <v>26.14</v>
      </c>
      <c r="J1211" t="s">
        <v>85</v>
      </c>
      <c r="K1211" t="s">
        <v>35</v>
      </c>
      <c r="L1211" s="4">
        <f>Table4[[#This Row],[quantity]]*Table4[[#This Row],[unit_price]]</f>
        <v>52.28</v>
      </c>
      <c r="M1211">
        <f>COUNTIFS($C$2:$C$3934,Table4[[#This Row],[customer_id]])</f>
        <v>6</v>
      </c>
      <c r="N1211" t="str">
        <f>IF(Table4[[#This Row],[customer_order_count]]=1,"New Customer","Repeat Customer")</f>
        <v>Repeat Customer</v>
      </c>
    </row>
    <row r="1212" spans="1:14">
      <c r="A1212" t="s">
        <v>2341</v>
      </c>
      <c r="B1212" s="1">
        <v>45374</v>
      </c>
      <c r="C1212" t="s">
        <v>2342</v>
      </c>
      <c r="D1212" t="s">
        <v>2343</v>
      </c>
      <c r="E1212" t="s">
        <v>21</v>
      </c>
      <c r="F1212" t="s">
        <v>66</v>
      </c>
      <c r="G1212" t="s">
        <v>217</v>
      </c>
      <c r="H1212">
        <v>1</v>
      </c>
      <c r="I1212" s="3">
        <v>26.15</v>
      </c>
      <c r="J1212" t="s">
        <v>16</v>
      </c>
      <c r="K1212" t="s">
        <v>40</v>
      </c>
      <c r="L1212" s="4">
        <f>Table4[[#This Row],[quantity]]*Table4[[#This Row],[unit_price]]</f>
        <v>26.15</v>
      </c>
      <c r="M1212">
        <f>COUNTIFS($C$2:$C$3934,Table4[[#This Row],[customer_id]])</f>
        <v>7</v>
      </c>
      <c r="N1212" t="str">
        <f>IF(Table4[[#This Row],[customer_order_count]]=1,"New Customer","Repeat Customer")</f>
        <v>Repeat Customer</v>
      </c>
    </row>
    <row r="1213" spans="1:14">
      <c r="A1213" t="s">
        <v>1617</v>
      </c>
      <c r="B1213" s="1">
        <v>44933</v>
      </c>
      <c r="C1213" t="s">
        <v>616</v>
      </c>
      <c r="D1213" t="s">
        <v>617</v>
      </c>
      <c r="E1213" t="s">
        <v>21</v>
      </c>
      <c r="F1213" t="s">
        <v>66</v>
      </c>
      <c r="G1213" t="s">
        <v>128</v>
      </c>
      <c r="H1213">
        <v>1</v>
      </c>
      <c r="I1213" s="3">
        <v>26.15</v>
      </c>
      <c r="J1213" t="s">
        <v>16</v>
      </c>
      <c r="K1213" t="s">
        <v>17</v>
      </c>
      <c r="L1213" s="4">
        <f>Table4[[#This Row],[quantity]]*Table4[[#This Row],[unit_price]]</f>
        <v>26.15</v>
      </c>
      <c r="M1213">
        <f>COUNTIFS($C$2:$C$3934,Table4[[#This Row],[customer_id]])</f>
        <v>5</v>
      </c>
      <c r="N1213" t="str">
        <f>IF(Table4[[#This Row],[customer_order_count]]=1,"New Customer","Repeat Customer")</f>
        <v>Repeat Customer</v>
      </c>
    </row>
    <row r="1214" spans="1:14">
      <c r="A1214" t="s">
        <v>3285</v>
      </c>
      <c r="B1214" s="1">
        <v>45392</v>
      </c>
      <c r="C1214" t="s">
        <v>1842</v>
      </c>
      <c r="D1214" t="s">
        <v>496</v>
      </c>
      <c r="E1214" t="s">
        <v>44</v>
      </c>
      <c r="F1214" t="s">
        <v>22</v>
      </c>
      <c r="G1214" t="s">
        <v>264</v>
      </c>
      <c r="H1214">
        <v>1</v>
      </c>
      <c r="I1214" s="3">
        <v>26.2</v>
      </c>
      <c r="J1214" t="s">
        <v>16</v>
      </c>
      <c r="K1214" t="s">
        <v>35</v>
      </c>
      <c r="L1214" s="4">
        <f>Table4[[#This Row],[quantity]]*Table4[[#This Row],[unit_price]]</f>
        <v>26.2</v>
      </c>
      <c r="M1214">
        <f>COUNTIFS($C$2:$C$3934,Table4[[#This Row],[customer_id]])</f>
        <v>7</v>
      </c>
      <c r="N1214" t="str">
        <f>IF(Table4[[#This Row],[customer_order_count]]=1,"New Customer","Repeat Customer")</f>
        <v>Repeat Customer</v>
      </c>
    </row>
    <row r="1215" spans="1:14">
      <c r="A1215" t="s">
        <v>4422</v>
      </c>
      <c r="B1215" s="1">
        <v>44978</v>
      </c>
      <c r="C1215" t="s">
        <v>958</v>
      </c>
      <c r="D1215" t="s">
        <v>959</v>
      </c>
      <c r="E1215" t="s">
        <v>21</v>
      </c>
      <c r="F1215" t="s">
        <v>22</v>
      </c>
      <c r="G1215" t="s">
        <v>135</v>
      </c>
      <c r="H1215">
        <v>2</v>
      </c>
      <c r="I1215" s="3">
        <v>26.2</v>
      </c>
      <c r="J1215" t="s">
        <v>85</v>
      </c>
      <c r="K1215" t="s">
        <v>35</v>
      </c>
      <c r="L1215" s="4">
        <f>Table4[[#This Row],[quantity]]*Table4[[#This Row],[unit_price]]</f>
        <v>52.4</v>
      </c>
      <c r="M1215">
        <f>COUNTIFS($C$2:$C$3934,Table4[[#This Row],[customer_id]])</f>
        <v>5</v>
      </c>
      <c r="N1215" t="str">
        <f>IF(Table4[[#This Row],[customer_order_count]]=1,"New Customer","Repeat Customer")</f>
        <v>Repeat Customer</v>
      </c>
    </row>
    <row r="1216" spans="1:14">
      <c r="A1216" t="s">
        <v>784</v>
      </c>
      <c r="B1216" s="1">
        <v>45486</v>
      </c>
      <c r="C1216" t="s">
        <v>51</v>
      </c>
      <c r="D1216" t="s">
        <v>52</v>
      </c>
      <c r="E1216" t="s">
        <v>21</v>
      </c>
      <c r="F1216" t="s">
        <v>66</v>
      </c>
      <c r="G1216" t="s">
        <v>217</v>
      </c>
      <c r="H1216">
        <v>4</v>
      </c>
      <c r="I1216" s="3">
        <v>26.2</v>
      </c>
      <c r="J1216" t="s">
        <v>16</v>
      </c>
      <c r="K1216" t="s">
        <v>17</v>
      </c>
      <c r="L1216" s="4">
        <f>Table4[[#This Row],[quantity]]*Table4[[#This Row],[unit_price]]</f>
        <v>104.8</v>
      </c>
      <c r="M1216">
        <f>COUNTIFS($C$2:$C$3934,Table4[[#This Row],[customer_id]])</f>
        <v>9</v>
      </c>
      <c r="N1216" t="str">
        <f>IF(Table4[[#This Row],[customer_order_count]]=1,"New Customer","Repeat Customer")</f>
        <v>Repeat Customer</v>
      </c>
    </row>
    <row r="1217" spans="1:14">
      <c r="A1217" t="s">
        <v>2702</v>
      </c>
      <c r="B1217" s="1">
        <v>45456</v>
      </c>
      <c r="C1217" t="s">
        <v>1110</v>
      </c>
      <c r="D1217" t="s">
        <v>602</v>
      </c>
      <c r="E1217" t="s">
        <v>21</v>
      </c>
      <c r="F1217" t="s">
        <v>70</v>
      </c>
      <c r="G1217" t="s">
        <v>146</v>
      </c>
      <c r="H1217">
        <v>1</v>
      </c>
      <c r="I1217" s="3">
        <v>26.21</v>
      </c>
      <c r="J1217" t="s">
        <v>16</v>
      </c>
      <c r="K1217" t="s">
        <v>17</v>
      </c>
      <c r="L1217" s="4">
        <f>Table4[[#This Row],[quantity]]*Table4[[#This Row],[unit_price]]</f>
        <v>26.21</v>
      </c>
      <c r="M1217">
        <f>COUNTIFS($C$2:$C$3934,Table4[[#This Row],[customer_id]])</f>
        <v>5</v>
      </c>
      <c r="N1217" t="str">
        <f>IF(Table4[[#This Row],[customer_order_count]]=1,"New Customer","Repeat Customer")</f>
        <v>Repeat Customer</v>
      </c>
    </row>
    <row r="1218" spans="1:14">
      <c r="A1218" t="s">
        <v>3992</v>
      </c>
      <c r="B1218" s="1">
        <v>45185</v>
      </c>
      <c r="C1218" t="s">
        <v>2039</v>
      </c>
      <c r="D1218" t="s">
        <v>1869</v>
      </c>
      <c r="E1218" t="s">
        <v>44</v>
      </c>
      <c r="F1218" t="s">
        <v>22</v>
      </c>
      <c r="G1218" t="s">
        <v>162</v>
      </c>
      <c r="H1218">
        <v>1</v>
      </c>
      <c r="I1218" s="3">
        <v>26.24</v>
      </c>
      <c r="J1218" t="s">
        <v>85</v>
      </c>
      <c r="K1218" t="s">
        <v>17</v>
      </c>
      <c r="L1218" s="4">
        <f>Table4[[#This Row],[quantity]]*Table4[[#This Row],[unit_price]]</f>
        <v>26.24</v>
      </c>
      <c r="M1218">
        <f>COUNTIFS($C$2:$C$3934,Table4[[#This Row],[customer_id]])</f>
        <v>4</v>
      </c>
      <c r="N1218" t="str">
        <f>IF(Table4[[#This Row],[customer_order_count]]=1,"New Customer","Repeat Customer")</f>
        <v>Repeat Customer</v>
      </c>
    </row>
    <row r="1219" spans="1:14">
      <c r="A1219" t="s">
        <v>3514</v>
      </c>
      <c r="B1219" s="1">
        <v>45142</v>
      </c>
      <c r="C1219" t="s">
        <v>1480</v>
      </c>
      <c r="D1219" t="s">
        <v>750</v>
      </c>
      <c r="E1219" t="s">
        <v>44</v>
      </c>
      <c r="F1219" t="s">
        <v>79</v>
      </c>
      <c r="G1219" t="s">
        <v>166</v>
      </c>
      <c r="H1219">
        <v>2</v>
      </c>
      <c r="I1219" s="3">
        <v>26.26</v>
      </c>
      <c r="J1219" t="s">
        <v>255</v>
      </c>
      <c r="K1219" t="s">
        <v>35</v>
      </c>
      <c r="L1219" s="4">
        <f>Table4[[#This Row],[quantity]]*Table4[[#This Row],[unit_price]]</f>
        <v>52.52</v>
      </c>
      <c r="M1219">
        <f>COUNTIFS($C$2:$C$3934,Table4[[#This Row],[customer_id]])</f>
        <v>4</v>
      </c>
      <c r="N1219" t="str">
        <f>IF(Table4[[#This Row],[customer_order_count]]=1,"New Customer","Repeat Customer")</f>
        <v>Repeat Customer</v>
      </c>
    </row>
    <row r="1220" spans="1:14">
      <c r="A1220" t="s">
        <v>2052</v>
      </c>
      <c r="B1220" s="1">
        <v>45240</v>
      </c>
      <c r="C1220" t="s">
        <v>886</v>
      </c>
      <c r="D1220" t="s">
        <v>887</v>
      </c>
      <c r="E1220" t="s">
        <v>21</v>
      </c>
      <c r="F1220" t="s">
        <v>28</v>
      </c>
      <c r="G1220" t="s">
        <v>29</v>
      </c>
      <c r="H1220">
        <v>2</v>
      </c>
      <c r="I1220" s="3">
        <v>26.27</v>
      </c>
      <c r="J1220" t="s">
        <v>16</v>
      </c>
      <c r="K1220" t="s">
        <v>17</v>
      </c>
      <c r="L1220" s="4">
        <f>Table4[[#This Row],[quantity]]*Table4[[#This Row],[unit_price]]</f>
        <v>52.54</v>
      </c>
      <c r="M1220">
        <f>COUNTIFS($C$2:$C$3934,Table4[[#This Row],[customer_id]])</f>
        <v>4</v>
      </c>
      <c r="N1220" t="str">
        <f>IF(Table4[[#This Row],[customer_order_count]]=1,"New Customer","Repeat Customer")</f>
        <v>Repeat Customer</v>
      </c>
    </row>
    <row r="1221" spans="1:14">
      <c r="A1221" t="s">
        <v>2070</v>
      </c>
      <c r="B1221" s="1">
        <v>45043</v>
      </c>
      <c r="C1221" t="s">
        <v>853</v>
      </c>
      <c r="D1221" t="s">
        <v>854</v>
      </c>
      <c r="E1221" t="s">
        <v>21</v>
      </c>
      <c r="F1221" t="s">
        <v>56</v>
      </c>
      <c r="G1221" t="s">
        <v>422</v>
      </c>
      <c r="H1221">
        <v>1</v>
      </c>
      <c r="I1221" s="3">
        <v>26.33</v>
      </c>
      <c r="J1221" t="s">
        <v>16</v>
      </c>
      <c r="K1221" t="s">
        <v>30</v>
      </c>
      <c r="L1221" s="4">
        <f>Table4[[#This Row],[quantity]]*Table4[[#This Row],[unit_price]]</f>
        <v>26.33</v>
      </c>
      <c r="M1221">
        <f>COUNTIFS($C$2:$C$3934,Table4[[#This Row],[customer_id]])</f>
        <v>9</v>
      </c>
      <c r="N1221" t="str">
        <f>IF(Table4[[#This Row],[customer_order_count]]=1,"New Customer","Repeat Customer")</f>
        <v>Repeat Customer</v>
      </c>
    </row>
    <row r="1222" spans="1:14">
      <c r="A1222" t="s">
        <v>4316</v>
      </c>
      <c r="B1222" s="1">
        <v>45108</v>
      </c>
      <c r="C1222" t="s">
        <v>1660</v>
      </c>
      <c r="D1222" t="s">
        <v>693</v>
      </c>
      <c r="E1222" t="s">
        <v>21</v>
      </c>
      <c r="F1222" t="s">
        <v>28</v>
      </c>
      <c r="G1222" t="s">
        <v>84</v>
      </c>
      <c r="H1222">
        <v>1</v>
      </c>
      <c r="I1222" s="3">
        <v>26.343603603603594</v>
      </c>
      <c r="J1222" t="s">
        <v>255</v>
      </c>
      <c r="K1222" t="s">
        <v>35</v>
      </c>
      <c r="L1222" s="4">
        <f>Table4[[#This Row],[quantity]]*Table4[[#This Row],[unit_price]]</f>
        <v>26.343603603603594</v>
      </c>
      <c r="M1222">
        <f>COUNTIFS($C$2:$C$3934,Table4[[#This Row],[customer_id]])</f>
        <v>3</v>
      </c>
      <c r="N1222" t="str">
        <f>IF(Table4[[#This Row],[customer_order_count]]=1,"New Customer","Repeat Customer")</f>
        <v>Repeat Customer</v>
      </c>
    </row>
    <row r="1223" spans="1:14">
      <c r="A1223" t="s">
        <v>2245</v>
      </c>
      <c r="B1223" s="1">
        <v>45323</v>
      </c>
      <c r="C1223" t="s">
        <v>1993</v>
      </c>
      <c r="D1223" t="s">
        <v>289</v>
      </c>
      <c r="E1223" t="s">
        <v>44</v>
      </c>
      <c r="F1223" t="s">
        <v>28</v>
      </c>
      <c r="G1223" t="s">
        <v>45</v>
      </c>
      <c r="H1223">
        <v>1</v>
      </c>
      <c r="I1223" s="3">
        <v>26.39</v>
      </c>
      <c r="J1223" t="s">
        <v>16</v>
      </c>
      <c r="K1223" t="s">
        <v>17</v>
      </c>
      <c r="L1223" s="4">
        <f>Table4[[#This Row],[quantity]]*Table4[[#This Row],[unit_price]]</f>
        <v>26.39</v>
      </c>
      <c r="M1223">
        <f>COUNTIFS($C$2:$C$3934,Table4[[#This Row],[customer_id]])</f>
        <v>3</v>
      </c>
      <c r="N1223" t="str">
        <f>IF(Table4[[#This Row],[customer_order_count]]=1,"New Customer","Repeat Customer")</f>
        <v>Repeat Customer</v>
      </c>
    </row>
    <row r="1224" spans="1:14">
      <c r="A1224" t="s">
        <v>2912</v>
      </c>
      <c r="B1224" s="1">
        <v>45205</v>
      </c>
      <c r="C1224" t="s">
        <v>2538</v>
      </c>
      <c r="D1224" t="s">
        <v>2539</v>
      </c>
      <c r="E1224" t="s">
        <v>44</v>
      </c>
      <c r="F1224" t="s">
        <v>70</v>
      </c>
      <c r="G1224" t="s">
        <v>526</v>
      </c>
      <c r="H1224">
        <v>1</v>
      </c>
      <c r="I1224" s="3">
        <v>26.39</v>
      </c>
      <c r="J1224" t="s">
        <v>85</v>
      </c>
      <c r="K1224" t="s">
        <v>17</v>
      </c>
      <c r="L1224" s="4">
        <f>Table4[[#This Row],[quantity]]*Table4[[#This Row],[unit_price]]</f>
        <v>26.39</v>
      </c>
      <c r="M1224">
        <f>COUNTIFS($C$2:$C$3934,Table4[[#This Row],[customer_id]])</f>
        <v>2</v>
      </c>
      <c r="N1224" t="str">
        <f>IF(Table4[[#This Row],[customer_order_count]]=1,"New Customer","Repeat Customer")</f>
        <v>Repeat Customer</v>
      </c>
    </row>
    <row r="1225" spans="1:14">
      <c r="A1225" t="s">
        <v>1951</v>
      </c>
      <c r="B1225" s="1">
        <v>45041</v>
      </c>
      <c r="C1225" t="s">
        <v>1522</v>
      </c>
      <c r="D1225" t="s">
        <v>1523</v>
      </c>
      <c r="E1225" t="s">
        <v>21</v>
      </c>
      <c r="F1225" t="s">
        <v>56</v>
      </c>
      <c r="G1225" t="s">
        <v>422</v>
      </c>
      <c r="H1225">
        <v>1</v>
      </c>
      <c r="I1225" s="3">
        <v>26.41</v>
      </c>
      <c r="J1225" t="s">
        <v>85</v>
      </c>
      <c r="K1225" t="s">
        <v>40</v>
      </c>
      <c r="L1225" s="4">
        <f>Table4[[#This Row],[quantity]]*Table4[[#This Row],[unit_price]]</f>
        <v>26.41</v>
      </c>
      <c r="M1225">
        <f>COUNTIFS($C$2:$C$3934,Table4[[#This Row],[customer_id]])</f>
        <v>11</v>
      </c>
      <c r="N1225" t="str">
        <f>IF(Table4[[#This Row],[customer_order_count]]=1,"New Customer","Repeat Customer")</f>
        <v>Repeat Customer</v>
      </c>
    </row>
    <row r="1226" spans="1:14">
      <c r="A1226" t="s">
        <v>4482</v>
      </c>
      <c r="B1226" s="1">
        <v>44955</v>
      </c>
      <c r="C1226" t="s">
        <v>563</v>
      </c>
      <c r="D1226" t="s">
        <v>203</v>
      </c>
      <c r="E1226" t="s">
        <v>21</v>
      </c>
      <c r="F1226" t="s">
        <v>66</v>
      </c>
      <c r="G1226" t="s">
        <v>128</v>
      </c>
      <c r="H1226">
        <v>1</v>
      </c>
      <c r="I1226" s="3">
        <v>26.43</v>
      </c>
      <c r="J1226" t="s">
        <v>16</v>
      </c>
      <c r="K1226" t="s">
        <v>30</v>
      </c>
      <c r="L1226" s="4">
        <f>Table4[[#This Row],[quantity]]*Table4[[#This Row],[unit_price]]</f>
        <v>26.43</v>
      </c>
      <c r="M1226">
        <f>COUNTIFS($C$2:$C$3934,Table4[[#This Row],[customer_id]])</f>
        <v>6</v>
      </c>
      <c r="N1226" t="str">
        <f>IF(Table4[[#This Row],[customer_order_count]]=1,"New Customer","Repeat Customer")</f>
        <v>Repeat Customer</v>
      </c>
    </row>
    <row r="1227" spans="1:14">
      <c r="A1227" t="s">
        <v>3051</v>
      </c>
      <c r="B1227" s="1">
        <v>45021</v>
      </c>
      <c r="C1227" t="s">
        <v>1934</v>
      </c>
      <c r="D1227" t="s">
        <v>1935</v>
      </c>
      <c r="E1227" t="s">
        <v>44</v>
      </c>
      <c r="F1227" t="s">
        <v>79</v>
      </c>
      <c r="G1227" t="s">
        <v>96</v>
      </c>
      <c r="H1227">
        <v>1</v>
      </c>
      <c r="I1227" s="3">
        <v>26.43</v>
      </c>
      <c r="J1227" t="s">
        <v>16</v>
      </c>
      <c r="K1227" t="s">
        <v>40</v>
      </c>
      <c r="L1227" s="4">
        <f>Table4[[#This Row],[quantity]]*Table4[[#This Row],[unit_price]]</f>
        <v>26.43</v>
      </c>
      <c r="M1227">
        <f>COUNTIFS($C$2:$C$3934,Table4[[#This Row],[customer_id]])</f>
        <v>5</v>
      </c>
      <c r="N1227" t="str">
        <f>IF(Table4[[#This Row],[customer_order_count]]=1,"New Customer","Repeat Customer")</f>
        <v>Repeat Customer</v>
      </c>
    </row>
    <row r="1228" spans="1:14">
      <c r="A1228" t="s">
        <v>3733</v>
      </c>
      <c r="B1228" s="1">
        <v>44927</v>
      </c>
      <c r="C1228" t="s">
        <v>2170</v>
      </c>
      <c r="D1228" t="s">
        <v>2171</v>
      </c>
      <c r="E1228" t="s">
        <v>21</v>
      </c>
      <c r="F1228" t="s">
        <v>14</v>
      </c>
      <c r="G1228" t="s">
        <v>39</v>
      </c>
      <c r="H1228">
        <v>4</v>
      </c>
      <c r="I1228" s="3">
        <v>26.43</v>
      </c>
      <c r="J1228" t="s">
        <v>255</v>
      </c>
      <c r="K1228" t="s">
        <v>40</v>
      </c>
      <c r="L1228" s="4">
        <f>Table4[[#This Row],[quantity]]*Table4[[#This Row],[unit_price]]</f>
        <v>105.72</v>
      </c>
      <c r="M1228">
        <f>COUNTIFS($C$2:$C$3934,Table4[[#This Row],[customer_id]])</f>
        <v>5</v>
      </c>
      <c r="N1228" t="str">
        <f>IF(Table4[[#This Row],[customer_order_count]]=1,"New Customer","Repeat Customer")</f>
        <v>Repeat Customer</v>
      </c>
    </row>
    <row r="1229" spans="1:14">
      <c r="A1229" t="s">
        <v>2458</v>
      </c>
      <c r="B1229" s="1">
        <v>45233</v>
      </c>
      <c r="C1229" t="s">
        <v>2459</v>
      </c>
      <c r="D1229" t="s">
        <v>1507</v>
      </c>
      <c r="E1229" t="s">
        <v>21</v>
      </c>
      <c r="F1229" t="s">
        <v>22</v>
      </c>
      <c r="G1229" t="s">
        <v>162</v>
      </c>
      <c r="H1229">
        <v>2</v>
      </c>
      <c r="I1229" s="3">
        <v>26.44</v>
      </c>
      <c r="J1229" t="s">
        <v>16</v>
      </c>
      <c r="K1229" s="2" t="s">
        <v>5256</v>
      </c>
      <c r="L1229" s="4">
        <f>Table4[[#This Row],[quantity]]*Table4[[#This Row],[unit_price]]</f>
        <v>52.88</v>
      </c>
      <c r="M1229">
        <f>COUNTIFS($C$2:$C$3934,Table4[[#This Row],[customer_id]])</f>
        <v>4</v>
      </c>
      <c r="N1229" t="str">
        <f>IF(Table4[[#This Row],[customer_order_count]]=1,"New Customer","Repeat Customer")</f>
        <v>Repeat Customer</v>
      </c>
    </row>
    <row r="1230" spans="1:14">
      <c r="A1230" t="s">
        <v>1960</v>
      </c>
      <c r="B1230" s="1">
        <v>45296</v>
      </c>
      <c r="C1230" t="s">
        <v>1761</v>
      </c>
      <c r="D1230" t="s">
        <v>797</v>
      </c>
      <c r="E1230" t="s">
        <v>21</v>
      </c>
      <c r="F1230" t="s">
        <v>28</v>
      </c>
      <c r="G1230" t="s">
        <v>29</v>
      </c>
      <c r="H1230">
        <v>5</v>
      </c>
      <c r="I1230" s="3">
        <v>26.48</v>
      </c>
      <c r="J1230" t="s">
        <v>16</v>
      </c>
      <c r="K1230" s="5" t="s">
        <v>35</v>
      </c>
      <c r="L1230" s="4">
        <f>Table4[[#This Row],[quantity]]*Table4[[#This Row],[unit_price]]</f>
        <v>132.4</v>
      </c>
      <c r="M1230">
        <f>COUNTIFS($C$2:$C$3934,Table4[[#This Row],[customer_id]])</f>
        <v>4</v>
      </c>
      <c r="N1230" t="str">
        <f>IF(Table4[[#This Row],[customer_order_count]]=1,"New Customer","Repeat Customer")</f>
        <v>Repeat Customer</v>
      </c>
    </row>
    <row r="1231" spans="1:14">
      <c r="A1231" t="s">
        <v>2034</v>
      </c>
      <c r="B1231" s="1">
        <v>45113</v>
      </c>
      <c r="C1231" t="s">
        <v>1752</v>
      </c>
      <c r="D1231" t="s">
        <v>152</v>
      </c>
      <c r="E1231" t="s">
        <v>21</v>
      </c>
      <c r="F1231" t="s">
        <v>66</v>
      </c>
      <c r="G1231" t="s">
        <v>128</v>
      </c>
      <c r="H1231">
        <v>2</v>
      </c>
      <c r="I1231" s="3">
        <v>26.52</v>
      </c>
      <c r="J1231" t="s">
        <v>16</v>
      </c>
      <c r="K1231" t="s">
        <v>35</v>
      </c>
      <c r="L1231" s="4">
        <f>Table4[[#This Row],[quantity]]*Table4[[#This Row],[unit_price]]</f>
        <v>53.04</v>
      </c>
      <c r="M1231">
        <f>COUNTIFS($C$2:$C$3934,Table4[[#This Row],[customer_id]])</f>
        <v>4</v>
      </c>
      <c r="N1231" t="str">
        <f>IF(Table4[[#This Row],[customer_order_count]]=1,"New Customer","Repeat Customer")</f>
        <v>Repeat Customer</v>
      </c>
    </row>
    <row r="1232" spans="1:14">
      <c r="A1232" t="s">
        <v>5245</v>
      </c>
      <c r="B1232" s="1">
        <v>45007</v>
      </c>
      <c r="C1232" t="s">
        <v>3262</v>
      </c>
      <c r="D1232" t="s">
        <v>1938</v>
      </c>
      <c r="E1232" t="s">
        <v>21</v>
      </c>
      <c r="F1232" t="s">
        <v>28</v>
      </c>
      <c r="G1232" t="s">
        <v>114</v>
      </c>
      <c r="H1232">
        <v>1</v>
      </c>
      <c r="I1232" s="3">
        <v>26.53</v>
      </c>
      <c r="J1232" t="s">
        <v>16</v>
      </c>
      <c r="K1232" t="s">
        <v>30</v>
      </c>
      <c r="L1232" s="4">
        <f>Table4[[#This Row],[quantity]]*Table4[[#This Row],[unit_price]]</f>
        <v>26.53</v>
      </c>
      <c r="M1232">
        <f>COUNTIFS($C$2:$C$3934,Table4[[#This Row],[customer_id]])</f>
        <v>7</v>
      </c>
      <c r="N1232" t="str">
        <f>IF(Table4[[#This Row],[customer_order_count]]=1,"New Customer","Repeat Customer")</f>
        <v>Repeat Customer</v>
      </c>
    </row>
    <row r="1233" spans="1:14">
      <c r="A1233" t="s">
        <v>4418</v>
      </c>
      <c r="B1233" s="1">
        <v>45317</v>
      </c>
      <c r="C1233" t="s">
        <v>2004</v>
      </c>
      <c r="D1233" t="s">
        <v>99</v>
      </c>
      <c r="E1233" t="s">
        <v>44</v>
      </c>
      <c r="F1233" t="s">
        <v>66</v>
      </c>
      <c r="G1233" t="s">
        <v>67</v>
      </c>
      <c r="H1233">
        <v>1</v>
      </c>
      <c r="I1233" s="3">
        <v>26.53</v>
      </c>
      <c r="J1233" t="s">
        <v>16</v>
      </c>
      <c r="K1233" t="s">
        <v>40</v>
      </c>
      <c r="L1233" s="4">
        <f>Table4[[#This Row],[quantity]]*Table4[[#This Row],[unit_price]]</f>
        <v>26.53</v>
      </c>
      <c r="M1233">
        <f>COUNTIFS($C$2:$C$3934,Table4[[#This Row],[customer_id]])</f>
        <v>6</v>
      </c>
      <c r="N1233" t="str">
        <f>IF(Table4[[#This Row],[customer_order_count]]=1,"New Customer","Repeat Customer")</f>
        <v>Repeat Customer</v>
      </c>
    </row>
    <row r="1234" spans="1:14">
      <c r="A1234" t="s">
        <v>4312</v>
      </c>
      <c r="B1234" s="1">
        <v>45248</v>
      </c>
      <c r="C1234" t="s">
        <v>285</v>
      </c>
      <c r="D1234" t="s">
        <v>286</v>
      </c>
      <c r="E1234" t="s">
        <v>21</v>
      </c>
      <c r="F1234" t="s">
        <v>79</v>
      </c>
      <c r="G1234" t="s">
        <v>204</v>
      </c>
      <c r="H1234">
        <v>1</v>
      </c>
      <c r="I1234" s="3">
        <v>26.53</v>
      </c>
      <c r="J1234" t="s">
        <v>16</v>
      </c>
      <c r="K1234" t="s">
        <v>30</v>
      </c>
      <c r="L1234" s="4">
        <f>Table4[[#This Row],[quantity]]*Table4[[#This Row],[unit_price]]</f>
        <v>26.53</v>
      </c>
      <c r="M1234">
        <f>COUNTIFS($C$2:$C$3934,Table4[[#This Row],[customer_id]])</f>
        <v>9</v>
      </c>
      <c r="N1234" t="str">
        <f>IF(Table4[[#This Row],[customer_order_count]]=1,"New Customer","Repeat Customer")</f>
        <v>Repeat Customer</v>
      </c>
    </row>
    <row r="1235" spans="1:14">
      <c r="A1235" t="s">
        <v>1147</v>
      </c>
      <c r="B1235" s="1">
        <v>45175</v>
      </c>
      <c r="C1235" t="s">
        <v>1148</v>
      </c>
      <c r="D1235" t="s">
        <v>857</v>
      </c>
      <c r="E1235" t="s">
        <v>21</v>
      </c>
      <c r="F1235" t="s">
        <v>14</v>
      </c>
      <c r="G1235" t="s">
        <v>100</v>
      </c>
      <c r="H1235">
        <v>1</v>
      </c>
      <c r="I1235" s="3">
        <v>26.53</v>
      </c>
      <c r="J1235" t="s">
        <v>16</v>
      </c>
      <c r="K1235" t="s">
        <v>40</v>
      </c>
      <c r="L1235" s="4">
        <f>Table4[[#This Row],[quantity]]*Table4[[#This Row],[unit_price]]</f>
        <v>26.53</v>
      </c>
      <c r="M1235">
        <f>COUNTIFS($C$2:$C$3934,Table4[[#This Row],[customer_id]])</f>
        <v>8</v>
      </c>
      <c r="N1235" t="str">
        <f>IF(Table4[[#This Row],[customer_order_count]]=1,"New Customer","Repeat Customer")</f>
        <v>Repeat Customer</v>
      </c>
    </row>
    <row r="1236" spans="1:14">
      <c r="A1236" t="s">
        <v>3883</v>
      </c>
      <c r="B1236" s="1">
        <v>45282</v>
      </c>
      <c r="C1236" t="s">
        <v>1766</v>
      </c>
      <c r="D1236" t="s">
        <v>1767</v>
      </c>
      <c r="E1236" t="s">
        <v>21</v>
      </c>
      <c r="F1236" t="s">
        <v>66</v>
      </c>
      <c r="G1236" t="s">
        <v>67</v>
      </c>
      <c r="H1236">
        <v>1</v>
      </c>
      <c r="I1236" s="3">
        <v>26.54</v>
      </c>
      <c r="J1236" t="s">
        <v>16</v>
      </c>
      <c r="K1236" t="s">
        <v>17</v>
      </c>
      <c r="L1236" s="4">
        <f>Table4[[#This Row],[quantity]]*Table4[[#This Row],[unit_price]]</f>
        <v>26.54</v>
      </c>
      <c r="M1236">
        <f>COUNTIFS($C$2:$C$3934,Table4[[#This Row],[customer_id]])</f>
        <v>7</v>
      </c>
      <c r="N1236" t="str">
        <f>IF(Table4[[#This Row],[customer_order_count]]=1,"New Customer","Repeat Customer")</f>
        <v>Repeat Customer</v>
      </c>
    </row>
    <row r="1237" spans="1:14">
      <c r="A1237" t="s">
        <v>4215</v>
      </c>
      <c r="B1237" s="1">
        <v>45140</v>
      </c>
      <c r="C1237" t="s">
        <v>2229</v>
      </c>
      <c r="D1237" t="s">
        <v>1211</v>
      </c>
      <c r="E1237" t="s">
        <v>21</v>
      </c>
      <c r="F1237" t="s">
        <v>66</v>
      </c>
      <c r="G1237" t="s">
        <v>128</v>
      </c>
      <c r="H1237">
        <v>2</v>
      </c>
      <c r="I1237" s="3">
        <v>26.54</v>
      </c>
      <c r="J1237" t="s">
        <v>16</v>
      </c>
      <c r="K1237" t="s">
        <v>35</v>
      </c>
      <c r="L1237" s="4">
        <f>Table4[[#This Row],[quantity]]*Table4[[#This Row],[unit_price]]</f>
        <v>53.08</v>
      </c>
      <c r="M1237">
        <f>COUNTIFS($C$2:$C$3934,Table4[[#This Row],[customer_id]])</f>
        <v>5</v>
      </c>
      <c r="N1237" t="str">
        <f>IF(Table4[[#This Row],[customer_order_count]]=1,"New Customer","Repeat Customer")</f>
        <v>Repeat Customer</v>
      </c>
    </row>
    <row r="1238" spans="1:14">
      <c r="A1238" t="s">
        <v>3981</v>
      </c>
      <c r="B1238" s="1">
        <v>45111</v>
      </c>
      <c r="C1238" t="s">
        <v>2054</v>
      </c>
      <c r="D1238" t="s">
        <v>2055</v>
      </c>
      <c r="E1238" t="s">
        <v>21</v>
      </c>
      <c r="F1238" t="s">
        <v>66</v>
      </c>
      <c r="G1238" t="s">
        <v>128</v>
      </c>
      <c r="H1238">
        <v>1</v>
      </c>
      <c r="I1238" s="3">
        <v>26.55</v>
      </c>
      <c r="J1238" t="s">
        <v>16</v>
      </c>
      <c r="K1238" t="s">
        <v>17</v>
      </c>
      <c r="L1238" s="4">
        <f>Table4[[#This Row],[quantity]]*Table4[[#This Row],[unit_price]]</f>
        <v>26.55</v>
      </c>
      <c r="M1238">
        <f>COUNTIFS($C$2:$C$3934,Table4[[#This Row],[customer_id]])</f>
        <v>8</v>
      </c>
      <c r="N1238" t="str">
        <f>IF(Table4[[#This Row],[customer_order_count]]=1,"New Customer","Repeat Customer")</f>
        <v>Repeat Customer</v>
      </c>
    </row>
    <row r="1239" spans="1:14">
      <c r="A1239" t="s">
        <v>2461</v>
      </c>
      <c r="B1239" s="1">
        <v>45246</v>
      </c>
      <c r="C1239" t="s">
        <v>2462</v>
      </c>
      <c r="D1239" t="s">
        <v>1473</v>
      </c>
      <c r="E1239" t="s">
        <v>44</v>
      </c>
      <c r="F1239" t="s">
        <v>14</v>
      </c>
      <c r="G1239" t="s">
        <v>62</v>
      </c>
      <c r="H1239">
        <v>1</v>
      </c>
      <c r="I1239" s="3">
        <v>26.56</v>
      </c>
      <c r="J1239" t="s">
        <v>255</v>
      </c>
      <c r="K1239" t="s">
        <v>30</v>
      </c>
      <c r="L1239" s="4">
        <f>Table4[[#This Row],[quantity]]*Table4[[#This Row],[unit_price]]</f>
        <v>26.56</v>
      </c>
      <c r="M1239">
        <f>COUNTIFS($C$2:$C$3934,Table4[[#This Row],[customer_id]])</f>
        <v>2</v>
      </c>
      <c r="N1239" t="str">
        <f>IF(Table4[[#This Row],[customer_order_count]]=1,"New Customer","Repeat Customer")</f>
        <v>Repeat Customer</v>
      </c>
    </row>
    <row r="1240" spans="1:14">
      <c r="A1240" t="s">
        <v>2787</v>
      </c>
      <c r="B1240" s="1">
        <v>44956</v>
      </c>
      <c r="C1240" t="s">
        <v>2612</v>
      </c>
      <c r="D1240" t="s">
        <v>881</v>
      </c>
      <c r="E1240" t="s">
        <v>21</v>
      </c>
      <c r="F1240" t="s">
        <v>66</v>
      </c>
      <c r="G1240" t="s">
        <v>217</v>
      </c>
      <c r="H1240">
        <v>1</v>
      </c>
      <c r="I1240" s="3">
        <v>26.59</v>
      </c>
      <c r="J1240" t="s">
        <v>16</v>
      </c>
      <c r="K1240" t="s">
        <v>17</v>
      </c>
      <c r="L1240" s="4">
        <f>Table4[[#This Row],[quantity]]*Table4[[#This Row],[unit_price]]</f>
        <v>26.59</v>
      </c>
      <c r="M1240">
        <f>COUNTIFS($C$2:$C$3934,Table4[[#This Row],[customer_id]])</f>
        <v>3</v>
      </c>
      <c r="N1240" t="str">
        <f>IF(Table4[[#This Row],[customer_order_count]]=1,"New Customer","Repeat Customer")</f>
        <v>Repeat Customer</v>
      </c>
    </row>
    <row r="1241" spans="1:14">
      <c r="A1241" t="s">
        <v>3902</v>
      </c>
      <c r="B1241" s="1">
        <v>45591</v>
      </c>
      <c r="C1241" t="s">
        <v>1173</v>
      </c>
      <c r="D1241" t="s">
        <v>1153</v>
      </c>
      <c r="E1241" t="s">
        <v>21</v>
      </c>
      <c r="F1241" t="s">
        <v>28</v>
      </c>
      <c r="G1241" t="s">
        <v>29</v>
      </c>
      <c r="H1241">
        <v>1</v>
      </c>
      <c r="I1241" s="3">
        <v>26.59</v>
      </c>
      <c r="J1241" t="s">
        <v>16</v>
      </c>
      <c r="K1241" t="s">
        <v>17</v>
      </c>
      <c r="L1241" s="4">
        <f>Table4[[#This Row],[quantity]]*Table4[[#This Row],[unit_price]]</f>
        <v>26.59</v>
      </c>
      <c r="M1241">
        <f>COUNTIFS($C$2:$C$3934,Table4[[#This Row],[customer_id]])</f>
        <v>8</v>
      </c>
      <c r="N1241" t="str">
        <f>IF(Table4[[#This Row],[customer_order_count]]=1,"New Customer","Repeat Customer")</f>
        <v>Repeat Customer</v>
      </c>
    </row>
    <row r="1242" spans="1:14">
      <c r="A1242" t="s">
        <v>4457</v>
      </c>
      <c r="B1242" s="1">
        <v>45002</v>
      </c>
      <c r="C1242" t="s">
        <v>1937</v>
      </c>
      <c r="D1242" t="s">
        <v>1938</v>
      </c>
      <c r="E1242" t="s">
        <v>44</v>
      </c>
      <c r="F1242" t="s">
        <v>66</v>
      </c>
      <c r="G1242" t="s">
        <v>67</v>
      </c>
      <c r="H1242">
        <v>1</v>
      </c>
      <c r="I1242" s="3">
        <v>26.59</v>
      </c>
      <c r="J1242" t="s">
        <v>16</v>
      </c>
      <c r="K1242" t="s">
        <v>17</v>
      </c>
      <c r="L1242" s="4">
        <f>Table4[[#This Row],[quantity]]*Table4[[#This Row],[unit_price]]</f>
        <v>26.59</v>
      </c>
      <c r="M1242">
        <f>COUNTIFS($C$2:$C$3934,Table4[[#This Row],[customer_id]])</f>
        <v>4</v>
      </c>
      <c r="N1242" t="str">
        <f>IF(Table4[[#This Row],[customer_order_count]]=1,"New Customer","Repeat Customer")</f>
        <v>Repeat Customer</v>
      </c>
    </row>
    <row r="1243" spans="1:14">
      <c r="A1243" t="s">
        <v>4582</v>
      </c>
      <c r="B1243" s="1">
        <v>45369</v>
      </c>
      <c r="C1243" t="s">
        <v>1418</v>
      </c>
      <c r="D1243" t="s">
        <v>1419</v>
      </c>
      <c r="E1243" t="s">
        <v>44</v>
      </c>
      <c r="F1243" t="s">
        <v>28</v>
      </c>
      <c r="G1243" t="s">
        <v>45</v>
      </c>
      <c r="H1243">
        <v>2</v>
      </c>
      <c r="I1243" s="3">
        <v>26.61</v>
      </c>
      <c r="J1243" t="s">
        <v>16</v>
      </c>
      <c r="K1243" t="s">
        <v>35</v>
      </c>
      <c r="L1243" s="4">
        <f>Table4[[#This Row],[quantity]]*Table4[[#This Row],[unit_price]]</f>
        <v>53.22</v>
      </c>
      <c r="M1243">
        <f>COUNTIFS($C$2:$C$3934,Table4[[#This Row],[customer_id]])</f>
        <v>5</v>
      </c>
      <c r="N1243" t="str">
        <f>IF(Table4[[#This Row],[customer_order_count]]=1,"New Customer","Repeat Customer")</f>
        <v>Repeat Customer</v>
      </c>
    </row>
    <row r="1244" spans="1:14">
      <c r="A1244" t="s">
        <v>2532</v>
      </c>
      <c r="B1244" s="1">
        <v>45624</v>
      </c>
      <c r="C1244" t="s">
        <v>1134</v>
      </c>
      <c r="D1244" t="s">
        <v>253</v>
      </c>
      <c r="E1244" t="s">
        <v>44</v>
      </c>
      <c r="F1244" t="s">
        <v>66</v>
      </c>
      <c r="G1244" t="s">
        <v>67</v>
      </c>
      <c r="H1244">
        <v>1</v>
      </c>
      <c r="I1244" s="3">
        <v>26.62</v>
      </c>
      <c r="J1244" t="s">
        <v>24</v>
      </c>
      <c r="K1244" t="s">
        <v>17</v>
      </c>
      <c r="L1244" s="4">
        <f>Table4[[#This Row],[quantity]]*Table4[[#This Row],[unit_price]]</f>
        <v>26.62</v>
      </c>
      <c r="M1244">
        <f>COUNTIFS($C$2:$C$3934,Table4[[#This Row],[customer_id]])</f>
        <v>3</v>
      </c>
      <c r="N1244" t="str">
        <f>IF(Table4[[#This Row],[customer_order_count]]=1,"New Customer","Repeat Customer")</f>
        <v>Repeat Customer</v>
      </c>
    </row>
    <row r="1245" spans="1:14">
      <c r="A1245" t="s">
        <v>485</v>
      </c>
      <c r="B1245" s="1">
        <v>45388</v>
      </c>
      <c r="C1245" t="s">
        <v>486</v>
      </c>
      <c r="D1245" t="s">
        <v>173</v>
      </c>
      <c r="E1245" t="s">
        <v>21</v>
      </c>
      <c r="F1245" t="s">
        <v>70</v>
      </c>
      <c r="G1245" t="s">
        <v>89</v>
      </c>
      <c r="H1245">
        <v>1</v>
      </c>
      <c r="I1245" s="3">
        <v>26.63</v>
      </c>
      <c r="J1245" t="s">
        <v>16</v>
      </c>
      <c r="K1245" t="s">
        <v>30</v>
      </c>
      <c r="L1245" s="4">
        <f>Table4[[#This Row],[quantity]]*Table4[[#This Row],[unit_price]]</f>
        <v>26.63</v>
      </c>
      <c r="M1245">
        <f>COUNTIFS($C$2:$C$3934,Table4[[#This Row],[customer_id]])</f>
        <v>4</v>
      </c>
      <c r="N1245" t="str">
        <f>IF(Table4[[#This Row],[customer_order_count]]=1,"New Customer","Repeat Customer")</f>
        <v>Repeat Customer</v>
      </c>
    </row>
    <row r="1246" spans="1:14">
      <c r="A1246" t="s">
        <v>584</v>
      </c>
      <c r="B1246" s="1">
        <v>45291</v>
      </c>
      <c r="C1246" t="s">
        <v>585</v>
      </c>
      <c r="D1246" t="s">
        <v>560</v>
      </c>
      <c r="E1246" t="s">
        <v>44</v>
      </c>
      <c r="F1246" t="s">
        <v>22</v>
      </c>
      <c r="G1246" t="s">
        <v>264</v>
      </c>
      <c r="H1246">
        <v>1</v>
      </c>
      <c r="I1246" s="3">
        <v>26.67</v>
      </c>
      <c r="J1246" t="s">
        <v>16</v>
      </c>
      <c r="K1246" t="s">
        <v>30</v>
      </c>
      <c r="L1246" s="4">
        <f>Table4[[#This Row],[quantity]]*Table4[[#This Row],[unit_price]]</f>
        <v>26.67</v>
      </c>
      <c r="M1246">
        <f>COUNTIFS($C$2:$C$3934,Table4[[#This Row],[customer_id]])</f>
        <v>3</v>
      </c>
      <c r="N1246" t="str">
        <f>IF(Table4[[#This Row],[customer_order_count]]=1,"New Customer","Repeat Customer")</f>
        <v>Repeat Customer</v>
      </c>
    </row>
    <row r="1247" spans="1:14">
      <c r="A1247" t="s">
        <v>415</v>
      </c>
      <c r="B1247" s="1">
        <v>45048</v>
      </c>
      <c r="C1247" t="s">
        <v>416</v>
      </c>
      <c r="D1247" t="s">
        <v>417</v>
      </c>
      <c r="E1247" t="s">
        <v>21</v>
      </c>
      <c r="F1247" t="s">
        <v>22</v>
      </c>
      <c r="G1247" t="s">
        <v>23</v>
      </c>
      <c r="H1247">
        <v>2</v>
      </c>
      <c r="I1247" s="3">
        <v>26.69</v>
      </c>
      <c r="J1247" t="s">
        <v>85</v>
      </c>
      <c r="K1247" t="s">
        <v>30</v>
      </c>
      <c r="L1247" s="4">
        <f>Table4[[#This Row],[quantity]]*Table4[[#This Row],[unit_price]]</f>
        <v>53.38</v>
      </c>
      <c r="M1247">
        <f>COUNTIFS($C$2:$C$3934,Table4[[#This Row],[customer_id]])</f>
        <v>6</v>
      </c>
      <c r="N1247" t="str">
        <f>IF(Table4[[#This Row],[customer_order_count]]=1,"New Customer","Repeat Customer")</f>
        <v>Repeat Customer</v>
      </c>
    </row>
    <row r="1248" spans="1:14">
      <c r="A1248" t="s">
        <v>5096</v>
      </c>
      <c r="B1248" s="1">
        <v>45267</v>
      </c>
      <c r="C1248" t="s">
        <v>1928</v>
      </c>
      <c r="D1248" t="s">
        <v>1444</v>
      </c>
      <c r="E1248" t="s">
        <v>21</v>
      </c>
      <c r="F1248" t="s">
        <v>22</v>
      </c>
      <c r="G1248" t="s">
        <v>23</v>
      </c>
      <c r="H1248">
        <v>1</v>
      </c>
      <c r="I1248" s="3">
        <v>26.71</v>
      </c>
      <c r="J1248" t="s">
        <v>255</v>
      </c>
      <c r="K1248" t="s">
        <v>40</v>
      </c>
      <c r="L1248" s="4">
        <f>Table4[[#This Row],[quantity]]*Table4[[#This Row],[unit_price]]</f>
        <v>26.71</v>
      </c>
      <c r="M1248">
        <f>COUNTIFS($C$2:$C$3934,Table4[[#This Row],[customer_id]])</f>
        <v>7</v>
      </c>
      <c r="N1248" t="str">
        <f>IF(Table4[[#This Row],[customer_order_count]]=1,"New Customer","Repeat Customer")</f>
        <v>Repeat Customer</v>
      </c>
    </row>
    <row r="1249" spans="1:14">
      <c r="A1249" t="s">
        <v>2659</v>
      </c>
      <c r="B1249" s="1">
        <v>45636</v>
      </c>
      <c r="C1249" t="s">
        <v>51</v>
      </c>
      <c r="D1249" t="s">
        <v>52</v>
      </c>
      <c r="E1249" t="s">
        <v>21</v>
      </c>
      <c r="F1249" t="s">
        <v>14</v>
      </c>
      <c r="G1249" t="s">
        <v>62</v>
      </c>
      <c r="H1249">
        <v>1</v>
      </c>
      <c r="I1249" s="3">
        <v>26.72</v>
      </c>
      <c r="J1249" t="s">
        <v>255</v>
      </c>
      <c r="K1249" t="s">
        <v>17</v>
      </c>
      <c r="L1249" s="4">
        <f>Table4[[#This Row],[quantity]]*Table4[[#This Row],[unit_price]]</f>
        <v>26.72</v>
      </c>
      <c r="M1249">
        <f>COUNTIFS($C$2:$C$3934,Table4[[#This Row],[customer_id]])</f>
        <v>9</v>
      </c>
      <c r="N1249" t="str">
        <f>IF(Table4[[#This Row],[customer_order_count]]=1,"New Customer","Repeat Customer")</f>
        <v>Repeat Customer</v>
      </c>
    </row>
    <row r="1250" spans="1:14">
      <c r="A1250" t="s">
        <v>816</v>
      </c>
      <c r="B1250" s="1">
        <v>45436</v>
      </c>
      <c r="C1250" t="s">
        <v>817</v>
      </c>
      <c r="D1250" t="s">
        <v>213</v>
      </c>
      <c r="E1250" t="s">
        <v>21</v>
      </c>
      <c r="F1250" t="s">
        <v>66</v>
      </c>
      <c r="G1250" t="s">
        <v>238</v>
      </c>
      <c r="H1250">
        <v>1</v>
      </c>
      <c r="I1250" s="3">
        <v>26.72</v>
      </c>
      <c r="J1250" t="s">
        <v>16</v>
      </c>
      <c r="K1250" t="s">
        <v>40</v>
      </c>
      <c r="L1250" s="4">
        <f>Table4[[#This Row],[quantity]]*Table4[[#This Row],[unit_price]]</f>
        <v>26.72</v>
      </c>
      <c r="M1250">
        <f>COUNTIFS($C$2:$C$3934,Table4[[#This Row],[customer_id]])</f>
        <v>5</v>
      </c>
      <c r="N1250" t="str">
        <f>IF(Table4[[#This Row],[customer_order_count]]=1,"New Customer","Repeat Customer")</f>
        <v>Repeat Customer</v>
      </c>
    </row>
    <row r="1251" spans="1:14">
      <c r="A1251" t="s">
        <v>2113</v>
      </c>
      <c r="B1251" s="1">
        <v>45511</v>
      </c>
      <c r="C1251" t="s">
        <v>1170</v>
      </c>
      <c r="D1251" t="s">
        <v>765</v>
      </c>
      <c r="E1251" t="s">
        <v>21</v>
      </c>
      <c r="F1251" t="s">
        <v>22</v>
      </c>
      <c r="G1251" t="s">
        <v>162</v>
      </c>
      <c r="H1251">
        <v>2</v>
      </c>
      <c r="I1251" s="3">
        <v>26.73</v>
      </c>
      <c r="J1251" t="s">
        <v>16</v>
      </c>
      <c r="K1251" t="s">
        <v>35</v>
      </c>
      <c r="L1251" s="4">
        <f>Table4[[#This Row],[quantity]]*Table4[[#This Row],[unit_price]]</f>
        <v>53.46</v>
      </c>
      <c r="M1251">
        <f>COUNTIFS($C$2:$C$3934,Table4[[#This Row],[customer_id]])</f>
        <v>4</v>
      </c>
      <c r="N1251" t="str">
        <f>IF(Table4[[#This Row],[customer_order_count]]=1,"New Customer","Repeat Customer")</f>
        <v>Repeat Customer</v>
      </c>
    </row>
    <row r="1252" spans="1:14">
      <c r="A1252" t="s">
        <v>1025</v>
      </c>
      <c r="B1252" s="1">
        <v>45542</v>
      </c>
      <c r="C1252" t="s">
        <v>1026</v>
      </c>
      <c r="D1252" t="s">
        <v>1027</v>
      </c>
      <c r="E1252" t="s">
        <v>21</v>
      </c>
      <c r="F1252" t="s">
        <v>70</v>
      </c>
      <c r="G1252" t="s">
        <v>89</v>
      </c>
      <c r="H1252">
        <v>1</v>
      </c>
      <c r="I1252" s="3">
        <v>26.74</v>
      </c>
      <c r="J1252" t="s">
        <v>16</v>
      </c>
      <c r="K1252" t="s">
        <v>17</v>
      </c>
      <c r="L1252" s="4">
        <f>Table4[[#This Row],[quantity]]*Table4[[#This Row],[unit_price]]</f>
        <v>26.74</v>
      </c>
      <c r="M1252">
        <f>COUNTIFS($C$2:$C$3934,Table4[[#This Row],[customer_id]])</f>
        <v>2</v>
      </c>
      <c r="N1252" t="str">
        <f>IF(Table4[[#This Row],[customer_order_count]]=1,"New Customer","Repeat Customer")</f>
        <v>Repeat Customer</v>
      </c>
    </row>
    <row r="1253" spans="1:14">
      <c r="A1253" t="s">
        <v>4807</v>
      </c>
      <c r="B1253" s="1">
        <v>45192</v>
      </c>
      <c r="C1253" t="s">
        <v>1639</v>
      </c>
      <c r="D1253" t="s">
        <v>324</v>
      </c>
      <c r="E1253" t="s">
        <v>21</v>
      </c>
      <c r="F1253" t="s">
        <v>22</v>
      </c>
      <c r="G1253" t="s">
        <v>135</v>
      </c>
      <c r="H1253">
        <v>2</v>
      </c>
      <c r="I1253" s="3">
        <v>26.74</v>
      </c>
      <c r="J1253" t="s">
        <v>85</v>
      </c>
      <c r="K1253" t="s">
        <v>17</v>
      </c>
      <c r="L1253" s="4">
        <f>Table4[[#This Row],[quantity]]*Table4[[#This Row],[unit_price]]</f>
        <v>53.48</v>
      </c>
      <c r="M1253">
        <f>COUNTIFS($C$2:$C$3934,Table4[[#This Row],[customer_id]])</f>
        <v>5</v>
      </c>
      <c r="N1253" t="str">
        <f>IF(Table4[[#This Row],[customer_order_count]]=1,"New Customer","Repeat Customer")</f>
        <v>Repeat Customer</v>
      </c>
    </row>
    <row r="1254" spans="1:14">
      <c r="A1254" t="s">
        <v>3708</v>
      </c>
      <c r="B1254" s="1">
        <v>45612</v>
      </c>
      <c r="C1254" t="s">
        <v>2648</v>
      </c>
      <c r="D1254" t="s">
        <v>650</v>
      </c>
      <c r="E1254" t="s">
        <v>21</v>
      </c>
      <c r="F1254" t="s">
        <v>79</v>
      </c>
      <c r="G1254" t="s">
        <v>166</v>
      </c>
      <c r="H1254">
        <v>1</v>
      </c>
      <c r="I1254" s="3">
        <v>26.75</v>
      </c>
      <c r="J1254" t="s">
        <v>16</v>
      </c>
      <c r="K1254" t="s">
        <v>35</v>
      </c>
      <c r="L1254" s="4">
        <f>Table4[[#This Row],[quantity]]*Table4[[#This Row],[unit_price]]</f>
        <v>26.75</v>
      </c>
      <c r="M1254">
        <f>COUNTIFS($C$2:$C$3934,Table4[[#This Row],[customer_id]])</f>
        <v>3</v>
      </c>
      <c r="N1254" t="str">
        <f>IF(Table4[[#This Row],[customer_order_count]]=1,"New Customer","Repeat Customer")</f>
        <v>Repeat Customer</v>
      </c>
    </row>
    <row r="1255" spans="1:14">
      <c r="A1255" t="s">
        <v>4766</v>
      </c>
      <c r="B1255" s="1">
        <v>45124</v>
      </c>
      <c r="C1255" t="s">
        <v>1648</v>
      </c>
      <c r="D1255" t="s">
        <v>1208</v>
      </c>
      <c r="E1255" t="s">
        <v>61</v>
      </c>
      <c r="F1255" t="s">
        <v>28</v>
      </c>
      <c r="G1255" t="s">
        <v>84</v>
      </c>
      <c r="H1255">
        <v>1</v>
      </c>
      <c r="I1255" s="3">
        <v>26.76</v>
      </c>
      <c r="J1255" t="s">
        <v>16</v>
      </c>
      <c r="K1255" t="s">
        <v>40</v>
      </c>
      <c r="L1255" s="4">
        <f>Table4[[#This Row],[quantity]]*Table4[[#This Row],[unit_price]]</f>
        <v>26.76</v>
      </c>
      <c r="M1255">
        <f>COUNTIFS($C$2:$C$3934,Table4[[#This Row],[customer_id]])</f>
        <v>6</v>
      </c>
      <c r="N1255" t="str">
        <f>IF(Table4[[#This Row],[customer_order_count]]=1,"New Customer","Repeat Customer")</f>
        <v>Repeat Customer</v>
      </c>
    </row>
    <row r="1256" spans="1:14">
      <c r="A1256" t="s">
        <v>1908</v>
      </c>
      <c r="B1256" s="1">
        <v>45575</v>
      </c>
      <c r="C1256" t="s">
        <v>1909</v>
      </c>
      <c r="D1256" t="s">
        <v>815</v>
      </c>
      <c r="E1256" t="s">
        <v>44</v>
      </c>
      <c r="F1256" t="s">
        <v>66</v>
      </c>
      <c r="G1256" t="s">
        <v>217</v>
      </c>
      <c r="H1256">
        <v>2</v>
      </c>
      <c r="I1256" s="3">
        <v>26.77</v>
      </c>
      <c r="J1256" t="s">
        <v>16</v>
      </c>
      <c r="K1256" t="s">
        <v>40</v>
      </c>
      <c r="L1256" s="4">
        <f>Table4[[#This Row],[quantity]]*Table4[[#This Row],[unit_price]]</f>
        <v>53.54</v>
      </c>
      <c r="M1256">
        <f>COUNTIFS($C$2:$C$3934,Table4[[#This Row],[customer_id]])</f>
        <v>2</v>
      </c>
      <c r="N1256" t="str">
        <f>IF(Table4[[#This Row],[customer_order_count]]=1,"New Customer","Repeat Customer")</f>
        <v>Repeat Customer</v>
      </c>
    </row>
    <row r="1257" spans="1:14">
      <c r="A1257" t="s">
        <v>3315</v>
      </c>
      <c r="B1257" s="1">
        <v>45552</v>
      </c>
      <c r="C1257" t="s">
        <v>1335</v>
      </c>
      <c r="D1257" t="s">
        <v>1336</v>
      </c>
      <c r="E1257" t="s">
        <v>21</v>
      </c>
      <c r="F1257" t="s">
        <v>28</v>
      </c>
      <c r="G1257" t="s">
        <v>139</v>
      </c>
      <c r="H1257">
        <v>2</v>
      </c>
      <c r="I1257" s="3">
        <v>26.8</v>
      </c>
      <c r="J1257" t="s">
        <v>16</v>
      </c>
      <c r="K1257" t="s">
        <v>30</v>
      </c>
      <c r="L1257" s="4">
        <f>Table4[[#This Row],[quantity]]*Table4[[#This Row],[unit_price]]</f>
        <v>53.6</v>
      </c>
      <c r="M1257">
        <f>COUNTIFS($C$2:$C$3934,Table4[[#This Row],[customer_id]])</f>
        <v>7</v>
      </c>
      <c r="N1257" t="str">
        <f>IF(Table4[[#This Row],[customer_order_count]]=1,"New Customer","Repeat Customer")</f>
        <v>Repeat Customer</v>
      </c>
    </row>
    <row r="1258" spans="1:14">
      <c r="A1258" t="s">
        <v>5026</v>
      </c>
      <c r="B1258" s="1">
        <v>45197</v>
      </c>
      <c r="C1258" t="s">
        <v>1240</v>
      </c>
      <c r="D1258" t="s">
        <v>1241</v>
      </c>
      <c r="E1258" t="s">
        <v>21</v>
      </c>
      <c r="F1258" t="s">
        <v>70</v>
      </c>
      <c r="G1258" t="s">
        <v>526</v>
      </c>
      <c r="H1258">
        <v>1</v>
      </c>
      <c r="I1258" s="3">
        <v>26.82</v>
      </c>
      <c r="J1258" t="s">
        <v>16</v>
      </c>
      <c r="K1258" t="s">
        <v>17</v>
      </c>
      <c r="L1258" s="4">
        <f>Table4[[#This Row],[quantity]]*Table4[[#This Row],[unit_price]]</f>
        <v>26.82</v>
      </c>
      <c r="M1258">
        <f>COUNTIFS($C$2:$C$3934,Table4[[#This Row],[customer_id]])</f>
        <v>12</v>
      </c>
      <c r="N1258" t="str">
        <f>IF(Table4[[#This Row],[customer_order_count]]=1,"New Customer","Repeat Customer")</f>
        <v>Repeat Customer</v>
      </c>
    </row>
    <row r="1259" spans="1:14">
      <c r="A1259" t="s">
        <v>1974</v>
      </c>
      <c r="B1259" s="1">
        <v>45152</v>
      </c>
      <c r="C1259" t="s">
        <v>973</v>
      </c>
      <c r="D1259" t="s">
        <v>496</v>
      </c>
      <c r="E1259" t="s">
        <v>21</v>
      </c>
      <c r="F1259" t="s">
        <v>66</v>
      </c>
      <c r="G1259" t="s">
        <v>67</v>
      </c>
      <c r="H1259">
        <v>2</v>
      </c>
      <c r="I1259" s="3">
        <v>26.82</v>
      </c>
      <c r="J1259" t="s">
        <v>16</v>
      </c>
      <c r="K1259" t="s">
        <v>35</v>
      </c>
      <c r="L1259" s="4">
        <f>Table4[[#This Row],[quantity]]*Table4[[#This Row],[unit_price]]</f>
        <v>53.64</v>
      </c>
      <c r="M1259">
        <f>COUNTIFS($C$2:$C$3934,Table4[[#This Row],[customer_id]])</f>
        <v>5</v>
      </c>
      <c r="N1259" t="str">
        <f>IF(Table4[[#This Row],[customer_order_count]]=1,"New Customer","Repeat Customer")</f>
        <v>Repeat Customer</v>
      </c>
    </row>
    <row r="1260" spans="1:14">
      <c r="A1260" t="s">
        <v>3496</v>
      </c>
      <c r="B1260" s="1">
        <v>45408</v>
      </c>
      <c r="C1260" t="s">
        <v>1363</v>
      </c>
      <c r="D1260" t="s">
        <v>1364</v>
      </c>
      <c r="E1260" t="s">
        <v>21</v>
      </c>
      <c r="F1260" t="s">
        <v>28</v>
      </c>
      <c r="G1260" t="s">
        <v>45</v>
      </c>
      <c r="H1260">
        <v>1</v>
      </c>
      <c r="I1260" s="3">
        <v>26.83</v>
      </c>
      <c r="J1260" t="s">
        <v>16</v>
      </c>
      <c r="K1260" t="s">
        <v>35</v>
      </c>
      <c r="L1260" s="4">
        <f>Table4[[#This Row],[quantity]]*Table4[[#This Row],[unit_price]]</f>
        <v>26.83</v>
      </c>
      <c r="M1260">
        <f>COUNTIFS($C$2:$C$3934,Table4[[#This Row],[customer_id]])</f>
        <v>3</v>
      </c>
      <c r="N1260" t="str">
        <f>IF(Table4[[#This Row],[customer_order_count]]=1,"New Customer","Repeat Customer")</f>
        <v>Repeat Customer</v>
      </c>
    </row>
    <row r="1261" spans="1:14">
      <c r="A1261" t="s">
        <v>3231</v>
      </c>
      <c r="B1261" s="1">
        <v>45173</v>
      </c>
      <c r="C1261" t="s">
        <v>1494</v>
      </c>
      <c r="D1261" t="s">
        <v>307</v>
      </c>
      <c r="E1261" t="s">
        <v>106</v>
      </c>
      <c r="F1261" t="s">
        <v>66</v>
      </c>
      <c r="G1261" t="s">
        <v>238</v>
      </c>
      <c r="H1261">
        <v>1</v>
      </c>
      <c r="I1261" s="3">
        <v>26.84</v>
      </c>
      <c r="J1261" t="s">
        <v>16</v>
      </c>
      <c r="K1261" t="s">
        <v>40</v>
      </c>
      <c r="L1261" s="4">
        <f>Table4[[#This Row],[quantity]]*Table4[[#This Row],[unit_price]]</f>
        <v>26.84</v>
      </c>
      <c r="M1261">
        <f>COUNTIFS($C$2:$C$3934,Table4[[#This Row],[customer_id]])</f>
        <v>2</v>
      </c>
      <c r="N1261" t="str">
        <f>IF(Table4[[#This Row],[customer_order_count]]=1,"New Customer","Repeat Customer")</f>
        <v>Repeat Customer</v>
      </c>
    </row>
    <row r="1262" spans="1:14">
      <c r="A1262" t="s">
        <v>2406</v>
      </c>
      <c r="B1262" s="1">
        <v>45211</v>
      </c>
      <c r="C1262" t="s">
        <v>2275</v>
      </c>
      <c r="D1262" t="s">
        <v>582</v>
      </c>
      <c r="E1262" t="s">
        <v>21</v>
      </c>
      <c r="F1262" t="s">
        <v>22</v>
      </c>
      <c r="G1262" t="s">
        <v>135</v>
      </c>
      <c r="H1262">
        <v>3</v>
      </c>
      <c r="I1262" s="3">
        <v>26.86</v>
      </c>
      <c r="J1262" t="s">
        <v>16</v>
      </c>
      <c r="K1262" t="s">
        <v>17</v>
      </c>
      <c r="L1262" s="4">
        <f>Table4[[#This Row],[quantity]]*Table4[[#This Row],[unit_price]]</f>
        <v>80.58</v>
      </c>
      <c r="M1262">
        <f>COUNTIFS($C$2:$C$3934,Table4[[#This Row],[customer_id]])</f>
        <v>5</v>
      </c>
      <c r="N1262" t="str">
        <f>IF(Table4[[#This Row],[customer_order_count]]=1,"New Customer","Repeat Customer")</f>
        <v>Repeat Customer</v>
      </c>
    </row>
    <row r="1263" spans="1:14">
      <c r="A1263" t="s">
        <v>1821</v>
      </c>
      <c r="B1263" s="1">
        <v>45049</v>
      </c>
      <c r="C1263" t="s">
        <v>1822</v>
      </c>
      <c r="D1263" t="s">
        <v>1823</v>
      </c>
      <c r="E1263" t="s">
        <v>106</v>
      </c>
      <c r="F1263" t="s">
        <v>28</v>
      </c>
      <c r="G1263" t="s">
        <v>45</v>
      </c>
      <c r="H1263">
        <v>2</v>
      </c>
      <c r="I1263" s="3">
        <v>26.89</v>
      </c>
      <c r="J1263" t="s">
        <v>16</v>
      </c>
      <c r="K1263" s="2" t="s">
        <v>5256</v>
      </c>
      <c r="L1263" s="4">
        <f>Table4[[#This Row],[quantity]]*Table4[[#This Row],[unit_price]]</f>
        <v>53.78</v>
      </c>
      <c r="M1263">
        <f>COUNTIFS($C$2:$C$3934,Table4[[#This Row],[customer_id]])</f>
        <v>3</v>
      </c>
      <c r="N1263" t="str">
        <f>IF(Table4[[#This Row],[customer_order_count]]=1,"New Customer","Repeat Customer")</f>
        <v>Repeat Customer</v>
      </c>
    </row>
    <row r="1264" spans="1:14">
      <c r="A1264" t="s">
        <v>1991</v>
      </c>
      <c r="B1264" s="1">
        <v>45047</v>
      </c>
      <c r="C1264" t="s">
        <v>1064</v>
      </c>
      <c r="D1264" s="2" t="s">
        <v>5257</v>
      </c>
      <c r="E1264" t="s">
        <v>21</v>
      </c>
      <c r="F1264" t="s">
        <v>66</v>
      </c>
      <c r="G1264" t="s">
        <v>49</v>
      </c>
      <c r="H1264">
        <v>2</v>
      </c>
      <c r="I1264" s="3">
        <v>26.91</v>
      </c>
      <c r="J1264" t="s">
        <v>16</v>
      </c>
      <c r="K1264" s="5" t="s">
        <v>40</v>
      </c>
      <c r="L1264" s="4">
        <f>Table4[[#This Row],[quantity]]*Table4[[#This Row],[unit_price]]</f>
        <v>53.82</v>
      </c>
      <c r="M1264">
        <f>COUNTIFS($C$2:$C$3934,Table4[[#This Row],[customer_id]])</f>
        <v>7</v>
      </c>
      <c r="N1264" t="str">
        <f>IF(Table4[[#This Row],[customer_order_count]]=1,"New Customer","Repeat Customer")</f>
        <v>Repeat Customer</v>
      </c>
    </row>
    <row r="1265" spans="1:14">
      <c r="A1265" t="s">
        <v>562</v>
      </c>
      <c r="B1265" s="1">
        <v>45221</v>
      </c>
      <c r="C1265" t="s">
        <v>563</v>
      </c>
      <c r="D1265" s="5" t="s">
        <v>203</v>
      </c>
      <c r="E1265" t="s">
        <v>21</v>
      </c>
      <c r="F1265" t="s">
        <v>66</v>
      </c>
      <c r="G1265" t="s">
        <v>217</v>
      </c>
      <c r="H1265">
        <v>1</v>
      </c>
      <c r="I1265" s="3">
        <v>26.97</v>
      </c>
      <c r="J1265" t="s">
        <v>16</v>
      </c>
      <c r="K1265" t="s">
        <v>40</v>
      </c>
      <c r="L1265" s="4">
        <f>Table4[[#This Row],[quantity]]*Table4[[#This Row],[unit_price]]</f>
        <v>26.97</v>
      </c>
      <c r="M1265">
        <f>COUNTIFS($C$2:$C$3934,Table4[[#This Row],[customer_id]])</f>
        <v>6</v>
      </c>
      <c r="N1265" t="str">
        <f>IF(Table4[[#This Row],[customer_order_count]]=1,"New Customer","Repeat Customer")</f>
        <v>Repeat Customer</v>
      </c>
    </row>
    <row r="1266" spans="1:14">
      <c r="A1266" t="s">
        <v>3798</v>
      </c>
      <c r="B1266" s="1">
        <v>45458</v>
      </c>
      <c r="C1266" t="s">
        <v>2993</v>
      </c>
      <c r="D1266" t="s">
        <v>1065</v>
      </c>
      <c r="E1266" t="s">
        <v>21</v>
      </c>
      <c r="F1266" t="s">
        <v>28</v>
      </c>
      <c r="G1266" t="s">
        <v>139</v>
      </c>
      <c r="H1266">
        <v>1</v>
      </c>
      <c r="I1266" s="3">
        <v>26.97</v>
      </c>
      <c r="J1266" t="s">
        <v>16</v>
      </c>
      <c r="K1266" t="s">
        <v>30</v>
      </c>
      <c r="L1266" s="4">
        <f>Table4[[#This Row],[quantity]]*Table4[[#This Row],[unit_price]]</f>
        <v>26.97</v>
      </c>
      <c r="M1266">
        <f>COUNTIFS($C$2:$C$3934,Table4[[#This Row],[customer_id]])</f>
        <v>5</v>
      </c>
      <c r="N1266" t="str">
        <f>IF(Table4[[#This Row],[customer_order_count]]=1,"New Customer","Repeat Customer")</f>
        <v>Repeat Customer</v>
      </c>
    </row>
    <row r="1267" spans="1:14">
      <c r="A1267" t="s">
        <v>384</v>
      </c>
      <c r="B1267" s="1">
        <v>45561</v>
      </c>
      <c r="C1267" t="s">
        <v>385</v>
      </c>
      <c r="D1267" t="s">
        <v>278</v>
      </c>
      <c r="E1267" t="s">
        <v>21</v>
      </c>
      <c r="F1267" t="s">
        <v>56</v>
      </c>
      <c r="G1267" t="s">
        <v>57</v>
      </c>
      <c r="H1267">
        <v>2</v>
      </c>
      <c r="I1267" s="3">
        <v>27.07</v>
      </c>
      <c r="J1267" t="s">
        <v>16</v>
      </c>
      <c r="K1267" t="s">
        <v>30</v>
      </c>
      <c r="L1267" s="4">
        <f>Table4[[#This Row],[quantity]]*Table4[[#This Row],[unit_price]]</f>
        <v>54.14</v>
      </c>
      <c r="M1267">
        <f>COUNTIFS($C$2:$C$3934,Table4[[#This Row],[customer_id]])</f>
        <v>6</v>
      </c>
      <c r="N1267" t="str">
        <f>IF(Table4[[#This Row],[customer_order_count]]=1,"New Customer","Repeat Customer")</f>
        <v>Repeat Customer</v>
      </c>
    </row>
    <row r="1268" spans="1:14">
      <c r="A1268" t="s">
        <v>248</v>
      </c>
      <c r="B1268" s="1">
        <v>45195</v>
      </c>
      <c r="C1268" t="s">
        <v>249</v>
      </c>
      <c r="D1268" t="s">
        <v>250</v>
      </c>
      <c r="E1268" t="s">
        <v>21</v>
      </c>
      <c r="F1268" t="s">
        <v>56</v>
      </c>
      <c r="G1268" t="s">
        <v>75</v>
      </c>
      <c r="H1268">
        <v>1</v>
      </c>
      <c r="I1268" s="3">
        <v>27.08</v>
      </c>
      <c r="J1268" t="s">
        <v>16</v>
      </c>
      <c r="K1268" t="s">
        <v>40</v>
      </c>
      <c r="L1268" s="4">
        <f>Table4[[#This Row],[quantity]]*Table4[[#This Row],[unit_price]]</f>
        <v>27.08</v>
      </c>
      <c r="M1268">
        <f>COUNTIFS($C$2:$C$3934,Table4[[#This Row],[customer_id]])</f>
        <v>12</v>
      </c>
      <c r="N1268" t="str">
        <f>IF(Table4[[#This Row],[customer_order_count]]=1,"New Customer","Repeat Customer")</f>
        <v>Repeat Customer</v>
      </c>
    </row>
    <row r="1269" spans="1:14">
      <c r="A1269" t="s">
        <v>767</v>
      </c>
      <c r="B1269" s="1">
        <v>45316</v>
      </c>
      <c r="C1269" t="s">
        <v>768</v>
      </c>
      <c r="D1269" t="s">
        <v>769</v>
      </c>
      <c r="E1269" t="s">
        <v>21</v>
      </c>
      <c r="F1269" t="s">
        <v>28</v>
      </c>
      <c r="G1269" t="s">
        <v>29</v>
      </c>
      <c r="H1269">
        <v>4</v>
      </c>
      <c r="I1269" s="3">
        <v>27.12</v>
      </c>
      <c r="J1269" t="s">
        <v>16</v>
      </c>
      <c r="K1269" t="s">
        <v>30</v>
      </c>
      <c r="L1269" s="4">
        <f>Table4[[#This Row],[quantity]]*Table4[[#This Row],[unit_price]]</f>
        <v>108.48</v>
      </c>
      <c r="M1269">
        <f>COUNTIFS($C$2:$C$3934,Table4[[#This Row],[customer_id]])</f>
        <v>4</v>
      </c>
      <c r="N1269" t="str">
        <f>IF(Table4[[#This Row],[customer_order_count]]=1,"New Customer","Repeat Customer")</f>
        <v>Repeat Customer</v>
      </c>
    </row>
    <row r="1270" spans="1:14">
      <c r="A1270" t="s">
        <v>1307</v>
      </c>
      <c r="B1270" s="1">
        <v>44971</v>
      </c>
      <c r="C1270" t="s">
        <v>1243</v>
      </c>
      <c r="D1270" t="s">
        <v>1244</v>
      </c>
      <c r="E1270" t="s">
        <v>21</v>
      </c>
      <c r="F1270" t="s">
        <v>22</v>
      </c>
      <c r="G1270" t="s">
        <v>23</v>
      </c>
      <c r="H1270">
        <v>4</v>
      </c>
      <c r="I1270" s="3">
        <v>27.13</v>
      </c>
      <c r="J1270" t="s">
        <v>16</v>
      </c>
      <c r="K1270" s="2" t="s">
        <v>5256</v>
      </c>
      <c r="L1270" s="4">
        <f>Table4[[#This Row],[quantity]]*Table4[[#This Row],[unit_price]]</f>
        <v>108.52</v>
      </c>
      <c r="M1270">
        <f>COUNTIFS($C$2:$C$3934,Table4[[#This Row],[customer_id]])</f>
        <v>6</v>
      </c>
      <c r="N1270" t="str">
        <f>IF(Table4[[#This Row],[customer_order_count]]=1,"New Customer","Repeat Customer")</f>
        <v>Repeat Customer</v>
      </c>
    </row>
    <row r="1271" spans="1:14">
      <c r="A1271" t="s">
        <v>2303</v>
      </c>
      <c r="B1271" s="1">
        <v>45419</v>
      </c>
      <c r="C1271" t="s">
        <v>2013</v>
      </c>
      <c r="D1271" t="s">
        <v>2014</v>
      </c>
      <c r="E1271" t="s">
        <v>21</v>
      </c>
      <c r="F1271" t="s">
        <v>66</v>
      </c>
      <c r="G1271" t="s">
        <v>49</v>
      </c>
      <c r="H1271">
        <v>1</v>
      </c>
      <c r="I1271" s="3">
        <v>27.16</v>
      </c>
      <c r="J1271" t="s">
        <v>85</v>
      </c>
      <c r="K1271" s="5" t="s">
        <v>17</v>
      </c>
      <c r="L1271" s="4">
        <f>Table4[[#This Row],[quantity]]*Table4[[#This Row],[unit_price]]</f>
        <v>27.16</v>
      </c>
      <c r="M1271">
        <f>COUNTIFS($C$2:$C$3934,Table4[[#This Row],[customer_id]])</f>
        <v>5</v>
      </c>
      <c r="N1271" t="str">
        <f>IF(Table4[[#This Row],[customer_order_count]]=1,"New Customer","Repeat Customer")</f>
        <v>Repeat Customer</v>
      </c>
    </row>
    <row r="1272" spans="1:14">
      <c r="A1272" t="s">
        <v>2260</v>
      </c>
      <c r="B1272" s="1">
        <v>45138</v>
      </c>
      <c r="C1272" t="s">
        <v>1717</v>
      </c>
      <c r="D1272" t="s">
        <v>573</v>
      </c>
      <c r="E1272" t="s">
        <v>21</v>
      </c>
      <c r="F1272" t="s">
        <v>28</v>
      </c>
      <c r="G1272" t="s">
        <v>114</v>
      </c>
      <c r="H1272">
        <v>1</v>
      </c>
      <c r="I1272" s="3">
        <v>27.17</v>
      </c>
      <c r="J1272" t="s">
        <v>16</v>
      </c>
      <c r="K1272" t="s">
        <v>40</v>
      </c>
      <c r="L1272" s="4">
        <f>Table4[[#This Row],[quantity]]*Table4[[#This Row],[unit_price]]</f>
        <v>27.17</v>
      </c>
      <c r="M1272">
        <f>COUNTIFS($C$2:$C$3934,Table4[[#This Row],[customer_id]])</f>
        <v>7</v>
      </c>
      <c r="N1272" t="str">
        <f>IF(Table4[[#This Row],[customer_order_count]]=1,"New Customer","Repeat Customer")</f>
        <v>Repeat Customer</v>
      </c>
    </row>
    <row r="1273" spans="1:14">
      <c r="A1273" t="s">
        <v>1034</v>
      </c>
      <c r="B1273" s="1">
        <v>44933</v>
      </c>
      <c r="C1273" t="s">
        <v>1035</v>
      </c>
      <c r="D1273" t="s">
        <v>1036</v>
      </c>
      <c r="E1273" t="s">
        <v>21</v>
      </c>
      <c r="F1273" t="s">
        <v>28</v>
      </c>
      <c r="G1273" t="s">
        <v>114</v>
      </c>
      <c r="H1273">
        <v>1</v>
      </c>
      <c r="I1273" s="3">
        <v>27.18</v>
      </c>
      <c r="J1273" t="s">
        <v>255</v>
      </c>
      <c r="K1273" t="s">
        <v>40</v>
      </c>
      <c r="L1273" s="4">
        <f>Table4[[#This Row],[quantity]]*Table4[[#This Row],[unit_price]]</f>
        <v>27.18</v>
      </c>
      <c r="M1273">
        <f>COUNTIFS($C$2:$C$3934,Table4[[#This Row],[customer_id]])</f>
        <v>5</v>
      </c>
      <c r="N1273" t="str">
        <f>IF(Table4[[#This Row],[customer_order_count]]=1,"New Customer","Repeat Customer")</f>
        <v>Repeat Customer</v>
      </c>
    </row>
    <row r="1274" spans="1:14">
      <c r="A1274" t="s">
        <v>2698</v>
      </c>
      <c r="B1274" s="1">
        <v>45426</v>
      </c>
      <c r="C1274" t="s">
        <v>848</v>
      </c>
      <c r="D1274" t="s">
        <v>340</v>
      </c>
      <c r="E1274" t="s">
        <v>21</v>
      </c>
      <c r="F1274" t="s">
        <v>56</v>
      </c>
      <c r="G1274" t="s">
        <v>422</v>
      </c>
      <c r="H1274">
        <v>5</v>
      </c>
      <c r="I1274" s="3">
        <v>27.18</v>
      </c>
      <c r="J1274" t="s">
        <v>16</v>
      </c>
      <c r="K1274" t="s">
        <v>30</v>
      </c>
      <c r="L1274" s="4">
        <f>Table4[[#This Row],[quantity]]*Table4[[#This Row],[unit_price]]</f>
        <v>135.9</v>
      </c>
      <c r="M1274">
        <f>COUNTIFS($C$2:$C$3934,Table4[[#This Row],[customer_id]])</f>
        <v>9</v>
      </c>
      <c r="N1274" t="str">
        <f>IF(Table4[[#This Row],[customer_order_count]]=1,"New Customer","Repeat Customer")</f>
        <v>Repeat Customer</v>
      </c>
    </row>
    <row r="1275" spans="1:14">
      <c r="A1275" t="s">
        <v>1119</v>
      </c>
      <c r="B1275" s="1">
        <v>45014</v>
      </c>
      <c r="C1275" t="s">
        <v>1120</v>
      </c>
      <c r="D1275" t="s">
        <v>1121</v>
      </c>
      <c r="E1275" t="s">
        <v>21</v>
      </c>
      <c r="F1275" t="s">
        <v>66</v>
      </c>
      <c r="G1275" t="s">
        <v>49</v>
      </c>
      <c r="H1275">
        <v>1</v>
      </c>
      <c r="I1275" s="3">
        <v>27.19</v>
      </c>
      <c r="J1275" t="s">
        <v>16</v>
      </c>
      <c r="K1275" t="s">
        <v>40</v>
      </c>
      <c r="L1275" s="4">
        <f>Table4[[#This Row],[quantity]]*Table4[[#This Row],[unit_price]]</f>
        <v>27.19</v>
      </c>
      <c r="M1275">
        <f>COUNTIFS($C$2:$C$3934,Table4[[#This Row],[customer_id]])</f>
        <v>4</v>
      </c>
      <c r="N1275" t="str">
        <f>IF(Table4[[#This Row],[customer_order_count]]=1,"New Customer","Repeat Customer")</f>
        <v>Repeat Customer</v>
      </c>
    </row>
    <row r="1276" spans="1:14">
      <c r="A1276" t="s">
        <v>1702</v>
      </c>
      <c r="B1276" s="1">
        <v>45324</v>
      </c>
      <c r="C1276" t="s">
        <v>1069</v>
      </c>
      <c r="D1276" t="s">
        <v>1070</v>
      </c>
      <c r="E1276" t="s">
        <v>21</v>
      </c>
      <c r="F1276" t="s">
        <v>56</v>
      </c>
      <c r="G1276" t="s">
        <v>57</v>
      </c>
      <c r="H1276">
        <v>4</v>
      </c>
      <c r="I1276" s="3">
        <v>27.19</v>
      </c>
      <c r="J1276" t="s">
        <v>16</v>
      </c>
      <c r="K1276" t="s">
        <v>30</v>
      </c>
      <c r="L1276" s="4">
        <f>Table4[[#This Row],[quantity]]*Table4[[#This Row],[unit_price]]</f>
        <v>108.76</v>
      </c>
      <c r="M1276">
        <f>COUNTIFS($C$2:$C$3934,Table4[[#This Row],[customer_id]])</f>
        <v>4</v>
      </c>
      <c r="N1276" t="str">
        <f>IF(Table4[[#This Row],[customer_order_count]]=1,"New Customer","Repeat Customer")</f>
        <v>Repeat Customer</v>
      </c>
    </row>
    <row r="1277" spans="1:14">
      <c r="A1277" t="s">
        <v>4431</v>
      </c>
      <c r="B1277" s="1">
        <v>45553</v>
      </c>
      <c r="C1277" t="s">
        <v>2643</v>
      </c>
      <c r="D1277" t="s">
        <v>1336</v>
      </c>
      <c r="E1277" t="s">
        <v>21</v>
      </c>
      <c r="F1277" t="s">
        <v>22</v>
      </c>
      <c r="G1277" t="s">
        <v>135</v>
      </c>
      <c r="H1277">
        <v>4</v>
      </c>
      <c r="I1277" s="3">
        <v>27.2</v>
      </c>
      <c r="J1277" t="s">
        <v>85</v>
      </c>
      <c r="K1277" t="s">
        <v>17</v>
      </c>
      <c r="L1277" s="4">
        <f>Table4[[#This Row],[quantity]]*Table4[[#This Row],[unit_price]]</f>
        <v>108.8</v>
      </c>
      <c r="M1277">
        <f>COUNTIFS($C$2:$C$3934,Table4[[#This Row],[customer_id]])</f>
        <v>7</v>
      </c>
      <c r="N1277" t="str">
        <f>IF(Table4[[#This Row],[customer_order_count]]=1,"New Customer","Repeat Customer")</f>
        <v>Repeat Customer</v>
      </c>
    </row>
    <row r="1278" spans="1:14">
      <c r="A1278" t="s">
        <v>3997</v>
      </c>
      <c r="B1278" s="1">
        <v>45123</v>
      </c>
      <c r="C1278" t="s">
        <v>2566</v>
      </c>
      <c r="D1278" t="s">
        <v>981</v>
      </c>
      <c r="E1278" t="s">
        <v>21</v>
      </c>
      <c r="F1278" t="s">
        <v>28</v>
      </c>
      <c r="G1278" t="s">
        <v>84</v>
      </c>
      <c r="H1278">
        <v>1</v>
      </c>
      <c r="I1278" s="3">
        <v>27.21</v>
      </c>
      <c r="J1278" t="s">
        <v>16</v>
      </c>
      <c r="K1278" t="s">
        <v>17</v>
      </c>
      <c r="L1278" s="4">
        <f>Table4[[#This Row],[quantity]]*Table4[[#This Row],[unit_price]]</f>
        <v>27.21</v>
      </c>
      <c r="M1278">
        <f>COUNTIFS($C$2:$C$3934,Table4[[#This Row],[customer_id]])</f>
        <v>5</v>
      </c>
      <c r="N1278" t="str">
        <f>IF(Table4[[#This Row],[customer_order_count]]=1,"New Customer","Repeat Customer")</f>
        <v>Repeat Customer</v>
      </c>
    </row>
    <row r="1279" spans="1:14">
      <c r="A1279" t="s">
        <v>3659</v>
      </c>
      <c r="B1279" s="1">
        <v>45426</v>
      </c>
      <c r="C1279" t="s">
        <v>3660</v>
      </c>
      <c r="D1279" s="2" t="s">
        <v>5257</v>
      </c>
      <c r="E1279" t="s">
        <v>21</v>
      </c>
      <c r="F1279" t="s">
        <v>70</v>
      </c>
      <c r="G1279" t="s">
        <v>526</v>
      </c>
      <c r="H1279">
        <v>4</v>
      </c>
      <c r="I1279" s="3">
        <v>27.23</v>
      </c>
      <c r="J1279" t="s">
        <v>16</v>
      </c>
      <c r="K1279" t="s">
        <v>17</v>
      </c>
      <c r="L1279" s="4">
        <f>Table4[[#This Row],[quantity]]*Table4[[#This Row],[unit_price]]</f>
        <v>108.92</v>
      </c>
      <c r="M1279">
        <f>COUNTIFS($C$2:$C$3934,Table4[[#This Row],[customer_id]])</f>
        <v>3</v>
      </c>
      <c r="N1279" t="str">
        <f>IF(Table4[[#This Row],[customer_order_count]]=1,"New Customer","Repeat Customer")</f>
        <v>Repeat Customer</v>
      </c>
    </row>
    <row r="1280" spans="1:14">
      <c r="A1280" t="s">
        <v>2901</v>
      </c>
      <c r="B1280" s="1">
        <v>45017</v>
      </c>
      <c r="C1280" t="s">
        <v>856</v>
      </c>
      <c r="D1280" s="5" t="s">
        <v>857</v>
      </c>
      <c r="E1280" t="s">
        <v>44</v>
      </c>
      <c r="F1280" t="s">
        <v>66</v>
      </c>
      <c r="G1280" t="s">
        <v>217</v>
      </c>
      <c r="H1280">
        <v>1</v>
      </c>
      <c r="I1280" s="3">
        <v>27.24</v>
      </c>
      <c r="J1280" t="s">
        <v>16</v>
      </c>
      <c r="K1280" t="s">
        <v>40</v>
      </c>
      <c r="L1280" s="4">
        <f>Table4[[#This Row],[quantity]]*Table4[[#This Row],[unit_price]]</f>
        <v>27.24</v>
      </c>
      <c r="M1280">
        <f>COUNTIFS($C$2:$C$3934,Table4[[#This Row],[customer_id]])</f>
        <v>5</v>
      </c>
      <c r="N1280" t="str">
        <f>IF(Table4[[#This Row],[customer_order_count]]=1,"New Customer","Repeat Customer")</f>
        <v>Repeat Customer</v>
      </c>
    </row>
    <row r="1281" spans="1:14">
      <c r="A1281" t="s">
        <v>1630</v>
      </c>
      <c r="B1281" s="1">
        <v>45408</v>
      </c>
      <c r="C1281" t="s">
        <v>1631</v>
      </c>
      <c r="D1281" s="2" t="s">
        <v>5257</v>
      </c>
      <c r="E1281" t="s">
        <v>21</v>
      </c>
      <c r="F1281" t="s">
        <v>56</v>
      </c>
      <c r="G1281" t="s">
        <v>422</v>
      </c>
      <c r="H1281">
        <v>4</v>
      </c>
      <c r="I1281" s="3">
        <v>27.24</v>
      </c>
      <c r="J1281" t="s">
        <v>16</v>
      </c>
      <c r="K1281" t="s">
        <v>30</v>
      </c>
      <c r="L1281" s="4">
        <f>Table4[[#This Row],[quantity]]*Table4[[#This Row],[unit_price]]</f>
        <v>108.96</v>
      </c>
      <c r="M1281">
        <f>COUNTIFS($C$2:$C$3934,Table4[[#This Row],[customer_id]])</f>
        <v>7</v>
      </c>
      <c r="N1281" t="str">
        <f>IF(Table4[[#This Row],[customer_order_count]]=1,"New Customer","Repeat Customer")</f>
        <v>Repeat Customer</v>
      </c>
    </row>
    <row r="1282" spans="1:14">
      <c r="A1282" t="s">
        <v>3071</v>
      </c>
      <c r="B1282" s="1">
        <v>45493</v>
      </c>
      <c r="C1282" t="s">
        <v>1021</v>
      </c>
      <c r="D1282" s="5" t="s">
        <v>1022</v>
      </c>
      <c r="E1282" t="s">
        <v>21</v>
      </c>
      <c r="F1282" t="s">
        <v>66</v>
      </c>
      <c r="G1282" t="s">
        <v>217</v>
      </c>
      <c r="H1282">
        <v>1</v>
      </c>
      <c r="I1282" s="3">
        <v>27.25</v>
      </c>
      <c r="J1282" t="s">
        <v>16</v>
      </c>
      <c r="K1282" t="s">
        <v>40</v>
      </c>
      <c r="L1282" s="4">
        <f>Table4[[#This Row],[quantity]]*Table4[[#This Row],[unit_price]]</f>
        <v>27.25</v>
      </c>
      <c r="M1282">
        <f>COUNTIFS($C$2:$C$3934,Table4[[#This Row],[customer_id]])</f>
        <v>6</v>
      </c>
      <c r="N1282" t="str">
        <f>IF(Table4[[#This Row],[customer_order_count]]=1,"New Customer","Repeat Customer")</f>
        <v>Repeat Customer</v>
      </c>
    </row>
    <row r="1283" spans="1:14">
      <c r="A1283" t="s">
        <v>336</v>
      </c>
      <c r="B1283" s="1">
        <v>45564</v>
      </c>
      <c r="C1283" t="s">
        <v>51</v>
      </c>
      <c r="D1283" t="s">
        <v>52</v>
      </c>
      <c r="E1283" t="s">
        <v>21</v>
      </c>
      <c r="F1283" t="s">
        <v>70</v>
      </c>
      <c r="G1283" t="s">
        <v>337</v>
      </c>
      <c r="H1283">
        <v>2</v>
      </c>
      <c r="I1283" s="3">
        <v>27.25</v>
      </c>
      <c r="J1283" t="s">
        <v>85</v>
      </c>
      <c r="K1283" t="s">
        <v>30</v>
      </c>
      <c r="L1283" s="4">
        <f>Table4[[#This Row],[quantity]]*Table4[[#This Row],[unit_price]]</f>
        <v>54.5</v>
      </c>
      <c r="M1283">
        <f>COUNTIFS($C$2:$C$3934,Table4[[#This Row],[customer_id]])</f>
        <v>9</v>
      </c>
      <c r="N1283" t="str">
        <f>IF(Table4[[#This Row],[customer_order_count]]=1,"New Customer","Repeat Customer")</f>
        <v>Repeat Customer</v>
      </c>
    </row>
    <row r="1284" spans="1:14">
      <c r="A1284" t="s">
        <v>487</v>
      </c>
      <c r="B1284" s="1">
        <v>44961</v>
      </c>
      <c r="C1284" t="s">
        <v>488</v>
      </c>
      <c r="D1284" t="s">
        <v>52</v>
      </c>
      <c r="E1284" t="s">
        <v>21</v>
      </c>
      <c r="F1284" t="s">
        <v>56</v>
      </c>
      <c r="G1284" t="s">
        <v>422</v>
      </c>
      <c r="H1284">
        <v>3</v>
      </c>
      <c r="I1284" s="3">
        <v>27.26</v>
      </c>
      <c r="J1284" t="s">
        <v>16</v>
      </c>
      <c r="K1284" t="s">
        <v>17</v>
      </c>
      <c r="L1284" s="4">
        <f>Table4[[#This Row],[quantity]]*Table4[[#This Row],[unit_price]]</f>
        <v>81.78</v>
      </c>
      <c r="M1284">
        <f>COUNTIFS($C$2:$C$3934,Table4[[#This Row],[customer_id]])</f>
        <v>4</v>
      </c>
      <c r="N1284" t="str">
        <f>IF(Table4[[#This Row],[customer_order_count]]=1,"New Customer","Repeat Customer")</f>
        <v>Repeat Customer</v>
      </c>
    </row>
    <row r="1285" spans="1:14">
      <c r="A1285" t="s">
        <v>4818</v>
      </c>
      <c r="B1285" s="1">
        <v>45478</v>
      </c>
      <c r="C1285" t="s">
        <v>1928</v>
      </c>
      <c r="D1285" t="s">
        <v>1444</v>
      </c>
      <c r="E1285" t="s">
        <v>21</v>
      </c>
      <c r="F1285" t="s">
        <v>66</v>
      </c>
      <c r="G1285" t="s">
        <v>128</v>
      </c>
      <c r="H1285">
        <v>1</v>
      </c>
      <c r="I1285" s="3">
        <v>27.27</v>
      </c>
      <c r="J1285" t="s">
        <v>16</v>
      </c>
      <c r="K1285" t="s">
        <v>35</v>
      </c>
      <c r="L1285" s="4">
        <f>Table4[[#This Row],[quantity]]*Table4[[#This Row],[unit_price]]</f>
        <v>27.27</v>
      </c>
      <c r="M1285">
        <f>COUNTIFS($C$2:$C$3934,Table4[[#This Row],[customer_id]])</f>
        <v>7</v>
      </c>
      <c r="N1285" t="str">
        <f>IF(Table4[[#This Row],[customer_order_count]]=1,"New Customer","Repeat Customer")</f>
        <v>Repeat Customer</v>
      </c>
    </row>
    <row r="1286" spans="1:14">
      <c r="A1286" t="s">
        <v>3716</v>
      </c>
      <c r="B1286" s="1">
        <v>45210</v>
      </c>
      <c r="C1286" t="s">
        <v>737</v>
      </c>
      <c r="D1286" t="s">
        <v>612</v>
      </c>
      <c r="E1286" t="s">
        <v>21</v>
      </c>
      <c r="F1286" t="s">
        <v>70</v>
      </c>
      <c r="G1286" t="s">
        <v>146</v>
      </c>
      <c r="H1286">
        <v>1</v>
      </c>
      <c r="I1286" s="3">
        <v>27.28</v>
      </c>
      <c r="J1286" t="s">
        <v>85</v>
      </c>
      <c r="K1286" t="s">
        <v>35</v>
      </c>
      <c r="L1286" s="4">
        <f>Table4[[#This Row],[quantity]]*Table4[[#This Row],[unit_price]]</f>
        <v>27.28</v>
      </c>
      <c r="M1286">
        <f>COUNTIFS($C$2:$C$3934,Table4[[#This Row],[customer_id]])</f>
        <v>5</v>
      </c>
      <c r="N1286" t="str">
        <f>IF(Table4[[#This Row],[customer_order_count]]=1,"New Customer","Repeat Customer")</f>
        <v>Repeat Customer</v>
      </c>
    </row>
    <row r="1287" spans="1:14">
      <c r="A1287" t="s">
        <v>2047</v>
      </c>
      <c r="B1287" s="1">
        <v>45441</v>
      </c>
      <c r="C1287" t="s">
        <v>1808</v>
      </c>
      <c r="D1287" t="s">
        <v>124</v>
      </c>
      <c r="E1287" t="s">
        <v>21</v>
      </c>
      <c r="F1287" t="s">
        <v>28</v>
      </c>
      <c r="G1287" t="s">
        <v>45</v>
      </c>
      <c r="H1287">
        <v>2</v>
      </c>
      <c r="I1287" s="3">
        <v>27.28</v>
      </c>
      <c r="J1287" t="s">
        <v>16</v>
      </c>
      <c r="K1287" t="s">
        <v>17</v>
      </c>
      <c r="L1287" s="4">
        <f>Table4[[#This Row],[quantity]]*Table4[[#This Row],[unit_price]]</f>
        <v>54.56</v>
      </c>
      <c r="M1287">
        <f>COUNTIFS($C$2:$C$3934,Table4[[#This Row],[customer_id]])</f>
        <v>4</v>
      </c>
      <c r="N1287" t="str">
        <f>IF(Table4[[#This Row],[customer_order_count]]=1,"New Customer","Repeat Customer")</f>
        <v>Repeat Customer</v>
      </c>
    </row>
    <row r="1288" spans="1:14">
      <c r="A1288" t="s">
        <v>5143</v>
      </c>
      <c r="B1288" s="1">
        <v>45157</v>
      </c>
      <c r="C1288" t="s">
        <v>1685</v>
      </c>
      <c r="D1288" t="s">
        <v>1686</v>
      </c>
      <c r="E1288" t="s">
        <v>44</v>
      </c>
      <c r="F1288" t="s">
        <v>28</v>
      </c>
      <c r="G1288" t="s">
        <v>114</v>
      </c>
      <c r="H1288">
        <v>2</v>
      </c>
      <c r="I1288" s="3">
        <v>27.29</v>
      </c>
      <c r="J1288" t="s">
        <v>24</v>
      </c>
      <c r="K1288" t="s">
        <v>30</v>
      </c>
      <c r="L1288" s="4">
        <f>Table4[[#This Row],[quantity]]*Table4[[#This Row],[unit_price]]</f>
        <v>54.58</v>
      </c>
      <c r="M1288">
        <f>COUNTIFS($C$2:$C$3934,Table4[[#This Row],[customer_id]])</f>
        <v>4</v>
      </c>
      <c r="N1288" t="str">
        <f>IF(Table4[[#This Row],[customer_order_count]]=1,"New Customer","Repeat Customer")</f>
        <v>Repeat Customer</v>
      </c>
    </row>
    <row r="1289" spans="1:14">
      <c r="A1289" t="s">
        <v>1962</v>
      </c>
      <c r="B1289" s="1">
        <v>45294</v>
      </c>
      <c r="C1289" t="s">
        <v>900</v>
      </c>
      <c r="D1289" t="s">
        <v>857</v>
      </c>
      <c r="E1289" t="s">
        <v>21</v>
      </c>
      <c r="F1289" t="s">
        <v>28</v>
      </c>
      <c r="G1289" t="s">
        <v>139</v>
      </c>
      <c r="H1289">
        <v>1</v>
      </c>
      <c r="I1289" s="3">
        <v>27.32</v>
      </c>
      <c r="J1289" t="s">
        <v>16</v>
      </c>
      <c r="K1289" t="s">
        <v>17</v>
      </c>
      <c r="L1289" s="4">
        <f>Table4[[#This Row],[quantity]]*Table4[[#This Row],[unit_price]]</f>
        <v>27.32</v>
      </c>
      <c r="M1289">
        <f>COUNTIFS($C$2:$C$3934,Table4[[#This Row],[customer_id]])</f>
        <v>6</v>
      </c>
      <c r="N1289" t="str">
        <f>IF(Table4[[#This Row],[customer_order_count]]=1,"New Customer","Repeat Customer")</f>
        <v>Repeat Customer</v>
      </c>
    </row>
    <row r="1290" spans="1:14">
      <c r="A1290" t="s">
        <v>2842</v>
      </c>
      <c r="B1290" s="1">
        <v>45654</v>
      </c>
      <c r="C1290" t="s">
        <v>2843</v>
      </c>
      <c r="D1290" t="s">
        <v>2427</v>
      </c>
      <c r="E1290" t="s">
        <v>44</v>
      </c>
      <c r="F1290" t="s">
        <v>79</v>
      </c>
      <c r="G1290" t="s">
        <v>541</v>
      </c>
      <c r="H1290">
        <v>1</v>
      </c>
      <c r="I1290" s="3">
        <v>27.33</v>
      </c>
      <c r="J1290" t="s">
        <v>16</v>
      </c>
      <c r="K1290" t="s">
        <v>17</v>
      </c>
      <c r="L1290" s="4">
        <f>Table4[[#This Row],[quantity]]*Table4[[#This Row],[unit_price]]</f>
        <v>27.33</v>
      </c>
      <c r="M1290">
        <f>COUNTIFS($C$2:$C$3934,Table4[[#This Row],[customer_id]])</f>
        <v>3</v>
      </c>
      <c r="N1290" t="str">
        <f>IF(Table4[[#This Row],[customer_order_count]]=1,"New Customer","Repeat Customer")</f>
        <v>Repeat Customer</v>
      </c>
    </row>
    <row r="1291" spans="1:14">
      <c r="A1291" t="s">
        <v>4156</v>
      </c>
      <c r="B1291" s="1">
        <v>45250</v>
      </c>
      <c r="C1291" t="s">
        <v>1452</v>
      </c>
      <c r="D1291" t="s">
        <v>1453</v>
      </c>
      <c r="E1291" t="s">
        <v>21</v>
      </c>
      <c r="F1291" t="s">
        <v>28</v>
      </c>
      <c r="G1291" t="s">
        <v>114</v>
      </c>
      <c r="H1291">
        <v>2</v>
      </c>
      <c r="I1291" s="3">
        <v>27.35</v>
      </c>
      <c r="J1291" t="s">
        <v>16</v>
      </c>
      <c r="K1291" t="s">
        <v>35</v>
      </c>
      <c r="L1291" s="4">
        <f>Table4[[#This Row],[quantity]]*Table4[[#This Row],[unit_price]]</f>
        <v>54.7</v>
      </c>
      <c r="M1291">
        <f>COUNTIFS($C$2:$C$3934,Table4[[#This Row],[customer_id]])</f>
        <v>7</v>
      </c>
      <c r="N1291" t="str">
        <f>IF(Table4[[#This Row],[customer_order_count]]=1,"New Customer","Repeat Customer")</f>
        <v>Repeat Customer</v>
      </c>
    </row>
    <row r="1292" spans="1:14">
      <c r="A1292" t="s">
        <v>2832</v>
      </c>
      <c r="B1292" s="1">
        <v>45421</v>
      </c>
      <c r="C1292" t="s">
        <v>400</v>
      </c>
      <c r="D1292" t="s">
        <v>365</v>
      </c>
      <c r="E1292" t="s">
        <v>21</v>
      </c>
      <c r="F1292" t="s">
        <v>66</v>
      </c>
      <c r="G1292" t="s">
        <v>217</v>
      </c>
      <c r="H1292">
        <v>4</v>
      </c>
      <c r="I1292" s="3">
        <v>27.36</v>
      </c>
      <c r="J1292" t="s">
        <v>16</v>
      </c>
      <c r="K1292" t="s">
        <v>40</v>
      </c>
      <c r="L1292" s="4">
        <f>Table4[[#This Row],[quantity]]*Table4[[#This Row],[unit_price]]</f>
        <v>109.44</v>
      </c>
      <c r="M1292">
        <f>COUNTIFS($C$2:$C$3934,Table4[[#This Row],[customer_id]])</f>
        <v>7</v>
      </c>
      <c r="N1292" t="str">
        <f>IF(Table4[[#This Row],[customer_order_count]]=1,"New Customer","Repeat Customer")</f>
        <v>Repeat Customer</v>
      </c>
    </row>
    <row r="1293" spans="1:14">
      <c r="A1293" t="s">
        <v>2473</v>
      </c>
      <c r="B1293" s="1">
        <v>45577</v>
      </c>
      <c r="C1293" t="s">
        <v>2144</v>
      </c>
      <c r="D1293" t="s">
        <v>27</v>
      </c>
      <c r="E1293" t="s">
        <v>21</v>
      </c>
      <c r="F1293" t="s">
        <v>14</v>
      </c>
      <c r="G1293" t="s">
        <v>258</v>
      </c>
      <c r="H1293">
        <v>1</v>
      </c>
      <c r="I1293" s="3">
        <v>27.37</v>
      </c>
      <c r="J1293" t="s">
        <v>16</v>
      </c>
      <c r="K1293" t="s">
        <v>17</v>
      </c>
      <c r="L1293" s="4">
        <f>Table4[[#This Row],[quantity]]*Table4[[#This Row],[unit_price]]</f>
        <v>27.37</v>
      </c>
      <c r="M1293">
        <f>COUNTIFS($C$2:$C$3934,Table4[[#This Row],[customer_id]])</f>
        <v>10</v>
      </c>
      <c r="N1293" t="str">
        <f>IF(Table4[[#This Row],[customer_order_count]]=1,"New Customer","Repeat Customer")</f>
        <v>Repeat Customer</v>
      </c>
    </row>
    <row r="1294" spans="1:14">
      <c r="A1294" t="s">
        <v>3164</v>
      </c>
      <c r="B1294" s="1">
        <v>45278</v>
      </c>
      <c r="C1294" t="s">
        <v>477</v>
      </c>
      <c r="D1294" t="s">
        <v>478</v>
      </c>
      <c r="E1294" t="s">
        <v>21</v>
      </c>
      <c r="F1294" t="s">
        <v>70</v>
      </c>
      <c r="G1294" t="s">
        <v>337</v>
      </c>
      <c r="H1294">
        <v>1</v>
      </c>
      <c r="I1294" s="3">
        <v>27.4</v>
      </c>
      <c r="J1294" t="s">
        <v>16</v>
      </c>
      <c r="K1294" t="s">
        <v>35</v>
      </c>
      <c r="L1294" s="4">
        <f>Table4[[#This Row],[quantity]]*Table4[[#This Row],[unit_price]]</f>
        <v>27.4</v>
      </c>
      <c r="M1294">
        <f>COUNTIFS($C$2:$C$3934,Table4[[#This Row],[customer_id]])</f>
        <v>6</v>
      </c>
      <c r="N1294" t="str">
        <f>IF(Table4[[#This Row],[customer_order_count]]=1,"New Customer","Repeat Customer")</f>
        <v>Repeat Customer</v>
      </c>
    </row>
    <row r="1295" spans="1:14">
      <c r="A1295" t="s">
        <v>2982</v>
      </c>
      <c r="B1295" s="1">
        <v>45127</v>
      </c>
      <c r="C1295" t="s">
        <v>810</v>
      </c>
      <c r="D1295" t="s">
        <v>811</v>
      </c>
      <c r="E1295" t="s">
        <v>21</v>
      </c>
      <c r="F1295" t="s">
        <v>66</v>
      </c>
      <c r="G1295" t="s">
        <v>238</v>
      </c>
      <c r="H1295">
        <v>2</v>
      </c>
      <c r="I1295" s="3">
        <v>27.41</v>
      </c>
      <c r="J1295" t="s">
        <v>16</v>
      </c>
      <c r="K1295" t="s">
        <v>30</v>
      </c>
      <c r="L1295" s="4">
        <f>Table4[[#This Row],[quantity]]*Table4[[#This Row],[unit_price]]</f>
        <v>54.82</v>
      </c>
      <c r="M1295">
        <f>COUNTIFS($C$2:$C$3934,Table4[[#This Row],[customer_id]])</f>
        <v>7</v>
      </c>
      <c r="N1295" t="str">
        <f>IF(Table4[[#This Row],[customer_order_count]]=1,"New Customer","Repeat Customer")</f>
        <v>Repeat Customer</v>
      </c>
    </row>
    <row r="1296" spans="1:14">
      <c r="A1296" t="s">
        <v>3085</v>
      </c>
      <c r="B1296" s="1">
        <v>45497</v>
      </c>
      <c r="C1296" t="s">
        <v>958</v>
      </c>
      <c r="D1296" t="s">
        <v>959</v>
      </c>
      <c r="E1296" t="s">
        <v>21</v>
      </c>
      <c r="F1296" t="s">
        <v>14</v>
      </c>
      <c r="G1296" t="s">
        <v>15</v>
      </c>
      <c r="H1296">
        <v>1</v>
      </c>
      <c r="I1296" s="3">
        <v>27.42</v>
      </c>
      <c r="J1296" t="s">
        <v>16</v>
      </c>
      <c r="K1296" t="s">
        <v>40</v>
      </c>
      <c r="L1296" s="4">
        <f>Table4[[#This Row],[quantity]]*Table4[[#This Row],[unit_price]]</f>
        <v>27.42</v>
      </c>
      <c r="M1296">
        <f>COUNTIFS($C$2:$C$3934,Table4[[#This Row],[customer_id]])</f>
        <v>5</v>
      </c>
      <c r="N1296" t="str">
        <f>IF(Table4[[#This Row],[customer_order_count]]=1,"New Customer","Repeat Customer")</f>
        <v>Repeat Customer</v>
      </c>
    </row>
    <row r="1297" spans="1:14">
      <c r="A1297" t="s">
        <v>4359</v>
      </c>
      <c r="B1297" s="1">
        <v>45073</v>
      </c>
      <c r="C1297" t="s">
        <v>387</v>
      </c>
      <c r="D1297" t="s">
        <v>388</v>
      </c>
      <c r="E1297" t="s">
        <v>21</v>
      </c>
      <c r="F1297" t="s">
        <v>56</v>
      </c>
      <c r="G1297" t="s">
        <v>118</v>
      </c>
      <c r="H1297">
        <v>4</v>
      </c>
      <c r="I1297" s="3">
        <v>27.44</v>
      </c>
      <c r="J1297" t="s">
        <v>16</v>
      </c>
      <c r="K1297" t="s">
        <v>30</v>
      </c>
      <c r="L1297" s="4">
        <f>Table4[[#This Row],[quantity]]*Table4[[#This Row],[unit_price]]</f>
        <v>109.76</v>
      </c>
      <c r="M1297">
        <f>COUNTIFS($C$2:$C$3934,Table4[[#This Row],[customer_id]])</f>
        <v>4</v>
      </c>
      <c r="N1297" t="str">
        <f>IF(Table4[[#This Row],[customer_order_count]]=1,"New Customer","Repeat Customer")</f>
        <v>Repeat Customer</v>
      </c>
    </row>
    <row r="1298" spans="1:14">
      <c r="A1298" t="s">
        <v>3261</v>
      </c>
      <c r="B1298" s="1">
        <v>45155</v>
      </c>
      <c r="C1298" t="s">
        <v>3262</v>
      </c>
      <c r="D1298" t="s">
        <v>1938</v>
      </c>
      <c r="E1298" t="s">
        <v>21</v>
      </c>
      <c r="F1298" t="s">
        <v>22</v>
      </c>
      <c r="G1298" t="s">
        <v>264</v>
      </c>
      <c r="H1298">
        <v>1</v>
      </c>
      <c r="I1298" s="3">
        <v>27.46</v>
      </c>
      <c r="J1298" t="s">
        <v>85</v>
      </c>
      <c r="K1298" t="s">
        <v>40</v>
      </c>
      <c r="L1298" s="4">
        <f>Table4[[#This Row],[quantity]]*Table4[[#This Row],[unit_price]]</f>
        <v>27.46</v>
      </c>
      <c r="M1298">
        <f>COUNTIFS($C$2:$C$3934,Table4[[#This Row],[customer_id]])</f>
        <v>7</v>
      </c>
      <c r="N1298" t="str">
        <f>IF(Table4[[#This Row],[customer_order_count]]=1,"New Customer","Repeat Customer")</f>
        <v>Repeat Customer</v>
      </c>
    </row>
    <row r="1299" spans="1:14">
      <c r="A1299" t="s">
        <v>3916</v>
      </c>
      <c r="B1299" s="1">
        <v>45116</v>
      </c>
      <c r="C1299" t="s">
        <v>1093</v>
      </c>
      <c r="D1299" t="s">
        <v>324</v>
      </c>
      <c r="E1299" t="s">
        <v>44</v>
      </c>
      <c r="F1299" t="s">
        <v>56</v>
      </c>
      <c r="G1299" t="s">
        <v>75</v>
      </c>
      <c r="H1299">
        <v>1</v>
      </c>
      <c r="I1299" s="3">
        <v>27.47</v>
      </c>
      <c r="J1299" t="s">
        <v>16</v>
      </c>
      <c r="K1299" t="s">
        <v>30</v>
      </c>
      <c r="L1299" s="4">
        <f>Table4[[#This Row],[quantity]]*Table4[[#This Row],[unit_price]]</f>
        <v>27.47</v>
      </c>
      <c r="M1299">
        <f>COUNTIFS($C$2:$C$3934,Table4[[#This Row],[customer_id]])</f>
        <v>2</v>
      </c>
      <c r="N1299" t="str">
        <f>IF(Table4[[#This Row],[customer_order_count]]=1,"New Customer","Repeat Customer")</f>
        <v>Repeat Customer</v>
      </c>
    </row>
    <row r="1300" spans="1:14">
      <c r="A1300" t="s">
        <v>3185</v>
      </c>
      <c r="B1300" s="1">
        <v>45537</v>
      </c>
      <c r="C1300" t="s">
        <v>3186</v>
      </c>
      <c r="D1300" t="s">
        <v>296</v>
      </c>
      <c r="E1300" t="s">
        <v>61</v>
      </c>
      <c r="F1300" t="s">
        <v>66</v>
      </c>
      <c r="G1300" t="s">
        <v>67</v>
      </c>
      <c r="H1300">
        <v>1</v>
      </c>
      <c r="I1300" s="3">
        <v>27.47</v>
      </c>
      <c r="J1300" t="s">
        <v>16</v>
      </c>
      <c r="K1300" t="s">
        <v>17</v>
      </c>
      <c r="L1300" s="4">
        <f>Table4[[#This Row],[quantity]]*Table4[[#This Row],[unit_price]]</f>
        <v>27.47</v>
      </c>
      <c r="M1300">
        <f>COUNTIFS($C$2:$C$3934,Table4[[#This Row],[customer_id]])</f>
        <v>1</v>
      </c>
      <c r="N1300" t="str">
        <f>IF(Table4[[#This Row],[customer_order_count]]=1,"New Customer","Repeat Customer")</f>
        <v>New Customer</v>
      </c>
    </row>
    <row r="1301" spans="1:14">
      <c r="A1301" t="s">
        <v>5180</v>
      </c>
      <c r="B1301" s="1">
        <v>45542</v>
      </c>
      <c r="C1301" t="s">
        <v>260</v>
      </c>
      <c r="D1301" t="s">
        <v>261</v>
      </c>
      <c r="E1301" t="s">
        <v>44</v>
      </c>
      <c r="F1301" t="s">
        <v>22</v>
      </c>
      <c r="G1301" t="s">
        <v>142</v>
      </c>
      <c r="H1301">
        <v>2</v>
      </c>
      <c r="I1301" s="3">
        <v>27.47</v>
      </c>
      <c r="J1301" t="s">
        <v>16</v>
      </c>
      <c r="K1301" t="s">
        <v>40</v>
      </c>
      <c r="L1301" s="4">
        <f>Table4[[#This Row],[quantity]]*Table4[[#This Row],[unit_price]]</f>
        <v>54.94</v>
      </c>
      <c r="M1301">
        <f>COUNTIFS($C$2:$C$3934,Table4[[#This Row],[customer_id]])</f>
        <v>7</v>
      </c>
      <c r="N1301" t="str">
        <f>IF(Table4[[#This Row],[customer_order_count]]=1,"New Customer","Repeat Customer")</f>
        <v>Repeat Customer</v>
      </c>
    </row>
    <row r="1302" spans="1:14">
      <c r="A1302" t="s">
        <v>3072</v>
      </c>
      <c r="B1302" s="1">
        <v>45269</v>
      </c>
      <c r="C1302" t="s">
        <v>591</v>
      </c>
      <c r="D1302" t="s">
        <v>592</v>
      </c>
      <c r="E1302" t="s">
        <v>21</v>
      </c>
      <c r="F1302" t="s">
        <v>56</v>
      </c>
      <c r="G1302" t="s">
        <v>118</v>
      </c>
      <c r="H1302">
        <v>5</v>
      </c>
      <c r="I1302" s="3">
        <v>27.47</v>
      </c>
      <c r="J1302" t="s">
        <v>24</v>
      </c>
      <c r="K1302" t="s">
        <v>30</v>
      </c>
      <c r="L1302" s="4">
        <f>Table4[[#This Row],[quantity]]*Table4[[#This Row],[unit_price]]</f>
        <v>137.35</v>
      </c>
      <c r="M1302">
        <f>COUNTIFS($C$2:$C$3934,Table4[[#This Row],[customer_id]])</f>
        <v>6</v>
      </c>
      <c r="N1302" t="str">
        <f>IF(Table4[[#This Row],[customer_order_count]]=1,"New Customer","Repeat Customer")</f>
        <v>Repeat Customer</v>
      </c>
    </row>
    <row r="1303" spans="1:14">
      <c r="A1303" t="s">
        <v>4009</v>
      </c>
      <c r="B1303" s="1">
        <v>45341</v>
      </c>
      <c r="C1303" t="s">
        <v>807</v>
      </c>
      <c r="D1303" t="s">
        <v>808</v>
      </c>
      <c r="E1303" t="s">
        <v>21</v>
      </c>
      <c r="F1303" t="s">
        <v>79</v>
      </c>
      <c r="G1303" t="s">
        <v>200</v>
      </c>
      <c r="H1303">
        <v>1</v>
      </c>
      <c r="I1303" s="3">
        <v>27.5</v>
      </c>
      <c r="J1303" t="s">
        <v>85</v>
      </c>
      <c r="K1303" t="s">
        <v>40</v>
      </c>
      <c r="L1303" s="4">
        <f>Table4[[#This Row],[quantity]]*Table4[[#This Row],[unit_price]]</f>
        <v>27.5</v>
      </c>
      <c r="M1303">
        <f>COUNTIFS($C$2:$C$3934,Table4[[#This Row],[customer_id]])</f>
        <v>6</v>
      </c>
      <c r="N1303" t="str">
        <f>IF(Table4[[#This Row],[customer_order_count]]=1,"New Customer","Repeat Customer")</f>
        <v>Repeat Customer</v>
      </c>
    </row>
    <row r="1304" spans="1:14">
      <c r="A1304" t="s">
        <v>1320</v>
      </c>
      <c r="B1304" s="1">
        <v>45571</v>
      </c>
      <c r="C1304" t="s">
        <v>883</v>
      </c>
      <c r="D1304" t="s">
        <v>181</v>
      </c>
      <c r="E1304" t="s">
        <v>21</v>
      </c>
      <c r="F1304" t="s">
        <v>66</v>
      </c>
      <c r="G1304" t="s">
        <v>49</v>
      </c>
      <c r="H1304">
        <v>1</v>
      </c>
      <c r="I1304" s="3">
        <v>27.51</v>
      </c>
      <c r="J1304" t="s">
        <v>16</v>
      </c>
      <c r="K1304" t="s">
        <v>17</v>
      </c>
      <c r="L1304" s="4">
        <f>Table4[[#This Row],[quantity]]*Table4[[#This Row],[unit_price]]</f>
        <v>27.51</v>
      </c>
      <c r="M1304">
        <f>COUNTIFS($C$2:$C$3934,Table4[[#This Row],[customer_id]])</f>
        <v>11</v>
      </c>
      <c r="N1304" t="str">
        <f>IF(Table4[[#This Row],[customer_order_count]]=1,"New Customer","Repeat Customer")</f>
        <v>Repeat Customer</v>
      </c>
    </row>
    <row r="1305" spans="1:14">
      <c r="A1305" t="s">
        <v>322</v>
      </c>
      <c r="B1305" s="1">
        <v>45169</v>
      </c>
      <c r="C1305" t="s">
        <v>323</v>
      </c>
      <c r="D1305" t="s">
        <v>324</v>
      </c>
      <c r="E1305" t="s">
        <v>44</v>
      </c>
      <c r="F1305" t="s">
        <v>22</v>
      </c>
      <c r="G1305" t="s">
        <v>142</v>
      </c>
      <c r="H1305">
        <v>1</v>
      </c>
      <c r="I1305" s="3">
        <v>27.52</v>
      </c>
      <c r="J1305" t="s">
        <v>85</v>
      </c>
      <c r="K1305" t="s">
        <v>30</v>
      </c>
      <c r="L1305" s="4">
        <f>Table4[[#This Row],[quantity]]*Table4[[#This Row],[unit_price]]</f>
        <v>27.52</v>
      </c>
      <c r="M1305">
        <f>COUNTIFS($C$2:$C$3934,Table4[[#This Row],[customer_id]])</f>
        <v>6</v>
      </c>
      <c r="N1305" t="str">
        <f>IF(Table4[[#This Row],[customer_order_count]]=1,"New Customer","Repeat Customer")</f>
        <v>Repeat Customer</v>
      </c>
    </row>
    <row r="1306" spans="1:14">
      <c r="A1306" t="s">
        <v>3778</v>
      </c>
      <c r="B1306" s="1">
        <v>45146</v>
      </c>
      <c r="C1306" t="s">
        <v>1278</v>
      </c>
      <c r="D1306" t="s">
        <v>27</v>
      </c>
      <c r="E1306" t="s">
        <v>21</v>
      </c>
      <c r="F1306" t="s">
        <v>70</v>
      </c>
      <c r="G1306" t="s">
        <v>526</v>
      </c>
      <c r="H1306">
        <v>2</v>
      </c>
      <c r="I1306" s="3">
        <v>27.53</v>
      </c>
      <c r="J1306" t="s">
        <v>24</v>
      </c>
      <c r="K1306" t="s">
        <v>30</v>
      </c>
      <c r="L1306" s="4">
        <f>Table4[[#This Row],[quantity]]*Table4[[#This Row],[unit_price]]</f>
        <v>55.06</v>
      </c>
      <c r="M1306">
        <f>COUNTIFS($C$2:$C$3934,Table4[[#This Row],[customer_id]])</f>
        <v>4</v>
      </c>
      <c r="N1306" t="str">
        <f>IF(Table4[[#This Row],[customer_order_count]]=1,"New Customer","Repeat Customer")</f>
        <v>Repeat Customer</v>
      </c>
    </row>
    <row r="1307" spans="1:14">
      <c r="A1307" t="s">
        <v>3679</v>
      </c>
      <c r="B1307" s="1">
        <v>45145</v>
      </c>
      <c r="C1307" t="s">
        <v>1788</v>
      </c>
      <c r="D1307" t="s">
        <v>121</v>
      </c>
      <c r="E1307" t="s">
        <v>21</v>
      </c>
      <c r="F1307" t="s">
        <v>22</v>
      </c>
      <c r="G1307" t="s">
        <v>142</v>
      </c>
      <c r="H1307">
        <v>3</v>
      </c>
      <c r="I1307" s="3">
        <v>27.53</v>
      </c>
      <c r="J1307" t="s">
        <v>16</v>
      </c>
      <c r="K1307" t="s">
        <v>17</v>
      </c>
      <c r="L1307" s="4">
        <f>Table4[[#This Row],[quantity]]*Table4[[#This Row],[unit_price]]</f>
        <v>82.59</v>
      </c>
      <c r="M1307">
        <f>COUNTIFS($C$2:$C$3934,Table4[[#This Row],[customer_id]])</f>
        <v>7</v>
      </c>
      <c r="N1307" t="str">
        <f>IF(Table4[[#This Row],[customer_order_count]]=1,"New Customer","Repeat Customer")</f>
        <v>Repeat Customer</v>
      </c>
    </row>
    <row r="1308" spans="1:14">
      <c r="A1308" t="s">
        <v>5177</v>
      </c>
      <c r="B1308" s="1">
        <v>45090</v>
      </c>
      <c r="C1308" t="s">
        <v>51</v>
      </c>
      <c r="D1308" t="s">
        <v>52</v>
      </c>
      <c r="E1308" t="s">
        <v>21</v>
      </c>
      <c r="F1308" t="s">
        <v>28</v>
      </c>
      <c r="G1308" t="s">
        <v>114</v>
      </c>
      <c r="H1308">
        <v>1</v>
      </c>
      <c r="I1308" s="3">
        <v>27.54</v>
      </c>
      <c r="J1308" t="s">
        <v>16</v>
      </c>
      <c r="K1308" t="s">
        <v>40</v>
      </c>
      <c r="L1308" s="4">
        <f>Table4[[#This Row],[quantity]]*Table4[[#This Row],[unit_price]]</f>
        <v>27.54</v>
      </c>
      <c r="M1308">
        <f>COUNTIFS($C$2:$C$3934,Table4[[#This Row],[customer_id]])</f>
        <v>9</v>
      </c>
      <c r="N1308" t="str">
        <f>IF(Table4[[#This Row],[customer_order_count]]=1,"New Customer","Repeat Customer")</f>
        <v>Repeat Customer</v>
      </c>
    </row>
    <row r="1309" spans="1:14">
      <c r="A1309" t="s">
        <v>1497</v>
      </c>
      <c r="B1309" s="1">
        <v>45640</v>
      </c>
      <c r="C1309" t="s">
        <v>1294</v>
      </c>
      <c r="D1309" t="s">
        <v>1241</v>
      </c>
      <c r="E1309" t="s">
        <v>21</v>
      </c>
      <c r="F1309" t="s">
        <v>28</v>
      </c>
      <c r="G1309" t="s">
        <v>114</v>
      </c>
      <c r="H1309">
        <v>1</v>
      </c>
      <c r="I1309" s="3">
        <v>27.54</v>
      </c>
      <c r="J1309" t="s">
        <v>85</v>
      </c>
      <c r="K1309" t="s">
        <v>30</v>
      </c>
      <c r="L1309" s="4">
        <f>Table4[[#This Row],[quantity]]*Table4[[#This Row],[unit_price]]</f>
        <v>27.54</v>
      </c>
      <c r="M1309">
        <f>COUNTIFS($C$2:$C$3934,Table4[[#This Row],[customer_id]])</f>
        <v>6</v>
      </c>
      <c r="N1309" t="str">
        <f>IF(Table4[[#This Row],[customer_order_count]]=1,"New Customer","Repeat Customer")</f>
        <v>Repeat Customer</v>
      </c>
    </row>
    <row r="1310" spans="1:14">
      <c r="A1310" t="s">
        <v>3486</v>
      </c>
      <c r="B1310" s="1">
        <v>45510</v>
      </c>
      <c r="C1310" t="s">
        <v>312</v>
      </c>
      <c r="D1310" t="s">
        <v>313</v>
      </c>
      <c r="E1310" t="s">
        <v>21</v>
      </c>
      <c r="F1310" t="s">
        <v>14</v>
      </c>
      <c r="G1310" t="s">
        <v>100</v>
      </c>
      <c r="H1310">
        <v>2</v>
      </c>
      <c r="I1310" s="3">
        <v>27.54</v>
      </c>
      <c r="J1310" t="s">
        <v>16</v>
      </c>
      <c r="K1310" t="s">
        <v>17</v>
      </c>
      <c r="L1310" s="4">
        <f>Table4[[#This Row],[quantity]]*Table4[[#This Row],[unit_price]]</f>
        <v>55.08</v>
      </c>
      <c r="M1310">
        <f>COUNTIFS($C$2:$C$3934,Table4[[#This Row],[customer_id]])</f>
        <v>7</v>
      </c>
      <c r="N1310" t="str">
        <f>IF(Table4[[#This Row],[customer_order_count]]=1,"New Customer","Repeat Customer")</f>
        <v>Repeat Customer</v>
      </c>
    </row>
    <row r="1311" spans="1:14">
      <c r="A1311" t="s">
        <v>3509</v>
      </c>
      <c r="B1311" s="1">
        <v>45225</v>
      </c>
      <c r="C1311" t="s">
        <v>1188</v>
      </c>
      <c r="D1311" t="s">
        <v>1189</v>
      </c>
      <c r="E1311" t="s">
        <v>21</v>
      </c>
      <c r="F1311" t="s">
        <v>70</v>
      </c>
      <c r="G1311" t="s">
        <v>146</v>
      </c>
      <c r="H1311">
        <v>2</v>
      </c>
      <c r="I1311" s="3">
        <v>27.54</v>
      </c>
      <c r="J1311" t="s">
        <v>16</v>
      </c>
      <c r="K1311" t="s">
        <v>30</v>
      </c>
      <c r="L1311" s="4">
        <f>Table4[[#This Row],[quantity]]*Table4[[#This Row],[unit_price]]</f>
        <v>55.08</v>
      </c>
      <c r="M1311">
        <f>COUNTIFS($C$2:$C$3934,Table4[[#This Row],[customer_id]])</f>
        <v>7</v>
      </c>
      <c r="N1311" t="str">
        <f>IF(Table4[[#This Row],[customer_order_count]]=1,"New Customer","Repeat Customer")</f>
        <v>Repeat Customer</v>
      </c>
    </row>
    <row r="1312" spans="1:14">
      <c r="A1312" t="s">
        <v>2451</v>
      </c>
      <c r="B1312" s="1">
        <v>45505</v>
      </c>
      <c r="C1312" t="s">
        <v>1571</v>
      </c>
      <c r="D1312" t="s">
        <v>275</v>
      </c>
      <c r="E1312" t="s">
        <v>44</v>
      </c>
      <c r="F1312" t="s">
        <v>66</v>
      </c>
      <c r="G1312" t="s">
        <v>238</v>
      </c>
      <c r="H1312">
        <v>1</v>
      </c>
      <c r="I1312" s="3">
        <v>27.56</v>
      </c>
      <c r="J1312" t="s">
        <v>16</v>
      </c>
      <c r="K1312" t="s">
        <v>17</v>
      </c>
      <c r="L1312" s="4">
        <f>Table4[[#This Row],[quantity]]*Table4[[#This Row],[unit_price]]</f>
        <v>27.56</v>
      </c>
      <c r="M1312">
        <f>COUNTIFS($C$2:$C$3934,Table4[[#This Row],[customer_id]])</f>
        <v>3</v>
      </c>
      <c r="N1312" t="str">
        <f>IF(Table4[[#This Row],[customer_order_count]]=1,"New Customer","Repeat Customer")</f>
        <v>Repeat Customer</v>
      </c>
    </row>
    <row r="1313" spans="1:14">
      <c r="A1313" t="s">
        <v>447</v>
      </c>
      <c r="B1313" s="1">
        <v>45594</v>
      </c>
      <c r="C1313" t="s">
        <v>448</v>
      </c>
      <c r="D1313" t="s">
        <v>449</v>
      </c>
      <c r="E1313" t="s">
        <v>44</v>
      </c>
      <c r="F1313" t="s">
        <v>66</v>
      </c>
      <c r="G1313" t="s">
        <v>67</v>
      </c>
      <c r="H1313">
        <v>1</v>
      </c>
      <c r="I1313" s="3">
        <v>27.57</v>
      </c>
      <c r="J1313" t="s">
        <v>16</v>
      </c>
      <c r="K1313" t="s">
        <v>30</v>
      </c>
      <c r="L1313" s="4">
        <f>Table4[[#This Row],[quantity]]*Table4[[#This Row],[unit_price]]</f>
        <v>27.57</v>
      </c>
      <c r="M1313">
        <f>COUNTIFS($C$2:$C$3934,Table4[[#This Row],[customer_id]])</f>
        <v>6</v>
      </c>
      <c r="N1313" t="str">
        <f>IF(Table4[[#This Row],[customer_order_count]]=1,"New Customer","Repeat Customer")</f>
        <v>Repeat Customer</v>
      </c>
    </row>
    <row r="1314" spans="1:14">
      <c r="A1314" t="s">
        <v>2783</v>
      </c>
      <c r="B1314" s="1">
        <v>45045</v>
      </c>
      <c r="C1314" t="s">
        <v>1928</v>
      </c>
      <c r="D1314" t="s">
        <v>1444</v>
      </c>
      <c r="E1314" t="s">
        <v>21</v>
      </c>
      <c r="F1314" t="s">
        <v>66</v>
      </c>
      <c r="G1314" t="s">
        <v>217</v>
      </c>
      <c r="H1314">
        <v>2</v>
      </c>
      <c r="I1314" s="3">
        <v>27.57</v>
      </c>
      <c r="J1314" t="s">
        <v>16</v>
      </c>
      <c r="K1314" t="s">
        <v>40</v>
      </c>
      <c r="L1314" s="4">
        <f>Table4[[#This Row],[quantity]]*Table4[[#This Row],[unit_price]]</f>
        <v>55.14</v>
      </c>
      <c r="M1314">
        <f>COUNTIFS($C$2:$C$3934,Table4[[#This Row],[customer_id]])</f>
        <v>7</v>
      </c>
      <c r="N1314" t="str">
        <f>IF(Table4[[#This Row],[customer_order_count]]=1,"New Customer","Repeat Customer")</f>
        <v>Repeat Customer</v>
      </c>
    </row>
    <row r="1315" spans="1:14">
      <c r="A1315" t="s">
        <v>4844</v>
      </c>
      <c r="B1315" s="1">
        <v>45238</v>
      </c>
      <c r="C1315" t="s">
        <v>448</v>
      </c>
      <c r="D1315" t="s">
        <v>449</v>
      </c>
      <c r="E1315" t="s">
        <v>44</v>
      </c>
      <c r="F1315" t="s">
        <v>66</v>
      </c>
      <c r="G1315" t="s">
        <v>67</v>
      </c>
      <c r="H1315">
        <v>1</v>
      </c>
      <c r="I1315" s="3">
        <v>27.58</v>
      </c>
      <c r="J1315" t="s">
        <v>16</v>
      </c>
      <c r="K1315" t="s">
        <v>17</v>
      </c>
      <c r="L1315" s="4">
        <f>Table4[[#This Row],[quantity]]*Table4[[#This Row],[unit_price]]</f>
        <v>27.58</v>
      </c>
      <c r="M1315">
        <f>COUNTIFS($C$2:$C$3934,Table4[[#This Row],[customer_id]])</f>
        <v>6</v>
      </c>
      <c r="N1315" t="str">
        <f>IF(Table4[[#This Row],[customer_order_count]]=1,"New Customer","Repeat Customer")</f>
        <v>Repeat Customer</v>
      </c>
    </row>
    <row r="1316" spans="1:14">
      <c r="A1316" t="s">
        <v>1462</v>
      </c>
      <c r="B1316" s="1">
        <v>45008</v>
      </c>
      <c r="C1316" t="s">
        <v>1463</v>
      </c>
      <c r="D1316" t="s">
        <v>1464</v>
      </c>
      <c r="E1316" t="s">
        <v>61</v>
      </c>
      <c r="F1316" t="s">
        <v>28</v>
      </c>
      <c r="G1316" t="s">
        <v>114</v>
      </c>
      <c r="H1316">
        <v>1</v>
      </c>
      <c r="I1316" s="3">
        <v>27.58</v>
      </c>
      <c r="J1316" t="s">
        <v>16</v>
      </c>
      <c r="K1316" t="s">
        <v>40</v>
      </c>
      <c r="L1316" s="4">
        <f>Table4[[#This Row],[quantity]]*Table4[[#This Row],[unit_price]]</f>
        <v>27.58</v>
      </c>
      <c r="M1316">
        <f>COUNTIFS($C$2:$C$3934,Table4[[#This Row],[customer_id]])</f>
        <v>1</v>
      </c>
      <c r="N1316" t="str">
        <f>IF(Table4[[#This Row],[customer_order_count]]=1,"New Customer","Repeat Customer")</f>
        <v>New Customer</v>
      </c>
    </row>
    <row r="1317" spans="1:14">
      <c r="A1317" t="s">
        <v>1901</v>
      </c>
      <c r="B1317" s="1">
        <v>45164</v>
      </c>
      <c r="C1317" t="s">
        <v>249</v>
      </c>
      <c r="D1317" t="s">
        <v>250</v>
      </c>
      <c r="E1317" t="s">
        <v>21</v>
      </c>
      <c r="F1317" t="s">
        <v>70</v>
      </c>
      <c r="G1317" t="s">
        <v>71</v>
      </c>
      <c r="H1317">
        <v>1</v>
      </c>
      <c r="I1317" s="3">
        <v>27.59</v>
      </c>
      <c r="J1317" t="s">
        <v>16</v>
      </c>
      <c r="K1317" t="s">
        <v>35</v>
      </c>
      <c r="L1317" s="4">
        <f>Table4[[#This Row],[quantity]]*Table4[[#This Row],[unit_price]]</f>
        <v>27.59</v>
      </c>
      <c r="M1317">
        <f>COUNTIFS($C$2:$C$3934,Table4[[#This Row],[customer_id]])</f>
        <v>12</v>
      </c>
      <c r="N1317" t="str">
        <f>IF(Table4[[#This Row],[customer_order_count]]=1,"New Customer","Repeat Customer")</f>
        <v>Repeat Customer</v>
      </c>
    </row>
    <row r="1318" spans="1:14">
      <c r="A1318" t="s">
        <v>2518</v>
      </c>
      <c r="B1318" s="1">
        <v>45520</v>
      </c>
      <c r="C1318" t="s">
        <v>604</v>
      </c>
      <c r="D1318" t="s">
        <v>38</v>
      </c>
      <c r="E1318" t="s">
        <v>21</v>
      </c>
      <c r="F1318" t="s">
        <v>79</v>
      </c>
      <c r="G1318" t="s">
        <v>96</v>
      </c>
      <c r="H1318">
        <v>1</v>
      </c>
      <c r="I1318" s="3">
        <v>27.59</v>
      </c>
      <c r="J1318" t="s">
        <v>16</v>
      </c>
      <c r="K1318" t="s">
        <v>40</v>
      </c>
      <c r="L1318" s="4">
        <f>Table4[[#This Row],[quantity]]*Table4[[#This Row],[unit_price]]</f>
        <v>27.59</v>
      </c>
      <c r="M1318">
        <f>COUNTIFS($C$2:$C$3934,Table4[[#This Row],[customer_id]])</f>
        <v>7</v>
      </c>
      <c r="N1318" t="str">
        <f>IF(Table4[[#This Row],[customer_order_count]]=1,"New Customer","Repeat Customer")</f>
        <v>Repeat Customer</v>
      </c>
    </row>
    <row r="1319" spans="1:14">
      <c r="A1319" t="s">
        <v>2450</v>
      </c>
      <c r="B1319" s="1">
        <v>45301</v>
      </c>
      <c r="C1319" t="s">
        <v>175</v>
      </c>
      <c r="D1319" t="s">
        <v>105</v>
      </c>
      <c r="E1319" t="s">
        <v>44</v>
      </c>
      <c r="F1319" t="s">
        <v>14</v>
      </c>
      <c r="G1319" t="s">
        <v>62</v>
      </c>
      <c r="H1319">
        <v>1</v>
      </c>
      <c r="I1319" s="3">
        <v>27.62</v>
      </c>
      <c r="J1319" t="s">
        <v>16</v>
      </c>
      <c r="K1319" t="s">
        <v>35</v>
      </c>
      <c r="L1319" s="4">
        <f>Table4[[#This Row],[quantity]]*Table4[[#This Row],[unit_price]]</f>
        <v>27.62</v>
      </c>
      <c r="M1319">
        <f>COUNTIFS($C$2:$C$3934,Table4[[#This Row],[customer_id]])</f>
        <v>4</v>
      </c>
      <c r="N1319" t="str">
        <f>IF(Table4[[#This Row],[customer_order_count]]=1,"New Customer","Repeat Customer")</f>
        <v>Repeat Customer</v>
      </c>
    </row>
    <row r="1320" spans="1:14">
      <c r="A1320" t="s">
        <v>2068</v>
      </c>
      <c r="B1320" s="1">
        <v>45319</v>
      </c>
      <c r="C1320" t="s">
        <v>2069</v>
      </c>
      <c r="D1320" s="2" t="s">
        <v>5257</v>
      </c>
      <c r="E1320" t="s">
        <v>44</v>
      </c>
      <c r="F1320" t="s">
        <v>28</v>
      </c>
      <c r="G1320" t="s">
        <v>114</v>
      </c>
      <c r="H1320">
        <v>1</v>
      </c>
      <c r="I1320" s="3">
        <v>27.67</v>
      </c>
      <c r="J1320" t="s">
        <v>16</v>
      </c>
      <c r="K1320" t="s">
        <v>30</v>
      </c>
      <c r="L1320" s="4">
        <f>Table4[[#This Row],[quantity]]*Table4[[#This Row],[unit_price]]</f>
        <v>27.67</v>
      </c>
      <c r="M1320">
        <f>COUNTIFS($C$2:$C$3934,Table4[[#This Row],[customer_id]])</f>
        <v>4</v>
      </c>
      <c r="N1320" t="str">
        <f>IF(Table4[[#This Row],[customer_order_count]]=1,"New Customer","Repeat Customer")</f>
        <v>Repeat Customer</v>
      </c>
    </row>
    <row r="1321" spans="1:14">
      <c r="A1321" t="s">
        <v>3214</v>
      </c>
      <c r="B1321" s="1">
        <v>45610</v>
      </c>
      <c r="C1321" t="s">
        <v>1136</v>
      </c>
      <c r="D1321" s="5" t="s">
        <v>525</v>
      </c>
      <c r="E1321" t="s">
        <v>44</v>
      </c>
      <c r="F1321" t="s">
        <v>66</v>
      </c>
      <c r="G1321" t="s">
        <v>67</v>
      </c>
      <c r="H1321">
        <v>1</v>
      </c>
      <c r="I1321" s="3">
        <v>27.68</v>
      </c>
      <c r="J1321" t="s">
        <v>16</v>
      </c>
      <c r="K1321" t="s">
        <v>30</v>
      </c>
      <c r="L1321" s="4">
        <f>Table4[[#This Row],[quantity]]*Table4[[#This Row],[unit_price]]</f>
        <v>27.68</v>
      </c>
      <c r="M1321">
        <f>COUNTIFS($C$2:$C$3934,Table4[[#This Row],[customer_id]])</f>
        <v>8</v>
      </c>
      <c r="N1321" t="str">
        <f>IF(Table4[[#This Row],[customer_order_count]]=1,"New Customer","Repeat Customer")</f>
        <v>Repeat Customer</v>
      </c>
    </row>
    <row r="1322" spans="1:14">
      <c r="A1322" t="s">
        <v>2791</v>
      </c>
      <c r="B1322" s="1">
        <v>45023</v>
      </c>
      <c r="C1322" t="s">
        <v>1163</v>
      </c>
      <c r="D1322" t="s">
        <v>1164</v>
      </c>
      <c r="E1322" t="s">
        <v>21</v>
      </c>
      <c r="F1322" t="s">
        <v>22</v>
      </c>
      <c r="G1322" t="s">
        <v>23</v>
      </c>
      <c r="H1322">
        <v>1</v>
      </c>
      <c r="I1322" s="3">
        <v>27.69</v>
      </c>
      <c r="J1322" t="s">
        <v>16</v>
      </c>
      <c r="K1322" t="s">
        <v>35</v>
      </c>
      <c r="L1322" s="4">
        <f>Table4[[#This Row],[quantity]]*Table4[[#This Row],[unit_price]]</f>
        <v>27.69</v>
      </c>
      <c r="M1322">
        <f>COUNTIFS($C$2:$C$3934,Table4[[#This Row],[customer_id]])</f>
        <v>6</v>
      </c>
      <c r="N1322" t="str">
        <f>IF(Table4[[#This Row],[customer_order_count]]=1,"New Customer","Repeat Customer")</f>
        <v>Repeat Customer</v>
      </c>
    </row>
    <row r="1323" spans="1:14">
      <c r="A1323" t="s">
        <v>4532</v>
      </c>
      <c r="B1323" s="1">
        <v>45280</v>
      </c>
      <c r="C1323" t="s">
        <v>309</v>
      </c>
      <c r="D1323" t="s">
        <v>310</v>
      </c>
      <c r="E1323" t="s">
        <v>44</v>
      </c>
      <c r="F1323" t="s">
        <v>28</v>
      </c>
      <c r="G1323" t="s">
        <v>114</v>
      </c>
      <c r="H1323">
        <v>2</v>
      </c>
      <c r="I1323" s="3">
        <v>27.71</v>
      </c>
      <c r="J1323" t="s">
        <v>16</v>
      </c>
      <c r="K1323" t="s">
        <v>40</v>
      </c>
      <c r="L1323" s="4">
        <f>Table4[[#This Row],[quantity]]*Table4[[#This Row],[unit_price]]</f>
        <v>55.42</v>
      </c>
      <c r="M1323">
        <f>COUNTIFS($C$2:$C$3934,Table4[[#This Row],[customer_id]])</f>
        <v>8</v>
      </c>
      <c r="N1323" t="str">
        <f>IF(Table4[[#This Row],[customer_order_count]]=1,"New Customer","Repeat Customer")</f>
        <v>Repeat Customer</v>
      </c>
    </row>
    <row r="1324" spans="1:14">
      <c r="A1324" t="s">
        <v>4925</v>
      </c>
      <c r="B1324" s="1">
        <v>45180</v>
      </c>
      <c r="C1324" t="s">
        <v>2347</v>
      </c>
      <c r="D1324" t="s">
        <v>1036</v>
      </c>
      <c r="E1324" t="s">
        <v>21</v>
      </c>
      <c r="F1324" t="s">
        <v>28</v>
      </c>
      <c r="G1324" t="s">
        <v>29</v>
      </c>
      <c r="H1324">
        <v>1</v>
      </c>
      <c r="I1324" s="3">
        <v>27.72</v>
      </c>
      <c r="J1324" t="s">
        <v>16</v>
      </c>
      <c r="K1324" t="s">
        <v>35</v>
      </c>
      <c r="L1324" s="4">
        <f>Table4[[#This Row],[quantity]]*Table4[[#This Row],[unit_price]]</f>
        <v>27.72</v>
      </c>
      <c r="M1324">
        <f>COUNTIFS($C$2:$C$3934,Table4[[#This Row],[customer_id]])</f>
        <v>7</v>
      </c>
      <c r="N1324" t="str">
        <f>IF(Table4[[#This Row],[customer_order_count]]=1,"New Customer","Repeat Customer")</f>
        <v>Repeat Customer</v>
      </c>
    </row>
    <row r="1325" spans="1:14">
      <c r="A1325" t="s">
        <v>530</v>
      </c>
      <c r="B1325" s="1">
        <v>45406</v>
      </c>
      <c r="C1325" t="s">
        <v>531</v>
      </c>
      <c r="D1325" t="s">
        <v>532</v>
      </c>
      <c r="E1325" t="s">
        <v>44</v>
      </c>
      <c r="F1325" t="s">
        <v>14</v>
      </c>
      <c r="G1325" t="s">
        <v>39</v>
      </c>
      <c r="H1325">
        <v>2</v>
      </c>
      <c r="I1325" s="3">
        <v>27.72</v>
      </c>
      <c r="J1325" t="s">
        <v>16</v>
      </c>
      <c r="K1325" t="s">
        <v>40</v>
      </c>
      <c r="L1325" s="4">
        <f>Table4[[#This Row],[quantity]]*Table4[[#This Row],[unit_price]]</f>
        <v>55.44</v>
      </c>
      <c r="M1325">
        <f>COUNTIFS($C$2:$C$3934,Table4[[#This Row],[customer_id]])</f>
        <v>3</v>
      </c>
      <c r="N1325" t="str">
        <f>IF(Table4[[#This Row],[customer_order_count]]=1,"New Customer","Repeat Customer")</f>
        <v>Repeat Customer</v>
      </c>
    </row>
    <row r="1326" spans="1:14">
      <c r="A1326" t="s">
        <v>279</v>
      </c>
      <c r="B1326" s="1">
        <v>45055</v>
      </c>
      <c r="C1326" t="s">
        <v>280</v>
      </c>
      <c r="D1326" t="s">
        <v>281</v>
      </c>
      <c r="E1326" t="s">
        <v>44</v>
      </c>
      <c r="F1326" t="s">
        <v>66</v>
      </c>
      <c r="G1326" t="s">
        <v>238</v>
      </c>
      <c r="H1326">
        <v>1</v>
      </c>
      <c r="I1326" s="3">
        <v>27.73</v>
      </c>
      <c r="J1326" t="s">
        <v>16</v>
      </c>
      <c r="K1326" t="s">
        <v>17</v>
      </c>
      <c r="L1326" s="4">
        <f>Table4[[#This Row],[quantity]]*Table4[[#This Row],[unit_price]]</f>
        <v>27.73</v>
      </c>
      <c r="M1326">
        <f>COUNTIFS($C$2:$C$3934,Table4[[#This Row],[customer_id]])</f>
        <v>6</v>
      </c>
      <c r="N1326" t="str">
        <f>IF(Table4[[#This Row],[customer_order_count]]=1,"New Customer","Repeat Customer")</f>
        <v>Repeat Customer</v>
      </c>
    </row>
    <row r="1327" spans="1:14">
      <c r="A1327" t="s">
        <v>4743</v>
      </c>
      <c r="B1327" s="1">
        <v>45298</v>
      </c>
      <c r="C1327" t="s">
        <v>2465</v>
      </c>
      <c r="D1327" t="s">
        <v>131</v>
      </c>
      <c r="E1327" t="s">
        <v>21</v>
      </c>
      <c r="F1327" t="s">
        <v>22</v>
      </c>
      <c r="G1327" t="s">
        <v>264</v>
      </c>
      <c r="H1327">
        <v>3</v>
      </c>
      <c r="I1327" s="3">
        <v>27.75</v>
      </c>
      <c r="J1327" t="s">
        <v>16</v>
      </c>
      <c r="K1327" t="s">
        <v>17</v>
      </c>
      <c r="L1327" s="4">
        <f>Table4[[#This Row],[quantity]]*Table4[[#This Row],[unit_price]]</f>
        <v>83.25</v>
      </c>
      <c r="M1327">
        <f>COUNTIFS($C$2:$C$3934,Table4[[#This Row],[customer_id]])</f>
        <v>4</v>
      </c>
      <c r="N1327" t="str">
        <f>IF(Table4[[#This Row],[customer_order_count]]=1,"New Customer","Repeat Customer")</f>
        <v>Repeat Customer</v>
      </c>
    </row>
    <row r="1328" spans="1:14">
      <c r="A1328" t="s">
        <v>5015</v>
      </c>
      <c r="B1328" s="1">
        <v>45357</v>
      </c>
      <c r="C1328" t="s">
        <v>638</v>
      </c>
      <c r="D1328" t="s">
        <v>639</v>
      </c>
      <c r="E1328" t="s">
        <v>21</v>
      </c>
      <c r="F1328" t="s">
        <v>66</v>
      </c>
      <c r="G1328" t="s">
        <v>128</v>
      </c>
      <c r="H1328">
        <v>1</v>
      </c>
      <c r="I1328" s="3">
        <v>27.76</v>
      </c>
      <c r="J1328" t="s">
        <v>24</v>
      </c>
      <c r="K1328" t="s">
        <v>17</v>
      </c>
      <c r="L1328" s="4">
        <f>Table4[[#This Row],[quantity]]*Table4[[#This Row],[unit_price]]</f>
        <v>27.76</v>
      </c>
      <c r="M1328">
        <f>COUNTIFS($C$2:$C$3934,Table4[[#This Row],[customer_id]])</f>
        <v>4</v>
      </c>
      <c r="N1328" t="str">
        <f>IF(Table4[[#This Row],[customer_order_count]]=1,"New Customer","Repeat Customer")</f>
        <v>Repeat Customer</v>
      </c>
    </row>
    <row r="1329" spans="1:14">
      <c r="A1329" t="s">
        <v>2403</v>
      </c>
      <c r="B1329" s="1">
        <v>44991</v>
      </c>
      <c r="C1329" t="s">
        <v>1557</v>
      </c>
      <c r="D1329" t="s">
        <v>92</v>
      </c>
      <c r="E1329" t="s">
        <v>21</v>
      </c>
      <c r="F1329" t="s">
        <v>14</v>
      </c>
      <c r="G1329" t="s">
        <v>34</v>
      </c>
      <c r="H1329">
        <v>1</v>
      </c>
      <c r="I1329" s="3">
        <v>27.77</v>
      </c>
      <c r="J1329" t="s">
        <v>255</v>
      </c>
      <c r="K1329" t="s">
        <v>40</v>
      </c>
      <c r="L1329" s="4">
        <f>Table4[[#This Row],[quantity]]*Table4[[#This Row],[unit_price]]</f>
        <v>27.77</v>
      </c>
      <c r="M1329">
        <f>COUNTIFS($C$2:$C$3934,Table4[[#This Row],[customer_id]])</f>
        <v>5</v>
      </c>
      <c r="N1329" t="str">
        <f>IF(Table4[[#This Row],[customer_order_count]]=1,"New Customer","Repeat Customer")</f>
        <v>Repeat Customer</v>
      </c>
    </row>
    <row r="1330" spans="1:14">
      <c r="A1330" t="s">
        <v>682</v>
      </c>
      <c r="B1330" s="1">
        <v>45329</v>
      </c>
      <c r="C1330" t="s">
        <v>683</v>
      </c>
      <c r="D1330" t="s">
        <v>684</v>
      </c>
      <c r="E1330" t="s">
        <v>44</v>
      </c>
      <c r="F1330" t="s">
        <v>79</v>
      </c>
      <c r="G1330" t="s">
        <v>541</v>
      </c>
      <c r="H1330">
        <v>1</v>
      </c>
      <c r="I1330" s="3">
        <v>27.81</v>
      </c>
      <c r="J1330" t="s">
        <v>16</v>
      </c>
      <c r="K1330" t="s">
        <v>30</v>
      </c>
      <c r="L1330" s="4">
        <f>Table4[[#This Row],[quantity]]*Table4[[#This Row],[unit_price]]</f>
        <v>27.81</v>
      </c>
      <c r="M1330">
        <f>COUNTIFS($C$2:$C$3934,Table4[[#This Row],[customer_id]])</f>
        <v>4</v>
      </c>
      <c r="N1330" t="str">
        <f>IF(Table4[[#This Row],[customer_order_count]]=1,"New Customer","Repeat Customer")</f>
        <v>Repeat Customer</v>
      </c>
    </row>
    <row r="1331" spans="1:14">
      <c r="A1331" t="s">
        <v>975</v>
      </c>
      <c r="B1331" s="1">
        <v>44931</v>
      </c>
      <c r="C1331" t="s">
        <v>559</v>
      </c>
      <c r="D1331" t="s">
        <v>560</v>
      </c>
      <c r="E1331" t="s">
        <v>21</v>
      </c>
      <c r="F1331" t="s">
        <v>22</v>
      </c>
      <c r="G1331" t="s">
        <v>142</v>
      </c>
      <c r="H1331">
        <v>1</v>
      </c>
      <c r="I1331" s="3">
        <v>27.83</v>
      </c>
      <c r="J1331" t="s">
        <v>16</v>
      </c>
      <c r="K1331" t="s">
        <v>40</v>
      </c>
      <c r="L1331" s="4">
        <f>Table4[[#This Row],[quantity]]*Table4[[#This Row],[unit_price]]</f>
        <v>27.83</v>
      </c>
      <c r="M1331">
        <f>COUNTIFS($C$2:$C$3934,Table4[[#This Row],[customer_id]])</f>
        <v>6</v>
      </c>
      <c r="N1331" t="str">
        <f>IF(Table4[[#This Row],[customer_order_count]]=1,"New Customer","Repeat Customer")</f>
        <v>Repeat Customer</v>
      </c>
    </row>
    <row r="1332" spans="1:14">
      <c r="A1332" t="s">
        <v>4722</v>
      </c>
      <c r="B1332" s="1">
        <v>44956</v>
      </c>
      <c r="C1332" t="s">
        <v>578</v>
      </c>
      <c r="D1332" t="s">
        <v>579</v>
      </c>
      <c r="E1332" t="s">
        <v>21</v>
      </c>
      <c r="F1332" t="s">
        <v>66</v>
      </c>
      <c r="G1332" t="s">
        <v>128</v>
      </c>
      <c r="H1332">
        <v>4</v>
      </c>
      <c r="I1332" s="3">
        <v>27.83</v>
      </c>
      <c r="J1332" t="s">
        <v>16</v>
      </c>
      <c r="K1332" t="s">
        <v>17</v>
      </c>
      <c r="L1332" s="4">
        <f>Table4[[#This Row],[quantity]]*Table4[[#This Row],[unit_price]]</f>
        <v>111.32</v>
      </c>
      <c r="M1332">
        <f>COUNTIFS($C$2:$C$3934,Table4[[#This Row],[customer_id]])</f>
        <v>10</v>
      </c>
      <c r="N1332" t="str">
        <f>IF(Table4[[#This Row],[customer_order_count]]=1,"New Customer","Repeat Customer")</f>
        <v>Repeat Customer</v>
      </c>
    </row>
    <row r="1333" spans="1:14">
      <c r="A1333" t="s">
        <v>370</v>
      </c>
      <c r="B1333" s="1">
        <v>44967</v>
      </c>
      <c r="C1333" t="s">
        <v>371</v>
      </c>
      <c r="D1333" t="s">
        <v>372</v>
      </c>
      <c r="E1333" t="s">
        <v>21</v>
      </c>
      <c r="F1333" t="s">
        <v>28</v>
      </c>
      <c r="G1333" t="s">
        <v>84</v>
      </c>
      <c r="H1333">
        <v>1</v>
      </c>
      <c r="I1333" s="3">
        <v>27.84</v>
      </c>
      <c r="J1333" t="s">
        <v>16</v>
      </c>
      <c r="K1333" t="s">
        <v>30</v>
      </c>
      <c r="L1333" s="4">
        <f>Table4[[#This Row],[quantity]]*Table4[[#This Row],[unit_price]]</f>
        <v>27.84</v>
      </c>
      <c r="M1333">
        <f>COUNTIFS($C$2:$C$3934,Table4[[#This Row],[customer_id]])</f>
        <v>4</v>
      </c>
      <c r="N1333" t="str">
        <f>IF(Table4[[#This Row],[customer_order_count]]=1,"New Customer","Repeat Customer")</f>
        <v>Repeat Customer</v>
      </c>
    </row>
    <row r="1334" spans="1:14">
      <c r="A1334" t="s">
        <v>2900</v>
      </c>
      <c r="B1334" s="1">
        <v>45418</v>
      </c>
      <c r="C1334" t="s">
        <v>1989</v>
      </c>
      <c r="D1334" t="s">
        <v>340</v>
      </c>
      <c r="E1334" t="s">
        <v>21</v>
      </c>
      <c r="F1334" t="s">
        <v>28</v>
      </c>
      <c r="G1334" t="s">
        <v>114</v>
      </c>
      <c r="H1334">
        <v>3</v>
      </c>
      <c r="I1334" s="3">
        <v>27.86</v>
      </c>
      <c r="J1334" t="s">
        <v>85</v>
      </c>
      <c r="K1334" t="s">
        <v>30</v>
      </c>
      <c r="L1334" s="4">
        <f>Table4[[#This Row],[quantity]]*Table4[[#This Row],[unit_price]]</f>
        <v>83.58</v>
      </c>
      <c r="M1334">
        <f>COUNTIFS($C$2:$C$3934,Table4[[#This Row],[customer_id]])</f>
        <v>8</v>
      </c>
      <c r="N1334" t="str">
        <f>IF(Table4[[#This Row],[customer_order_count]]=1,"New Customer","Repeat Customer")</f>
        <v>Repeat Customer</v>
      </c>
    </row>
    <row r="1335" spans="1:14">
      <c r="A1335" t="s">
        <v>3983</v>
      </c>
      <c r="B1335" s="1">
        <v>45520</v>
      </c>
      <c r="C1335" t="s">
        <v>897</v>
      </c>
      <c r="D1335" t="s">
        <v>831</v>
      </c>
      <c r="E1335" t="s">
        <v>21</v>
      </c>
      <c r="F1335" t="s">
        <v>66</v>
      </c>
      <c r="G1335" t="s">
        <v>217</v>
      </c>
      <c r="H1335">
        <v>4</v>
      </c>
      <c r="I1335" s="3">
        <v>27.88</v>
      </c>
      <c r="J1335" t="s">
        <v>16</v>
      </c>
      <c r="K1335" t="s">
        <v>35</v>
      </c>
      <c r="L1335" s="4">
        <f>Table4[[#This Row],[quantity]]*Table4[[#This Row],[unit_price]]</f>
        <v>111.52</v>
      </c>
      <c r="M1335">
        <f>COUNTIFS($C$2:$C$3934,Table4[[#This Row],[customer_id]])</f>
        <v>6</v>
      </c>
      <c r="N1335" t="str">
        <f>IF(Table4[[#This Row],[customer_order_count]]=1,"New Customer","Repeat Customer")</f>
        <v>Repeat Customer</v>
      </c>
    </row>
    <row r="1336" spans="1:14">
      <c r="A1336" t="s">
        <v>319</v>
      </c>
      <c r="B1336" s="1">
        <v>45454</v>
      </c>
      <c r="C1336" t="s">
        <v>320</v>
      </c>
      <c r="D1336" t="s">
        <v>321</v>
      </c>
      <c r="E1336" t="s">
        <v>21</v>
      </c>
      <c r="F1336" t="s">
        <v>28</v>
      </c>
      <c r="G1336" t="s">
        <v>139</v>
      </c>
      <c r="H1336">
        <v>1</v>
      </c>
      <c r="I1336" s="3">
        <v>27.92</v>
      </c>
      <c r="J1336" t="s">
        <v>85</v>
      </c>
      <c r="K1336" t="s">
        <v>40</v>
      </c>
      <c r="L1336" s="4">
        <f>Table4[[#This Row],[quantity]]*Table4[[#This Row],[unit_price]]</f>
        <v>27.92</v>
      </c>
      <c r="M1336">
        <f>COUNTIFS($C$2:$C$3934,Table4[[#This Row],[customer_id]])</f>
        <v>3</v>
      </c>
      <c r="N1336" t="str">
        <f>IF(Table4[[#This Row],[customer_order_count]]=1,"New Customer","Repeat Customer")</f>
        <v>Repeat Customer</v>
      </c>
    </row>
    <row r="1337" spans="1:14">
      <c r="A1337" t="s">
        <v>3188</v>
      </c>
      <c r="B1337" s="1">
        <v>44930</v>
      </c>
      <c r="C1337" t="s">
        <v>137</v>
      </c>
      <c r="D1337" t="s">
        <v>138</v>
      </c>
      <c r="E1337" t="s">
        <v>21</v>
      </c>
      <c r="F1337" t="s">
        <v>66</v>
      </c>
      <c r="G1337" t="s">
        <v>217</v>
      </c>
      <c r="H1337">
        <v>1</v>
      </c>
      <c r="I1337" s="3">
        <v>27.92</v>
      </c>
      <c r="J1337" t="s">
        <v>16</v>
      </c>
      <c r="K1337" t="s">
        <v>35</v>
      </c>
      <c r="L1337" s="4">
        <f>Table4[[#This Row],[quantity]]*Table4[[#This Row],[unit_price]]</f>
        <v>27.92</v>
      </c>
      <c r="M1337">
        <f>COUNTIFS($C$2:$C$3934,Table4[[#This Row],[customer_id]])</f>
        <v>4</v>
      </c>
      <c r="N1337" t="str">
        <f>IF(Table4[[#This Row],[customer_order_count]]=1,"New Customer","Repeat Customer")</f>
        <v>Repeat Customer</v>
      </c>
    </row>
    <row r="1338" spans="1:14">
      <c r="A1338" t="s">
        <v>3682</v>
      </c>
      <c r="B1338" s="1">
        <v>45557</v>
      </c>
      <c r="C1338" t="s">
        <v>1957</v>
      </c>
      <c r="D1338" t="s">
        <v>292</v>
      </c>
      <c r="E1338" t="s">
        <v>61</v>
      </c>
      <c r="F1338" t="s">
        <v>28</v>
      </c>
      <c r="G1338" t="s">
        <v>45</v>
      </c>
      <c r="H1338">
        <v>1</v>
      </c>
      <c r="I1338" s="3">
        <v>27.94</v>
      </c>
      <c r="J1338" t="s">
        <v>16</v>
      </c>
      <c r="K1338" s="2" t="s">
        <v>5256</v>
      </c>
      <c r="L1338" s="4">
        <f>Table4[[#This Row],[quantity]]*Table4[[#This Row],[unit_price]]</f>
        <v>27.94</v>
      </c>
      <c r="M1338">
        <f>COUNTIFS($C$2:$C$3934,Table4[[#This Row],[customer_id]])</f>
        <v>3</v>
      </c>
      <c r="N1338" t="str">
        <f>IF(Table4[[#This Row],[customer_order_count]]=1,"New Customer","Repeat Customer")</f>
        <v>Repeat Customer</v>
      </c>
    </row>
    <row r="1339" spans="1:14">
      <c r="A1339" t="s">
        <v>1833</v>
      </c>
      <c r="B1339" s="1">
        <v>44948</v>
      </c>
      <c r="C1339" t="s">
        <v>1834</v>
      </c>
      <c r="D1339" t="s">
        <v>359</v>
      </c>
      <c r="E1339" t="s">
        <v>21</v>
      </c>
      <c r="F1339" t="s">
        <v>28</v>
      </c>
      <c r="G1339" t="s">
        <v>84</v>
      </c>
      <c r="H1339">
        <v>1</v>
      </c>
      <c r="I1339" s="3">
        <v>27.99</v>
      </c>
      <c r="J1339" t="s">
        <v>16</v>
      </c>
      <c r="K1339" s="5" t="s">
        <v>17</v>
      </c>
      <c r="L1339" s="4">
        <f>Table4[[#This Row],[quantity]]*Table4[[#This Row],[unit_price]]</f>
        <v>27.99</v>
      </c>
      <c r="M1339">
        <f>COUNTIFS($C$2:$C$3934,Table4[[#This Row],[customer_id]])</f>
        <v>7</v>
      </c>
      <c r="N1339" t="str">
        <f>IF(Table4[[#This Row],[customer_order_count]]=1,"New Customer","Repeat Customer")</f>
        <v>Repeat Customer</v>
      </c>
    </row>
    <row r="1340" spans="1:14">
      <c r="A1340" t="s">
        <v>3421</v>
      </c>
      <c r="B1340" s="1">
        <v>44981</v>
      </c>
      <c r="C1340" t="s">
        <v>326</v>
      </c>
      <c r="D1340" t="s">
        <v>327</v>
      </c>
      <c r="E1340" t="s">
        <v>21</v>
      </c>
      <c r="F1340" t="s">
        <v>14</v>
      </c>
      <c r="G1340" t="s">
        <v>15</v>
      </c>
      <c r="H1340">
        <v>1</v>
      </c>
      <c r="I1340" s="3">
        <v>28.01</v>
      </c>
      <c r="J1340" t="s">
        <v>16</v>
      </c>
      <c r="K1340" t="s">
        <v>35</v>
      </c>
      <c r="L1340" s="4">
        <f>Table4[[#This Row],[quantity]]*Table4[[#This Row],[unit_price]]</f>
        <v>28.01</v>
      </c>
      <c r="M1340">
        <f>COUNTIFS($C$2:$C$3934,Table4[[#This Row],[customer_id]])</f>
        <v>5</v>
      </c>
      <c r="N1340" t="str">
        <f>IF(Table4[[#This Row],[customer_order_count]]=1,"New Customer","Repeat Customer")</f>
        <v>Repeat Customer</v>
      </c>
    </row>
    <row r="1341" spans="1:14">
      <c r="A1341" t="s">
        <v>2682</v>
      </c>
      <c r="B1341" s="1">
        <v>45333</v>
      </c>
      <c r="C1341" t="s">
        <v>2683</v>
      </c>
      <c r="D1341" t="s">
        <v>981</v>
      </c>
      <c r="E1341" t="s">
        <v>21</v>
      </c>
      <c r="F1341" t="s">
        <v>66</v>
      </c>
      <c r="G1341" t="s">
        <v>49</v>
      </c>
      <c r="H1341">
        <v>1</v>
      </c>
      <c r="I1341" s="3">
        <v>28.01</v>
      </c>
      <c r="J1341" t="s">
        <v>16</v>
      </c>
      <c r="K1341" t="s">
        <v>17</v>
      </c>
      <c r="L1341" s="4">
        <f>Table4[[#This Row],[quantity]]*Table4[[#This Row],[unit_price]]</f>
        <v>28.01</v>
      </c>
      <c r="M1341">
        <f>COUNTIFS($C$2:$C$3934,Table4[[#This Row],[customer_id]])</f>
        <v>3</v>
      </c>
      <c r="N1341" t="str">
        <f>IF(Table4[[#This Row],[customer_order_count]]=1,"New Customer","Repeat Customer")</f>
        <v>Repeat Customer</v>
      </c>
    </row>
    <row r="1342" spans="1:14">
      <c r="A1342" t="s">
        <v>3878</v>
      </c>
      <c r="B1342" s="1">
        <v>45276</v>
      </c>
      <c r="C1342" t="s">
        <v>3879</v>
      </c>
      <c r="D1342" t="s">
        <v>417</v>
      </c>
      <c r="E1342" t="s">
        <v>44</v>
      </c>
      <c r="F1342" t="s">
        <v>28</v>
      </c>
      <c r="G1342" t="s">
        <v>84</v>
      </c>
      <c r="H1342">
        <v>1</v>
      </c>
      <c r="I1342" s="3">
        <v>28.02</v>
      </c>
      <c r="J1342" t="s">
        <v>16</v>
      </c>
      <c r="K1342" t="s">
        <v>17</v>
      </c>
      <c r="L1342" s="4">
        <f>Table4[[#This Row],[quantity]]*Table4[[#This Row],[unit_price]]</f>
        <v>28.02</v>
      </c>
      <c r="M1342">
        <f>COUNTIFS($C$2:$C$3934,Table4[[#This Row],[customer_id]])</f>
        <v>1</v>
      </c>
      <c r="N1342" t="str">
        <f>IF(Table4[[#This Row],[customer_order_count]]=1,"New Customer","Repeat Customer")</f>
        <v>New Customer</v>
      </c>
    </row>
    <row r="1343" spans="1:14">
      <c r="A1343" t="s">
        <v>1344</v>
      </c>
      <c r="B1343" s="1">
        <v>45106</v>
      </c>
      <c r="C1343" t="s">
        <v>82</v>
      </c>
      <c r="D1343" t="s">
        <v>83</v>
      </c>
      <c r="E1343" t="s">
        <v>21</v>
      </c>
      <c r="F1343" t="s">
        <v>22</v>
      </c>
      <c r="G1343" t="s">
        <v>135</v>
      </c>
      <c r="H1343">
        <v>1</v>
      </c>
      <c r="I1343" s="3">
        <v>28.03</v>
      </c>
      <c r="J1343" t="s">
        <v>16</v>
      </c>
      <c r="K1343" t="s">
        <v>17</v>
      </c>
      <c r="L1343" s="4">
        <f>Table4[[#This Row],[quantity]]*Table4[[#This Row],[unit_price]]</f>
        <v>28.03</v>
      </c>
      <c r="M1343">
        <f>COUNTIFS($C$2:$C$3934,Table4[[#This Row],[customer_id]])</f>
        <v>7</v>
      </c>
      <c r="N1343" t="str">
        <f>IF(Table4[[#This Row],[customer_order_count]]=1,"New Customer","Repeat Customer")</f>
        <v>Repeat Customer</v>
      </c>
    </row>
    <row r="1344" spans="1:14">
      <c r="A1344" t="s">
        <v>2498</v>
      </c>
      <c r="B1344" s="1">
        <v>45179</v>
      </c>
      <c r="C1344" t="s">
        <v>1200</v>
      </c>
      <c r="D1344" t="s">
        <v>452</v>
      </c>
      <c r="E1344" t="s">
        <v>21</v>
      </c>
      <c r="F1344" t="s">
        <v>14</v>
      </c>
      <c r="G1344" t="s">
        <v>39</v>
      </c>
      <c r="H1344">
        <v>1</v>
      </c>
      <c r="I1344" s="3">
        <v>28.04</v>
      </c>
      <c r="J1344" t="s">
        <v>16</v>
      </c>
      <c r="K1344" t="s">
        <v>17</v>
      </c>
      <c r="L1344" s="4">
        <f>Table4[[#This Row],[quantity]]*Table4[[#This Row],[unit_price]]</f>
        <v>28.04</v>
      </c>
      <c r="M1344">
        <f>COUNTIFS($C$2:$C$3934,Table4[[#This Row],[customer_id]])</f>
        <v>4</v>
      </c>
      <c r="N1344" t="str">
        <f>IF(Table4[[#This Row],[customer_order_count]]=1,"New Customer","Repeat Customer")</f>
        <v>Repeat Customer</v>
      </c>
    </row>
    <row r="1345" spans="1:14">
      <c r="A1345" t="s">
        <v>3825</v>
      </c>
      <c r="B1345" s="1">
        <v>45331</v>
      </c>
      <c r="C1345" t="s">
        <v>408</v>
      </c>
      <c r="D1345" t="s">
        <v>409</v>
      </c>
      <c r="E1345" t="s">
        <v>21</v>
      </c>
      <c r="F1345" t="s">
        <v>79</v>
      </c>
      <c r="G1345" t="s">
        <v>398</v>
      </c>
      <c r="H1345">
        <v>1</v>
      </c>
      <c r="I1345" s="3">
        <v>28.04</v>
      </c>
      <c r="J1345" t="s">
        <v>16</v>
      </c>
      <c r="K1345" t="s">
        <v>30</v>
      </c>
      <c r="L1345" s="4">
        <f>Table4[[#This Row],[quantity]]*Table4[[#This Row],[unit_price]]</f>
        <v>28.04</v>
      </c>
      <c r="M1345">
        <f>COUNTIFS($C$2:$C$3934,Table4[[#This Row],[customer_id]])</f>
        <v>5</v>
      </c>
      <c r="N1345" t="str">
        <f>IF(Table4[[#This Row],[customer_order_count]]=1,"New Customer","Repeat Customer")</f>
        <v>Repeat Customer</v>
      </c>
    </row>
    <row r="1346" spans="1:14">
      <c r="A1346" t="s">
        <v>3662</v>
      </c>
      <c r="B1346" s="1">
        <v>44985</v>
      </c>
      <c r="C1346" t="s">
        <v>353</v>
      </c>
      <c r="D1346" t="s">
        <v>310</v>
      </c>
      <c r="E1346" t="s">
        <v>44</v>
      </c>
      <c r="F1346" t="s">
        <v>56</v>
      </c>
      <c r="G1346" t="s">
        <v>153</v>
      </c>
      <c r="H1346">
        <v>4</v>
      </c>
      <c r="I1346" s="3">
        <v>28.09</v>
      </c>
      <c r="J1346" t="s">
        <v>16</v>
      </c>
      <c r="K1346" t="s">
        <v>35</v>
      </c>
      <c r="L1346" s="4">
        <f>Table4[[#This Row],[quantity]]*Table4[[#This Row],[unit_price]]</f>
        <v>112.36</v>
      </c>
      <c r="M1346">
        <f>COUNTIFS($C$2:$C$3934,Table4[[#This Row],[customer_id]])</f>
        <v>5</v>
      </c>
      <c r="N1346" t="str">
        <f>IF(Table4[[#This Row],[customer_order_count]]=1,"New Customer","Repeat Customer")</f>
        <v>Repeat Customer</v>
      </c>
    </row>
    <row r="1347" spans="1:14">
      <c r="A1347" t="s">
        <v>2471</v>
      </c>
      <c r="B1347" s="1">
        <v>45106</v>
      </c>
      <c r="C1347" t="s">
        <v>424</v>
      </c>
      <c r="D1347" t="s">
        <v>425</v>
      </c>
      <c r="E1347" t="s">
        <v>21</v>
      </c>
      <c r="F1347" t="s">
        <v>14</v>
      </c>
      <c r="G1347" t="s">
        <v>39</v>
      </c>
      <c r="H1347">
        <v>1</v>
      </c>
      <c r="I1347" s="3">
        <v>28.1</v>
      </c>
      <c r="J1347" t="s">
        <v>16</v>
      </c>
      <c r="K1347" t="s">
        <v>30</v>
      </c>
      <c r="L1347" s="4">
        <f>Table4[[#This Row],[quantity]]*Table4[[#This Row],[unit_price]]</f>
        <v>28.1</v>
      </c>
      <c r="M1347">
        <f>COUNTIFS($C$2:$C$3934,Table4[[#This Row],[customer_id]])</f>
        <v>7</v>
      </c>
      <c r="N1347" t="str">
        <f>IF(Table4[[#This Row],[customer_order_count]]=1,"New Customer","Repeat Customer")</f>
        <v>Repeat Customer</v>
      </c>
    </row>
    <row r="1348" spans="1:14">
      <c r="A1348" t="s">
        <v>3742</v>
      </c>
      <c r="B1348" s="1">
        <v>45269</v>
      </c>
      <c r="C1348" t="s">
        <v>266</v>
      </c>
      <c r="D1348" t="s">
        <v>152</v>
      </c>
      <c r="E1348" t="s">
        <v>21</v>
      </c>
      <c r="F1348" t="s">
        <v>22</v>
      </c>
      <c r="G1348" t="s">
        <v>142</v>
      </c>
      <c r="H1348">
        <v>1</v>
      </c>
      <c r="I1348" s="3">
        <v>28.11</v>
      </c>
      <c r="J1348" t="s">
        <v>16</v>
      </c>
      <c r="K1348" t="s">
        <v>35</v>
      </c>
      <c r="L1348" s="4">
        <f>Table4[[#This Row],[quantity]]*Table4[[#This Row],[unit_price]]</f>
        <v>28.11</v>
      </c>
      <c r="M1348">
        <f>COUNTIFS($C$2:$C$3934,Table4[[#This Row],[customer_id]])</f>
        <v>6</v>
      </c>
      <c r="N1348" t="str">
        <f>IF(Table4[[#This Row],[customer_order_count]]=1,"New Customer","Repeat Customer")</f>
        <v>Repeat Customer</v>
      </c>
    </row>
    <row r="1349" spans="1:14">
      <c r="A1349" t="s">
        <v>1339</v>
      </c>
      <c r="B1349" s="1">
        <v>45596</v>
      </c>
      <c r="C1349" t="s">
        <v>696</v>
      </c>
      <c r="D1349" t="s">
        <v>582</v>
      </c>
      <c r="E1349" t="s">
        <v>21</v>
      </c>
      <c r="F1349" t="s">
        <v>66</v>
      </c>
      <c r="G1349" t="s">
        <v>238</v>
      </c>
      <c r="H1349">
        <v>2</v>
      </c>
      <c r="I1349" s="3">
        <v>28.13</v>
      </c>
      <c r="J1349" t="s">
        <v>16</v>
      </c>
      <c r="K1349" t="s">
        <v>35</v>
      </c>
      <c r="L1349" s="4">
        <f>Table4[[#This Row],[quantity]]*Table4[[#This Row],[unit_price]]</f>
        <v>56.26</v>
      </c>
      <c r="M1349">
        <f>COUNTIFS($C$2:$C$3934,Table4[[#This Row],[customer_id]])</f>
        <v>12</v>
      </c>
      <c r="N1349" t="str">
        <f>IF(Table4[[#This Row],[customer_order_count]]=1,"New Customer","Repeat Customer")</f>
        <v>Repeat Customer</v>
      </c>
    </row>
    <row r="1350" spans="1:14">
      <c r="A1350" t="s">
        <v>3532</v>
      </c>
      <c r="B1350" s="1">
        <v>45565</v>
      </c>
      <c r="C1350" t="s">
        <v>1266</v>
      </c>
      <c r="D1350" t="s">
        <v>828</v>
      </c>
      <c r="E1350" t="s">
        <v>21</v>
      </c>
      <c r="F1350" t="s">
        <v>22</v>
      </c>
      <c r="G1350" t="s">
        <v>162</v>
      </c>
      <c r="H1350">
        <v>1</v>
      </c>
      <c r="I1350" s="3">
        <v>28.14</v>
      </c>
      <c r="J1350" t="s">
        <v>255</v>
      </c>
      <c r="K1350" t="s">
        <v>40</v>
      </c>
      <c r="L1350" s="4">
        <f>Table4[[#This Row],[quantity]]*Table4[[#This Row],[unit_price]]</f>
        <v>28.14</v>
      </c>
      <c r="M1350">
        <f>COUNTIFS($C$2:$C$3934,Table4[[#This Row],[customer_id]])</f>
        <v>7</v>
      </c>
      <c r="N1350" t="str">
        <f>IF(Table4[[#This Row],[customer_order_count]]=1,"New Customer","Repeat Customer")</f>
        <v>Repeat Customer</v>
      </c>
    </row>
    <row r="1351" spans="1:14">
      <c r="A1351" t="s">
        <v>4675</v>
      </c>
      <c r="B1351" s="1">
        <v>45518</v>
      </c>
      <c r="C1351" t="s">
        <v>1406</v>
      </c>
      <c r="D1351" t="s">
        <v>304</v>
      </c>
      <c r="E1351" t="s">
        <v>21</v>
      </c>
      <c r="F1351" t="s">
        <v>66</v>
      </c>
      <c r="G1351" t="s">
        <v>128</v>
      </c>
      <c r="H1351">
        <v>1</v>
      </c>
      <c r="I1351" s="3">
        <v>28.14</v>
      </c>
      <c r="J1351" t="s">
        <v>16</v>
      </c>
      <c r="K1351" t="s">
        <v>17</v>
      </c>
      <c r="L1351" s="4">
        <f>Table4[[#This Row],[quantity]]*Table4[[#This Row],[unit_price]]</f>
        <v>28.14</v>
      </c>
      <c r="M1351">
        <f>COUNTIFS($C$2:$C$3934,Table4[[#This Row],[customer_id]])</f>
        <v>4</v>
      </c>
      <c r="N1351" t="str">
        <f>IF(Table4[[#This Row],[customer_order_count]]=1,"New Customer","Repeat Customer")</f>
        <v>Repeat Customer</v>
      </c>
    </row>
    <row r="1352" spans="1:14">
      <c r="A1352" t="s">
        <v>974</v>
      </c>
      <c r="B1352" s="1">
        <v>45590</v>
      </c>
      <c r="C1352" t="s">
        <v>219</v>
      </c>
      <c r="D1352" t="s">
        <v>220</v>
      </c>
      <c r="E1352" t="s">
        <v>21</v>
      </c>
      <c r="F1352" t="s">
        <v>66</v>
      </c>
      <c r="G1352" t="s">
        <v>67</v>
      </c>
      <c r="H1352">
        <v>1</v>
      </c>
      <c r="I1352" s="3">
        <v>28.15</v>
      </c>
      <c r="J1352" t="s">
        <v>16</v>
      </c>
      <c r="K1352" t="s">
        <v>35</v>
      </c>
      <c r="L1352" s="4">
        <f>Table4[[#This Row],[quantity]]*Table4[[#This Row],[unit_price]]</f>
        <v>28.15</v>
      </c>
      <c r="M1352">
        <f>COUNTIFS($C$2:$C$3934,Table4[[#This Row],[customer_id]])</f>
        <v>8</v>
      </c>
      <c r="N1352" t="str">
        <f>IF(Table4[[#This Row],[customer_order_count]]=1,"New Customer","Repeat Customer")</f>
        <v>Repeat Customer</v>
      </c>
    </row>
    <row r="1353" spans="1:14">
      <c r="A1353" t="s">
        <v>3726</v>
      </c>
      <c r="B1353" s="1">
        <v>45017</v>
      </c>
      <c r="C1353" t="s">
        <v>1695</v>
      </c>
      <c r="D1353" t="s">
        <v>377</v>
      </c>
      <c r="E1353" t="s">
        <v>21</v>
      </c>
      <c r="F1353" t="s">
        <v>70</v>
      </c>
      <c r="G1353" t="s">
        <v>337</v>
      </c>
      <c r="H1353">
        <v>1</v>
      </c>
      <c r="I1353" s="3">
        <v>28.18</v>
      </c>
      <c r="J1353" t="s">
        <v>16</v>
      </c>
      <c r="K1353" t="s">
        <v>17</v>
      </c>
      <c r="L1353" s="4">
        <f>Table4[[#This Row],[quantity]]*Table4[[#This Row],[unit_price]]</f>
        <v>28.18</v>
      </c>
      <c r="M1353">
        <f>COUNTIFS($C$2:$C$3934,Table4[[#This Row],[customer_id]])</f>
        <v>3</v>
      </c>
      <c r="N1353" t="str">
        <f>IF(Table4[[#This Row],[customer_order_count]]=1,"New Customer","Repeat Customer")</f>
        <v>Repeat Customer</v>
      </c>
    </row>
    <row r="1354" spans="1:14">
      <c r="A1354" t="s">
        <v>2779</v>
      </c>
      <c r="B1354" s="1">
        <v>45657</v>
      </c>
      <c r="C1354" t="s">
        <v>596</v>
      </c>
      <c r="D1354" t="s">
        <v>597</v>
      </c>
      <c r="E1354" t="s">
        <v>21</v>
      </c>
      <c r="F1354" t="s">
        <v>79</v>
      </c>
      <c r="G1354" t="s">
        <v>204</v>
      </c>
      <c r="H1354">
        <v>1</v>
      </c>
      <c r="I1354" s="3">
        <v>28.19</v>
      </c>
      <c r="J1354" t="s">
        <v>24</v>
      </c>
      <c r="K1354" t="s">
        <v>17</v>
      </c>
      <c r="L1354" s="4">
        <f>Table4[[#This Row],[quantity]]*Table4[[#This Row],[unit_price]]</f>
        <v>28.19</v>
      </c>
      <c r="M1354">
        <f>COUNTIFS($C$2:$C$3934,Table4[[#This Row],[customer_id]])</f>
        <v>8</v>
      </c>
      <c r="N1354" t="str">
        <f>IF(Table4[[#This Row],[customer_order_count]]=1,"New Customer","Repeat Customer")</f>
        <v>Repeat Customer</v>
      </c>
    </row>
    <row r="1355" spans="1:14">
      <c r="A1355" t="s">
        <v>4485</v>
      </c>
      <c r="B1355" s="1">
        <v>45155</v>
      </c>
      <c r="C1355" t="s">
        <v>1335</v>
      </c>
      <c r="D1355" t="s">
        <v>1336</v>
      </c>
      <c r="E1355" t="s">
        <v>21</v>
      </c>
      <c r="F1355" t="s">
        <v>66</v>
      </c>
      <c r="G1355" t="s">
        <v>238</v>
      </c>
      <c r="H1355">
        <v>1</v>
      </c>
      <c r="I1355" s="3">
        <v>28.22</v>
      </c>
      <c r="J1355" t="s">
        <v>24</v>
      </c>
      <c r="K1355" t="s">
        <v>40</v>
      </c>
      <c r="L1355" s="4">
        <f>Table4[[#This Row],[quantity]]*Table4[[#This Row],[unit_price]]</f>
        <v>28.22</v>
      </c>
      <c r="M1355">
        <f>COUNTIFS($C$2:$C$3934,Table4[[#This Row],[customer_id]])</f>
        <v>7</v>
      </c>
      <c r="N1355" t="str">
        <f>IF(Table4[[#This Row],[customer_order_count]]=1,"New Customer","Repeat Customer")</f>
        <v>Repeat Customer</v>
      </c>
    </row>
    <row r="1356" spans="1:14">
      <c r="A1356" t="s">
        <v>3120</v>
      </c>
      <c r="B1356" s="1">
        <v>45007</v>
      </c>
      <c r="C1356" t="s">
        <v>1763</v>
      </c>
      <c r="D1356" t="s">
        <v>1103</v>
      </c>
      <c r="E1356" t="s">
        <v>21</v>
      </c>
      <c r="F1356" t="s">
        <v>70</v>
      </c>
      <c r="G1356" t="s">
        <v>526</v>
      </c>
      <c r="H1356">
        <v>1</v>
      </c>
      <c r="I1356" s="3">
        <v>28.22</v>
      </c>
      <c r="J1356" t="s">
        <v>16</v>
      </c>
      <c r="K1356" t="s">
        <v>40</v>
      </c>
      <c r="L1356" s="4">
        <f>Table4[[#This Row],[quantity]]*Table4[[#This Row],[unit_price]]</f>
        <v>28.22</v>
      </c>
      <c r="M1356">
        <f>COUNTIFS($C$2:$C$3934,Table4[[#This Row],[customer_id]])</f>
        <v>8</v>
      </c>
      <c r="N1356" t="str">
        <f>IF(Table4[[#This Row],[customer_order_count]]=1,"New Customer","Repeat Customer")</f>
        <v>Repeat Customer</v>
      </c>
    </row>
    <row r="1357" spans="1:14">
      <c r="A1357" t="s">
        <v>3515</v>
      </c>
      <c r="B1357" s="1">
        <v>45398</v>
      </c>
      <c r="C1357" t="s">
        <v>2326</v>
      </c>
      <c r="D1357" t="s">
        <v>962</v>
      </c>
      <c r="E1357" t="s">
        <v>21</v>
      </c>
      <c r="F1357" t="s">
        <v>79</v>
      </c>
      <c r="G1357" t="s">
        <v>230</v>
      </c>
      <c r="H1357">
        <v>1</v>
      </c>
      <c r="I1357" s="3">
        <v>28.26</v>
      </c>
      <c r="J1357" t="s">
        <v>24</v>
      </c>
      <c r="K1357" t="s">
        <v>17</v>
      </c>
      <c r="L1357" s="4">
        <f>Table4[[#This Row],[quantity]]*Table4[[#This Row],[unit_price]]</f>
        <v>28.26</v>
      </c>
      <c r="M1357">
        <f>COUNTIFS($C$2:$C$3934,Table4[[#This Row],[customer_id]])</f>
        <v>2</v>
      </c>
      <c r="N1357" t="str">
        <f>IF(Table4[[#This Row],[customer_order_count]]=1,"New Customer","Repeat Customer")</f>
        <v>Repeat Customer</v>
      </c>
    </row>
    <row r="1358" spans="1:14">
      <c r="A1358" t="s">
        <v>5100</v>
      </c>
      <c r="B1358" s="1">
        <v>45343</v>
      </c>
      <c r="C1358" t="s">
        <v>202</v>
      </c>
      <c r="D1358" t="s">
        <v>203</v>
      </c>
      <c r="E1358" t="s">
        <v>21</v>
      </c>
      <c r="F1358" t="s">
        <v>70</v>
      </c>
      <c r="G1358" t="s">
        <v>89</v>
      </c>
      <c r="H1358">
        <v>2</v>
      </c>
      <c r="I1358" s="3">
        <v>28.28</v>
      </c>
      <c r="J1358" t="s">
        <v>16</v>
      </c>
      <c r="K1358" t="s">
        <v>17</v>
      </c>
      <c r="L1358" s="4">
        <f>Table4[[#This Row],[quantity]]*Table4[[#This Row],[unit_price]]</f>
        <v>56.56</v>
      </c>
      <c r="M1358">
        <f>COUNTIFS($C$2:$C$3934,Table4[[#This Row],[customer_id]])</f>
        <v>8</v>
      </c>
      <c r="N1358" t="str">
        <f>IF(Table4[[#This Row],[customer_order_count]]=1,"New Customer","Repeat Customer")</f>
        <v>Repeat Customer</v>
      </c>
    </row>
    <row r="1359" spans="1:14">
      <c r="A1359" t="s">
        <v>2181</v>
      </c>
      <c r="B1359" s="1">
        <v>45061</v>
      </c>
      <c r="C1359" t="s">
        <v>1815</v>
      </c>
      <c r="D1359" t="s">
        <v>684</v>
      </c>
      <c r="E1359" t="s">
        <v>21</v>
      </c>
      <c r="F1359" t="s">
        <v>56</v>
      </c>
      <c r="G1359" t="s">
        <v>210</v>
      </c>
      <c r="H1359">
        <v>2</v>
      </c>
      <c r="I1359" s="3">
        <v>28.3</v>
      </c>
      <c r="J1359" t="s">
        <v>16</v>
      </c>
      <c r="K1359" t="s">
        <v>17</v>
      </c>
      <c r="L1359" s="4">
        <f>Table4[[#This Row],[quantity]]*Table4[[#This Row],[unit_price]]</f>
        <v>56.6</v>
      </c>
      <c r="M1359">
        <f>COUNTIFS($C$2:$C$3934,Table4[[#This Row],[customer_id]])</f>
        <v>8</v>
      </c>
      <c r="N1359" t="str">
        <f>IF(Table4[[#This Row],[customer_order_count]]=1,"New Customer","Repeat Customer")</f>
        <v>Repeat Customer</v>
      </c>
    </row>
    <row r="1360" spans="1:14">
      <c r="A1360" t="s">
        <v>4706</v>
      </c>
      <c r="B1360" s="1">
        <v>45288</v>
      </c>
      <c r="C1360" t="s">
        <v>830</v>
      </c>
      <c r="D1360" t="s">
        <v>831</v>
      </c>
      <c r="E1360" t="s">
        <v>21</v>
      </c>
      <c r="F1360" t="s">
        <v>56</v>
      </c>
      <c r="G1360" t="s">
        <v>153</v>
      </c>
      <c r="H1360">
        <v>1</v>
      </c>
      <c r="I1360" s="3">
        <v>28.32</v>
      </c>
      <c r="J1360" t="s">
        <v>16</v>
      </c>
      <c r="K1360" t="s">
        <v>35</v>
      </c>
      <c r="L1360" s="4">
        <f>Table4[[#This Row],[quantity]]*Table4[[#This Row],[unit_price]]</f>
        <v>28.32</v>
      </c>
      <c r="M1360">
        <f>COUNTIFS($C$2:$C$3934,Table4[[#This Row],[customer_id]])</f>
        <v>5</v>
      </c>
      <c r="N1360" t="str">
        <f>IF(Table4[[#This Row],[customer_order_count]]=1,"New Customer","Repeat Customer")</f>
        <v>Repeat Customer</v>
      </c>
    </row>
    <row r="1361" spans="1:14">
      <c r="A1361" t="s">
        <v>1180</v>
      </c>
      <c r="B1361" s="1">
        <v>45234</v>
      </c>
      <c r="C1361" t="s">
        <v>1181</v>
      </c>
      <c r="D1361" t="s">
        <v>1000</v>
      </c>
      <c r="E1361" t="s">
        <v>21</v>
      </c>
      <c r="F1361" t="s">
        <v>66</v>
      </c>
      <c r="G1361" t="s">
        <v>128</v>
      </c>
      <c r="H1361">
        <v>1</v>
      </c>
      <c r="I1361" s="3">
        <v>28.36</v>
      </c>
      <c r="J1361" t="s">
        <v>24</v>
      </c>
      <c r="K1361" t="s">
        <v>30</v>
      </c>
      <c r="L1361" s="4">
        <f>Table4[[#This Row],[quantity]]*Table4[[#This Row],[unit_price]]</f>
        <v>28.36</v>
      </c>
      <c r="M1361">
        <f>COUNTIFS($C$2:$C$3934,Table4[[#This Row],[customer_id]])</f>
        <v>6</v>
      </c>
      <c r="N1361" t="str">
        <f>IF(Table4[[#This Row],[customer_order_count]]=1,"New Customer","Repeat Customer")</f>
        <v>Repeat Customer</v>
      </c>
    </row>
    <row r="1362" spans="1:14">
      <c r="A1362" t="s">
        <v>2400</v>
      </c>
      <c r="B1362" s="1">
        <v>45456</v>
      </c>
      <c r="C1362" t="s">
        <v>1240</v>
      </c>
      <c r="D1362" t="s">
        <v>1241</v>
      </c>
      <c r="E1362" t="s">
        <v>21</v>
      </c>
      <c r="F1362" t="s">
        <v>28</v>
      </c>
      <c r="G1362" t="s">
        <v>45</v>
      </c>
      <c r="H1362">
        <v>1</v>
      </c>
      <c r="I1362" s="3">
        <v>28.37</v>
      </c>
      <c r="J1362" t="s">
        <v>16</v>
      </c>
      <c r="K1362" t="s">
        <v>17</v>
      </c>
      <c r="L1362" s="4">
        <f>Table4[[#This Row],[quantity]]*Table4[[#This Row],[unit_price]]</f>
        <v>28.37</v>
      </c>
      <c r="M1362">
        <f>COUNTIFS($C$2:$C$3934,Table4[[#This Row],[customer_id]])</f>
        <v>12</v>
      </c>
      <c r="N1362" t="str">
        <f>IF(Table4[[#This Row],[customer_order_count]]=1,"New Customer","Repeat Customer")</f>
        <v>Repeat Customer</v>
      </c>
    </row>
    <row r="1363" spans="1:14">
      <c r="A1363" t="s">
        <v>4519</v>
      </c>
      <c r="B1363" s="1">
        <v>45065</v>
      </c>
      <c r="C1363" t="s">
        <v>3920</v>
      </c>
      <c r="D1363" t="s">
        <v>1523</v>
      </c>
      <c r="E1363" t="s">
        <v>61</v>
      </c>
      <c r="F1363" t="s">
        <v>66</v>
      </c>
      <c r="G1363" t="s">
        <v>49</v>
      </c>
      <c r="H1363">
        <v>2</v>
      </c>
      <c r="I1363" s="3">
        <v>28.37</v>
      </c>
      <c r="J1363" t="s">
        <v>16</v>
      </c>
      <c r="K1363" t="s">
        <v>17</v>
      </c>
      <c r="L1363" s="4">
        <f>Table4[[#This Row],[quantity]]*Table4[[#This Row],[unit_price]]</f>
        <v>56.74</v>
      </c>
      <c r="M1363">
        <f>COUNTIFS($C$2:$C$3934,Table4[[#This Row],[customer_id]])</f>
        <v>3</v>
      </c>
      <c r="N1363" t="str">
        <f>IF(Table4[[#This Row],[customer_order_count]]=1,"New Customer","Repeat Customer")</f>
        <v>Repeat Customer</v>
      </c>
    </row>
    <row r="1364" spans="1:14">
      <c r="A1364" t="s">
        <v>5082</v>
      </c>
      <c r="B1364" s="1">
        <v>45556</v>
      </c>
      <c r="C1364" t="s">
        <v>477</v>
      </c>
      <c r="D1364" t="s">
        <v>478</v>
      </c>
      <c r="E1364" t="s">
        <v>21</v>
      </c>
      <c r="F1364" t="s">
        <v>66</v>
      </c>
      <c r="G1364" t="s">
        <v>49</v>
      </c>
      <c r="H1364">
        <v>1</v>
      </c>
      <c r="I1364" s="3">
        <v>28.39</v>
      </c>
      <c r="J1364" t="s">
        <v>16</v>
      </c>
      <c r="K1364" t="s">
        <v>17</v>
      </c>
      <c r="L1364" s="4">
        <f>Table4[[#This Row],[quantity]]*Table4[[#This Row],[unit_price]]</f>
        <v>28.39</v>
      </c>
      <c r="M1364">
        <f>COUNTIFS($C$2:$C$3934,Table4[[#This Row],[customer_id]])</f>
        <v>6</v>
      </c>
      <c r="N1364" t="str">
        <f>IF(Table4[[#This Row],[customer_order_count]]=1,"New Customer","Repeat Customer")</f>
        <v>Repeat Customer</v>
      </c>
    </row>
    <row r="1365" spans="1:14">
      <c r="A1365" t="s">
        <v>2673</v>
      </c>
      <c r="B1365" s="1">
        <v>45652</v>
      </c>
      <c r="C1365" t="s">
        <v>1148</v>
      </c>
      <c r="D1365" t="s">
        <v>857</v>
      </c>
      <c r="E1365" t="s">
        <v>21</v>
      </c>
      <c r="F1365" t="s">
        <v>66</v>
      </c>
      <c r="G1365" t="s">
        <v>67</v>
      </c>
      <c r="H1365">
        <v>3</v>
      </c>
      <c r="I1365" s="3">
        <v>28.42</v>
      </c>
      <c r="J1365" t="s">
        <v>16</v>
      </c>
      <c r="K1365" t="s">
        <v>40</v>
      </c>
      <c r="L1365" s="4">
        <f>Table4[[#This Row],[quantity]]*Table4[[#This Row],[unit_price]]</f>
        <v>85.26</v>
      </c>
      <c r="M1365">
        <f>COUNTIFS($C$2:$C$3934,Table4[[#This Row],[customer_id]])</f>
        <v>8</v>
      </c>
      <c r="N1365" t="str">
        <f>IF(Table4[[#This Row],[customer_order_count]]=1,"New Customer","Repeat Customer")</f>
        <v>Repeat Customer</v>
      </c>
    </row>
    <row r="1366" spans="1:14">
      <c r="A1366" t="s">
        <v>2685</v>
      </c>
      <c r="B1366" s="1">
        <v>45203</v>
      </c>
      <c r="C1366" t="s">
        <v>77</v>
      </c>
      <c r="D1366" t="s">
        <v>78</v>
      </c>
      <c r="E1366" t="s">
        <v>21</v>
      </c>
      <c r="F1366" t="s">
        <v>22</v>
      </c>
      <c r="G1366" t="s">
        <v>135</v>
      </c>
      <c r="H1366">
        <v>4</v>
      </c>
      <c r="I1366" s="3">
        <v>28.43</v>
      </c>
      <c r="J1366" t="s">
        <v>16</v>
      </c>
      <c r="K1366" t="s">
        <v>35</v>
      </c>
      <c r="L1366" s="4">
        <f>Table4[[#This Row],[quantity]]*Table4[[#This Row],[unit_price]]</f>
        <v>113.72</v>
      </c>
      <c r="M1366">
        <f>COUNTIFS($C$2:$C$3934,Table4[[#This Row],[customer_id]])</f>
        <v>6</v>
      </c>
      <c r="N1366" t="str">
        <f>IF(Table4[[#This Row],[customer_order_count]]=1,"New Customer","Repeat Customer")</f>
        <v>Repeat Customer</v>
      </c>
    </row>
    <row r="1367" spans="1:14">
      <c r="A1367" t="s">
        <v>5226</v>
      </c>
      <c r="B1367" s="1">
        <v>45203</v>
      </c>
      <c r="C1367" t="s">
        <v>1105</v>
      </c>
      <c r="D1367" t="s">
        <v>609</v>
      </c>
      <c r="E1367" t="s">
        <v>21</v>
      </c>
      <c r="F1367" t="s">
        <v>70</v>
      </c>
      <c r="G1367" t="s">
        <v>71</v>
      </c>
      <c r="H1367">
        <v>1</v>
      </c>
      <c r="I1367" s="3">
        <v>28.46</v>
      </c>
      <c r="J1367" t="s">
        <v>85</v>
      </c>
      <c r="K1367" t="s">
        <v>30</v>
      </c>
      <c r="L1367" s="4">
        <f>Table4[[#This Row],[quantity]]*Table4[[#This Row],[unit_price]]</f>
        <v>28.46</v>
      </c>
      <c r="M1367">
        <f>COUNTIFS($C$2:$C$3934,Table4[[#This Row],[customer_id]])</f>
        <v>6</v>
      </c>
      <c r="N1367" t="str">
        <f>IF(Table4[[#This Row],[customer_order_count]]=1,"New Customer","Repeat Customer")</f>
        <v>Repeat Customer</v>
      </c>
    </row>
    <row r="1368" spans="1:14">
      <c r="A1368" t="s">
        <v>1285</v>
      </c>
      <c r="B1368" s="1">
        <v>45430</v>
      </c>
      <c r="C1368" t="s">
        <v>1286</v>
      </c>
      <c r="D1368" t="s">
        <v>576</v>
      </c>
      <c r="E1368" t="s">
        <v>44</v>
      </c>
      <c r="F1368" t="s">
        <v>14</v>
      </c>
      <c r="G1368" t="s">
        <v>62</v>
      </c>
      <c r="H1368">
        <v>1</v>
      </c>
      <c r="I1368" s="3">
        <v>28.46</v>
      </c>
      <c r="J1368" t="s">
        <v>255</v>
      </c>
      <c r="K1368" t="s">
        <v>17</v>
      </c>
      <c r="L1368" s="4">
        <f>Table4[[#This Row],[quantity]]*Table4[[#This Row],[unit_price]]</f>
        <v>28.46</v>
      </c>
      <c r="M1368">
        <f>COUNTIFS($C$2:$C$3934,Table4[[#This Row],[customer_id]])</f>
        <v>2</v>
      </c>
      <c r="N1368" t="str">
        <f>IF(Table4[[#This Row],[customer_order_count]]=1,"New Customer","Repeat Customer")</f>
        <v>Repeat Customer</v>
      </c>
    </row>
    <row r="1369" spans="1:14">
      <c r="A1369" t="s">
        <v>3020</v>
      </c>
      <c r="B1369" s="1">
        <v>45269</v>
      </c>
      <c r="C1369" t="s">
        <v>1024</v>
      </c>
      <c r="D1369" t="s">
        <v>881</v>
      </c>
      <c r="E1369" t="s">
        <v>21</v>
      </c>
      <c r="F1369" t="s">
        <v>66</v>
      </c>
      <c r="G1369" t="s">
        <v>217</v>
      </c>
      <c r="H1369">
        <v>2</v>
      </c>
      <c r="I1369" s="3">
        <v>28.53</v>
      </c>
      <c r="J1369" t="s">
        <v>16</v>
      </c>
      <c r="K1369" t="s">
        <v>35</v>
      </c>
      <c r="L1369" s="4">
        <f>Table4[[#This Row],[quantity]]*Table4[[#This Row],[unit_price]]</f>
        <v>57.06</v>
      </c>
      <c r="M1369">
        <f>COUNTIFS($C$2:$C$3934,Table4[[#This Row],[customer_id]])</f>
        <v>6</v>
      </c>
      <c r="N1369" t="str">
        <f>IF(Table4[[#This Row],[customer_order_count]]=1,"New Customer","Repeat Customer")</f>
        <v>Repeat Customer</v>
      </c>
    </row>
    <row r="1370" spans="1:14">
      <c r="A1370" t="s">
        <v>5182</v>
      </c>
      <c r="B1370" s="1">
        <v>45417</v>
      </c>
      <c r="C1370" t="s">
        <v>655</v>
      </c>
      <c r="D1370" t="s">
        <v>597</v>
      </c>
      <c r="E1370" t="s">
        <v>21</v>
      </c>
      <c r="F1370" t="s">
        <v>14</v>
      </c>
      <c r="G1370" t="s">
        <v>34</v>
      </c>
      <c r="H1370">
        <v>1</v>
      </c>
      <c r="I1370" s="3">
        <v>28.54</v>
      </c>
      <c r="J1370" t="s">
        <v>16</v>
      </c>
      <c r="K1370" t="s">
        <v>30</v>
      </c>
      <c r="L1370" s="4">
        <f>Table4[[#This Row],[quantity]]*Table4[[#This Row],[unit_price]]</f>
        <v>28.54</v>
      </c>
      <c r="M1370">
        <f>COUNTIFS($C$2:$C$3934,Table4[[#This Row],[customer_id]])</f>
        <v>12</v>
      </c>
      <c r="N1370" t="str">
        <f>IF(Table4[[#This Row],[customer_order_count]]=1,"New Customer","Repeat Customer")</f>
        <v>Repeat Customer</v>
      </c>
    </row>
    <row r="1371" spans="1:14">
      <c r="A1371" t="s">
        <v>888</v>
      </c>
      <c r="B1371" s="1">
        <v>45330</v>
      </c>
      <c r="C1371" t="s">
        <v>596</v>
      </c>
      <c r="D1371" t="s">
        <v>597</v>
      </c>
      <c r="E1371" t="s">
        <v>21</v>
      </c>
      <c r="F1371" t="s">
        <v>66</v>
      </c>
      <c r="G1371" t="s">
        <v>49</v>
      </c>
      <c r="H1371">
        <v>1</v>
      </c>
      <c r="I1371" s="3">
        <v>28.56</v>
      </c>
      <c r="J1371" t="s">
        <v>16</v>
      </c>
      <c r="K1371" t="s">
        <v>35</v>
      </c>
      <c r="L1371" s="4">
        <f>Table4[[#This Row],[quantity]]*Table4[[#This Row],[unit_price]]</f>
        <v>28.56</v>
      </c>
      <c r="M1371">
        <f>COUNTIFS($C$2:$C$3934,Table4[[#This Row],[customer_id]])</f>
        <v>8</v>
      </c>
      <c r="N1371" t="str">
        <f>IF(Table4[[#This Row],[customer_order_count]]=1,"New Customer","Repeat Customer")</f>
        <v>Repeat Customer</v>
      </c>
    </row>
    <row r="1372" spans="1:14">
      <c r="A1372" t="s">
        <v>392</v>
      </c>
      <c r="B1372" s="1">
        <v>45502</v>
      </c>
      <c r="C1372" t="s">
        <v>393</v>
      </c>
      <c r="D1372" t="s">
        <v>33</v>
      </c>
      <c r="E1372" t="s">
        <v>61</v>
      </c>
      <c r="F1372" t="s">
        <v>22</v>
      </c>
      <c r="G1372" t="s">
        <v>142</v>
      </c>
      <c r="H1372">
        <v>2</v>
      </c>
      <c r="I1372" s="3">
        <v>28.56</v>
      </c>
      <c r="J1372" t="s">
        <v>16</v>
      </c>
      <c r="K1372" t="s">
        <v>17</v>
      </c>
      <c r="L1372" s="4">
        <f>Table4[[#This Row],[quantity]]*Table4[[#This Row],[unit_price]]</f>
        <v>57.12</v>
      </c>
      <c r="M1372">
        <f>COUNTIFS($C$2:$C$3934,Table4[[#This Row],[customer_id]])</f>
        <v>3</v>
      </c>
      <c r="N1372" t="str">
        <f>IF(Table4[[#This Row],[customer_order_count]]=1,"New Customer","Repeat Customer")</f>
        <v>Repeat Customer</v>
      </c>
    </row>
    <row r="1373" spans="1:14">
      <c r="A1373" t="s">
        <v>4101</v>
      </c>
      <c r="B1373" s="1">
        <v>45437</v>
      </c>
      <c r="C1373" t="s">
        <v>2008</v>
      </c>
      <c r="D1373" t="s">
        <v>417</v>
      </c>
      <c r="E1373" t="s">
        <v>21</v>
      </c>
      <c r="F1373" t="s">
        <v>14</v>
      </c>
      <c r="G1373" t="s">
        <v>100</v>
      </c>
      <c r="H1373">
        <v>1</v>
      </c>
      <c r="I1373" s="3">
        <v>28.57</v>
      </c>
      <c r="J1373" t="s">
        <v>16</v>
      </c>
      <c r="K1373" t="s">
        <v>17</v>
      </c>
      <c r="L1373" s="4">
        <f>Table4[[#This Row],[quantity]]*Table4[[#This Row],[unit_price]]</f>
        <v>28.57</v>
      </c>
      <c r="M1373">
        <f>COUNTIFS($C$2:$C$3934,Table4[[#This Row],[customer_id]])</f>
        <v>7</v>
      </c>
      <c r="N1373" t="str">
        <f>IF(Table4[[#This Row],[customer_order_count]]=1,"New Customer","Repeat Customer")</f>
        <v>Repeat Customer</v>
      </c>
    </row>
    <row r="1374" spans="1:14">
      <c r="A1374" t="s">
        <v>4763</v>
      </c>
      <c r="B1374" s="1">
        <v>45233</v>
      </c>
      <c r="C1374" t="s">
        <v>629</v>
      </c>
      <c r="D1374" t="s">
        <v>630</v>
      </c>
      <c r="E1374" t="s">
        <v>44</v>
      </c>
      <c r="F1374" t="s">
        <v>66</v>
      </c>
      <c r="G1374" t="s">
        <v>217</v>
      </c>
      <c r="H1374">
        <v>1</v>
      </c>
      <c r="I1374" s="3">
        <v>28.58</v>
      </c>
      <c r="J1374" t="s">
        <v>85</v>
      </c>
      <c r="K1374" t="s">
        <v>35</v>
      </c>
      <c r="L1374" s="4">
        <f>Table4[[#This Row],[quantity]]*Table4[[#This Row],[unit_price]]</f>
        <v>28.58</v>
      </c>
      <c r="M1374">
        <f>COUNTIFS($C$2:$C$3934,Table4[[#This Row],[customer_id]])</f>
        <v>5</v>
      </c>
      <c r="N1374" t="str">
        <f>IF(Table4[[#This Row],[customer_order_count]]=1,"New Customer","Repeat Customer")</f>
        <v>Repeat Customer</v>
      </c>
    </row>
    <row r="1375" spans="1:14">
      <c r="A1375" t="s">
        <v>4514</v>
      </c>
      <c r="B1375" s="1">
        <v>45103</v>
      </c>
      <c r="C1375" t="s">
        <v>822</v>
      </c>
      <c r="D1375" t="s">
        <v>496</v>
      </c>
      <c r="E1375" t="s">
        <v>21</v>
      </c>
      <c r="F1375" t="s">
        <v>79</v>
      </c>
      <c r="G1375" t="s">
        <v>398</v>
      </c>
      <c r="H1375">
        <v>2</v>
      </c>
      <c r="I1375" s="3">
        <v>28.59</v>
      </c>
      <c r="J1375" t="s">
        <v>16</v>
      </c>
      <c r="K1375" t="s">
        <v>30</v>
      </c>
      <c r="L1375" s="4">
        <f>Table4[[#This Row],[quantity]]*Table4[[#This Row],[unit_price]]</f>
        <v>57.18</v>
      </c>
      <c r="M1375">
        <f>COUNTIFS($C$2:$C$3934,Table4[[#This Row],[customer_id]])</f>
        <v>6</v>
      </c>
      <c r="N1375" t="str">
        <f>IF(Table4[[#This Row],[customer_order_count]]=1,"New Customer","Repeat Customer")</f>
        <v>Repeat Customer</v>
      </c>
    </row>
    <row r="1376" spans="1:14">
      <c r="A1376" t="s">
        <v>2097</v>
      </c>
      <c r="B1376" s="1">
        <v>45638</v>
      </c>
      <c r="C1376" t="s">
        <v>1537</v>
      </c>
      <c r="D1376" t="s">
        <v>1179</v>
      </c>
      <c r="E1376" t="s">
        <v>21</v>
      </c>
      <c r="F1376" t="s">
        <v>22</v>
      </c>
      <c r="G1376" t="s">
        <v>162</v>
      </c>
      <c r="H1376">
        <v>1</v>
      </c>
      <c r="I1376" s="3">
        <v>28.6</v>
      </c>
      <c r="J1376" t="s">
        <v>16</v>
      </c>
      <c r="K1376" t="s">
        <v>17</v>
      </c>
      <c r="L1376" s="4">
        <f>Table4[[#This Row],[quantity]]*Table4[[#This Row],[unit_price]]</f>
        <v>28.6</v>
      </c>
      <c r="M1376">
        <f>COUNTIFS($C$2:$C$3934,Table4[[#This Row],[customer_id]])</f>
        <v>4</v>
      </c>
      <c r="N1376" t="str">
        <f>IF(Table4[[#This Row],[customer_order_count]]=1,"New Customer","Repeat Customer")</f>
        <v>Repeat Customer</v>
      </c>
    </row>
    <row r="1377" spans="1:14">
      <c r="A1377" t="s">
        <v>4601</v>
      </c>
      <c r="B1377" s="1">
        <v>45567</v>
      </c>
      <c r="C1377" t="s">
        <v>1016</v>
      </c>
      <c r="D1377" t="s">
        <v>1017</v>
      </c>
      <c r="E1377" t="s">
        <v>106</v>
      </c>
      <c r="F1377" t="s">
        <v>28</v>
      </c>
      <c r="G1377" t="s">
        <v>139</v>
      </c>
      <c r="H1377">
        <v>1</v>
      </c>
      <c r="I1377" s="3">
        <v>28.61</v>
      </c>
      <c r="J1377" t="s">
        <v>16</v>
      </c>
      <c r="K1377" t="s">
        <v>40</v>
      </c>
      <c r="L1377" s="4">
        <f>Table4[[#This Row],[quantity]]*Table4[[#This Row],[unit_price]]</f>
        <v>28.61</v>
      </c>
      <c r="M1377">
        <f>COUNTIFS($C$2:$C$3934,Table4[[#This Row],[customer_id]])</f>
        <v>2</v>
      </c>
      <c r="N1377" t="str">
        <f>IF(Table4[[#This Row],[customer_order_count]]=1,"New Customer","Repeat Customer")</f>
        <v>Repeat Customer</v>
      </c>
    </row>
    <row r="1378" spans="1:14">
      <c r="A1378" t="s">
        <v>4843</v>
      </c>
      <c r="B1378" s="1">
        <v>45455</v>
      </c>
      <c r="C1378" t="s">
        <v>3724</v>
      </c>
      <c r="D1378" t="s">
        <v>928</v>
      </c>
      <c r="E1378" t="s">
        <v>21</v>
      </c>
      <c r="F1378" t="s">
        <v>70</v>
      </c>
      <c r="G1378" t="s">
        <v>170</v>
      </c>
      <c r="H1378">
        <v>5</v>
      </c>
      <c r="I1378" s="3">
        <v>28.62</v>
      </c>
      <c r="J1378" t="s">
        <v>16</v>
      </c>
      <c r="K1378" t="s">
        <v>30</v>
      </c>
      <c r="L1378" s="4">
        <f>Table4[[#This Row],[quantity]]*Table4[[#This Row],[unit_price]]</f>
        <v>143.1</v>
      </c>
      <c r="M1378">
        <f>COUNTIFS($C$2:$C$3934,Table4[[#This Row],[customer_id]])</f>
        <v>3</v>
      </c>
      <c r="N1378" t="str">
        <f>IF(Table4[[#This Row],[customer_order_count]]=1,"New Customer","Repeat Customer")</f>
        <v>Repeat Customer</v>
      </c>
    </row>
    <row r="1379" spans="1:14">
      <c r="A1379" t="s">
        <v>1474</v>
      </c>
      <c r="B1379" s="1">
        <v>45372</v>
      </c>
      <c r="C1379" t="s">
        <v>104</v>
      </c>
      <c r="D1379" t="s">
        <v>105</v>
      </c>
      <c r="E1379" t="s">
        <v>21</v>
      </c>
      <c r="F1379" t="s">
        <v>28</v>
      </c>
      <c r="G1379" t="s">
        <v>114</v>
      </c>
      <c r="H1379">
        <v>1</v>
      </c>
      <c r="I1379" s="3">
        <v>28.64</v>
      </c>
      <c r="J1379" t="s">
        <v>16</v>
      </c>
      <c r="K1379" t="s">
        <v>35</v>
      </c>
      <c r="L1379" s="4">
        <f>Table4[[#This Row],[quantity]]*Table4[[#This Row],[unit_price]]</f>
        <v>28.64</v>
      </c>
      <c r="M1379">
        <f>COUNTIFS($C$2:$C$3934,Table4[[#This Row],[customer_id]])</f>
        <v>9</v>
      </c>
      <c r="N1379" t="str">
        <f>IF(Table4[[#This Row],[customer_order_count]]=1,"New Customer","Repeat Customer")</f>
        <v>Repeat Customer</v>
      </c>
    </row>
    <row r="1380" spans="1:14">
      <c r="A1380" t="s">
        <v>1162</v>
      </c>
      <c r="B1380" s="1">
        <v>45485</v>
      </c>
      <c r="C1380" t="s">
        <v>1163</v>
      </c>
      <c r="D1380" t="s">
        <v>1164</v>
      </c>
      <c r="E1380" t="s">
        <v>21</v>
      </c>
      <c r="F1380" t="s">
        <v>66</v>
      </c>
      <c r="G1380" t="s">
        <v>238</v>
      </c>
      <c r="H1380">
        <v>1</v>
      </c>
      <c r="I1380" s="3">
        <v>28.65</v>
      </c>
      <c r="J1380" t="s">
        <v>16</v>
      </c>
      <c r="K1380" t="s">
        <v>40</v>
      </c>
      <c r="L1380" s="4">
        <f>Table4[[#This Row],[quantity]]*Table4[[#This Row],[unit_price]]</f>
        <v>28.65</v>
      </c>
      <c r="M1380">
        <f>COUNTIFS($C$2:$C$3934,Table4[[#This Row],[customer_id]])</f>
        <v>6</v>
      </c>
      <c r="N1380" t="str">
        <f>IF(Table4[[#This Row],[customer_order_count]]=1,"New Customer","Repeat Customer")</f>
        <v>Repeat Customer</v>
      </c>
    </row>
    <row r="1381" spans="1:14">
      <c r="A1381" t="s">
        <v>2528</v>
      </c>
      <c r="B1381" s="1">
        <v>44947</v>
      </c>
      <c r="C1381" t="s">
        <v>696</v>
      </c>
      <c r="D1381" t="s">
        <v>582</v>
      </c>
      <c r="E1381" t="s">
        <v>21</v>
      </c>
      <c r="F1381" t="s">
        <v>66</v>
      </c>
      <c r="G1381" t="s">
        <v>67</v>
      </c>
      <c r="H1381">
        <v>1</v>
      </c>
      <c r="I1381" s="3">
        <v>28.69</v>
      </c>
      <c r="J1381" t="s">
        <v>255</v>
      </c>
      <c r="K1381" t="s">
        <v>35</v>
      </c>
      <c r="L1381" s="4">
        <f>Table4[[#This Row],[quantity]]*Table4[[#This Row],[unit_price]]</f>
        <v>28.69</v>
      </c>
      <c r="M1381">
        <f>COUNTIFS($C$2:$C$3934,Table4[[#This Row],[customer_id]])</f>
        <v>12</v>
      </c>
      <c r="N1381" t="str">
        <f>IF(Table4[[#This Row],[customer_order_count]]=1,"New Customer","Repeat Customer")</f>
        <v>Repeat Customer</v>
      </c>
    </row>
    <row r="1382" spans="1:14">
      <c r="A1382" t="s">
        <v>5079</v>
      </c>
      <c r="B1382" s="1">
        <v>45625</v>
      </c>
      <c r="C1382" t="s">
        <v>1766</v>
      </c>
      <c r="D1382" t="s">
        <v>1767</v>
      </c>
      <c r="E1382" t="s">
        <v>21</v>
      </c>
      <c r="F1382" t="s">
        <v>28</v>
      </c>
      <c r="G1382" t="s">
        <v>45</v>
      </c>
      <c r="H1382">
        <v>2</v>
      </c>
      <c r="I1382" s="3">
        <v>28.69</v>
      </c>
      <c r="J1382" t="s">
        <v>16</v>
      </c>
      <c r="K1382" t="s">
        <v>35</v>
      </c>
      <c r="L1382" s="4">
        <f>Table4[[#This Row],[quantity]]*Table4[[#This Row],[unit_price]]</f>
        <v>57.38</v>
      </c>
      <c r="M1382">
        <f>COUNTIFS($C$2:$C$3934,Table4[[#This Row],[customer_id]])</f>
        <v>7</v>
      </c>
      <c r="N1382" t="str">
        <f>IF(Table4[[#This Row],[customer_order_count]]=1,"New Customer","Repeat Customer")</f>
        <v>Repeat Customer</v>
      </c>
    </row>
    <row r="1383" spans="1:14">
      <c r="A1383" t="s">
        <v>1469</v>
      </c>
      <c r="B1383" s="1">
        <v>45054</v>
      </c>
      <c r="C1383" t="s">
        <v>1470</v>
      </c>
      <c r="D1383" t="s">
        <v>769</v>
      </c>
      <c r="E1383" t="s">
        <v>106</v>
      </c>
      <c r="F1383" t="s">
        <v>28</v>
      </c>
      <c r="G1383" t="s">
        <v>114</v>
      </c>
      <c r="H1383">
        <v>1</v>
      </c>
      <c r="I1383" s="3">
        <v>28.72</v>
      </c>
      <c r="J1383" t="s">
        <v>16</v>
      </c>
      <c r="K1383" s="2" t="s">
        <v>5256</v>
      </c>
      <c r="L1383" s="4">
        <f>Table4[[#This Row],[quantity]]*Table4[[#This Row],[unit_price]]</f>
        <v>28.72</v>
      </c>
      <c r="M1383">
        <f>COUNTIFS($C$2:$C$3934,Table4[[#This Row],[customer_id]])</f>
        <v>2</v>
      </c>
      <c r="N1383" t="str">
        <f>IF(Table4[[#This Row],[customer_order_count]]=1,"New Customer","Repeat Customer")</f>
        <v>Repeat Customer</v>
      </c>
    </row>
    <row r="1384" spans="1:14">
      <c r="A1384" t="s">
        <v>3699</v>
      </c>
      <c r="B1384" s="1">
        <v>45296</v>
      </c>
      <c r="C1384" t="s">
        <v>2292</v>
      </c>
      <c r="D1384" t="s">
        <v>714</v>
      </c>
      <c r="E1384" t="s">
        <v>21</v>
      </c>
      <c r="F1384" t="s">
        <v>56</v>
      </c>
      <c r="G1384" t="s">
        <v>254</v>
      </c>
      <c r="H1384">
        <v>1</v>
      </c>
      <c r="I1384" s="3">
        <v>28.73</v>
      </c>
      <c r="J1384" t="s">
        <v>16</v>
      </c>
      <c r="K1384" s="5" t="s">
        <v>35</v>
      </c>
      <c r="L1384" s="4">
        <f>Table4[[#This Row],[quantity]]*Table4[[#This Row],[unit_price]]</f>
        <v>28.73</v>
      </c>
      <c r="M1384">
        <f>COUNTIFS($C$2:$C$3934,Table4[[#This Row],[customer_id]])</f>
        <v>6</v>
      </c>
      <c r="N1384" t="str">
        <f>IF(Table4[[#This Row],[customer_order_count]]=1,"New Customer","Repeat Customer")</f>
        <v>Repeat Customer</v>
      </c>
    </row>
    <row r="1385" spans="1:14">
      <c r="A1385" t="s">
        <v>1703</v>
      </c>
      <c r="B1385" s="1">
        <v>44960</v>
      </c>
      <c r="C1385" t="s">
        <v>604</v>
      </c>
      <c r="D1385" t="s">
        <v>38</v>
      </c>
      <c r="E1385" t="s">
        <v>21</v>
      </c>
      <c r="F1385" t="s">
        <v>28</v>
      </c>
      <c r="G1385" t="s">
        <v>29</v>
      </c>
      <c r="H1385">
        <v>2</v>
      </c>
      <c r="I1385" s="3">
        <v>28.73</v>
      </c>
      <c r="J1385" t="s">
        <v>16</v>
      </c>
      <c r="K1385" t="s">
        <v>40</v>
      </c>
      <c r="L1385" s="4">
        <f>Table4[[#This Row],[quantity]]*Table4[[#This Row],[unit_price]]</f>
        <v>57.46</v>
      </c>
      <c r="M1385">
        <f>COUNTIFS($C$2:$C$3934,Table4[[#This Row],[customer_id]])</f>
        <v>7</v>
      </c>
      <c r="N1385" t="str">
        <f>IF(Table4[[#This Row],[customer_order_count]]=1,"New Customer","Repeat Customer")</f>
        <v>Repeat Customer</v>
      </c>
    </row>
    <row r="1386" spans="1:14">
      <c r="A1386" t="s">
        <v>1640</v>
      </c>
      <c r="B1386" s="1">
        <v>45633</v>
      </c>
      <c r="C1386" t="s">
        <v>848</v>
      </c>
      <c r="D1386" t="s">
        <v>340</v>
      </c>
      <c r="E1386" t="s">
        <v>21</v>
      </c>
      <c r="F1386" t="s">
        <v>28</v>
      </c>
      <c r="G1386" t="s">
        <v>29</v>
      </c>
      <c r="H1386">
        <v>1</v>
      </c>
      <c r="I1386" s="3">
        <v>28.74</v>
      </c>
      <c r="J1386" t="s">
        <v>24</v>
      </c>
      <c r="K1386" t="s">
        <v>17</v>
      </c>
      <c r="L1386" s="4">
        <f>Table4[[#This Row],[quantity]]*Table4[[#This Row],[unit_price]]</f>
        <v>28.74</v>
      </c>
      <c r="M1386">
        <f>COUNTIFS($C$2:$C$3934,Table4[[#This Row],[customer_id]])</f>
        <v>9</v>
      </c>
      <c r="N1386" t="str">
        <f>IF(Table4[[#This Row],[customer_order_count]]=1,"New Customer","Repeat Customer")</f>
        <v>Repeat Customer</v>
      </c>
    </row>
    <row r="1387" spans="1:14">
      <c r="A1387" t="s">
        <v>644</v>
      </c>
      <c r="B1387" s="1">
        <v>45434</v>
      </c>
      <c r="C1387" t="s">
        <v>645</v>
      </c>
      <c r="D1387" t="s">
        <v>646</v>
      </c>
      <c r="E1387" t="s">
        <v>61</v>
      </c>
      <c r="F1387" t="s">
        <v>66</v>
      </c>
      <c r="G1387" t="s">
        <v>217</v>
      </c>
      <c r="H1387">
        <v>1</v>
      </c>
      <c r="I1387" s="3">
        <v>28.76</v>
      </c>
      <c r="J1387" t="s">
        <v>16</v>
      </c>
      <c r="K1387" t="s">
        <v>17</v>
      </c>
      <c r="L1387" s="4">
        <f>Table4[[#This Row],[quantity]]*Table4[[#This Row],[unit_price]]</f>
        <v>28.76</v>
      </c>
      <c r="M1387">
        <f>COUNTIFS($C$2:$C$3934,Table4[[#This Row],[customer_id]])</f>
        <v>1</v>
      </c>
      <c r="N1387" t="str">
        <f>IF(Table4[[#This Row],[customer_order_count]]=1,"New Customer","Repeat Customer")</f>
        <v>New Customer</v>
      </c>
    </row>
    <row r="1388" spans="1:14">
      <c r="A1388" t="s">
        <v>795</v>
      </c>
      <c r="B1388" s="1">
        <v>45222</v>
      </c>
      <c r="C1388" t="s">
        <v>796</v>
      </c>
      <c r="D1388" t="s">
        <v>797</v>
      </c>
      <c r="E1388" t="s">
        <v>21</v>
      </c>
      <c r="F1388" t="s">
        <v>22</v>
      </c>
      <c r="G1388" t="s">
        <v>142</v>
      </c>
      <c r="H1388">
        <v>1</v>
      </c>
      <c r="I1388" s="3">
        <v>28.79</v>
      </c>
      <c r="J1388" t="s">
        <v>16</v>
      </c>
      <c r="K1388" t="s">
        <v>40</v>
      </c>
      <c r="L1388" s="4">
        <f>Table4[[#This Row],[quantity]]*Table4[[#This Row],[unit_price]]</f>
        <v>28.79</v>
      </c>
      <c r="M1388">
        <f>COUNTIFS($C$2:$C$3934,Table4[[#This Row],[customer_id]])</f>
        <v>6</v>
      </c>
      <c r="N1388" t="str">
        <f>IF(Table4[[#This Row],[customer_order_count]]=1,"New Customer","Repeat Customer")</f>
        <v>Repeat Customer</v>
      </c>
    </row>
    <row r="1389" spans="1:14">
      <c r="A1389" t="s">
        <v>4886</v>
      </c>
      <c r="B1389" s="1">
        <v>45110</v>
      </c>
      <c r="C1389" t="s">
        <v>1064</v>
      </c>
      <c r="D1389" t="s">
        <v>1065</v>
      </c>
      <c r="E1389" t="s">
        <v>21</v>
      </c>
      <c r="F1389" t="s">
        <v>70</v>
      </c>
      <c r="G1389" t="s">
        <v>526</v>
      </c>
      <c r="H1389">
        <v>1</v>
      </c>
      <c r="I1389" s="3">
        <v>28.8</v>
      </c>
      <c r="J1389" t="s">
        <v>85</v>
      </c>
      <c r="K1389" t="s">
        <v>35</v>
      </c>
      <c r="L1389" s="4">
        <f>Table4[[#This Row],[quantity]]*Table4[[#This Row],[unit_price]]</f>
        <v>28.8</v>
      </c>
      <c r="M1389">
        <f>COUNTIFS($C$2:$C$3934,Table4[[#This Row],[customer_id]])</f>
        <v>7</v>
      </c>
      <c r="N1389" t="str">
        <f>IF(Table4[[#This Row],[customer_order_count]]=1,"New Customer","Repeat Customer")</f>
        <v>Repeat Customer</v>
      </c>
    </row>
    <row r="1390" spans="1:14">
      <c r="A1390" t="s">
        <v>1626</v>
      </c>
      <c r="B1390" s="1">
        <v>45134</v>
      </c>
      <c r="C1390" t="s">
        <v>463</v>
      </c>
      <c r="D1390" t="s">
        <v>464</v>
      </c>
      <c r="E1390" t="s">
        <v>44</v>
      </c>
      <c r="F1390" t="s">
        <v>66</v>
      </c>
      <c r="G1390" t="s">
        <v>67</v>
      </c>
      <c r="H1390">
        <v>2</v>
      </c>
      <c r="I1390" s="3">
        <v>28.8</v>
      </c>
      <c r="J1390" t="s">
        <v>16</v>
      </c>
      <c r="K1390" t="s">
        <v>30</v>
      </c>
      <c r="L1390" s="4">
        <f>Table4[[#This Row],[quantity]]*Table4[[#This Row],[unit_price]]</f>
        <v>57.6</v>
      </c>
      <c r="M1390">
        <f>COUNTIFS($C$2:$C$3934,Table4[[#This Row],[customer_id]])</f>
        <v>4</v>
      </c>
      <c r="N1390" t="str">
        <f>IF(Table4[[#This Row],[customer_order_count]]=1,"New Customer","Repeat Customer")</f>
        <v>Repeat Customer</v>
      </c>
    </row>
    <row r="1391" spans="1:14">
      <c r="A1391" t="s">
        <v>919</v>
      </c>
      <c r="B1391" s="1">
        <v>45334</v>
      </c>
      <c r="C1391" t="s">
        <v>474</v>
      </c>
      <c r="D1391" t="s">
        <v>475</v>
      </c>
      <c r="E1391" t="s">
        <v>21</v>
      </c>
      <c r="F1391" t="s">
        <v>28</v>
      </c>
      <c r="G1391" t="s">
        <v>84</v>
      </c>
      <c r="H1391">
        <v>1</v>
      </c>
      <c r="I1391" s="3">
        <v>28.83</v>
      </c>
      <c r="J1391" t="s">
        <v>16</v>
      </c>
      <c r="K1391" t="s">
        <v>17</v>
      </c>
      <c r="L1391" s="4">
        <f>Table4[[#This Row],[quantity]]*Table4[[#This Row],[unit_price]]</f>
        <v>28.83</v>
      </c>
      <c r="M1391">
        <f>COUNTIFS($C$2:$C$3934,Table4[[#This Row],[customer_id]])</f>
        <v>6</v>
      </c>
      <c r="N1391" t="str">
        <f>IF(Table4[[#This Row],[customer_order_count]]=1,"New Customer","Repeat Customer")</f>
        <v>Repeat Customer</v>
      </c>
    </row>
    <row r="1392" spans="1:14">
      <c r="A1392" t="s">
        <v>1945</v>
      </c>
      <c r="B1392" s="1">
        <v>45419</v>
      </c>
      <c r="C1392" t="s">
        <v>329</v>
      </c>
      <c r="D1392" t="s">
        <v>330</v>
      </c>
      <c r="E1392" t="s">
        <v>21</v>
      </c>
      <c r="F1392" t="s">
        <v>70</v>
      </c>
      <c r="G1392" t="s">
        <v>71</v>
      </c>
      <c r="H1392">
        <v>1</v>
      </c>
      <c r="I1392" s="3">
        <v>28.85</v>
      </c>
      <c r="J1392" t="s">
        <v>255</v>
      </c>
      <c r="K1392" t="s">
        <v>17</v>
      </c>
      <c r="L1392" s="4">
        <f>Table4[[#This Row],[quantity]]*Table4[[#This Row],[unit_price]]</f>
        <v>28.85</v>
      </c>
      <c r="M1392">
        <f>COUNTIFS($C$2:$C$3934,Table4[[#This Row],[customer_id]])</f>
        <v>5</v>
      </c>
      <c r="N1392" t="str">
        <f>IF(Table4[[#This Row],[customer_order_count]]=1,"New Customer","Repeat Customer")</f>
        <v>Repeat Customer</v>
      </c>
    </row>
    <row r="1393" spans="1:14">
      <c r="A1393" t="s">
        <v>4002</v>
      </c>
      <c r="B1393" s="1">
        <v>45056</v>
      </c>
      <c r="C1393" t="s">
        <v>451</v>
      </c>
      <c r="D1393" t="s">
        <v>452</v>
      </c>
      <c r="E1393" t="s">
        <v>44</v>
      </c>
      <c r="F1393" t="s">
        <v>66</v>
      </c>
      <c r="G1393" t="s">
        <v>217</v>
      </c>
      <c r="H1393">
        <v>1</v>
      </c>
      <c r="I1393" s="3">
        <v>28.86</v>
      </c>
      <c r="J1393" t="s">
        <v>255</v>
      </c>
      <c r="K1393" t="s">
        <v>35</v>
      </c>
      <c r="L1393" s="4">
        <f>Table4[[#This Row],[quantity]]*Table4[[#This Row],[unit_price]]</f>
        <v>28.86</v>
      </c>
      <c r="M1393">
        <f>COUNTIFS($C$2:$C$3934,Table4[[#This Row],[customer_id]])</f>
        <v>8</v>
      </c>
      <c r="N1393" t="str">
        <f>IF(Table4[[#This Row],[customer_order_count]]=1,"New Customer","Repeat Customer")</f>
        <v>Repeat Customer</v>
      </c>
    </row>
    <row r="1394" spans="1:14">
      <c r="A1394" t="s">
        <v>1235</v>
      </c>
      <c r="B1394" s="1">
        <v>45178</v>
      </c>
      <c r="C1394" t="s">
        <v>1236</v>
      </c>
      <c r="D1394" t="s">
        <v>750</v>
      </c>
      <c r="E1394" t="s">
        <v>21</v>
      </c>
      <c r="F1394" t="s">
        <v>70</v>
      </c>
      <c r="G1394" t="s">
        <v>526</v>
      </c>
      <c r="H1394">
        <v>1</v>
      </c>
      <c r="I1394" s="3">
        <v>28.87</v>
      </c>
      <c r="J1394" t="s">
        <v>16</v>
      </c>
      <c r="K1394" t="s">
        <v>30</v>
      </c>
      <c r="L1394" s="4">
        <f>Table4[[#This Row],[quantity]]*Table4[[#This Row],[unit_price]]</f>
        <v>28.87</v>
      </c>
      <c r="M1394">
        <f>COUNTIFS($C$2:$C$3934,Table4[[#This Row],[customer_id]])</f>
        <v>1</v>
      </c>
      <c r="N1394" t="str">
        <f>IF(Table4[[#This Row],[customer_order_count]]=1,"New Customer","Repeat Customer")</f>
        <v>New Customer</v>
      </c>
    </row>
    <row r="1395" spans="1:14">
      <c r="A1395" t="s">
        <v>4644</v>
      </c>
      <c r="B1395" s="1">
        <v>45115</v>
      </c>
      <c r="C1395" t="s">
        <v>437</v>
      </c>
      <c r="D1395" t="s">
        <v>438</v>
      </c>
      <c r="E1395" t="s">
        <v>21</v>
      </c>
      <c r="F1395" t="s">
        <v>66</v>
      </c>
      <c r="G1395" t="s">
        <v>238</v>
      </c>
      <c r="H1395">
        <v>1</v>
      </c>
      <c r="I1395" s="3">
        <v>28.89</v>
      </c>
      <c r="J1395" t="s">
        <v>16</v>
      </c>
      <c r="K1395" t="s">
        <v>17</v>
      </c>
      <c r="L1395" s="4">
        <f>Table4[[#This Row],[quantity]]*Table4[[#This Row],[unit_price]]</f>
        <v>28.89</v>
      </c>
      <c r="M1395">
        <f>COUNTIFS($C$2:$C$3934,Table4[[#This Row],[customer_id]])</f>
        <v>7</v>
      </c>
      <c r="N1395" t="str">
        <f>IF(Table4[[#This Row],[customer_order_count]]=1,"New Customer","Repeat Customer")</f>
        <v>Repeat Customer</v>
      </c>
    </row>
    <row r="1396" spans="1:14">
      <c r="A1396" t="s">
        <v>1151</v>
      </c>
      <c r="B1396" s="1">
        <v>44957</v>
      </c>
      <c r="C1396" t="s">
        <v>1152</v>
      </c>
      <c r="D1396" t="s">
        <v>1153</v>
      </c>
      <c r="E1396" t="s">
        <v>21</v>
      </c>
      <c r="F1396" t="s">
        <v>66</v>
      </c>
      <c r="G1396" t="s">
        <v>49</v>
      </c>
      <c r="H1396">
        <v>1</v>
      </c>
      <c r="I1396" s="3">
        <v>28.9</v>
      </c>
      <c r="J1396" t="s">
        <v>85</v>
      </c>
      <c r="K1396" t="s">
        <v>35</v>
      </c>
      <c r="L1396" s="4">
        <f>Table4[[#This Row],[quantity]]*Table4[[#This Row],[unit_price]]</f>
        <v>28.9</v>
      </c>
      <c r="M1396">
        <f>COUNTIFS($C$2:$C$3934,Table4[[#This Row],[customer_id]])</f>
        <v>4</v>
      </c>
      <c r="N1396" t="str">
        <f>IF(Table4[[#This Row],[customer_order_count]]=1,"New Customer","Repeat Customer")</f>
        <v>Repeat Customer</v>
      </c>
    </row>
    <row r="1397" spans="1:14">
      <c r="A1397" t="s">
        <v>4591</v>
      </c>
      <c r="B1397" s="1">
        <v>45573</v>
      </c>
      <c r="C1397" t="s">
        <v>427</v>
      </c>
      <c r="D1397" t="s">
        <v>428</v>
      </c>
      <c r="E1397" t="s">
        <v>21</v>
      </c>
      <c r="F1397" t="s">
        <v>14</v>
      </c>
      <c r="G1397" t="s">
        <v>34</v>
      </c>
      <c r="H1397">
        <v>1</v>
      </c>
      <c r="I1397" s="3">
        <v>28.9</v>
      </c>
      <c r="J1397" t="s">
        <v>16</v>
      </c>
      <c r="K1397" t="s">
        <v>17</v>
      </c>
      <c r="L1397" s="4">
        <f>Table4[[#This Row],[quantity]]*Table4[[#This Row],[unit_price]]</f>
        <v>28.9</v>
      </c>
      <c r="M1397">
        <f>COUNTIFS($C$2:$C$3934,Table4[[#This Row],[customer_id]])</f>
        <v>6</v>
      </c>
      <c r="N1397" t="str">
        <f>IF(Table4[[#This Row],[customer_order_count]]=1,"New Customer","Repeat Customer")</f>
        <v>Repeat Customer</v>
      </c>
    </row>
    <row r="1398" spans="1:14">
      <c r="A1398" t="s">
        <v>3895</v>
      </c>
      <c r="B1398" s="1">
        <v>45134</v>
      </c>
      <c r="C1398" t="s">
        <v>793</v>
      </c>
      <c r="D1398" t="s">
        <v>794</v>
      </c>
      <c r="E1398" t="s">
        <v>44</v>
      </c>
      <c r="F1398" t="s">
        <v>22</v>
      </c>
      <c r="G1398" t="s">
        <v>135</v>
      </c>
      <c r="H1398">
        <v>3</v>
      </c>
      <c r="I1398" s="3">
        <v>28.92</v>
      </c>
      <c r="J1398" t="s">
        <v>85</v>
      </c>
      <c r="K1398" t="s">
        <v>17</v>
      </c>
      <c r="L1398" s="4">
        <f>Table4[[#This Row],[quantity]]*Table4[[#This Row],[unit_price]]</f>
        <v>86.76</v>
      </c>
      <c r="M1398">
        <f>COUNTIFS($C$2:$C$3934,Table4[[#This Row],[customer_id]])</f>
        <v>5</v>
      </c>
      <c r="N1398" t="str">
        <f>IF(Table4[[#This Row],[customer_order_count]]=1,"New Customer","Repeat Customer")</f>
        <v>Repeat Customer</v>
      </c>
    </row>
    <row r="1399" spans="1:14">
      <c r="A1399" t="s">
        <v>4547</v>
      </c>
      <c r="B1399" s="1">
        <v>45186</v>
      </c>
      <c r="C1399" t="s">
        <v>2573</v>
      </c>
      <c r="D1399" t="s">
        <v>1838</v>
      </c>
      <c r="E1399" t="s">
        <v>21</v>
      </c>
      <c r="F1399" t="s">
        <v>22</v>
      </c>
      <c r="G1399" t="s">
        <v>162</v>
      </c>
      <c r="H1399">
        <v>1</v>
      </c>
      <c r="I1399" s="3">
        <v>28.93</v>
      </c>
      <c r="J1399" t="s">
        <v>24</v>
      </c>
      <c r="K1399" t="s">
        <v>40</v>
      </c>
      <c r="L1399" s="4">
        <f>Table4[[#This Row],[quantity]]*Table4[[#This Row],[unit_price]]</f>
        <v>28.93</v>
      </c>
      <c r="M1399">
        <f>COUNTIFS($C$2:$C$3934,Table4[[#This Row],[customer_id]])</f>
        <v>3</v>
      </c>
      <c r="N1399" t="str">
        <f>IF(Table4[[#This Row],[customer_order_count]]=1,"New Customer","Repeat Customer")</f>
        <v>Repeat Customer</v>
      </c>
    </row>
    <row r="1400" spans="1:14">
      <c r="A1400" t="s">
        <v>3255</v>
      </c>
      <c r="B1400" s="1">
        <v>45386</v>
      </c>
      <c r="C1400" t="s">
        <v>1717</v>
      </c>
      <c r="D1400" t="s">
        <v>573</v>
      </c>
      <c r="E1400" t="s">
        <v>21</v>
      </c>
      <c r="F1400" t="s">
        <v>56</v>
      </c>
      <c r="G1400" t="s">
        <v>210</v>
      </c>
      <c r="H1400">
        <v>1</v>
      </c>
      <c r="I1400" s="3">
        <v>28.93</v>
      </c>
      <c r="J1400" t="s">
        <v>16</v>
      </c>
      <c r="K1400" t="s">
        <v>40</v>
      </c>
      <c r="L1400" s="4">
        <f>Table4[[#This Row],[quantity]]*Table4[[#This Row],[unit_price]]</f>
        <v>28.93</v>
      </c>
      <c r="M1400">
        <f>COUNTIFS($C$2:$C$3934,Table4[[#This Row],[customer_id]])</f>
        <v>7</v>
      </c>
      <c r="N1400" t="str">
        <f>IF(Table4[[#This Row],[customer_order_count]]=1,"New Customer","Repeat Customer")</f>
        <v>Repeat Customer</v>
      </c>
    </row>
    <row r="1401" spans="1:14">
      <c r="A1401" t="s">
        <v>4396</v>
      </c>
      <c r="B1401" s="1">
        <v>45525</v>
      </c>
      <c r="C1401" t="s">
        <v>1131</v>
      </c>
      <c r="D1401" t="s">
        <v>962</v>
      </c>
      <c r="E1401" t="s">
        <v>21</v>
      </c>
      <c r="F1401" t="s">
        <v>70</v>
      </c>
      <c r="G1401" t="s">
        <v>89</v>
      </c>
      <c r="H1401">
        <v>1</v>
      </c>
      <c r="I1401" s="3">
        <v>28.95</v>
      </c>
      <c r="J1401" t="s">
        <v>16</v>
      </c>
      <c r="K1401" t="s">
        <v>17</v>
      </c>
      <c r="L1401" s="4">
        <f>Table4[[#This Row],[quantity]]*Table4[[#This Row],[unit_price]]</f>
        <v>28.95</v>
      </c>
      <c r="M1401">
        <f>COUNTIFS($C$2:$C$3934,Table4[[#This Row],[customer_id]])</f>
        <v>8</v>
      </c>
      <c r="N1401" t="str">
        <f>IF(Table4[[#This Row],[customer_order_count]]=1,"New Customer","Repeat Customer")</f>
        <v>Repeat Customer</v>
      </c>
    </row>
    <row r="1402" spans="1:14">
      <c r="A1402" t="s">
        <v>4007</v>
      </c>
      <c r="B1402" s="1">
        <v>45355</v>
      </c>
      <c r="C1402" t="s">
        <v>463</v>
      </c>
      <c r="D1402" t="s">
        <v>464</v>
      </c>
      <c r="E1402" t="s">
        <v>44</v>
      </c>
      <c r="F1402" t="s">
        <v>14</v>
      </c>
      <c r="G1402" t="s">
        <v>62</v>
      </c>
      <c r="H1402">
        <v>2</v>
      </c>
      <c r="I1402" s="3">
        <v>28.96</v>
      </c>
      <c r="J1402" t="s">
        <v>16</v>
      </c>
      <c r="K1402" t="s">
        <v>35</v>
      </c>
      <c r="L1402" s="4">
        <f>Table4[[#This Row],[quantity]]*Table4[[#This Row],[unit_price]]</f>
        <v>57.92</v>
      </c>
      <c r="M1402">
        <f>COUNTIFS($C$2:$C$3934,Table4[[#This Row],[customer_id]])</f>
        <v>4</v>
      </c>
      <c r="N1402" t="str">
        <f>IF(Table4[[#This Row],[customer_order_count]]=1,"New Customer","Repeat Customer")</f>
        <v>Repeat Customer</v>
      </c>
    </row>
    <row r="1403" spans="1:14">
      <c r="A1403" t="s">
        <v>3538</v>
      </c>
      <c r="B1403" s="1">
        <v>45496</v>
      </c>
      <c r="C1403" t="s">
        <v>1603</v>
      </c>
      <c r="D1403" t="s">
        <v>226</v>
      </c>
      <c r="E1403" t="s">
        <v>21</v>
      </c>
      <c r="F1403" t="s">
        <v>28</v>
      </c>
      <c r="G1403" t="s">
        <v>114</v>
      </c>
      <c r="H1403">
        <v>1</v>
      </c>
      <c r="I1403" s="3">
        <v>28.97</v>
      </c>
      <c r="J1403" t="s">
        <v>16</v>
      </c>
      <c r="K1403" t="s">
        <v>30</v>
      </c>
      <c r="L1403" s="4">
        <f>Table4[[#This Row],[quantity]]*Table4[[#This Row],[unit_price]]</f>
        <v>28.97</v>
      </c>
      <c r="M1403">
        <f>COUNTIFS($C$2:$C$3934,Table4[[#This Row],[customer_id]])</f>
        <v>6</v>
      </c>
      <c r="N1403" t="str">
        <f>IF(Table4[[#This Row],[customer_order_count]]=1,"New Customer","Repeat Customer")</f>
        <v>Repeat Customer</v>
      </c>
    </row>
    <row r="1404" spans="1:14">
      <c r="A1404" t="s">
        <v>11</v>
      </c>
      <c r="B1404" s="1">
        <v>45253</v>
      </c>
      <c r="C1404" t="s">
        <v>12</v>
      </c>
      <c r="D1404" t="s">
        <v>13</v>
      </c>
      <c r="E1404" t="s">
        <v>21</v>
      </c>
      <c r="F1404" t="s">
        <v>14</v>
      </c>
      <c r="G1404" t="s">
        <v>15</v>
      </c>
      <c r="H1404">
        <v>2</v>
      </c>
      <c r="I1404" s="3">
        <v>28.97</v>
      </c>
      <c r="J1404" t="s">
        <v>16</v>
      </c>
      <c r="K1404" t="s">
        <v>17</v>
      </c>
      <c r="L1404" s="4">
        <f>Table4[[#This Row],[quantity]]*Table4[[#This Row],[unit_price]]</f>
        <v>57.94</v>
      </c>
      <c r="M1404">
        <f>COUNTIFS($C$2:$C$3934,Table4[[#This Row],[customer_id]])</f>
        <v>10</v>
      </c>
      <c r="N1404" t="str">
        <f>IF(Table4[[#This Row],[customer_order_count]]=1,"New Customer","Repeat Customer")</f>
        <v>Repeat Customer</v>
      </c>
    </row>
    <row r="1405" spans="1:14">
      <c r="A1405" t="s">
        <v>3017</v>
      </c>
      <c r="B1405" s="1">
        <v>45002</v>
      </c>
      <c r="C1405" t="s">
        <v>1298</v>
      </c>
      <c r="D1405" t="s">
        <v>48</v>
      </c>
      <c r="E1405" t="s">
        <v>21</v>
      </c>
      <c r="F1405" t="s">
        <v>66</v>
      </c>
      <c r="G1405" t="s">
        <v>128</v>
      </c>
      <c r="H1405">
        <v>1</v>
      </c>
      <c r="I1405" s="3">
        <v>28.98</v>
      </c>
      <c r="J1405" t="s">
        <v>16</v>
      </c>
      <c r="K1405" t="s">
        <v>30</v>
      </c>
      <c r="L1405" s="4">
        <f>Table4[[#This Row],[quantity]]*Table4[[#This Row],[unit_price]]</f>
        <v>28.98</v>
      </c>
      <c r="M1405">
        <f>COUNTIFS($C$2:$C$3934,Table4[[#This Row],[customer_id]])</f>
        <v>10</v>
      </c>
      <c r="N1405" t="str">
        <f>IF(Table4[[#This Row],[customer_order_count]]=1,"New Customer","Repeat Customer")</f>
        <v>Repeat Customer</v>
      </c>
    </row>
    <row r="1406" spans="1:14">
      <c r="A1406" t="s">
        <v>4689</v>
      </c>
      <c r="B1406" s="1">
        <v>45127</v>
      </c>
      <c r="C1406" t="s">
        <v>301</v>
      </c>
      <c r="D1406" t="s">
        <v>189</v>
      </c>
      <c r="E1406" t="s">
        <v>21</v>
      </c>
      <c r="F1406" t="s">
        <v>79</v>
      </c>
      <c r="G1406" t="s">
        <v>230</v>
      </c>
      <c r="H1406">
        <v>1</v>
      </c>
      <c r="I1406" s="3">
        <v>28.99</v>
      </c>
      <c r="J1406" t="s">
        <v>16</v>
      </c>
      <c r="K1406" t="s">
        <v>35</v>
      </c>
      <c r="L1406" s="4">
        <f>Table4[[#This Row],[quantity]]*Table4[[#This Row],[unit_price]]</f>
        <v>28.99</v>
      </c>
      <c r="M1406">
        <f>COUNTIFS($C$2:$C$3934,Table4[[#This Row],[customer_id]])</f>
        <v>5</v>
      </c>
      <c r="N1406" t="str">
        <f>IF(Table4[[#This Row],[customer_order_count]]=1,"New Customer","Repeat Customer")</f>
        <v>Repeat Customer</v>
      </c>
    </row>
    <row r="1407" spans="1:14">
      <c r="A1407" t="s">
        <v>567</v>
      </c>
      <c r="B1407" s="1">
        <v>45354</v>
      </c>
      <c r="C1407" t="s">
        <v>568</v>
      </c>
      <c r="D1407" t="s">
        <v>569</v>
      </c>
      <c r="E1407" t="s">
        <v>21</v>
      </c>
      <c r="F1407" t="s">
        <v>66</v>
      </c>
      <c r="G1407" t="s">
        <v>238</v>
      </c>
      <c r="H1407">
        <v>1</v>
      </c>
      <c r="I1407" s="3">
        <v>29.02</v>
      </c>
      <c r="J1407" t="s">
        <v>16</v>
      </c>
      <c r="K1407" t="s">
        <v>30</v>
      </c>
      <c r="L1407" s="4">
        <f>Table4[[#This Row],[quantity]]*Table4[[#This Row],[unit_price]]</f>
        <v>29.02</v>
      </c>
      <c r="M1407">
        <f>COUNTIFS($C$2:$C$3934,Table4[[#This Row],[customer_id]])</f>
        <v>4</v>
      </c>
      <c r="N1407" t="str">
        <f>IF(Table4[[#This Row],[customer_order_count]]=1,"New Customer","Repeat Customer")</f>
        <v>Repeat Customer</v>
      </c>
    </row>
    <row r="1408" spans="1:14">
      <c r="A1408" t="s">
        <v>4083</v>
      </c>
      <c r="B1408" s="1">
        <v>45146</v>
      </c>
      <c r="C1408" t="s">
        <v>481</v>
      </c>
      <c r="D1408" t="s">
        <v>247</v>
      </c>
      <c r="E1408" t="s">
        <v>21</v>
      </c>
      <c r="F1408" t="s">
        <v>28</v>
      </c>
      <c r="G1408" t="s">
        <v>139</v>
      </c>
      <c r="H1408">
        <v>1</v>
      </c>
      <c r="I1408" s="3">
        <v>29.02</v>
      </c>
      <c r="J1408" t="s">
        <v>24</v>
      </c>
      <c r="K1408" t="s">
        <v>35</v>
      </c>
      <c r="L1408" s="4">
        <f>Table4[[#This Row],[quantity]]*Table4[[#This Row],[unit_price]]</f>
        <v>29.02</v>
      </c>
      <c r="M1408">
        <f>COUNTIFS($C$2:$C$3934,Table4[[#This Row],[customer_id]])</f>
        <v>7</v>
      </c>
      <c r="N1408" t="str">
        <f>IF(Table4[[#This Row],[customer_order_count]]=1,"New Customer","Repeat Customer")</f>
        <v>Repeat Customer</v>
      </c>
    </row>
    <row r="1409" spans="1:14">
      <c r="A1409" t="s">
        <v>3505</v>
      </c>
      <c r="B1409" s="1">
        <v>45283</v>
      </c>
      <c r="C1409" t="s">
        <v>395</v>
      </c>
      <c r="D1409" t="s">
        <v>396</v>
      </c>
      <c r="E1409" t="s">
        <v>21</v>
      </c>
      <c r="F1409" t="s">
        <v>79</v>
      </c>
      <c r="G1409" t="s">
        <v>200</v>
      </c>
      <c r="H1409">
        <v>2</v>
      </c>
      <c r="I1409" s="3">
        <v>29.05</v>
      </c>
      <c r="J1409" t="s">
        <v>16</v>
      </c>
      <c r="K1409" t="s">
        <v>40</v>
      </c>
      <c r="L1409" s="4">
        <f>Table4[[#This Row],[quantity]]*Table4[[#This Row],[unit_price]]</f>
        <v>58.1</v>
      </c>
      <c r="M1409">
        <f>COUNTIFS($C$2:$C$3934,Table4[[#This Row],[customer_id]])</f>
        <v>6</v>
      </c>
      <c r="N1409" t="str">
        <f>IF(Table4[[#This Row],[customer_order_count]]=1,"New Customer","Repeat Customer")</f>
        <v>Repeat Customer</v>
      </c>
    </row>
    <row r="1410" spans="1:14">
      <c r="A1410" t="s">
        <v>2739</v>
      </c>
      <c r="B1410" s="1">
        <v>45164</v>
      </c>
      <c r="C1410" t="s">
        <v>2740</v>
      </c>
      <c r="D1410" t="s">
        <v>388</v>
      </c>
      <c r="E1410" t="s">
        <v>44</v>
      </c>
      <c r="F1410" t="s">
        <v>28</v>
      </c>
      <c r="G1410" t="s">
        <v>29</v>
      </c>
      <c r="H1410">
        <v>2</v>
      </c>
      <c r="I1410" s="3">
        <v>29.05</v>
      </c>
      <c r="J1410" t="s">
        <v>16</v>
      </c>
      <c r="K1410" t="s">
        <v>17</v>
      </c>
      <c r="L1410" s="4">
        <f>Table4[[#This Row],[quantity]]*Table4[[#This Row],[unit_price]]</f>
        <v>58.1</v>
      </c>
      <c r="M1410">
        <f>COUNTIFS($C$2:$C$3934,Table4[[#This Row],[customer_id]])</f>
        <v>2</v>
      </c>
      <c r="N1410" t="str">
        <f>IF(Table4[[#This Row],[customer_order_count]]=1,"New Customer","Repeat Customer")</f>
        <v>Repeat Customer</v>
      </c>
    </row>
    <row r="1411" spans="1:14">
      <c r="A1411" t="s">
        <v>3652</v>
      </c>
      <c r="B1411" s="1">
        <v>45493</v>
      </c>
      <c r="C1411" t="s">
        <v>3355</v>
      </c>
      <c r="D1411" t="s">
        <v>1461</v>
      </c>
      <c r="E1411" t="s">
        <v>21</v>
      </c>
      <c r="F1411" t="s">
        <v>22</v>
      </c>
      <c r="G1411" t="s">
        <v>162</v>
      </c>
      <c r="H1411">
        <v>1</v>
      </c>
      <c r="I1411" s="3">
        <v>29.1</v>
      </c>
      <c r="J1411" t="s">
        <v>16</v>
      </c>
      <c r="K1411" t="s">
        <v>40</v>
      </c>
      <c r="L1411" s="4">
        <f>Table4[[#This Row],[quantity]]*Table4[[#This Row],[unit_price]]</f>
        <v>29.1</v>
      </c>
      <c r="M1411">
        <f>COUNTIFS($C$2:$C$3934,Table4[[#This Row],[customer_id]])</f>
        <v>4</v>
      </c>
      <c r="N1411" t="str">
        <f>IF(Table4[[#This Row],[customer_order_count]]=1,"New Customer","Repeat Customer")</f>
        <v>Repeat Customer</v>
      </c>
    </row>
    <row r="1412" spans="1:14">
      <c r="A1412" t="s">
        <v>5095</v>
      </c>
      <c r="B1412" s="1">
        <v>45464</v>
      </c>
      <c r="C1412" t="s">
        <v>1631</v>
      </c>
      <c r="D1412" t="s">
        <v>403</v>
      </c>
      <c r="E1412" t="s">
        <v>21</v>
      </c>
      <c r="F1412" t="s">
        <v>66</v>
      </c>
      <c r="G1412" t="s">
        <v>67</v>
      </c>
      <c r="H1412">
        <v>1</v>
      </c>
      <c r="I1412" s="3">
        <v>29.11</v>
      </c>
      <c r="J1412" t="s">
        <v>85</v>
      </c>
      <c r="K1412" t="s">
        <v>30</v>
      </c>
      <c r="L1412" s="4">
        <f>Table4[[#This Row],[quantity]]*Table4[[#This Row],[unit_price]]</f>
        <v>29.11</v>
      </c>
      <c r="M1412">
        <f>COUNTIFS($C$2:$C$3934,Table4[[#This Row],[customer_id]])</f>
        <v>7</v>
      </c>
      <c r="N1412" t="str">
        <f>IF(Table4[[#This Row],[customer_order_count]]=1,"New Customer","Repeat Customer")</f>
        <v>Repeat Customer</v>
      </c>
    </row>
    <row r="1413" spans="1:14">
      <c r="A1413" t="s">
        <v>4765</v>
      </c>
      <c r="B1413" s="1">
        <v>45062</v>
      </c>
      <c r="C1413" t="s">
        <v>742</v>
      </c>
      <c r="D1413" t="s">
        <v>743</v>
      </c>
      <c r="E1413" t="s">
        <v>21</v>
      </c>
      <c r="F1413" t="s">
        <v>70</v>
      </c>
      <c r="G1413" t="s">
        <v>170</v>
      </c>
      <c r="H1413">
        <v>2</v>
      </c>
      <c r="I1413" s="3">
        <v>29.11</v>
      </c>
      <c r="J1413" t="s">
        <v>16</v>
      </c>
      <c r="K1413" t="s">
        <v>17</v>
      </c>
      <c r="L1413" s="4">
        <f>Table4[[#This Row],[quantity]]*Table4[[#This Row],[unit_price]]</f>
        <v>58.22</v>
      </c>
      <c r="M1413">
        <f>COUNTIFS($C$2:$C$3934,Table4[[#This Row],[customer_id]])</f>
        <v>8</v>
      </c>
      <c r="N1413" t="str">
        <f>IF(Table4[[#This Row],[customer_order_count]]=1,"New Customer","Repeat Customer")</f>
        <v>Repeat Customer</v>
      </c>
    </row>
    <row r="1414" spans="1:14">
      <c r="A1414" t="s">
        <v>3392</v>
      </c>
      <c r="B1414" s="1">
        <v>45256</v>
      </c>
      <c r="C1414" t="s">
        <v>905</v>
      </c>
      <c r="D1414" t="s">
        <v>372</v>
      </c>
      <c r="E1414" t="s">
        <v>21</v>
      </c>
      <c r="F1414" t="s">
        <v>66</v>
      </c>
      <c r="G1414" t="s">
        <v>217</v>
      </c>
      <c r="H1414">
        <v>1</v>
      </c>
      <c r="I1414" s="3">
        <v>29.14</v>
      </c>
      <c r="J1414" t="s">
        <v>16</v>
      </c>
      <c r="K1414" t="s">
        <v>30</v>
      </c>
      <c r="L1414" s="4">
        <f>Table4[[#This Row],[quantity]]*Table4[[#This Row],[unit_price]]</f>
        <v>29.14</v>
      </c>
      <c r="M1414">
        <f>COUNTIFS($C$2:$C$3934,Table4[[#This Row],[customer_id]])</f>
        <v>4</v>
      </c>
      <c r="N1414" t="str">
        <f>IF(Table4[[#This Row],[customer_order_count]]=1,"New Customer","Repeat Customer")</f>
        <v>Repeat Customer</v>
      </c>
    </row>
    <row r="1415" spans="1:14">
      <c r="A1415" t="s">
        <v>2667</v>
      </c>
      <c r="B1415" s="1">
        <v>45232</v>
      </c>
      <c r="C1415" t="s">
        <v>2013</v>
      </c>
      <c r="D1415" t="s">
        <v>2014</v>
      </c>
      <c r="E1415" t="s">
        <v>21</v>
      </c>
      <c r="F1415" t="s">
        <v>28</v>
      </c>
      <c r="G1415" t="s">
        <v>114</v>
      </c>
      <c r="H1415">
        <v>1</v>
      </c>
      <c r="I1415" s="3">
        <v>29.15</v>
      </c>
      <c r="J1415" t="s">
        <v>85</v>
      </c>
      <c r="K1415" t="s">
        <v>35</v>
      </c>
      <c r="L1415" s="4">
        <f>Table4[[#This Row],[quantity]]*Table4[[#This Row],[unit_price]]</f>
        <v>29.15</v>
      </c>
      <c r="M1415">
        <f>COUNTIFS($C$2:$C$3934,Table4[[#This Row],[customer_id]])</f>
        <v>5</v>
      </c>
      <c r="N1415" t="str">
        <f>IF(Table4[[#This Row],[customer_order_count]]=1,"New Customer","Repeat Customer")</f>
        <v>Repeat Customer</v>
      </c>
    </row>
    <row r="1416" spans="1:14">
      <c r="A1416" t="s">
        <v>4663</v>
      </c>
      <c r="B1416" s="1">
        <v>45406</v>
      </c>
      <c r="C1416" t="s">
        <v>512</v>
      </c>
      <c r="D1416" t="s">
        <v>513</v>
      </c>
      <c r="E1416" t="s">
        <v>21</v>
      </c>
      <c r="F1416" t="s">
        <v>22</v>
      </c>
      <c r="G1416" t="s">
        <v>135</v>
      </c>
      <c r="H1416">
        <v>5</v>
      </c>
      <c r="I1416" s="3">
        <v>29.15</v>
      </c>
      <c r="J1416" t="s">
        <v>16</v>
      </c>
      <c r="K1416" t="s">
        <v>30</v>
      </c>
      <c r="L1416" s="4">
        <f>Table4[[#This Row],[quantity]]*Table4[[#This Row],[unit_price]]</f>
        <v>145.75</v>
      </c>
      <c r="M1416">
        <f>COUNTIFS($C$2:$C$3934,Table4[[#This Row],[customer_id]])</f>
        <v>5</v>
      </c>
      <c r="N1416" t="str">
        <f>IF(Table4[[#This Row],[customer_order_count]]=1,"New Customer","Repeat Customer")</f>
        <v>Repeat Customer</v>
      </c>
    </row>
    <row r="1417" spans="1:14">
      <c r="A1417" t="s">
        <v>3826</v>
      </c>
      <c r="B1417" s="1">
        <v>45002</v>
      </c>
      <c r="C1417" t="s">
        <v>361</v>
      </c>
      <c r="D1417" t="s">
        <v>362</v>
      </c>
      <c r="E1417" t="s">
        <v>21</v>
      </c>
      <c r="F1417" t="s">
        <v>22</v>
      </c>
      <c r="G1417" t="s">
        <v>23</v>
      </c>
      <c r="H1417">
        <v>1</v>
      </c>
      <c r="I1417" s="3">
        <v>29.17</v>
      </c>
      <c r="J1417" t="s">
        <v>16</v>
      </c>
      <c r="K1417" t="s">
        <v>17</v>
      </c>
      <c r="L1417" s="4">
        <f>Table4[[#This Row],[quantity]]*Table4[[#This Row],[unit_price]]</f>
        <v>29.17</v>
      </c>
      <c r="M1417">
        <f>COUNTIFS($C$2:$C$3934,Table4[[#This Row],[customer_id]])</f>
        <v>8</v>
      </c>
      <c r="N1417" t="str">
        <f>IF(Table4[[#This Row],[customer_order_count]]=1,"New Customer","Repeat Customer")</f>
        <v>Repeat Customer</v>
      </c>
    </row>
    <row r="1418" spans="1:14">
      <c r="A1418" t="s">
        <v>4069</v>
      </c>
      <c r="B1418" s="1">
        <v>45427</v>
      </c>
      <c r="C1418" t="s">
        <v>886</v>
      </c>
      <c r="D1418" t="s">
        <v>887</v>
      </c>
      <c r="E1418" t="s">
        <v>21</v>
      </c>
      <c r="F1418" t="s">
        <v>79</v>
      </c>
      <c r="G1418" t="s">
        <v>204</v>
      </c>
      <c r="H1418">
        <v>1</v>
      </c>
      <c r="I1418" s="3">
        <v>29.22</v>
      </c>
      <c r="J1418" t="s">
        <v>16</v>
      </c>
      <c r="K1418" s="2" t="s">
        <v>5256</v>
      </c>
      <c r="L1418" s="4">
        <f>Table4[[#This Row],[quantity]]*Table4[[#This Row],[unit_price]]</f>
        <v>29.22</v>
      </c>
      <c r="M1418">
        <f>COUNTIFS($C$2:$C$3934,Table4[[#This Row],[customer_id]])</f>
        <v>4</v>
      </c>
      <c r="N1418" t="str">
        <f>IF(Table4[[#This Row],[customer_order_count]]=1,"New Customer","Repeat Customer")</f>
        <v>Repeat Customer</v>
      </c>
    </row>
    <row r="1419" spans="1:14">
      <c r="A1419" t="s">
        <v>3847</v>
      </c>
      <c r="B1419" s="1">
        <v>45616</v>
      </c>
      <c r="C1419" t="s">
        <v>2865</v>
      </c>
      <c r="D1419" t="s">
        <v>1507</v>
      </c>
      <c r="E1419" t="s">
        <v>21</v>
      </c>
      <c r="F1419" t="s">
        <v>79</v>
      </c>
      <c r="G1419" t="s">
        <v>200</v>
      </c>
      <c r="H1419">
        <v>1</v>
      </c>
      <c r="I1419" s="3">
        <v>29.22</v>
      </c>
      <c r="J1419" t="s">
        <v>16</v>
      </c>
      <c r="K1419" s="5" t="s">
        <v>35</v>
      </c>
      <c r="L1419" s="4">
        <f>Table4[[#This Row],[quantity]]*Table4[[#This Row],[unit_price]]</f>
        <v>29.22</v>
      </c>
      <c r="M1419">
        <f>COUNTIFS($C$2:$C$3934,Table4[[#This Row],[customer_id]])</f>
        <v>3</v>
      </c>
      <c r="N1419" t="str">
        <f>IF(Table4[[#This Row],[customer_order_count]]=1,"New Customer","Repeat Customer")</f>
        <v>Repeat Customer</v>
      </c>
    </row>
    <row r="1420" spans="1:14">
      <c r="A1420" t="s">
        <v>2978</v>
      </c>
      <c r="B1420" s="1">
        <v>45235</v>
      </c>
      <c r="C1420" t="s">
        <v>835</v>
      </c>
      <c r="D1420" t="s">
        <v>836</v>
      </c>
      <c r="E1420" t="s">
        <v>21</v>
      </c>
      <c r="F1420" t="s">
        <v>56</v>
      </c>
      <c r="G1420" t="s">
        <v>210</v>
      </c>
      <c r="H1420">
        <v>1</v>
      </c>
      <c r="I1420" s="3">
        <v>29.22</v>
      </c>
      <c r="J1420" t="s">
        <v>16</v>
      </c>
      <c r="K1420" t="s">
        <v>17</v>
      </c>
      <c r="L1420" s="4">
        <f>Table4[[#This Row],[quantity]]*Table4[[#This Row],[unit_price]]</f>
        <v>29.22</v>
      </c>
      <c r="M1420">
        <f>COUNTIFS($C$2:$C$3934,Table4[[#This Row],[customer_id]])</f>
        <v>2</v>
      </c>
      <c r="N1420" t="str">
        <f>IF(Table4[[#This Row],[customer_order_count]]=1,"New Customer","Repeat Customer")</f>
        <v>Repeat Customer</v>
      </c>
    </row>
    <row r="1421" spans="1:14">
      <c r="A1421" t="s">
        <v>647</v>
      </c>
      <c r="B1421" s="1">
        <v>45234</v>
      </c>
      <c r="C1421" t="s">
        <v>280</v>
      </c>
      <c r="D1421" t="s">
        <v>281</v>
      </c>
      <c r="E1421" t="s">
        <v>44</v>
      </c>
      <c r="F1421" t="s">
        <v>66</v>
      </c>
      <c r="G1421" t="s">
        <v>49</v>
      </c>
      <c r="H1421">
        <v>1</v>
      </c>
      <c r="I1421" s="3">
        <v>29.24</v>
      </c>
      <c r="J1421" t="s">
        <v>85</v>
      </c>
      <c r="K1421" t="s">
        <v>40</v>
      </c>
      <c r="L1421" s="4">
        <f>Table4[[#This Row],[quantity]]*Table4[[#This Row],[unit_price]]</f>
        <v>29.24</v>
      </c>
      <c r="M1421">
        <f>COUNTIFS($C$2:$C$3934,Table4[[#This Row],[customer_id]])</f>
        <v>6</v>
      </c>
      <c r="N1421" t="str">
        <f>IF(Table4[[#This Row],[customer_order_count]]=1,"New Customer","Repeat Customer")</f>
        <v>Repeat Customer</v>
      </c>
    </row>
    <row r="1422" spans="1:14">
      <c r="A1422" t="s">
        <v>4272</v>
      </c>
      <c r="B1422" s="1">
        <v>45274</v>
      </c>
      <c r="C1422" t="s">
        <v>1587</v>
      </c>
      <c r="D1422" t="s">
        <v>1588</v>
      </c>
      <c r="E1422" t="s">
        <v>21</v>
      </c>
      <c r="F1422" t="s">
        <v>22</v>
      </c>
      <c r="G1422" t="s">
        <v>264</v>
      </c>
      <c r="H1422">
        <v>1</v>
      </c>
      <c r="I1422" s="3">
        <v>29.27</v>
      </c>
      <c r="J1422" t="s">
        <v>16</v>
      </c>
      <c r="K1422" t="s">
        <v>30</v>
      </c>
      <c r="L1422" s="4">
        <f>Table4[[#This Row],[quantity]]*Table4[[#This Row],[unit_price]]</f>
        <v>29.27</v>
      </c>
      <c r="M1422">
        <f>COUNTIFS($C$2:$C$3934,Table4[[#This Row],[customer_id]])</f>
        <v>8</v>
      </c>
      <c r="N1422" t="str">
        <f>IF(Table4[[#This Row],[customer_order_count]]=1,"New Customer","Repeat Customer")</f>
        <v>Repeat Customer</v>
      </c>
    </row>
    <row r="1423" spans="1:14">
      <c r="A1423" t="s">
        <v>4674</v>
      </c>
      <c r="B1423" s="1">
        <v>45236</v>
      </c>
      <c r="C1423" t="s">
        <v>1062</v>
      </c>
      <c r="D1423" t="s">
        <v>340</v>
      </c>
      <c r="E1423" t="s">
        <v>61</v>
      </c>
      <c r="F1423" t="s">
        <v>28</v>
      </c>
      <c r="G1423" t="s">
        <v>84</v>
      </c>
      <c r="H1423">
        <v>1</v>
      </c>
      <c r="I1423" s="3">
        <v>29.28</v>
      </c>
      <c r="J1423" t="s">
        <v>85</v>
      </c>
      <c r="K1423" t="s">
        <v>35</v>
      </c>
      <c r="L1423" s="4">
        <f>Table4[[#This Row],[quantity]]*Table4[[#This Row],[unit_price]]</f>
        <v>29.28</v>
      </c>
      <c r="M1423">
        <f>COUNTIFS($C$2:$C$3934,Table4[[#This Row],[customer_id]])</f>
        <v>2</v>
      </c>
      <c r="N1423" t="str">
        <f>IF(Table4[[#This Row],[customer_order_count]]=1,"New Customer","Repeat Customer")</f>
        <v>Repeat Customer</v>
      </c>
    </row>
    <row r="1424" spans="1:14">
      <c r="A1424" t="s">
        <v>2582</v>
      </c>
      <c r="B1424" s="1">
        <v>45037</v>
      </c>
      <c r="C1424" t="s">
        <v>1291</v>
      </c>
      <c r="D1424" t="s">
        <v>1292</v>
      </c>
      <c r="E1424" t="s">
        <v>21</v>
      </c>
      <c r="F1424" t="s">
        <v>22</v>
      </c>
      <c r="G1424" t="s">
        <v>162</v>
      </c>
      <c r="H1424">
        <v>3</v>
      </c>
      <c r="I1424" s="3">
        <v>29.28</v>
      </c>
      <c r="J1424" t="s">
        <v>16</v>
      </c>
      <c r="K1424" s="2" t="s">
        <v>5256</v>
      </c>
      <c r="L1424" s="4">
        <f>Table4[[#This Row],[quantity]]*Table4[[#This Row],[unit_price]]</f>
        <v>87.84</v>
      </c>
      <c r="M1424">
        <f>COUNTIFS($C$2:$C$3934,Table4[[#This Row],[customer_id]])</f>
        <v>6</v>
      </c>
      <c r="N1424" t="str">
        <f>IF(Table4[[#This Row],[customer_order_count]]=1,"New Customer","Repeat Customer")</f>
        <v>Repeat Customer</v>
      </c>
    </row>
    <row r="1425" spans="1:14">
      <c r="A1425" t="s">
        <v>465</v>
      </c>
      <c r="B1425" s="1">
        <v>45525</v>
      </c>
      <c r="C1425" t="s">
        <v>466</v>
      </c>
      <c r="D1425" t="s">
        <v>467</v>
      </c>
      <c r="E1425" t="s">
        <v>44</v>
      </c>
      <c r="F1425" t="s">
        <v>66</v>
      </c>
      <c r="G1425" t="s">
        <v>49</v>
      </c>
      <c r="H1425">
        <v>1</v>
      </c>
      <c r="I1425" s="3">
        <v>29.31</v>
      </c>
      <c r="J1425" t="s">
        <v>16</v>
      </c>
      <c r="K1425" s="5" t="s">
        <v>40</v>
      </c>
      <c r="L1425" s="4">
        <f>Table4[[#This Row],[quantity]]*Table4[[#This Row],[unit_price]]</f>
        <v>29.31</v>
      </c>
      <c r="M1425">
        <f>COUNTIFS($C$2:$C$3934,Table4[[#This Row],[customer_id]])</f>
        <v>5</v>
      </c>
      <c r="N1425" t="str">
        <f>IF(Table4[[#This Row],[customer_order_count]]=1,"New Customer","Repeat Customer")</f>
        <v>Repeat Customer</v>
      </c>
    </row>
    <row r="1426" spans="1:14">
      <c r="A1426" t="s">
        <v>4577</v>
      </c>
      <c r="B1426" s="1">
        <v>45555</v>
      </c>
      <c r="C1426" t="s">
        <v>1181</v>
      </c>
      <c r="D1426" t="s">
        <v>1000</v>
      </c>
      <c r="E1426" t="s">
        <v>21</v>
      </c>
      <c r="F1426" t="s">
        <v>79</v>
      </c>
      <c r="G1426" t="s">
        <v>230</v>
      </c>
      <c r="H1426">
        <v>1</v>
      </c>
      <c r="I1426" s="3">
        <v>29.33</v>
      </c>
      <c r="J1426" t="s">
        <v>16</v>
      </c>
      <c r="K1426" t="s">
        <v>17</v>
      </c>
      <c r="L1426" s="4">
        <f>Table4[[#This Row],[quantity]]*Table4[[#This Row],[unit_price]]</f>
        <v>29.33</v>
      </c>
      <c r="M1426">
        <f>COUNTIFS($C$2:$C$3934,Table4[[#This Row],[customer_id]])</f>
        <v>6</v>
      </c>
      <c r="N1426" t="str">
        <f>IF(Table4[[#This Row],[customer_order_count]]=1,"New Customer","Repeat Customer")</f>
        <v>Repeat Customer</v>
      </c>
    </row>
    <row r="1427" spans="1:14">
      <c r="A1427" t="s">
        <v>3764</v>
      </c>
      <c r="B1427" s="1">
        <v>45427</v>
      </c>
      <c r="C1427" t="s">
        <v>260</v>
      </c>
      <c r="D1427" t="s">
        <v>261</v>
      </c>
      <c r="E1427" t="s">
        <v>44</v>
      </c>
      <c r="F1427" t="s">
        <v>66</v>
      </c>
      <c r="G1427" t="s">
        <v>49</v>
      </c>
      <c r="H1427">
        <v>1</v>
      </c>
      <c r="I1427" s="3">
        <v>29.36</v>
      </c>
      <c r="J1427" t="s">
        <v>16</v>
      </c>
      <c r="K1427" t="s">
        <v>35</v>
      </c>
      <c r="L1427" s="4">
        <f>Table4[[#This Row],[quantity]]*Table4[[#This Row],[unit_price]]</f>
        <v>29.36</v>
      </c>
      <c r="M1427">
        <f>COUNTIFS($C$2:$C$3934,Table4[[#This Row],[customer_id]])</f>
        <v>7</v>
      </c>
      <c r="N1427" t="str">
        <f>IF(Table4[[#This Row],[customer_order_count]]=1,"New Customer","Repeat Customer")</f>
        <v>Repeat Customer</v>
      </c>
    </row>
    <row r="1428" spans="1:14">
      <c r="A1428" t="s">
        <v>4942</v>
      </c>
      <c r="B1428" s="1">
        <v>45063</v>
      </c>
      <c r="C1428" t="s">
        <v>1780</v>
      </c>
      <c r="D1428" t="s">
        <v>169</v>
      </c>
      <c r="E1428" t="s">
        <v>44</v>
      </c>
      <c r="F1428" t="s">
        <v>66</v>
      </c>
      <c r="G1428" t="s">
        <v>238</v>
      </c>
      <c r="H1428">
        <v>1</v>
      </c>
      <c r="I1428" s="3">
        <v>29.38</v>
      </c>
      <c r="J1428" t="s">
        <v>16</v>
      </c>
      <c r="K1428" t="s">
        <v>17</v>
      </c>
      <c r="L1428" s="4">
        <f>Table4[[#This Row],[quantity]]*Table4[[#This Row],[unit_price]]</f>
        <v>29.38</v>
      </c>
      <c r="M1428">
        <f>COUNTIFS($C$2:$C$3934,Table4[[#This Row],[customer_id]])</f>
        <v>6</v>
      </c>
      <c r="N1428" t="str">
        <f>IF(Table4[[#This Row],[customer_order_count]]=1,"New Customer","Repeat Customer")</f>
        <v>Repeat Customer</v>
      </c>
    </row>
    <row r="1429" spans="1:14">
      <c r="A1429" t="s">
        <v>4956</v>
      </c>
      <c r="B1429" s="1">
        <v>45220</v>
      </c>
      <c r="C1429" t="s">
        <v>547</v>
      </c>
      <c r="D1429" t="s">
        <v>510</v>
      </c>
      <c r="E1429" t="s">
        <v>21</v>
      </c>
      <c r="F1429" t="s">
        <v>22</v>
      </c>
      <c r="G1429" t="s">
        <v>23</v>
      </c>
      <c r="H1429">
        <v>1</v>
      </c>
      <c r="I1429" s="3">
        <v>29.39</v>
      </c>
      <c r="J1429" t="s">
        <v>16</v>
      </c>
      <c r="K1429" t="s">
        <v>30</v>
      </c>
      <c r="L1429" s="4">
        <f>Table4[[#This Row],[quantity]]*Table4[[#This Row],[unit_price]]</f>
        <v>29.39</v>
      </c>
      <c r="M1429">
        <f>COUNTIFS($C$2:$C$3934,Table4[[#This Row],[customer_id]])</f>
        <v>4</v>
      </c>
      <c r="N1429" t="str">
        <f>IF(Table4[[#This Row],[customer_order_count]]=1,"New Customer","Repeat Customer")</f>
        <v>Repeat Customer</v>
      </c>
    </row>
    <row r="1430" spans="1:14">
      <c r="A1430" t="s">
        <v>2690</v>
      </c>
      <c r="B1430" s="1">
        <v>45348</v>
      </c>
      <c r="C1430" t="s">
        <v>657</v>
      </c>
      <c r="D1430" t="s">
        <v>609</v>
      </c>
      <c r="E1430" t="s">
        <v>21</v>
      </c>
      <c r="F1430" t="s">
        <v>14</v>
      </c>
      <c r="G1430" t="s">
        <v>34</v>
      </c>
      <c r="H1430">
        <v>1</v>
      </c>
      <c r="I1430" s="3">
        <v>29.43</v>
      </c>
      <c r="J1430" t="s">
        <v>16</v>
      </c>
      <c r="K1430" t="s">
        <v>30</v>
      </c>
      <c r="L1430" s="4">
        <f>Table4[[#This Row],[quantity]]*Table4[[#This Row],[unit_price]]</f>
        <v>29.43</v>
      </c>
      <c r="M1430">
        <f>COUNTIFS($C$2:$C$3934,Table4[[#This Row],[customer_id]])</f>
        <v>5</v>
      </c>
      <c r="N1430" t="str">
        <f>IF(Table4[[#This Row],[customer_order_count]]=1,"New Customer","Repeat Customer")</f>
        <v>Repeat Customer</v>
      </c>
    </row>
    <row r="1431" spans="1:14">
      <c r="A1431" t="s">
        <v>4953</v>
      </c>
      <c r="B1431" s="1">
        <v>45115</v>
      </c>
      <c r="C1431" t="s">
        <v>587</v>
      </c>
      <c r="D1431" t="s">
        <v>475</v>
      </c>
      <c r="E1431" t="s">
        <v>21</v>
      </c>
      <c r="F1431" t="s">
        <v>56</v>
      </c>
      <c r="G1431" t="s">
        <v>153</v>
      </c>
      <c r="H1431">
        <v>2</v>
      </c>
      <c r="I1431" s="3">
        <v>29.43</v>
      </c>
      <c r="J1431" t="s">
        <v>16</v>
      </c>
      <c r="K1431" t="s">
        <v>40</v>
      </c>
      <c r="L1431" s="4">
        <f>Table4[[#This Row],[quantity]]*Table4[[#This Row],[unit_price]]</f>
        <v>58.86</v>
      </c>
      <c r="M1431">
        <f>COUNTIFS($C$2:$C$3934,Table4[[#This Row],[customer_id]])</f>
        <v>6</v>
      </c>
      <c r="N1431" t="str">
        <f>IF(Table4[[#This Row],[customer_order_count]]=1,"New Customer","Repeat Customer")</f>
        <v>Repeat Customer</v>
      </c>
    </row>
    <row r="1432" spans="1:14">
      <c r="A1432" t="s">
        <v>5075</v>
      </c>
      <c r="B1432" s="1">
        <v>45266</v>
      </c>
      <c r="C1432" t="s">
        <v>2424</v>
      </c>
      <c r="D1432" t="s">
        <v>646</v>
      </c>
      <c r="E1432" t="s">
        <v>21</v>
      </c>
      <c r="F1432" t="s">
        <v>22</v>
      </c>
      <c r="G1432" t="s">
        <v>142</v>
      </c>
      <c r="H1432">
        <v>2</v>
      </c>
      <c r="I1432" s="3">
        <v>29.44</v>
      </c>
      <c r="J1432" t="s">
        <v>16</v>
      </c>
      <c r="K1432" t="s">
        <v>35</v>
      </c>
      <c r="L1432" s="4">
        <f>Table4[[#This Row],[quantity]]*Table4[[#This Row],[unit_price]]</f>
        <v>58.88</v>
      </c>
      <c r="M1432">
        <f>COUNTIFS($C$2:$C$3934,Table4[[#This Row],[customer_id]])</f>
        <v>6</v>
      </c>
      <c r="N1432" t="str">
        <f>IF(Table4[[#This Row],[customer_order_count]]=1,"New Customer","Repeat Customer")</f>
        <v>Repeat Customer</v>
      </c>
    </row>
    <row r="1433" spans="1:14">
      <c r="A1433" t="s">
        <v>2534</v>
      </c>
      <c r="B1433" s="1">
        <v>45650</v>
      </c>
      <c r="C1433" t="s">
        <v>2039</v>
      </c>
      <c r="D1433" t="s">
        <v>1869</v>
      </c>
      <c r="E1433" t="s">
        <v>44</v>
      </c>
      <c r="F1433" t="s">
        <v>28</v>
      </c>
      <c r="G1433" t="s">
        <v>45</v>
      </c>
      <c r="H1433">
        <v>2</v>
      </c>
      <c r="I1433" s="3">
        <v>29.44</v>
      </c>
      <c r="J1433" t="s">
        <v>16</v>
      </c>
      <c r="K1433" t="s">
        <v>30</v>
      </c>
      <c r="L1433" s="4">
        <f>Table4[[#This Row],[quantity]]*Table4[[#This Row],[unit_price]]</f>
        <v>58.88</v>
      </c>
      <c r="M1433">
        <f>COUNTIFS($C$2:$C$3934,Table4[[#This Row],[customer_id]])</f>
        <v>4</v>
      </c>
      <c r="N1433" t="str">
        <f>IF(Table4[[#This Row],[customer_order_count]]=1,"New Customer","Repeat Customer")</f>
        <v>Repeat Customer</v>
      </c>
    </row>
    <row r="1434" spans="1:14">
      <c r="A1434" t="s">
        <v>2550</v>
      </c>
      <c r="B1434" s="1">
        <v>45408</v>
      </c>
      <c r="C1434" t="s">
        <v>801</v>
      </c>
      <c r="D1434" t="s">
        <v>802</v>
      </c>
      <c r="E1434" t="s">
        <v>44</v>
      </c>
      <c r="F1434" t="s">
        <v>22</v>
      </c>
      <c r="G1434" t="s">
        <v>162</v>
      </c>
      <c r="H1434">
        <v>4</v>
      </c>
      <c r="I1434" s="3">
        <v>29.44</v>
      </c>
      <c r="J1434" t="s">
        <v>16</v>
      </c>
      <c r="K1434" s="2" t="s">
        <v>5256</v>
      </c>
      <c r="L1434" s="4">
        <f>Table4[[#This Row],[quantity]]*Table4[[#This Row],[unit_price]]</f>
        <v>117.76</v>
      </c>
      <c r="M1434">
        <f>COUNTIFS($C$2:$C$3934,Table4[[#This Row],[customer_id]])</f>
        <v>3</v>
      </c>
      <c r="N1434" t="str">
        <f>IF(Table4[[#This Row],[customer_order_count]]=1,"New Customer","Repeat Customer")</f>
        <v>Repeat Customer</v>
      </c>
    </row>
    <row r="1435" spans="1:14">
      <c r="A1435" t="s">
        <v>2338</v>
      </c>
      <c r="B1435" s="1">
        <v>45524</v>
      </c>
      <c r="C1435" t="s">
        <v>1200</v>
      </c>
      <c r="D1435" t="s">
        <v>452</v>
      </c>
      <c r="E1435" t="s">
        <v>21</v>
      </c>
      <c r="F1435" t="s">
        <v>22</v>
      </c>
      <c r="G1435" t="s">
        <v>23</v>
      </c>
      <c r="H1435">
        <v>2</v>
      </c>
      <c r="I1435" s="3">
        <v>29.45</v>
      </c>
      <c r="J1435" t="s">
        <v>16</v>
      </c>
      <c r="K1435" s="5" t="s">
        <v>30</v>
      </c>
      <c r="L1435" s="4">
        <f>Table4[[#This Row],[quantity]]*Table4[[#This Row],[unit_price]]</f>
        <v>58.9</v>
      </c>
      <c r="M1435">
        <f>COUNTIFS($C$2:$C$3934,Table4[[#This Row],[customer_id]])</f>
        <v>4</v>
      </c>
      <c r="N1435" t="str">
        <f>IF(Table4[[#This Row],[customer_order_count]]=1,"New Customer","Repeat Customer")</f>
        <v>Repeat Customer</v>
      </c>
    </row>
    <row r="1436" spans="1:14">
      <c r="A1436" t="s">
        <v>2907</v>
      </c>
      <c r="B1436" s="1">
        <v>45249</v>
      </c>
      <c r="C1436" t="s">
        <v>2908</v>
      </c>
      <c r="D1436" t="s">
        <v>2909</v>
      </c>
      <c r="E1436" t="s">
        <v>21</v>
      </c>
      <c r="F1436" t="s">
        <v>22</v>
      </c>
      <c r="G1436" t="s">
        <v>162</v>
      </c>
      <c r="H1436">
        <v>4</v>
      </c>
      <c r="I1436" s="3">
        <v>29.45</v>
      </c>
      <c r="J1436" t="s">
        <v>16</v>
      </c>
      <c r="K1436" t="s">
        <v>30</v>
      </c>
      <c r="L1436" s="4">
        <f>Table4[[#This Row],[quantity]]*Table4[[#This Row],[unit_price]]</f>
        <v>117.8</v>
      </c>
      <c r="M1436">
        <f>COUNTIFS($C$2:$C$3934,Table4[[#This Row],[customer_id]])</f>
        <v>3</v>
      </c>
      <c r="N1436" t="str">
        <f>IF(Table4[[#This Row],[customer_order_count]]=1,"New Customer","Repeat Customer")</f>
        <v>Repeat Customer</v>
      </c>
    </row>
    <row r="1437" spans="1:14">
      <c r="A1437" t="s">
        <v>3542</v>
      </c>
      <c r="B1437" s="1">
        <v>45217</v>
      </c>
      <c r="C1437" t="s">
        <v>1298</v>
      </c>
      <c r="D1437" t="s">
        <v>48</v>
      </c>
      <c r="E1437" t="s">
        <v>21</v>
      </c>
      <c r="F1437" t="s">
        <v>22</v>
      </c>
      <c r="G1437" t="s">
        <v>142</v>
      </c>
      <c r="H1437">
        <v>2</v>
      </c>
      <c r="I1437" s="3">
        <v>29.47</v>
      </c>
      <c r="J1437" t="s">
        <v>16</v>
      </c>
      <c r="K1437" t="s">
        <v>35</v>
      </c>
      <c r="L1437" s="4">
        <f>Table4[[#This Row],[quantity]]*Table4[[#This Row],[unit_price]]</f>
        <v>58.94</v>
      </c>
      <c r="M1437">
        <f>COUNTIFS($C$2:$C$3934,Table4[[#This Row],[customer_id]])</f>
        <v>10</v>
      </c>
      <c r="N1437" t="str">
        <f>IF(Table4[[#This Row],[customer_order_count]]=1,"New Customer","Repeat Customer")</f>
        <v>Repeat Customer</v>
      </c>
    </row>
    <row r="1438" spans="1:14">
      <c r="A1438" t="s">
        <v>2625</v>
      </c>
      <c r="B1438" s="1">
        <v>45014</v>
      </c>
      <c r="C1438" t="s">
        <v>2340</v>
      </c>
      <c r="D1438" t="s">
        <v>1000</v>
      </c>
      <c r="E1438" t="s">
        <v>44</v>
      </c>
      <c r="F1438" t="s">
        <v>66</v>
      </c>
      <c r="G1438" t="s">
        <v>238</v>
      </c>
      <c r="H1438">
        <v>1</v>
      </c>
      <c r="I1438" s="3">
        <v>29.48</v>
      </c>
      <c r="J1438" t="s">
        <v>16</v>
      </c>
      <c r="K1438" t="s">
        <v>17</v>
      </c>
      <c r="L1438" s="4">
        <f>Table4[[#This Row],[quantity]]*Table4[[#This Row],[unit_price]]</f>
        <v>29.48</v>
      </c>
      <c r="M1438">
        <f>COUNTIFS($C$2:$C$3934,Table4[[#This Row],[customer_id]])</f>
        <v>4</v>
      </c>
      <c r="N1438" t="str">
        <f>IF(Table4[[#This Row],[customer_order_count]]=1,"New Customer","Repeat Customer")</f>
        <v>Repeat Customer</v>
      </c>
    </row>
    <row r="1439" spans="1:14">
      <c r="A1439" t="s">
        <v>4994</v>
      </c>
      <c r="B1439" s="1">
        <v>45172</v>
      </c>
      <c r="C1439" t="s">
        <v>752</v>
      </c>
      <c r="D1439" t="s">
        <v>452</v>
      </c>
      <c r="E1439" t="s">
        <v>21</v>
      </c>
      <c r="F1439" t="s">
        <v>28</v>
      </c>
      <c r="G1439" t="s">
        <v>114</v>
      </c>
      <c r="H1439">
        <v>1</v>
      </c>
      <c r="I1439" s="3">
        <v>29.49</v>
      </c>
      <c r="J1439" t="s">
        <v>16</v>
      </c>
      <c r="K1439" t="s">
        <v>30</v>
      </c>
      <c r="L1439" s="4">
        <f>Table4[[#This Row],[quantity]]*Table4[[#This Row],[unit_price]]</f>
        <v>29.49</v>
      </c>
      <c r="M1439">
        <f>COUNTIFS($C$2:$C$3934,Table4[[#This Row],[customer_id]])</f>
        <v>7</v>
      </c>
      <c r="N1439" t="str">
        <f>IF(Table4[[#This Row],[customer_order_count]]=1,"New Customer","Repeat Customer")</f>
        <v>Repeat Customer</v>
      </c>
    </row>
    <row r="1440" spans="1:14">
      <c r="A1440" t="s">
        <v>4692</v>
      </c>
      <c r="B1440" s="1">
        <v>45425</v>
      </c>
      <c r="C1440" t="s">
        <v>1429</v>
      </c>
      <c r="D1440" t="s">
        <v>1430</v>
      </c>
      <c r="E1440" t="s">
        <v>21</v>
      </c>
      <c r="F1440" t="s">
        <v>22</v>
      </c>
      <c r="G1440" t="s">
        <v>135</v>
      </c>
      <c r="H1440">
        <v>1</v>
      </c>
      <c r="I1440" s="3">
        <v>29.51</v>
      </c>
      <c r="J1440" t="s">
        <v>16</v>
      </c>
      <c r="K1440" s="2" t="s">
        <v>5256</v>
      </c>
      <c r="L1440" s="4">
        <f>Table4[[#This Row],[quantity]]*Table4[[#This Row],[unit_price]]</f>
        <v>29.51</v>
      </c>
      <c r="M1440">
        <f>COUNTIFS($C$2:$C$3934,Table4[[#This Row],[customer_id]])</f>
        <v>4</v>
      </c>
      <c r="N1440" t="str">
        <f>IF(Table4[[#This Row],[customer_order_count]]=1,"New Customer","Repeat Customer")</f>
        <v>Repeat Customer</v>
      </c>
    </row>
    <row r="1441" spans="1:14">
      <c r="A1441" t="s">
        <v>885</v>
      </c>
      <c r="B1441" s="1">
        <v>45635</v>
      </c>
      <c r="C1441" t="s">
        <v>886</v>
      </c>
      <c r="D1441" t="s">
        <v>887</v>
      </c>
      <c r="E1441" t="s">
        <v>21</v>
      </c>
      <c r="F1441" t="s">
        <v>66</v>
      </c>
      <c r="G1441" t="s">
        <v>217</v>
      </c>
      <c r="H1441">
        <v>1</v>
      </c>
      <c r="I1441" s="3">
        <v>29.53</v>
      </c>
      <c r="J1441" t="s">
        <v>16</v>
      </c>
      <c r="K1441" s="5" t="s">
        <v>40</v>
      </c>
      <c r="L1441" s="4">
        <f>Table4[[#This Row],[quantity]]*Table4[[#This Row],[unit_price]]</f>
        <v>29.53</v>
      </c>
      <c r="M1441">
        <f>COUNTIFS($C$2:$C$3934,Table4[[#This Row],[customer_id]])</f>
        <v>4</v>
      </c>
      <c r="N1441" t="str">
        <f>IF(Table4[[#This Row],[customer_order_count]]=1,"New Customer","Repeat Customer")</f>
        <v>Repeat Customer</v>
      </c>
    </row>
    <row r="1442" spans="1:14">
      <c r="A1442" t="s">
        <v>5028</v>
      </c>
      <c r="B1442" s="1">
        <v>45315</v>
      </c>
      <c r="C1442" t="s">
        <v>4613</v>
      </c>
      <c r="D1442" t="s">
        <v>250</v>
      </c>
      <c r="E1442" t="s">
        <v>61</v>
      </c>
      <c r="F1442" t="s">
        <v>56</v>
      </c>
      <c r="G1442" t="s">
        <v>254</v>
      </c>
      <c r="H1442">
        <v>1</v>
      </c>
      <c r="I1442" s="3">
        <v>29.55</v>
      </c>
      <c r="J1442" t="s">
        <v>16</v>
      </c>
      <c r="K1442" t="s">
        <v>35</v>
      </c>
      <c r="L1442" s="4">
        <f>Table4[[#This Row],[quantity]]*Table4[[#This Row],[unit_price]]</f>
        <v>29.55</v>
      </c>
      <c r="M1442">
        <f>COUNTIFS($C$2:$C$3934,Table4[[#This Row],[customer_id]])</f>
        <v>3</v>
      </c>
      <c r="N1442" t="str">
        <f>IF(Table4[[#This Row],[customer_order_count]]=1,"New Customer","Repeat Customer")</f>
        <v>Repeat Customer</v>
      </c>
    </row>
    <row r="1443" spans="1:14">
      <c r="A1443" t="s">
        <v>3643</v>
      </c>
      <c r="B1443" s="1">
        <v>45007</v>
      </c>
      <c r="C1443" t="s">
        <v>3644</v>
      </c>
      <c r="D1443" t="s">
        <v>145</v>
      </c>
      <c r="E1443" t="s">
        <v>44</v>
      </c>
      <c r="F1443" t="s">
        <v>66</v>
      </c>
      <c r="G1443" t="s">
        <v>238</v>
      </c>
      <c r="H1443">
        <v>3</v>
      </c>
      <c r="I1443" s="3">
        <v>29.57</v>
      </c>
      <c r="J1443" t="s">
        <v>16</v>
      </c>
      <c r="K1443" s="2" t="s">
        <v>5256</v>
      </c>
      <c r="L1443" s="4">
        <f>Table4[[#This Row],[quantity]]*Table4[[#This Row],[unit_price]]</f>
        <v>88.710000000000008</v>
      </c>
      <c r="M1443">
        <f>COUNTIFS($C$2:$C$3934,Table4[[#This Row],[customer_id]])</f>
        <v>3</v>
      </c>
      <c r="N1443" t="str">
        <f>IF(Table4[[#This Row],[customer_order_count]]=1,"New Customer","Repeat Customer")</f>
        <v>Repeat Customer</v>
      </c>
    </row>
    <row r="1444" spans="1:14">
      <c r="A1444" t="s">
        <v>1071</v>
      </c>
      <c r="B1444" s="1">
        <v>44970</v>
      </c>
      <c r="C1444" t="s">
        <v>589</v>
      </c>
      <c r="D1444" t="s">
        <v>406</v>
      </c>
      <c r="E1444" t="s">
        <v>21</v>
      </c>
      <c r="F1444" t="s">
        <v>66</v>
      </c>
      <c r="G1444" t="s">
        <v>67</v>
      </c>
      <c r="H1444">
        <v>1</v>
      </c>
      <c r="I1444" s="3">
        <v>29.59</v>
      </c>
      <c r="J1444" t="s">
        <v>16</v>
      </c>
      <c r="K1444" s="5" t="s">
        <v>17</v>
      </c>
      <c r="L1444" s="4">
        <f>Table4[[#This Row],[quantity]]*Table4[[#This Row],[unit_price]]</f>
        <v>29.59</v>
      </c>
      <c r="M1444">
        <f>COUNTIFS($C$2:$C$3934,Table4[[#This Row],[customer_id]])</f>
        <v>9</v>
      </c>
      <c r="N1444" t="str">
        <f>IF(Table4[[#This Row],[customer_order_count]]=1,"New Customer","Repeat Customer")</f>
        <v>Repeat Customer</v>
      </c>
    </row>
    <row r="1445" spans="1:14">
      <c r="A1445" t="s">
        <v>4003</v>
      </c>
      <c r="B1445" s="1">
        <v>44997</v>
      </c>
      <c r="C1445" t="s">
        <v>611</v>
      </c>
      <c r="D1445" t="s">
        <v>612</v>
      </c>
      <c r="E1445" t="s">
        <v>21</v>
      </c>
      <c r="F1445" t="s">
        <v>28</v>
      </c>
      <c r="G1445" t="s">
        <v>84</v>
      </c>
      <c r="H1445">
        <v>1</v>
      </c>
      <c r="I1445" s="3">
        <v>29.61</v>
      </c>
      <c r="J1445" t="s">
        <v>16</v>
      </c>
      <c r="K1445" t="s">
        <v>30</v>
      </c>
      <c r="L1445" s="4">
        <f>Table4[[#This Row],[quantity]]*Table4[[#This Row],[unit_price]]</f>
        <v>29.61</v>
      </c>
      <c r="M1445">
        <f>COUNTIFS($C$2:$C$3934,Table4[[#This Row],[customer_id]])</f>
        <v>6</v>
      </c>
      <c r="N1445" t="str">
        <f>IF(Table4[[#This Row],[customer_order_count]]=1,"New Customer","Repeat Customer")</f>
        <v>Repeat Customer</v>
      </c>
    </row>
    <row r="1446" spans="1:14">
      <c r="A1446" t="s">
        <v>2076</v>
      </c>
      <c r="B1446" s="1">
        <v>45243</v>
      </c>
      <c r="C1446" t="s">
        <v>2077</v>
      </c>
      <c r="D1446" t="s">
        <v>2078</v>
      </c>
      <c r="E1446" t="s">
        <v>21</v>
      </c>
      <c r="F1446" t="s">
        <v>70</v>
      </c>
      <c r="G1446" t="s">
        <v>337</v>
      </c>
      <c r="H1446">
        <v>1</v>
      </c>
      <c r="I1446" s="3">
        <v>29.62</v>
      </c>
      <c r="J1446" t="s">
        <v>16</v>
      </c>
      <c r="K1446" t="s">
        <v>17</v>
      </c>
      <c r="L1446" s="4">
        <f>Table4[[#This Row],[quantity]]*Table4[[#This Row],[unit_price]]</f>
        <v>29.62</v>
      </c>
      <c r="M1446">
        <f>COUNTIFS($C$2:$C$3934,Table4[[#This Row],[customer_id]])</f>
        <v>3</v>
      </c>
      <c r="N1446" t="str">
        <f>IF(Table4[[#This Row],[customer_order_count]]=1,"New Customer","Repeat Customer")</f>
        <v>Repeat Customer</v>
      </c>
    </row>
    <row r="1447" spans="1:14">
      <c r="A1447" t="s">
        <v>4908</v>
      </c>
      <c r="B1447" s="1">
        <v>44949</v>
      </c>
      <c r="C1447" t="s">
        <v>1298</v>
      </c>
      <c r="D1447" t="s">
        <v>48</v>
      </c>
      <c r="E1447" t="s">
        <v>21</v>
      </c>
      <c r="F1447" t="s">
        <v>22</v>
      </c>
      <c r="G1447" t="s">
        <v>135</v>
      </c>
      <c r="H1447">
        <v>2</v>
      </c>
      <c r="I1447" s="3">
        <v>29.63</v>
      </c>
      <c r="J1447" t="s">
        <v>16</v>
      </c>
      <c r="K1447" t="s">
        <v>40</v>
      </c>
      <c r="L1447" s="4">
        <f>Table4[[#This Row],[quantity]]*Table4[[#This Row],[unit_price]]</f>
        <v>59.26</v>
      </c>
      <c r="M1447">
        <f>COUNTIFS($C$2:$C$3934,Table4[[#This Row],[customer_id]])</f>
        <v>10</v>
      </c>
      <c r="N1447" t="str">
        <f>IF(Table4[[#This Row],[customer_order_count]]=1,"New Customer","Repeat Customer")</f>
        <v>Repeat Customer</v>
      </c>
    </row>
    <row r="1448" spans="1:14">
      <c r="A1448" t="s">
        <v>4292</v>
      </c>
      <c r="B1448" s="1">
        <v>45590</v>
      </c>
      <c r="C1448" t="s">
        <v>1486</v>
      </c>
      <c r="D1448" t="s">
        <v>1241</v>
      </c>
      <c r="E1448" t="s">
        <v>44</v>
      </c>
      <c r="F1448" t="s">
        <v>70</v>
      </c>
      <c r="G1448" t="s">
        <v>110</v>
      </c>
      <c r="H1448">
        <v>1</v>
      </c>
      <c r="I1448" s="3">
        <v>29.64</v>
      </c>
      <c r="J1448" t="s">
        <v>16</v>
      </c>
      <c r="K1448" s="2" t="s">
        <v>5256</v>
      </c>
      <c r="L1448" s="4">
        <f>Table4[[#This Row],[quantity]]*Table4[[#This Row],[unit_price]]</f>
        <v>29.64</v>
      </c>
      <c r="M1448">
        <f>COUNTIFS($C$2:$C$3934,Table4[[#This Row],[customer_id]])</f>
        <v>4</v>
      </c>
      <c r="N1448" t="str">
        <f>IF(Table4[[#This Row],[customer_order_count]]=1,"New Customer","Repeat Customer")</f>
        <v>Repeat Customer</v>
      </c>
    </row>
    <row r="1449" spans="1:14">
      <c r="A1449" t="s">
        <v>2770</v>
      </c>
      <c r="B1449" s="1">
        <v>45510</v>
      </c>
      <c r="C1449" t="s">
        <v>358</v>
      </c>
      <c r="D1449" t="s">
        <v>359</v>
      </c>
      <c r="E1449" t="s">
        <v>44</v>
      </c>
      <c r="F1449" t="s">
        <v>79</v>
      </c>
      <c r="G1449" t="s">
        <v>204</v>
      </c>
      <c r="H1449">
        <v>2</v>
      </c>
      <c r="I1449" s="3">
        <v>29.67</v>
      </c>
      <c r="J1449" t="s">
        <v>16</v>
      </c>
      <c r="K1449" s="5" t="s">
        <v>30</v>
      </c>
      <c r="L1449" s="4">
        <f>Table4[[#This Row],[quantity]]*Table4[[#This Row],[unit_price]]</f>
        <v>59.34</v>
      </c>
      <c r="M1449">
        <f>COUNTIFS($C$2:$C$3934,Table4[[#This Row],[customer_id]])</f>
        <v>4</v>
      </c>
      <c r="N1449" t="str">
        <f>IF(Table4[[#This Row],[customer_order_count]]=1,"New Customer","Repeat Customer")</f>
        <v>Repeat Customer</v>
      </c>
    </row>
    <row r="1450" spans="1:14">
      <c r="A1450" t="s">
        <v>2883</v>
      </c>
      <c r="B1450" s="1">
        <v>45564</v>
      </c>
      <c r="C1450" t="s">
        <v>914</v>
      </c>
      <c r="D1450" t="s">
        <v>95</v>
      </c>
      <c r="E1450" t="s">
        <v>21</v>
      </c>
      <c r="F1450" t="s">
        <v>28</v>
      </c>
      <c r="G1450" t="s">
        <v>45</v>
      </c>
      <c r="H1450">
        <v>3</v>
      </c>
      <c r="I1450" s="3">
        <v>29.68</v>
      </c>
      <c r="J1450" t="s">
        <v>16</v>
      </c>
      <c r="K1450" t="s">
        <v>35</v>
      </c>
      <c r="L1450" s="4">
        <f>Table4[[#This Row],[quantity]]*Table4[[#This Row],[unit_price]]</f>
        <v>89.039999999999992</v>
      </c>
      <c r="M1450">
        <f>COUNTIFS($C$2:$C$3934,Table4[[#This Row],[customer_id]])</f>
        <v>10</v>
      </c>
      <c r="N1450" t="str">
        <f>IF(Table4[[#This Row],[customer_order_count]]=1,"New Customer","Repeat Customer")</f>
        <v>Repeat Customer</v>
      </c>
    </row>
    <row r="1451" spans="1:14">
      <c r="A1451" t="s">
        <v>4597</v>
      </c>
      <c r="B1451" s="1">
        <v>45021</v>
      </c>
      <c r="C1451" t="s">
        <v>680</v>
      </c>
      <c r="D1451" t="s">
        <v>681</v>
      </c>
      <c r="E1451" t="s">
        <v>21</v>
      </c>
      <c r="F1451" t="s">
        <v>79</v>
      </c>
      <c r="G1451" t="s">
        <v>200</v>
      </c>
      <c r="H1451">
        <v>1</v>
      </c>
      <c r="I1451" s="3">
        <v>29.75</v>
      </c>
      <c r="J1451" t="s">
        <v>24</v>
      </c>
      <c r="K1451" t="s">
        <v>40</v>
      </c>
      <c r="L1451" s="4">
        <f>Table4[[#This Row],[quantity]]*Table4[[#This Row],[unit_price]]</f>
        <v>29.75</v>
      </c>
      <c r="M1451">
        <f>COUNTIFS($C$2:$C$3934,Table4[[#This Row],[customer_id]])</f>
        <v>11</v>
      </c>
      <c r="N1451" t="str">
        <f>IF(Table4[[#This Row],[customer_order_count]]=1,"New Customer","Repeat Customer")</f>
        <v>Repeat Customer</v>
      </c>
    </row>
    <row r="1452" spans="1:14">
      <c r="A1452" t="s">
        <v>3275</v>
      </c>
      <c r="B1452" s="1">
        <v>45146</v>
      </c>
      <c r="C1452" t="s">
        <v>933</v>
      </c>
      <c r="D1452" t="s">
        <v>934</v>
      </c>
      <c r="E1452" t="s">
        <v>44</v>
      </c>
      <c r="F1452" t="s">
        <v>14</v>
      </c>
      <c r="G1452" t="s">
        <v>62</v>
      </c>
      <c r="H1452">
        <v>1</v>
      </c>
      <c r="I1452" s="3">
        <v>29.75</v>
      </c>
      <c r="J1452" t="s">
        <v>255</v>
      </c>
      <c r="K1452" t="s">
        <v>40</v>
      </c>
      <c r="L1452" s="4">
        <f>Table4[[#This Row],[quantity]]*Table4[[#This Row],[unit_price]]</f>
        <v>29.75</v>
      </c>
      <c r="M1452">
        <f>COUNTIFS($C$2:$C$3934,Table4[[#This Row],[customer_id]])</f>
        <v>7</v>
      </c>
      <c r="N1452" t="str">
        <f>IF(Table4[[#This Row],[customer_order_count]]=1,"New Customer","Repeat Customer")</f>
        <v>Repeat Customer</v>
      </c>
    </row>
    <row r="1453" spans="1:14">
      <c r="A1453" t="s">
        <v>4733</v>
      </c>
      <c r="B1453" s="1">
        <v>45038</v>
      </c>
      <c r="C1453" t="s">
        <v>385</v>
      </c>
      <c r="D1453" t="s">
        <v>278</v>
      </c>
      <c r="E1453" t="s">
        <v>21</v>
      </c>
      <c r="F1453" t="s">
        <v>70</v>
      </c>
      <c r="G1453" t="s">
        <v>526</v>
      </c>
      <c r="H1453">
        <v>1</v>
      </c>
      <c r="I1453" s="3">
        <v>29.76</v>
      </c>
      <c r="J1453" t="s">
        <v>24</v>
      </c>
      <c r="K1453" t="s">
        <v>35</v>
      </c>
      <c r="L1453" s="4">
        <f>Table4[[#This Row],[quantity]]*Table4[[#This Row],[unit_price]]</f>
        <v>29.76</v>
      </c>
      <c r="M1453">
        <f>COUNTIFS($C$2:$C$3934,Table4[[#This Row],[customer_id]])</f>
        <v>6</v>
      </c>
      <c r="N1453" t="str">
        <f>IF(Table4[[#This Row],[customer_order_count]]=1,"New Customer","Repeat Customer")</f>
        <v>Repeat Customer</v>
      </c>
    </row>
    <row r="1454" spans="1:14">
      <c r="A1454" t="s">
        <v>1410</v>
      </c>
      <c r="B1454" s="1">
        <v>45167</v>
      </c>
      <c r="C1454" t="s">
        <v>1411</v>
      </c>
      <c r="D1454" t="s">
        <v>1412</v>
      </c>
      <c r="E1454" t="s">
        <v>21</v>
      </c>
      <c r="F1454" t="s">
        <v>66</v>
      </c>
      <c r="G1454" t="s">
        <v>238</v>
      </c>
      <c r="H1454">
        <v>1</v>
      </c>
      <c r="I1454" s="3">
        <v>29.76</v>
      </c>
      <c r="J1454" t="s">
        <v>16</v>
      </c>
      <c r="K1454" t="s">
        <v>40</v>
      </c>
      <c r="L1454" s="4">
        <f>Table4[[#This Row],[quantity]]*Table4[[#This Row],[unit_price]]</f>
        <v>29.76</v>
      </c>
      <c r="M1454">
        <f>COUNTIFS($C$2:$C$3934,Table4[[#This Row],[customer_id]])</f>
        <v>4</v>
      </c>
      <c r="N1454" t="str">
        <f>IF(Table4[[#This Row],[customer_order_count]]=1,"New Customer","Repeat Customer")</f>
        <v>Repeat Customer</v>
      </c>
    </row>
    <row r="1455" spans="1:14">
      <c r="A1455" t="s">
        <v>1228</v>
      </c>
      <c r="B1455" s="1">
        <v>45638</v>
      </c>
      <c r="C1455" t="s">
        <v>1229</v>
      </c>
      <c r="D1455" t="s">
        <v>1230</v>
      </c>
      <c r="E1455" t="s">
        <v>21</v>
      </c>
      <c r="F1455" t="s">
        <v>28</v>
      </c>
      <c r="G1455" t="s">
        <v>114</v>
      </c>
      <c r="H1455">
        <v>1</v>
      </c>
      <c r="I1455" s="3">
        <v>29.81</v>
      </c>
      <c r="J1455" t="s">
        <v>16</v>
      </c>
      <c r="K1455" t="s">
        <v>40</v>
      </c>
      <c r="L1455" s="4">
        <f>Table4[[#This Row],[quantity]]*Table4[[#This Row],[unit_price]]</f>
        <v>29.81</v>
      </c>
      <c r="M1455">
        <f>COUNTIFS($C$2:$C$3934,Table4[[#This Row],[customer_id]])</f>
        <v>3</v>
      </c>
      <c r="N1455" t="str">
        <f>IF(Table4[[#This Row],[customer_order_count]]=1,"New Customer","Repeat Customer")</f>
        <v>Repeat Customer</v>
      </c>
    </row>
    <row r="1456" spans="1:14">
      <c r="A1456" t="s">
        <v>3274</v>
      </c>
      <c r="B1456" s="1">
        <v>45420</v>
      </c>
      <c r="C1456" t="s">
        <v>1757</v>
      </c>
      <c r="D1456" t="s">
        <v>1758</v>
      </c>
      <c r="E1456" t="s">
        <v>21</v>
      </c>
      <c r="F1456" t="s">
        <v>28</v>
      </c>
      <c r="G1456" t="s">
        <v>84</v>
      </c>
      <c r="H1456">
        <v>1</v>
      </c>
      <c r="I1456" s="3">
        <v>29.83</v>
      </c>
      <c r="J1456" t="s">
        <v>24</v>
      </c>
      <c r="K1456" t="s">
        <v>30</v>
      </c>
      <c r="L1456" s="4">
        <f>Table4[[#This Row],[quantity]]*Table4[[#This Row],[unit_price]]</f>
        <v>29.83</v>
      </c>
      <c r="M1456">
        <f>COUNTIFS($C$2:$C$3934,Table4[[#This Row],[customer_id]])</f>
        <v>9</v>
      </c>
      <c r="N1456" t="str">
        <f>IF(Table4[[#This Row],[customer_order_count]]=1,"New Customer","Repeat Customer")</f>
        <v>Repeat Customer</v>
      </c>
    </row>
    <row r="1457" spans="1:14">
      <c r="A1457" t="s">
        <v>5149</v>
      </c>
      <c r="B1457" s="1">
        <v>45279</v>
      </c>
      <c r="C1457" t="s">
        <v>326</v>
      </c>
      <c r="D1457" t="s">
        <v>327</v>
      </c>
      <c r="E1457" t="s">
        <v>21</v>
      </c>
      <c r="F1457" t="s">
        <v>66</v>
      </c>
      <c r="G1457" t="s">
        <v>238</v>
      </c>
      <c r="H1457">
        <v>1</v>
      </c>
      <c r="I1457" s="3">
        <v>29.83</v>
      </c>
      <c r="J1457" t="s">
        <v>24</v>
      </c>
      <c r="K1457" t="s">
        <v>35</v>
      </c>
      <c r="L1457" s="4">
        <f>Table4[[#This Row],[quantity]]*Table4[[#This Row],[unit_price]]</f>
        <v>29.83</v>
      </c>
      <c r="M1457">
        <f>COUNTIFS($C$2:$C$3934,Table4[[#This Row],[customer_id]])</f>
        <v>5</v>
      </c>
      <c r="N1457" t="str">
        <f>IF(Table4[[#This Row],[customer_order_count]]=1,"New Customer","Repeat Customer")</f>
        <v>Repeat Customer</v>
      </c>
    </row>
    <row r="1458" spans="1:14">
      <c r="A1458" t="s">
        <v>1841</v>
      </c>
      <c r="B1458" s="1">
        <v>45624</v>
      </c>
      <c r="C1458" t="s">
        <v>1842</v>
      </c>
      <c r="D1458" t="s">
        <v>496</v>
      </c>
      <c r="E1458" t="s">
        <v>44</v>
      </c>
      <c r="F1458" t="s">
        <v>66</v>
      </c>
      <c r="G1458" t="s">
        <v>128</v>
      </c>
      <c r="H1458">
        <v>1</v>
      </c>
      <c r="I1458" s="3">
        <v>29.84</v>
      </c>
      <c r="J1458" t="s">
        <v>16</v>
      </c>
      <c r="K1458" t="s">
        <v>35</v>
      </c>
      <c r="L1458" s="4">
        <f>Table4[[#This Row],[quantity]]*Table4[[#This Row],[unit_price]]</f>
        <v>29.84</v>
      </c>
      <c r="M1458">
        <f>COUNTIFS($C$2:$C$3934,Table4[[#This Row],[customer_id]])</f>
        <v>7</v>
      </c>
      <c r="N1458" t="str">
        <f>IF(Table4[[#This Row],[customer_order_count]]=1,"New Customer","Repeat Customer")</f>
        <v>Repeat Customer</v>
      </c>
    </row>
    <row r="1459" spans="1:14">
      <c r="A1459" t="s">
        <v>3428</v>
      </c>
      <c r="B1459" s="1">
        <v>45339</v>
      </c>
      <c r="C1459" t="s">
        <v>215</v>
      </c>
      <c r="D1459" t="s">
        <v>216</v>
      </c>
      <c r="E1459" t="s">
        <v>21</v>
      </c>
      <c r="F1459" t="s">
        <v>66</v>
      </c>
      <c r="G1459" t="s">
        <v>217</v>
      </c>
      <c r="H1459">
        <v>2</v>
      </c>
      <c r="I1459" s="3">
        <v>29.84</v>
      </c>
      <c r="J1459" t="s">
        <v>16</v>
      </c>
      <c r="K1459" s="2" t="s">
        <v>5256</v>
      </c>
      <c r="L1459" s="4">
        <f>Table4[[#This Row],[quantity]]*Table4[[#This Row],[unit_price]]</f>
        <v>59.68</v>
      </c>
      <c r="M1459">
        <f>COUNTIFS($C$2:$C$3934,Table4[[#This Row],[customer_id]])</f>
        <v>8</v>
      </c>
      <c r="N1459" t="str">
        <f>IF(Table4[[#This Row],[customer_order_count]]=1,"New Customer","Repeat Customer")</f>
        <v>Repeat Customer</v>
      </c>
    </row>
    <row r="1460" spans="1:14">
      <c r="A1460" t="s">
        <v>3425</v>
      </c>
      <c r="B1460" s="1">
        <v>45244</v>
      </c>
      <c r="C1460" t="s">
        <v>556</v>
      </c>
      <c r="D1460" t="s">
        <v>327</v>
      </c>
      <c r="E1460" t="s">
        <v>21</v>
      </c>
      <c r="F1460" t="s">
        <v>28</v>
      </c>
      <c r="G1460" t="s">
        <v>29</v>
      </c>
      <c r="H1460">
        <v>2</v>
      </c>
      <c r="I1460" s="3">
        <v>29.84</v>
      </c>
      <c r="J1460" t="s">
        <v>16</v>
      </c>
      <c r="K1460" s="5" t="s">
        <v>30</v>
      </c>
      <c r="L1460" s="4">
        <f>Table4[[#This Row],[quantity]]*Table4[[#This Row],[unit_price]]</f>
        <v>59.68</v>
      </c>
      <c r="M1460">
        <f>COUNTIFS($C$2:$C$3934,Table4[[#This Row],[customer_id]])</f>
        <v>7</v>
      </c>
      <c r="N1460" t="str">
        <f>IF(Table4[[#This Row],[customer_order_count]]=1,"New Customer","Repeat Customer")</f>
        <v>Repeat Customer</v>
      </c>
    </row>
    <row r="1461" spans="1:14">
      <c r="A1461" t="s">
        <v>3054</v>
      </c>
      <c r="B1461" s="1">
        <v>45375</v>
      </c>
      <c r="C1461" t="s">
        <v>130</v>
      </c>
      <c r="D1461" t="s">
        <v>131</v>
      </c>
      <c r="E1461" t="s">
        <v>21</v>
      </c>
      <c r="F1461" t="s">
        <v>66</v>
      </c>
      <c r="G1461" t="s">
        <v>128</v>
      </c>
      <c r="H1461">
        <v>1</v>
      </c>
      <c r="I1461" s="3">
        <v>29.87</v>
      </c>
      <c r="J1461" t="s">
        <v>16</v>
      </c>
      <c r="K1461" t="s">
        <v>35</v>
      </c>
      <c r="L1461" s="4">
        <f>Table4[[#This Row],[quantity]]*Table4[[#This Row],[unit_price]]</f>
        <v>29.87</v>
      </c>
      <c r="M1461">
        <f>COUNTIFS($C$2:$C$3934,Table4[[#This Row],[customer_id]])</f>
        <v>4</v>
      </c>
      <c r="N1461" t="str">
        <f>IF(Table4[[#This Row],[customer_order_count]]=1,"New Customer","Repeat Customer")</f>
        <v>Repeat Customer</v>
      </c>
    </row>
    <row r="1462" spans="1:14">
      <c r="A1462" t="s">
        <v>1867</v>
      </c>
      <c r="B1462" s="1">
        <v>45525</v>
      </c>
      <c r="C1462" t="s">
        <v>1868</v>
      </c>
      <c r="D1462" t="s">
        <v>1869</v>
      </c>
      <c r="E1462" t="s">
        <v>21</v>
      </c>
      <c r="F1462" t="s">
        <v>22</v>
      </c>
      <c r="G1462" t="s">
        <v>264</v>
      </c>
      <c r="H1462">
        <v>1</v>
      </c>
      <c r="I1462" s="3">
        <v>29.87</v>
      </c>
      <c r="J1462" t="s">
        <v>16</v>
      </c>
      <c r="K1462" t="s">
        <v>40</v>
      </c>
      <c r="L1462" s="4">
        <f>Table4[[#This Row],[quantity]]*Table4[[#This Row],[unit_price]]</f>
        <v>29.87</v>
      </c>
      <c r="M1462">
        <f>COUNTIFS($C$2:$C$3934,Table4[[#This Row],[customer_id]])</f>
        <v>3</v>
      </c>
      <c r="N1462" t="str">
        <f>IF(Table4[[#This Row],[customer_order_count]]=1,"New Customer","Repeat Customer")</f>
        <v>Repeat Customer</v>
      </c>
    </row>
    <row r="1463" spans="1:14">
      <c r="A1463" t="s">
        <v>3822</v>
      </c>
      <c r="B1463" s="1">
        <v>45324</v>
      </c>
      <c r="C1463" t="s">
        <v>437</v>
      </c>
      <c r="D1463" t="s">
        <v>438</v>
      </c>
      <c r="E1463" t="s">
        <v>21</v>
      </c>
      <c r="F1463" t="s">
        <v>28</v>
      </c>
      <c r="G1463" t="s">
        <v>84</v>
      </c>
      <c r="H1463">
        <v>1</v>
      </c>
      <c r="I1463" s="3">
        <v>29.87</v>
      </c>
      <c r="J1463" t="s">
        <v>16</v>
      </c>
      <c r="K1463" t="s">
        <v>35</v>
      </c>
      <c r="L1463" s="4">
        <f>Table4[[#This Row],[quantity]]*Table4[[#This Row],[unit_price]]</f>
        <v>29.87</v>
      </c>
      <c r="M1463">
        <f>COUNTIFS($C$2:$C$3934,Table4[[#This Row],[customer_id]])</f>
        <v>7</v>
      </c>
      <c r="N1463" t="str">
        <f>IF(Table4[[#This Row],[customer_order_count]]=1,"New Customer","Repeat Customer")</f>
        <v>Repeat Customer</v>
      </c>
    </row>
    <row r="1464" spans="1:14">
      <c r="A1464" t="s">
        <v>3734</v>
      </c>
      <c r="B1464" s="1">
        <v>45264</v>
      </c>
      <c r="C1464" t="s">
        <v>556</v>
      </c>
      <c r="D1464" t="s">
        <v>327</v>
      </c>
      <c r="E1464" t="s">
        <v>21</v>
      </c>
      <c r="F1464" t="s">
        <v>79</v>
      </c>
      <c r="G1464" t="s">
        <v>200</v>
      </c>
      <c r="H1464">
        <v>1</v>
      </c>
      <c r="I1464" s="3">
        <v>29.89</v>
      </c>
      <c r="J1464" t="s">
        <v>16</v>
      </c>
      <c r="K1464" s="2" t="s">
        <v>5256</v>
      </c>
      <c r="L1464" s="4">
        <f>Table4[[#This Row],[quantity]]*Table4[[#This Row],[unit_price]]</f>
        <v>29.89</v>
      </c>
      <c r="M1464">
        <f>COUNTIFS($C$2:$C$3934,Table4[[#This Row],[customer_id]])</f>
        <v>7</v>
      </c>
      <c r="N1464" t="str">
        <f>IF(Table4[[#This Row],[customer_order_count]]=1,"New Customer","Repeat Customer")</f>
        <v>Repeat Customer</v>
      </c>
    </row>
    <row r="1465" spans="1:14">
      <c r="A1465" t="s">
        <v>3035</v>
      </c>
      <c r="B1465" s="1">
        <v>45297</v>
      </c>
      <c r="C1465" t="s">
        <v>1246</v>
      </c>
      <c r="D1465" t="s">
        <v>947</v>
      </c>
      <c r="E1465" t="s">
        <v>21</v>
      </c>
      <c r="F1465" t="s">
        <v>66</v>
      </c>
      <c r="G1465" t="s">
        <v>217</v>
      </c>
      <c r="H1465">
        <v>1</v>
      </c>
      <c r="I1465" s="3">
        <v>29.89</v>
      </c>
      <c r="J1465" t="s">
        <v>16</v>
      </c>
      <c r="K1465" s="5" t="s">
        <v>35</v>
      </c>
      <c r="L1465" s="4">
        <f>Table4[[#This Row],[quantity]]*Table4[[#This Row],[unit_price]]</f>
        <v>29.89</v>
      </c>
      <c r="M1465">
        <f>COUNTIFS($C$2:$C$3934,Table4[[#This Row],[customer_id]])</f>
        <v>8</v>
      </c>
      <c r="N1465" t="str">
        <f>IF(Table4[[#This Row],[customer_order_count]]=1,"New Customer","Repeat Customer")</f>
        <v>Repeat Customer</v>
      </c>
    </row>
    <row r="1466" spans="1:14">
      <c r="A1466" t="s">
        <v>4183</v>
      </c>
      <c r="B1466" s="1">
        <v>45520</v>
      </c>
      <c r="C1466" t="s">
        <v>1146</v>
      </c>
      <c r="D1466" t="s">
        <v>347</v>
      </c>
      <c r="E1466" t="s">
        <v>21</v>
      </c>
      <c r="F1466" t="s">
        <v>66</v>
      </c>
      <c r="G1466" t="s">
        <v>49</v>
      </c>
      <c r="H1466">
        <v>3</v>
      </c>
      <c r="I1466" s="3">
        <v>29.94</v>
      </c>
      <c r="J1466" t="s">
        <v>16</v>
      </c>
      <c r="K1466" t="s">
        <v>17</v>
      </c>
      <c r="L1466" s="4">
        <f>Table4[[#This Row],[quantity]]*Table4[[#This Row],[unit_price]]</f>
        <v>89.820000000000007</v>
      </c>
      <c r="M1466">
        <f>COUNTIFS($C$2:$C$3934,Table4[[#This Row],[customer_id]])</f>
        <v>7</v>
      </c>
      <c r="N1466" t="str">
        <f>IF(Table4[[#This Row],[customer_order_count]]=1,"New Customer","Repeat Customer")</f>
        <v>Repeat Customer</v>
      </c>
    </row>
    <row r="1467" spans="1:14">
      <c r="A1467" t="s">
        <v>3593</v>
      </c>
      <c r="B1467" s="1">
        <v>45029</v>
      </c>
      <c r="C1467" t="s">
        <v>1522</v>
      </c>
      <c r="D1467" t="s">
        <v>1523</v>
      </c>
      <c r="E1467" t="s">
        <v>21</v>
      </c>
      <c r="F1467" t="s">
        <v>66</v>
      </c>
      <c r="G1467" t="s">
        <v>67</v>
      </c>
      <c r="H1467">
        <v>1</v>
      </c>
      <c r="I1467" s="3">
        <v>29.95</v>
      </c>
      <c r="J1467" t="s">
        <v>16</v>
      </c>
      <c r="K1467" t="s">
        <v>35</v>
      </c>
      <c r="L1467" s="4">
        <f>Table4[[#This Row],[quantity]]*Table4[[#This Row],[unit_price]]</f>
        <v>29.95</v>
      </c>
      <c r="M1467">
        <f>COUNTIFS($C$2:$C$3934,Table4[[#This Row],[customer_id]])</f>
        <v>11</v>
      </c>
      <c r="N1467" t="str">
        <f>IF(Table4[[#This Row],[customer_order_count]]=1,"New Customer","Repeat Customer")</f>
        <v>Repeat Customer</v>
      </c>
    </row>
    <row r="1468" spans="1:14">
      <c r="A1468" t="s">
        <v>2000</v>
      </c>
      <c r="B1468" s="1">
        <v>45369</v>
      </c>
      <c r="C1468" t="s">
        <v>1168</v>
      </c>
      <c r="D1468" t="s">
        <v>452</v>
      </c>
      <c r="E1468" t="s">
        <v>21</v>
      </c>
      <c r="F1468" t="s">
        <v>14</v>
      </c>
      <c r="G1468" t="s">
        <v>39</v>
      </c>
      <c r="H1468">
        <v>1</v>
      </c>
      <c r="I1468" s="3">
        <v>29.97</v>
      </c>
      <c r="J1468" t="s">
        <v>16</v>
      </c>
      <c r="K1468" t="s">
        <v>30</v>
      </c>
      <c r="L1468" s="4">
        <f>Table4[[#This Row],[quantity]]*Table4[[#This Row],[unit_price]]</f>
        <v>29.97</v>
      </c>
      <c r="M1468">
        <f>COUNTIFS($C$2:$C$3934,Table4[[#This Row],[customer_id]])</f>
        <v>5</v>
      </c>
      <c r="N1468" t="str">
        <f>IF(Table4[[#This Row],[customer_order_count]]=1,"New Customer","Repeat Customer")</f>
        <v>Repeat Customer</v>
      </c>
    </row>
    <row r="1469" spans="1:14">
      <c r="A1469" t="s">
        <v>2172</v>
      </c>
      <c r="B1469" s="1">
        <v>45420</v>
      </c>
      <c r="C1469" t="s">
        <v>708</v>
      </c>
      <c r="D1469" t="s">
        <v>709</v>
      </c>
      <c r="E1469" t="s">
        <v>21</v>
      </c>
      <c r="F1469" t="s">
        <v>56</v>
      </c>
      <c r="G1469" t="s">
        <v>118</v>
      </c>
      <c r="H1469">
        <v>5</v>
      </c>
      <c r="I1469" s="3">
        <v>29.98</v>
      </c>
      <c r="J1469" t="s">
        <v>16</v>
      </c>
      <c r="K1469" s="2" t="s">
        <v>5256</v>
      </c>
      <c r="L1469" s="4">
        <f>Table4[[#This Row],[quantity]]*Table4[[#This Row],[unit_price]]</f>
        <v>149.9</v>
      </c>
      <c r="M1469">
        <f>COUNTIFS($C$2:$C$3934,Table4[[#This Row],[customer_id]])</f>
        <v>7</v>
      </c>
      <c r="N1469" t="str">
        <f>IF(Table4[[#This Row],[customer_order_count]]=1,"New Customer","Repeat Customer")</f>
        <v>Repeat Customer</v>
      </c>
    </row>
    <row r="1470" spans="1:14">
      <c r="A1470" t="s">
        <v>2411</v>
      </c>
      <c r="B1470" s="1">
        <v>45233</v>
      </c>
      <c r="C1470" t="s">
        <v>2412</v>
      </c>
      <c r="D1470" t="s">
        <v>2413</v>
      </c>
      <c r="E1470" t="s">
        <v>21</v>
      </c>
      <c r="F1470" t="s">
        <v>70</v>
      </c>
      <c r="G1470" t="s">
        <v>526</v>
      </c>
      <c r="H1470">
        <v>4</v>
      </c>
      <c r="I1470" s="3">
        <v>30</v>
      </c>
      <c r="J1470" t="s">
        <v>16</v>
      </c>
      <c r="K1470" s="5" t="s">
        <v>40</v>
      </c>
      <c r="L1470" s="4">
        <f>Table4[[#This Row],[quantity]]*Table4[[#This Row],[unit_price]]</f>
        <v>120</v>
      </c>
      <c r="M1470">
        <f>COUNTIFS($C$2:$C$3934,Table4[[#This Row],[customer_id]])</f>
        <v>4</v>
      </c>
      <c r="N1470" t="str">
        <f>IF(Table4[[#This Row],[customer_order_count]]=1,"New Customer","Repeat Customer")</f>
        <v>Repeat Customer</v>
      </c>
    </row>
    <row r="1471" spans="1:14">
      <c r="A1471" t="s">
        <v>4576</v>
      </c>
      <c r="B1471" s="1">
        <v>45214</v>
      </c>
      <c r="C1471" t="s">
        <v>3450</v>
      </c>
      <c r="D1471" t="s">
        <v>1054</v>
      </c>
      <c r="E1471" t="s">
        <v>21</v>
      </c>
      <c r="F1471" t="s">
        <v>66</v>
      </c>
      <c r="G1471" t="s">
        <v>238</v>
      </c>
      <c r="H1471">
        <v>2</v>
      </c>
      <c r="I1471" s="3">
        <v>30.01</v>
      </c>
      <c r="J1471" t="s">
        <v>16</v>
      </c>
      <c r="K1471" t="s">
        <v>30</v>
      </c>
      <c r="L1471" s="4">
        <f>Table4[[#This Row],[quantity]]*Table4[[#This Row],[unit_price]]</f>
        <v>60.02</v>
      </c>
      <c r="M1471">
        <f>COUNTIFS($C$2:$C$3934,Table4[[#This Row],[customer_id]])</f>
        <v>3</v>
      </c>
      <c r="N1471" t="str">
        <f>IF(Table4[[#This Row],[customer_order_count]]=1,"New Customer","Repeat Customer")</f>
        <v>Repeat Customer</v>
      </c>
    </row>
    <row r="1472" spans="1:14">
      <c r="A1472" t="s">
        <v>1529</v>
      </c>
      <c r="B1472" s="1">
        <v>45509</v>
      </c>
      <c r="C1472" t="s">
        <v>1530</v>
      </c>
      <c r="D1472" t="s">
        <v>834</v>
      </c>
      <c r="E1472" t="s">
        <v>21</v>
      </c>
      <c r="F1472" t="s">
        <v>66</v>
      </c>
      <c r="G1472" t="s">
        <v>217</v>
      </c>
      <c r="H1472">
        <v>1</v>
      </c>
      <c r="I1472" s="3">
        <v>30.04</v>
      </c>
      <c r="J1472" t="s">
        <v>16</v>
      </c>
      <c r="K1472" t="s">
        <v>30</v>
      </c>
      <c r="L1472" s="4">
        <f>Table4[[#This Row],[quantity]]*Table4[[#This Row],[unit_price]]</f>
        <v>30.04</v>
      </c>
      <c r="M1472">
        <f>COUNTIFS($C$2:$C$3934,Table4[[#This Row],[customer_id]])</f>
        <v>8</v>
      </c>
      <c r="N1472" t="str">
        <f>IF(Table4[[#This Row],[customer_order_count]]=1,"New Customer","Repeat Customer")</f>
        <v>Repeat Customer</v>
      </c>
    </row>
    <row r="1473" spans="1:14">
      <c r="A1473" t="s">
        <v>2955</v>
      </c>
      <c r="B1473" s="1">
        <v>45113</v>
      </c>
      <c r="C1473" t="s">
        <v>1163</v>
      </c>
      <c r="D1473" t="s">
        <v>1164</v>
      </c>
      <c r="E1473" t="s">
        <v>21</v>
      </c>
      <c r="F1473" t="s">
        <v>70</v>
      </c>
      <c r="G1473" t="s">
        <v>170</v>
      </c>
      <c r="H1473">
        <v>1</v>
      </c>
      <c r="I1473" s="3">
        <v>30.04</v>
      </c>
      <c r="J1473" t="s">
        <v>16</v>
      </c>
      <c r="K1473" t="s">
        <v>30</v>
      </c>
      <c r="L1473" s="4">
        <f>Table4[[#This Row],[quantity]]*Table4[[#This Row],[unit_price]]</f>
        <v>30.04</v>
      </c>
      <c r="M1473">
        <f>COUNTIFS($C$2:$C$3934,Table4[[#This Row],[customer_id]])</f>
        <v>6</v>
      </c>
      <c r="N1473" t="str">
        <f>IF(Table4[[#This Row],[customer_order_count]]=1,"New Customer","Repeat Customer")</f>
        <v>Repeat Customer</v>
      </c>
    </row>
    <row r="1474" spans="1:14">
      <c r="A1474" t="s">
        <v>3107</v>
      </c>
      <c r="B1474" s="1">
        <v>45328</v>
      </c>
      <c r="C1474" t="s">
        <v>2408</v>
      </c>
      <c r="D1474" t="s">
        <v>2409</v>
      </c>
      <c r="E1474" t="s">
        <v>21</v>
      </c>
      <c r="F1474" t="s">
        <v>22</v>
      </c>
      <c r="G1474" t="s">
        <v>162</v>
      </c>
      <c r="H1474">
        <v>5</v>
      </c>
      <c r="I1474" s="3">
        <v>30.04</v>
      </c>
      <c r="J1474" t="s">
        <v>16</v>
      </c>
      <c r="K1474" t="s">
        <v>30</v>
      </c>
      <c r="L1474" s="4">
        <f>Table4[[#This Row],[quantity]]*Table4[[#This Row],[unit_price]]</f>
        <v>150.19999999999999</v>
      </c>
      <c r="M1474">
        <f>COUNTIFS($C$2:$C$3934,Table4[[#This Row],[customer_id]])</f>
        <v>6</v>
      </c>
      <c r="N1474" t="str">
        <f>IF(Table4[[#This Row],[customer_order_count]]=1,"New Customer","Repeat Customer")</f>
        <v>Repeat Customer</v>
      </c>
    </row>
    <row r="1475" spans="1:14">
      <c r="A1475" t="s">
        <v>4878</v>
      </c>
      <c r="B1475" s="1">
        <v>45566</v>
      </c>
      <c r="C1475" t="s">
        <v>1296</v>
      </c>
      <c r="D1475" t="s">
        <v>1156</v>
      </c>
      <c r="E1475" t="s">
        <v>44</v>
      </c>
      <c r="F1475" t="s">
        <v>66</v>
      </c>
      <c r="G1475" t="s">
        <v>49</v>
      </c>
      <c r="H1475">
        <v>1</v>
      </c>
      <c r="I1475" s="3">
        <v>30.05</v>
      </c>
      <c r="J1475" t="s">
        <v>16</v>
      </c>
      <c r="K1475" t="s">
        <v>30</v>
      </c>
      <c r="L1475" s="4">
        <f>Table4[[#This Row],[quantity]]*Table4[[#This Row],[unit_price]]</f>
        <v>30.05</v>
      </c>
      <c r="M1475">
        <f>COUNTIFS($C$2:$C$3934,Table4[[#This Row],[customer_id]])</f>
        <v>4</v>
      </c>
      <c r="N1475" t="str">
        <f>IF(Table4[[#This Row],[customer_order_count]]=1,"New Customer","Repeat Customer")</f>
        <v>Repeat Customer</v>
      </c>
    </row>
    <row r="1476" spans="1:14">
      <c r="A1476" t="s">
        <v>3640</v>
      </c>
      <c r="B1476" s="1">
        <v>45415</v>
      </c>
      <c r="C1476" t="s">
        <v>531</v>
      </c>
      <c r="D1476" t="s">
        <v>532</v>
      </c>
      <c r="E1476" t="s">
        <v>44</v>
      </c>
      <c r="F1476" t="s">
        <v>66</v>
      </c>
      <c r="G1476" t="s">
        <v>217</v>
      </c>
      <c r="H1476">
        <v>1</v>
      </c>
      <c r="I1476" s="3">
        <v>30.06</v>
      </c>
      <c r="J1476" t="s">
        <v>16</v>
      </c>
      <c r="K1476" t="s">
        <v>17</v>
      </c>
      <c r="L1476" s="4">
        <f>Table4[[#This Row],[quantity]]*Table4[[#This Row],[unit_price]]</f>
        <v>30.06</v>
      </c>
      <c r="M1476">
        <f>COUNTIFS($C$2:$C$3934,Table4[[#This Row],[customer_id]])</f>
        <v>3</v>
      </c>
      <c r="N1476" t="str">
        <f>IF(Table4[[#This Row],[customer_order_count]]=1,"New Customer","Repeat Customer")</f>
        <v>Repeat Customer</v>
      </c>
    </row>
    <row r="1477" spans="1:14">
      <c r="A1477" t="s">
        <v>932</v>
      </c>
      <c r="B1477" s="1">
        <v>45523</v>
      </c>
      <c r="C1477" t="s">
        <v>933</v>
      </c>
      <c r="D1477" t="s">
        <v>934</v>
      </c>
      <c r="E1477" t="s">
        <v>44</v>
      </c>
      <c r="F1477" t="s">
        <v>22</v>
      </c>
      <c r="G1477" t="s">
        <v>142</v>
      </c>
      <c r="H1477">
        <v>1</v>
      </c>
      <c r="I1477" s="3">
        <v>30.06</v>
      </c>
      <c r="J1477" t="s">
        <v>16</v>
      </c>
      <c r="K1477" t="s">
        <v>17</v>
      </c>
      <c r="L1477" s="4">
        <f>Table4[[#This Row],[quantity]]*Table4[[#This Row],[unit_price]]</f>
        <v>30.06</v>
      </c>
      <c r="M1477">
        <f>COUNTIFS($C$2:$C$3934,Table4[[#This Row],[customer_id]])</f>
        <v>7</v>
      </c>
      <c r="N1477" t="str">
        <f>IF(Table4[[#This Row],[customer_order_count]]=1,"New Customer","Repeat Customer")</f>
        <v>Repeat Customer</v>
      </c>
    </row>
    <row r="1478" spans="1:14">
      <c r="A1478" t="s">
        <v>4760</v>
      </c>
      <c r="B1478" s="1">
        <v>45589</v>
      </c>
      <c r="C1478" t="s">
        <v>1131</v>
      </c>
      <c r="D1478" t="s">
        <v>962</v>
      </c>
      <c r="E1478" t="s">
        <v>21</v>
      </c>
      <c r="F1478" t="s">
        <v>22</v>
      </c>
      <c r="G1478" t="s">
        <v>135</v>
      </c>
      <c r="H1478">
        <v>1</v>
      </c>
      <c r="I1478" s="3">
        <v>30.06</v>
      </c>
      <c r="J1478" t="s">
        <v>24</v>
      </c>
      <c r="K1478" t="s">
        <v>35</v>
      </c>
      <c r="L1478" s="4">
        <f>Table4[[#This Row],[quantity]]*Table4[[#This Row],[unit_price]]</f>
        <v>30.06</v>
      </c>
      <c r="M1478">
        <f>COUNTIFS($C$2:$C$3934,Table4[[#This Row],[customer_id]])</f>
        <v>8</v>
      </c>
      <c r="N1478" t="str">
        <f>IF(Table4[[#This Row],[customer_order_count]]=1,"New Customer","Repeat Customer")</f>
        <v>Repeat Customer</v>
      </c>
    </row>
    <row r="1479" spans="1:14">
      <c r="A1479" t="s">
        <v>2738</v>
      </c>
      <c r="B1479" s="1">
        <v>45431</v>
      </c>
      <c r="C1479" t="s">
        <v>268</v>
      </c>
      <c r="D1479" t="s">
        <v>269</v>
      </c>
      <c r="E1479" t="s">
        <v>21</v>
      </c>
      <c r="F1479" t="s">
        <v>79</v>
      </c>
      <c r="G1479" t="s">
        <v>204</v>
      </c>
      <c r="H1479">
        <v>2</v>
      </c>
      <c r="I1479" s="3">
        <v>30.07</v>
      </c>
      <c r="J1479" t="s">
        <v>16</v>
      </c>
      <c r="K1479" t="s">
        <v>30</v>
      </c>
      <c r="L1479" s="4">
        <f>Table4[[#This Row],[quantity]]*Table4[[#This Row],[unit_price]]</f>
        <v>60.14</v>
      </c>
      <c r="M1479">
        <f>COUNTIFS($C$2:$C$3934,Table4[[#This Row],[customer_id]])</f>
        <v>4</v>
      </c>
      <c r="N1479" t="str">
        <f>IF(Table4[[#This Row],[customer_order_count]]=1,"New Customer","Repeat Customer")</f>
        <v>Repeat Customer</v>
      </c>
    </row>
    <row r="1480" spans="1:14">
      <c r="A1480" t="s">
        <v>2634</v>
      </c>
      <c r="B1480" s="1">
        <v>45065</v>
      </c>
      <c r="C1480" t="s">
        <v>515</v>
      </c>
      <c r="D1480" t="s">
        <v>20</v>
      </c>
      <c r="E1480" t="s">
        <v>21</v>
      </c>
      <c r="F1480" t="s">
        <v>22</v>
      </c>
      <c r="G1480" t="s">
        <v>142</v>
      </c>
      <c r="H1480">
        <v>1</v>
      </c>
      <c r="I1480" s="3">
        <v>30.08</v>
      </c>
      <c r="J1480" t="s">
        <v>16</v>
      </c>
      <c r="K1480" t="s">
        <v>40</v>
      </c>
      <c r="L1480" s="4">
        <f>Table4[[#This Row],[quantity]]*Table4[[#This Row],[unit_price]]</f>
        <v>30.08</v>
      </c>
      <c r="M1480">
        <f>COUNTIFS($C$2:$C$3934,Table4[[#This Row],[customer_id]])</f>
        <v>6</v>
      </c>
      <c r="N1480" t="str">
        <f>IF(Table4[[#This Row],[customer_order_count]]=1,"New Customer","Repeat Customer")</f>
        <v>Repeat Customer</v>
      </c>
    </row>
    <row r="1481" spans="1:14">
      <c r="A1481" t="s">
        <v>3251</v>
      </c>
      <c r="B1481" s="1">
        <v>45603</v>
      </c>
      <c r="C1481" t="s">
        <v>477</v>
      </c>
      <c r="D1481" t="s">
        <v>478</v>
      </c>
      <c r="E1481" t="s">
        <v>21</v>
      </c>
      <c r="F1481" t="s">
        <v>66</v>
      </c>
      <c r="G1481" t="s">
        <v>238</v>
      </c>
      <c r="H1481">
        <v>2</v>
      </c>
      <c r="I1481" s="3">
        <v>30.09</v>
      </c>
      <c r="J1481" t="s">
        <v>16</v>
      </c>
      <c r="K1481" t="s">
        <v>40</v>
      </c>
      <c r="L1481" s="4">
        <f>Table4[[#This Row],[quantity]]*Table4[[#This Row],[unit_price]]</f>
        <v>60.18</v>
      </c>
      <c r="M1481">
        <f>COUNTIFS($C$2:$C$3934,Table4[[#This Row],[customer_id]])</f>
        <v>6</v>
      </c>
      <c r="N1481" t="str">
        <f>IF(Table4[[#This Row],[customer_order_count]]=1,"New Customer","Repeat Customer")</f>
        <v>Repeat Customer</v>
      </c>
    </row>
    <row r="1482" spans="1:14">
      <c r="A1482" t="s">
        <v>2983</v>
      </c>
      <c r="B1482" s="1">
        <v>44940</v>
      </c>
      <c r="C1482" t="s">
        <v>1202</v>
      </c>
      <c r="D1482" t="s">
        <v>1203</v>
      </c>
      <c r="E1482" t="s">
        <v>21</v>
      </c>
      <c r="F1482" t="s">
        <v>79</v>
      </c>
      <c r="G1482" t="s">
        <v>166</v>
      </c>
      <c r="H1482">
        <v>2</v>
      </c>
      <c r="I1482" s="3">
        <v>30.09</v>
      </c>
      <c r="J1482" t="s">
        <v>16</v>
      </c>
      <c r="K1482" t="s">
        <v>30</v>
      </c>
      <c r="L1482" s="4">
        <f>Table4[[#This Row],[quantity]]*Table4[[#This Row],[unit_price]]</f>
        <v>60.18</v>
      </c>
      <c r="M1482">
        <f>COUNTIFS($C$2:$C$3934,Table4[[#This Row],[customer_id]])</f>
        <v>4</v>
      </c>
      <c r="N1482" t="str">
        <f>IF(Table4[[#This Row],[customer_order_count]]=1,"New Customer","Repeat Customer")</f>
        <v>Repeat Customer</v>
      </c>
    </row>
    <row r="1483" spans="1:14">
      <c r="A1483" t="s">
        <v>4453</v>
      </c>
      <c r="B1483" s="1">
        <v>45518</v>
      </c>
      <c r="C1483" t="s">
        <v>850</v>
      </c>
      <c r="D1483" t="s">
        <v>851</v>
      </c>
      <c r="E1483" t="s">
        <v>21</v>
      </c>
      <c r="F1483" t="s">
        <v>70</v>
      </c>
      <c r="G1483" t="s">
        <v>110</v>
      </c>
      <c r="H1483">
        <v>1</v>
      </c>
      <c r="I1483" s="3">
        <v>30.11</v>
      </c>
      <c r="J1483" t="s">
        <v>16</v>
      </c>
      <c r="K1483" t="s">
        <v>35</v>
      </c>
      <c r="L1483" s="4">
        <f>Table4[[#This Row],[quantity]]*Table4[[#This Row],[unit_price]]</f>
        <v>30.11</v>
      </c>
      <c r="M1483">
        <f>COUNTIFS($C$2:$C$3934,Table4[[#This Row],[customer_id]])</f>
        <v>9</v>
      </c>
      <c r="N1483" t="str">
        <f>IF(Table4[[#This Row],[customer_order_count]]=1,"New Customer","Repeat Customer")</f>
        <v>Repeat Customer</v>
      </c>
    </row>
    <row r="1484" spans="1:14">
      <c r="A1484" t="s">
        <v>4836</v>
      </c>
      <c r="B1484" s="1">
        <v>45497</v>
      </c>
      <c r="C1484" t="s">
        <v>731</v>
      </c>
      <c r="D1484" t="s">
        <v>1804</v>
      </c>
      <c r="E1484" t="s">
        <v>21</v>
      </c>
      <c r="F1484" t="s">
        <v>70</v>
      </c>
      <c r="G1484" t="s">
        <v>71</v>
      </c>
      <c r="H1484">
        <v>1</v>
      </c>
      <c r="I1484" s="3">
        <v>30.11</v>
      </c>
      <c r="J1484" t="s">
        <v>16</v>
      </c>
      <c r="K1484" t="s">
        <v>17</v>
      </c>
      <c r="L1484" s="4">
        <f>Table4[[#This Row],[quantity]]*Table4[[#This Row],[unit_price]]</f>
        <v>30.11</v>
      </c>
      <c r="M1484">
        <f>COUNTIFS($C$2:$C$3934,Table4[[#This Row],[customer_id]])</f>
        <v>5</v>
      </c>
      <c r="N1484" t="str">
        <f>IF(Table4[[#This Row],[customer_order_count]]=1,"New Customer","Repeat Customer")</f>
        <v>Repeat Customer</v>
      </c>
    </row>
    <row r="1485" spans="1:14">
      <c r="A1485" t="s">
        <v>3237</v>
      </c>
      <c r="B1485" s="1">
        <v>45308</v>
      </c>
      <c r="C1485" t="s">
        <v>1005</v>
      </c>
      <c r="D1485" t="s">
        <v>1006</v>
      </c>
      <c r="E1485" t="s">
        <v>21</v>
      </c>
      <c r="F1485" t="s">
        <v>79</v>
      </c>
      <c r="G1485" t="s">
        <v>204</v>
      </c>
      <c r="H1485">
        <v>1</v>
      </c>
      <c r="I1485" s="3">
        <v>30.13</v>
      </c>
      <c r="J1485" t="s">
        <v>85</v>
      </c>
      <c r="K1485" t="s">
        <v>30</v>
      </c>
      <c r="L1485" s="4">
        <f>Table4[[#This Row],[quantity]]*Table4[[#This Row],[unit_price]]</f>
        <v>30.13</v>
      </c>
      <c r="M1485">
        <f>COUNTIFS($C$2:$C$3934,Table4[[#This Row],[customer_id]])</f>
        <v>6</v>
      </c>
      <c r="N1485" t="str">
        <f>IF(Table4[[#This Row],[customer_order_count]]=1,"New Customer","Repeat Customer")</f>
        <v>Repeat Customer</v>
      </c>
    </row>
    <row r="1486" spans="1:14">
      <c r="A1486" t="s">
        <v>3984</v>
      </c>
      <c r="B1486" s="1">
        <v>45449</v>
      </c>
      <c r="C1486" t="s">
        <v>1278</v>
      </c>
      <c r="D1486" t="s">
        <v>27</v>
      </c>
      <c r="E1486" t="s">
        <v>21</v>
      </c>
      <c r="F1486" t="s">
        <v>66</v>
      </c>
      <c r="G1486" t="s">
        <v>49</v>
      </c>
      <c r="H1486">
        <v>2</v>
      </c>
      <c r="I1486" s="3">
        <v>30.21</v>
      </c>
      <c r="J1486" t="s">
        <v>16</v>
      </c>
      <c r="K1486" t="s">
        <v>35</v>
      </c>
      <c r="L1486" s="4">
        <f>Table4[[#This Row],[quantity]]*Table4[[#This Row],[unit_price]]</f>
        <v>60.42</v>
      </c>
      <c r="M1486">
        <f>COUNTIFS($C$2:$C$3934,Table4[[#This Row],[customer_id]])</f>
        <v>4</v>
      </c>
      <c r="N1486" t="str">
        <f>IF(Table4[[#This Row],[customer_order_count]]=1,"New Customer","Repeat Customer")</f>
        <v>Repeat Customer</v>
      </c>
    </row>
    <row r="1487" spans="1:14">
      <c r="A1487" t="s">
        <v>4791</v>
      </c>
      <c r="B1487" s="1">
        <v>45461</v>
      </c>
      <c r="C1487" t="s">
        <v>440</v>
      </c>
      <c r="D1487" t="s">
        <v>441</v>
      </c>
      <c r="E1487" t="s">
        <v>21</v>
      </c>
      <c r="F1487" t="s">
        <v>22</v>
      </c>
      <c r="G1487" t="s">
        <v>264</v>
      </c>
      <c r="H1487">
        <v>2</v>
      </c>
      <c r="I1487" s="3">
        <v>30.22</v>
      </c>
      <c r="J1487" t="s">
        <v>16</v>
      </c>
      <c r="K1487" t="s">
        <v>35</v>
      </c>
      <c r="L1487" s="4">
        <f>Table4[[#This Row],[quantity]]*Table4[[#This Row],[unit_price]]</f>
        <v>60.44</v>
      </c>
      <c r="M1487">
        <f>COUNTIFS($C$2:$C$3934,Table4[[#This Row],[customer_id]])</f>
        <v>5</v>
      </c>
      <c r="N1487" t="str">
        <f>IF(Table4[[#This Row],[customer_order_count]]=1,"New Customer","Repeat Customer")</f>
        <v>Repeat Customer</v>
      </c>
    </row>
    <row r="1488" spans="1:14">
      <c r="A1488" t="s">
        <v>3313</v>
      </c>
      <c r="B1488" s="1">
        <v>44941</v>
      </c>
      <c r="C1488" t="s">
        <v>1374</v>
      </c>
      <c r="D1488" t="s">
        <v>1000</v>
      </c>
      <c r="E1488" t="s">
        <v>21</v>
      </c>
      <c r="F1488" t="s">
        <v>79</v>
      </c>
      <c r="G1488" t="s">
        <v>398</v>
      </c>
      <c r="H1488">
        <v>1</v>
      </c>
      <c r="I1488" s="3">
        <v>30.24</v>
      </c>
      <c r="J1488" t="s">
        <v>16</v>
      </c>
      <c r="K1488" t="s">
        <v>40</v>
      </c>
      <c r="L1488" s="4">
        <f>Table4[[#This Row],[quantity]]*Table4[[#This Row],[unit_price]]</f>
        <v>30.24</v>
      </c>
      <c r="M1488">
        <f>COUNTIFS($C$2:$C$3934,Table4[[#This Row],[customer_id]])</f>
        <v>6</v>
      </c>
      <c r="N1488" t="str">
        <f>IF(Table4[[#This Row],[customer_order_count]]=1,"New Customer","Repeat Customer")</f>
        <v>Repeat Customer</v>
      </c>
    </row>
    <row r="1489" spans="1:14">
      <c r="A1489" t="s">
        <v>1345</v>
      </c>
      <c r="B1489" s="1">
        <v>45464</v>
      </c>
      <c r="C1489" t="s">
        <v>902</v>
      </c>
      <c r="D1489" t="s">
        <v>903</v>
      </c>
      <c r="E1489" t="s">
        <v>21</v>
      </c>
      <c r="F1489" t="s">
        <v>66</v>
      </c>
      <c r="G1489" t="s">
        <v>67</v>
      </c>
      <c r="H1489">
        <v>1</v>
      </c>
      <c r="I1489" s="3">
        <v>30.25</v>
      </c>
      <c r="J1489" t="s">
        <v>16</v>
      </c>
      <c r="K1489" t="s">
        <v>17</v>
      </c>
      <c r="L1489" s="4">
        <f>Table4[[#This Row],[quantity]]*Table4[[#This Row],[unit_price]]</f>
        <v>30.25</v>
      </c>
      <c r="M1489">
        <f>COUNTIFS($C$2:$C$3934,Table4[[#This Row],[customer_id]])</f>
        <v>4</v>
      </c>
      <c r="N1489" t="str">
        <f>IF(Table4[[#This Row],[customer_order_count]]=1,"New Customer","Repeat Customer")</f>
        <v>Repeat Customer</v>
      </c>
    </row>
    <row r="1490" spans="1:14">
      <c r="A1490" t="s">
        <v>1204</v>
      </c>
      <c r="B1490" s="1">
        <v>45040</v>
      </c>
      <c r="C1490" t="s">
        <v>1205</v>
      </c>
      <c r="D1490" t="s">
        <v>372</v>
      </c>
      <c r="E1490" t="s">
        <v>44</v>
      </c>
      <c r="F1490" t="s">
        <v>66</v>
      </c>
      <c r="G1490" t="s">
        <v>128</v>
      </c>
      <c r="H1490">
        <v>1</v>
      </c>
      <c r="I1490" s="3">
        <v>30.28</v>
      </c>
      <c r="J1490" t="s">
        <v>85</v>
      </c>
      <c r="K1490" t="s">
        <v>40</v>
      </c>
      <c r="L1490" s="4">
        <f>Table4[[#This Row],[quantity]]*Table4[[#This Row],[unit_price]]</f>
        <v>30.28</v>
      </c>
      <c r="M1490">
        <f>COUNTIFS($C$2:$C$3934,Table4[[#This Row],[customer_id]])</f>
        <v>4</v>
      </c>
      <c r="N1490" t="str">
        <f>IF(Table4[[#This Row],[customer_order_count]]=1,"New Customer","Repeat Customer")</f>
        <v>Repeat Customer</v>
      </c>
    </row>
    <row r="1491" spans="1:14">
      <c r="A1491" t="s">
        <v>2216</v>
      </c>
      <c r="B1491" s="1">
        <v>44939</v>
      </c>
      <c r="C1491" t="s">
        <v>1624</v>
      </c>
      <c r="D1491" t="s">
        <v>1625</v>
      </c>
      <c r="E1491" t="s">
        <v>21</v>
      </c>
      <c r="F1491" t="s">
        <v>79</v>
      </c>
      <c r="G1491" t="s">
        <v>204</v>
      </c>
      <c r="H1491">
        <v>1</v>
      </c>
      <c r="I1491" s="3">
        <v>30.29</v>
      </c>
      <c r="J1491" t="s">
        <v>16</v>
      </c>
      <c r="K1491" t="s">
        <v>30</v>
      </c>
      <c r="L1491" s="4">
        <f>Table4[[#This Row],[quantity]]*Table4[[#This Row],[unit_price]]</f>
        <v>30.29</v>
      </c>
      <c r="M1491">
        <f>COUNTIFS($C$2:$C$3934,Table4[[#This Row],[customer_id]])</f>
        <v>8</v>
      </c>
      <c r="N1491" t="str">
        <f>IF(Table4[[#This Row],[customer_order_count]]=1,"New Customer","Repeat Customer")</f>
        <v>Repeat Customer</v>
      </c>
    </row>
    <row r="1492" spans="1:14">
      <c r="A1492" t="s">
        <v>648</v>
      </c>
      <c r="B1492" s="1">
        <v>44964</v>
      </c>
      <c r="C1492" t="s">
        <v>649</v>
      </c>
      <c r="D1492" t="s">
        <v>650</v>
      </c>
      <c r="E1492" t="s">
        <v>21</v>
      </c>
      <c r="F1492" t="s">
        <v>22</v>
      </c>
      <c r="G1492" t="s">
        <v>135</v>
      </c>
      <c r="H1492">
        <v>1</v>
      </c>
      <c r="I1492" s="3">
        <v>30.29</v>
      </c>
      <c r="J1492" t="s">
        <v>16</v>
      </c>
      <c r="K1492" t="s">
        <v>30</v>
      </c>
      <c r="L1492" s="4">
        <f>Table4[[#This Row],[quantity]]*Table4[[#This Row],[unit_price]]</f>
        <v>30.29</v>
      </c>
      <c r="M1492">
        <f>COUNTIFS($C$2:$C$3934,Table4[[#This Row],[customer_id]])</f>
        <v>7</v>
      </c>
      <c r="N1492" t="str">
        <f>IF(Table4[[#This Row],[customer_order_count]]=1,"New Customer","Repeat Customer")</f>
        <v>Repeat Customer</v>
      </c>
    </row>
    <row r="1493" spans="1:14">
      <c r="A1493" t="s">
        <v>119</v>
      </c>
      <c r="B1493" s="1">
        <v>45051</v>
      </c>
      <c r="C1493" t="s">
        <v>120</v>
      </c>
      <c r="D1493" t="s">
        <v>121</v>
      </c>
      <c r="E1493" t="s">
        <v>21</v>
      </c>
      <c r="F1493" t="s">
        <v>14</v>
      </c>
      <c r="G1493" t="s">
        <v>34</v>
      </c>
      <c r="H1493">
        <v>1</v>
      </c>
      <c r="I1493" s="3">
        <v>30.3</v>
      </c>
      <c r="J1493" t="s">
        <v>16</v>
      </c>
      <c r="K1493" t="s">
        <v>35</v>
      </c>
      <c r="L1493" s="4">
        <f>Table4[[#This Row],[quantity]]*Table4[[#This Row],[unit_price]]</f>
        <v>30.3</v>
      </c>
      <c r="M1493">
        <f>COUNTIFS($C$2:$C$3934,Table4[[#This Row],[customer_id]])</f>
        <v>5</v>
      </c>
      <c r="N1493" t="str">
        <f>IF(Table4[[#This Row],[customer_order_count]]=1,"New Customer","Repeat Customer")</f>
        <v>Repeat Customer</v>
      </c>
    </row>
    <row r="1494" spans="1:14">
      <c r="A1494" t="s">
        <v>3668</v>
      </c>
      <c r="B1494" s="1">
        <v>45562</v>
      </c>
      <c r="C1494" t="s">
        <v>2054</v>
      </c>
      <c r="D1494" t="s">
        <v>2055</v>
      </c>
      <c r="E1494" t="s">
        <v>21</v>
      </c>
      <c r="F1494" t="s">
        <v>66</v>
      </c>
      <c r="G1494" t="s">
        <v>128</v>
      </c>
      <c r="H1494">
        <v>2</v>
      </c>
      <c r="I1494" s="3">
        <v>30.31</v>
      </c>
      <c r="J1494" t="s">
        <v>16</v>
      </c>
      <c r="K1494" t="s">
        <v>35</v>
      </c>
      <c r="L1494" s="4">
        <f>Table4[[#This Row],[quantity]]*Table4[[#This Row],[unit_price]]</f>
        <v>60.62</v>
      </c>
      <c r="M1494">
        <f>COUNTIFS($C$2:$C$3934,Table4[[#This Row],[customer_id]])</f>
        <v>8</v>
      </c>
      <c r="N1494" t="str">
        <f>IF(Table4[[#This Row],[customer_order_count]]=1,"New Customer","Repeat Customer")</f>
        <v>Repeat Customer</v>
      </c>
    </row>
    <row r="1495" spans="1:14">
      <c r="A1495" t="s">
        <v>3378</v>
      </c>
      <c r="B1495" s="1">
        <v>45245</v>
      </c>
      <c r="C1495" t="s">
        <v>2225</v>
      </c>
      <c r="D1495" t="s">
        <v>438</v>
      </c>
      <c r="E1495" t="s">
        <v>44</v>
      </c>
      <c r="F1495" t="s">
        <v>28</v>
      </c>
      <c r="G1495" t="s">
        <v>114</v>
      </c>
      <c r="H1495">
        <v>2</v>
      </c>
      <c r="I1495" s="3">
        <v>30.34</v>
      </c>
      <c r="J1495" t="s">
        <v>16</v>
      </c>
      <c r="K1495" t="s">
        <v>35</v>
      </c>
      <c r="L1495" s="4">
        <f>Table4[[#This Row],[quantity]]*Table4[[#This Row],[unit_price]]</f>
        <v>60.68</v>
      </c>
      <c r="M1495">
        <f>COUNTIFS($C$2:$C$3934,Table4[[#This Row],[customer_id]])</f>
        <v>6</v>
      </c>
      <c r="N1495" t="str">
        <f>IF(Table4[[#This Row],[customer_order_count]]=1,"New Customer","Repeat Customer")</f>
        <v>Repeat Customer</v>
      </c>
    </row>
    <row r="1496" spans="1:14">
      <c r="A1496" t="s">
        <v>2884</v>
      </c>
      <c r="B1496" s="1">
        <v>45087</v>
      </c>
      <c r="C1496" t="s">
        <v>368</v>
      </c>
      <c r="D1496" t="s">
        <v>369</v>
      </c>
      <c r="E1496" t="s">
        <v>21</v>
      </c>
      <c r="F1496" t="s">
        <v>28</v>
      </c>
      <c r="G1496" t="s">
        <v>139</v>
      </c>
      <c r="H1496">
        <v>3</v>
      </c>
      <c r="I1496" s="3">
        <v>30.34</v>
      </c>
      <c r="J1496" t="s">
        <v>16</v>
      </c>
      <c r="K1496" t="s">
        <v>30</v>
      </c>
      <c r="L1496" s="4">
        <f>Table4[[#This Row],[quantity]]*Table4[[#This Row],[unit_price]]</f>
        <v>91.02</v>
      </c>
      <c r="M1496">
        <f>COUNTIFS($C$2:$C$3934,Table4[[#This Row],[customer_id]])</f>
        <v>7</v>
      </c>
      <c r="N1496" t="str">
        <f>IF(Table4[[#This Row],[customer_order_count]]=1,"New Customer","Repeat Customer")</f>
        <v>Repeat Customer</v>
      </c>
    </row>
    <row r="1497" spans="1:14">
      <c r="A1497" t="s">
        <v>1792</v>
      </c>
      <c r="B1497" s="1">
        <v>45012</v>
      </c>
      <c r="C1497" t="s">
        <v>914</v>
      </c>
      <c r="D1497" s="2" t="s">
        <v>5257</v>
      </c>
      <c r="E1497" t="s">
        <v>21</v>
      </c>
      <c r="F1497" t="s">
        <v>66</v>
      </c>
      <c r="G1497" t="s">
        <v>217</v>
      </c>
      <c r="H1497">
        <v>4</v>
      </c>
      <c r="I1497" s="3">
        <v>30.37</v>
      </c>
      <c r="J1497" t="s">
        <v>255</v>
      </c>
      <c r="K1497" t="s">
        <v>17</v>
      </c>
      <c r="L1497" s="4">
        <f>Table4[[#This Row],[quantity]]*Table4[[#This Row],[unit_price]]</f>
        <v>121.48</v>
      </c>
      <c r="M1497">
        <f>COUNTIFS($C$2:$C$3934,Table4[[#This Row],[customer_id]])</f>
        <v>10</v>
      </c>
      <c r="N1497" t="str">
        <f>IF(Table4[[#This Row],[customer_order_count]]=1,"New Customer","Repeat Customer")</f>
        <v>Repeat Customer</v>
      </c>
    </row>
    <row r="1498" spans="1:14">
      <c r="A1498" t="s">
        <v>3746</v>
      </c>
      <c r="B1498" s="1">
        <v>44965</v>
      </c>
      <c r="C1498" t="s">
        <v>3747</v>
      </c>
      <c r="D1498" s="5" t="s">
        <v>2283</v>
      </c>
      <c r="E1498" t="s">
        <v>21</v>
      </c>
      <c r="F1498" t="s">
        <v>66</v>
      </c>
      <c r="G1498" t="s">
        <v>49</v>
      </c>
      <c r="H1498">
        <v>3</v>
      </c>
      <c r="I1498" s="3">
        <v>30.39</v>
      </c>
      <c r="J1498" t="s">
        <v>85</v>
      </c>
      <c r="K1498" t="s">
        <v>17</v>
      </c>
      <c r="L1498" s="4">
        <f>Table4[[#This Row],[quantity]]*Table4[[#This Row],[unit_price]]</f>
        <v>91.17</v>
      </c>
      <c r="M1498">
        <f>COUNTIFS($C$2:$C$3934,Table4[[#This Row],[customer_id]])</f>
        <v>2</v>
      </c>
      <c r="N1498" t="str">
        <f>IF(Table4[[#This Row],[customer_order_count]]=1,"New Customer","Repeat Customer")</f>
        <v>Repeat Customer</v>
      </c>
    </row>
    <row r="1499" spans="1:14">
      <c r="A1499" t="s">
        <v>3016</v>
      </c>
      <c r="B1499" s="1">
        <v>44934</v>
      </c>
      <c r="C1499" t="s">
        <v>193</v>
      </c>
      <c r="D1499" t="s">
        <v>178</v>
      </c>
      <c r="E1499" t="s">
        <v>21</v>
      </c>
      <c r="F1499" t="s">
        <v>14</v>
      </c>
      <c r="G1499" t="s">
        <v>258</v>
      </c>
      <c r="H1499">
        <v>2</v>
      </c>
      <c r="I1499" s="3">
        <v>30.4</v>
      </c>
      <c r="J1499" t="s">
        <v>16</v>
      </c>
      <c r="K1499" t="s">
        <v>35</v>
      </c>
      <c r="L1499" s="4">
        <f>Table4[[#This Row],[quantity]]*Table4[[#This Row],[unit_price]]</f>
        <v>60.8</v>
      </c>
      <c r="M1499">
        <f>COUNTIFS($C$2:$C$3934,Table4[[#This Row],[customer_id]])</f>
        <v>8</v>
      </c>
      <c r="N1499" t="str">
        <f>IF(Table4[[#This Row],[customer_order_count]]=1,"New Customer","Repeat Customer")</f>
        <v>Repeat Customer</v>
      </c>
    </row>
    <row r="1500" spans="1:14">
      <c r="A1500" t="s">
        <v>5241</v>
      </c>
      <c r="B1500" s="1">
        <v>45607</v>
      </c>
      <c r="C1500" t="s">
        <v>578</v>
      </c>
      <c r="D1500" t="s">
        <v>579</v>
      </c>
      <c r="E1500" t="s">
        <v>21</v>
      </c>
      <c r="F1500" t="s">
        <v>70</v>
      </c>
      <c r="G1500" t="s">
        <v>146</v>
      </c>
      <c r="H1500">
        <v>1</v>
      </c>
      <c r="I1500" s="3">
        <v>30.43</v>
      </c>
      <c r="J1500" t="s">
        <v>255</v>
      </c>
      <c r="K1500" t="s">
        <v>35</v>
      </c>
      <c r="L1500" s="4">
        <f>Table4[[#This Row],[quantity]]*Table4[[#This Row],[unit_price]]</f>
        <v>30.43</v>
      </c>
      <c r="M1500">
        <f>COUNTIFS($C$2:$C$3934,Table4[[#This Row],[customer_id]])</f>
        <v>10</v>
      </c>
      <c r="N1500" t="str">
        <f>IF(Table4[[#This Row],[customer_order_count]]=1,"New Customer","Repeat Customer")</f>
        <v>Repeat Customer</v>
      </c>
    </row>
    <row r="1501" spans="1:14">
      <c r="A1501" t="s">
        <v>4700</v>
      </c>
      <c r="B1501" s="1">
        <v>45403</v>
      </c>
      <c r="C1501" t="s">
        <v>4701</v>
      </c>
      <c r="D1501" t="s">
        <v>510</v>
      </c>
      <c r="E1501" t="s">
        <v>21</v>
      </c>
      <c r="F1501" t="s">
        <v>66</v>
      </c>
      <c r="G1501" t="s">
        <v>49</v>
      </c>
      <c r="H1501">
        <v>1</v>
      </c>
      <c r="I1501" s="3">
        <v>30.45</v>
      </c>
      <c r="J1501" t="s">
        <v>16</v>
      </c>
      <c r="K1501" t="s">
        <v>35</v>
      </c>
      <c r="L1501" s="4">
        <f>Table4[[#This Row],[quantity]]*Table4[[#This Row],[unit_price]]</f>
        <v>30.45</v>
      </c>
      <c r="M1501">
        <f>COUNTIFS($C$2:$C$3934,Table4[[#This Row],[customer_id]])</f>
        <v>1</v>
      </c>
      <c r="N1501" t="str">
        <f>IF(Table4[[#This Row],[customer_order_count]]=1,"New Customer","Repeat Customer")</f>
        <v>New Customer</v>
      </c>
    </row>
    <row r="1502" spans="1:14">
      <c r="A1502" t="s">
        <v>679</v>
      </c>
      <c r="B1502" s="1">
        <v>44965</v>
      </c>
      <c r="C1502" t="s">
        <v>680</v>
      </c>
      <c r="D1502" t="s">
        <v>681</v>
      </c>
      <c r="E1502" t="s">
        <v>21</v>
      </c>
      <c r="F1502" t="s">
        <v>66</v>
      </c>
      <c r="G1502" t="s">
        <v>217</v>
      </c>
      <c r="H1502">
        <v>1</v>
      </c>
      <c r="I1502" s="3">
        <v>30.47</v>
      </c>
      <c r="J1502" t="s">
        <v>16</v>
      </c>
      <c r="K1502" t="s">
        <v>35</v>
      </c>
      <c r="L1502" s="4">
        <f>Table4[[#This Row],[quantity]]*Table4[[#This Row],[unit_price]]</f>
        <v>30.47</v>
      </c>
      <c r="M1502">
        <f>COUNTIFS($C$2:$C$3934,Table4[[#This Row],[customer_id]])</f>
        <v>11</v>
      </c>
      <c r="N1502" t="str">
        <f>IF(Table4[[#This Row],[customer_order_count]]=1,"New Customer","Repeat Customer")</f>
        <v>Repeat Customer</v>
      </c>
    </row>
    <row r="1503" spans="1:14">
      <c r="A1503" t="s">
        <v>2876</v>
      </c>
      <c r="B1503" s="1">
        <v>44943</v>
      </c>
      <c r="C1503" t="s">
        <v>2342</v>
      </c>
      <c r="D1503" t="s">
        <v>2343</v>
      </c>
      <c r="E1503" t="s">
        <v>21</v>
      </c>
      <c r="F1503" t="s">
        <v>28</v>
      </c>
      <c r="G1503" t="s">
        <v>139</v>
      </c>
      <c r="H1503">
        <v>1</v>
      </c>
      <c r="I1503" s="3">
        <v>30.48</v>
      </c>
      <c r="J1503" t="s">
        <v>16</v>
      </c>
      <c r="K1503" t="s">
        <v>30</v>
      </c>
      <c r="L1503" s="4">
        <f>Table4[[#This Row],[quantity]]*Table4[[#This Row],[unit_price]]</f>
        <v>30.48</v>
      </c>
      <c r="M1503">
        <f>COUNTIFS($C$2:$C$3934,Table4[[#This Row],[customer_id]])</f>
        <v>7</v>
      </c>
      <c r="N1503" t="str">
        <f>IF(Table4[[#This Row],[customer_order_count]]=1,"New Customer","Repeat Customer")</f>
        <v>Repeat Customer</v>
      </c>
    </row>
    <row r="1504" spans="1:14">
      <c r="A1504" t="s">
        <v>1677</v>
      </c>
      <c r="B1504" s="1">
        <v>44927</v>
      </c>
      <c r="C1504" t="s">
        <v>1312</v>
      </c>
      <c r="D1504" t="s">
        <v>693</v>
      </c>
      <c r="E1504" t="s">
        <v>21</v>
      </c>
      <c r="F1504" t="s">
        <v>66</v>
      </c>
      <c r="G1504" t="s">
        <v>49</v>
      </c>
      <c r="H1504">
        <v>1</v>
      </c>
      <c r="I1504" s="3">
        <v>30.49</v>
      </c>
      <c r="J1504" t="s">
        <v>16</v>
      </c>
      <c r="K1504" t="s">
        <v>30</v>
      </c>
      <c r="L1504" s="4">
        <f>Table4[[#This Row],[quantity]]*Table4[[#This Row],[unit_price]]</f>
        <v>30.49</v>
      </c>
      <c r="M1504">
        <f>COUNTIFS($C$2:$C$3934,Table4[[#This Row],[customer_id]])</f>
        <v>5</v>
      </c>
      <c r="N1504" t="str">
        <f>IF(Table4[[#This Row],[customer_order_count]]=1,"New Customer","Repeat Customer")</f>
        <v>Repeat Customer</v>
      </c>
    </row>
    <row r="1505" spans="1:14">
      <c r="A1505" t="s">
        <v>2221</v>
      </c>
      <c r="B1505" s="1">
        <v>45081</v>
      </c>
      <c r="C1505" t="s">
        <v>2222</v>
      </c>
      <c r="D1505" t="s">
        <v>372</v>
      </c>
      <c r="E1505" t="s">
        <v>61</v>
      </c>
      <c r="F1505" t="s">
        <v>28</v>
      </c>
      <c r="G1505" t="s">
        <v>139</v>
      </c>
      <c r="H1505">
        <v>1</v>
      </c>
      <c r="I1505" s="3">
        <v>30.5</v>
      </c>
      <c r="J1505" t="s">
        <v>16</v>
      </c>
      <c r="K1505" t="s">
        <v>30</v>
      </c>
      <c r="L1505" s="4">
        <f>Table4[[#This Row],[quantity]]*Table4[[#This Row],[unit_price]]</f>
        <v>30.5</v>
      </c>
      <c r="M1505">
        <f>COUNTIFS($C$2:$C$3934,Table4[[#This Row],[customer_id]])</f>
        <v>3</v>
      </c>
      <c r="N1505" t="str">
        <f>IF(Table4[[#This Row],[customer_order_count]]=1,"New Customer","Repeat Customer")</f>
        <v>Repeat Customer</v>
      </c>
    </row>
    <row r="1506" spans="1:14">
      <c r="A1506" t="s">
        <v>211</v>
      </c>
      <c r="B1506" s="1">
        <v>45421</v>
      </c>
      <c r="C1506" t="s">
        <v>212</v>
      </c>
      <c r="D1506" t="s">
        <v>213</v>
      </c>
      <c r="E1506" t="s">
        <v>44</v>
      </c>
      <c r="F1506" t="s">
        <v>66</v>
      </c>
      <c r="G1506" t="s">
        <v>49</v>
      </c>
      <c r="H1506">
        <v>1</v>
      </c>
      <c r="I1506" s="3">
        <v>30.52</v>
      </c>
      <c r="J1506" t="s">
        <v>16</v>
      </c>
      <c r="K1506" t="s">
        <v>30</v>
      </c>
      <c r="L1506" s="4">
        <f>Table4[[#This Row],[quantity]]*Table4[[#This Row],[unit_price]]</f>
        <v>30.52</v>
      </c>
      <c r="M1506">
        <f>COUNTIFS($C$2:$C$3934,Table4[[#This Row],[customer_id]])</f>
        <v>4</v>
      </c>
      <c r="N1506" t="str">
        <f>IF(Table4[[#This Row],[customer_order_count]]=1,"New Customer","Repeat Customer")</f>
        <v>Repeat Customer</v>
      </c>
    </row>
    <row r="1507" spans="1:14">
      <c r="A1507" t="s">
        <v>4483</v>
      </c>
      <c r="B1507" s="1">
        <v>45017</v>
      </c>
      <c r="C1507" t="s">
        <v>1298</v>
      </c>
      <c r="D1507" t="s">
        <v>48</v>
      </c>
      <c r="E1507" t="s">
        <v>21</v>
      </c>
      <c r="F1507" t="s">
        <v>28</v>
      </c>
      <c r="G1507" t="s">
        <v>139</v>
      </c>
      <c r="H1507">
        <v>2</v>
      </c>
      <c r="I1507" s="3">
        <v>30.53</v>
      </c>
      <c r="J1507" t="s">
        <v>16</v>
      </c>
      <c r="K1507" t="s">
        <v>35</v>
      </c>
      <c r="L1507" s="4">
        <f>Table4[[#This Row],[quantity]]*Table4[[#This Row],[unit_price]]</f>
        <v>61.06</v>
      </c>
      <c r="M1507">
        <f>COUNTIFS($C$2:$C$3934,Table4[[#This Row],[customer_id]])</f>
        <v>10</v>
      </c>
      <c r="N1507" t="str">
        <f>IF(Table4[[#This Row],[customer_order_count]]=1,"New Customer","Repeat Customer")</f>
        <v>Repeat Customer</v>
      </c>
    </row>
    <row r="1508" spans="1:14">
      <c r="A1508" t="s">
        <v>3181</v>
      </c>
      <c r="B1508" s="1">
        <v>45052</v>
      </c>
      <c r="C1508" t="s">
        <v>2412</v>
      </c>
      <c r="D1508" t="s">
        <v>2413</v>
      </c>
      <c r="E1508" t="s">
        <v>21</v>
      </c>
      <c r="F1508" t="s">
        <v>56</v>
      </c>
      <c r="G1508" t="s">
        <v>210</v>
      </c>
      <c r="H1508">
        <v>4</v>
      </c>
      <c r="I1508" s="3">
        <v>30.54</v>
      </c>
      <c r="J1508" t="s">
        <v>16</v>
      </c>
      <c r="K1508" t="s">
        <v>35</v>
      </c>
      <c r="L1508" s="4">
        <f>Table4[[#This Row],[quantity]]*Table4[[#This Row],[unit_price]]</f>
        <v>122.16</v>
      </c>
      <c r="M1508">
        <f>COUNTIFS($C$2:$C$3934,Table4[[#This Row],[customer_id]])</f>
        <v>4</v>
      </c>
      <c r="N1508" t="str">
        <f>IF(Table4[[#This Row],[customer_order_count]]=1,"New Customer","Repeat Customer")</f>
        <v>Repeat Customer</v>
      </c>
    </row>
    <row r="1509" spans="1:14">
      <c r="A1509" t="s">
        <v>2929</v>
      </c>
      <c r="B1509" s="1">
        <v>45400</v>
      </c>
      <c r="C1509" t="s">
        <v>1851</v>
      </c>
      <c r="D1509" t="s">
        <v>1000</v>
      </c>
      <c r="E1509" t="s">
        <v>21</v>
      </c>
      <c r="F1509" t="s">
        <v>28</v>
      </c>
      <c r="G1509" t="s">
        <v>29</v>
      </c>
      <c r="H1509">
        <v>1</v>
      </c>
      <c r="I1509" s="3">
        <v>30.58</v>
      </c>
      <c r="J1509" t="s">
        <v>16</v>
      </c>
      <c r="K1509" t="s">
        <v>40</v>
      </c>
      <c r="L1509" s="4">
        <f>Table4[[#This Row],[quantity]]*Table4[[#This Row],[unit_price]]</f>
        <v>30.58</v>
      </c>
      <c r="M1509">
        <f>COUNTIFS($C$2:$C$3934,Table4[[#This Row],[customer_id]])</f>
        <v>6</v>
      </c>
      <c r="N1509" t="str">
        <f>IF(Table4[[#This Row],[customer_order_count]]=1,"New Customer","Repeat Customer")</f>
        <v>Repeat Customer</v>
      </c>
    </row>
    <row r="1510" spans="1:14">
      <c r="A1510" t="s">
        <v>2265</v>
      </c>
      <c r="B1510" s="1">
        <v>45089</v>
      </c>
      <c r="C1510" t="s">
        <v>2266</v>
      </c>
      <c r="D1510" t="s">
        <v>464</v>
      </c>
      <c r="E1510" t="s">
        <v>44</v>
      </c>
      <c r="F1510" t="s">
        <v>66</v>
      </c>
      <c r="G1510" t="s">
        <v>238</v>
      </c>
      <c r="H1510">
        <v>2</v>
      </c>
      <c r="I1510" s="3">
        <v>30.58</v>
      </c>
      <c r="J1510" t="s">
        <v>16</v>
      </c>
      <c r="K1510" t="s">
        <v>40</v>
      </c>
      <c r="L1510" s="4">
        <f>Table4[[#This Row],[quantity]]*Table4[[#This Row],[unit_price]]</f>
        <v>61.16</v>
      </c>
      <c r="M1510">
        <f>COUNTIFS($C$2:$C$3934,Table4[[#This Row],[customer_id]])</f>
        <v>5</v>
      </c>
      <c r="N1510" t="str">
        <f>IF(Table4[[#This Row],[customer_order_count]]=1,"New Customer","Repeat Customer")</f>
        <v>Repeat Customer</v>
      </c>
    </row>
    <row r="1511" spans="1:14">
      <c r="A1511" t="s">
        <v>3239</v>
      </c>
      <c r="B1511" s="1">
        <v>45451</v>
      </c>
      <c r="C1511" t="s">
        <v>2175</v>
      </c>
      <c r="D1511" t="s">
        <v>1938</v>
      </c>
      <c r="E1511" t="s">
        <v>44</v>
      </c>
      <c r="F1511" t="s">
        <v>70</v>
      </c>
      <c r="G1511" t="s">
        <v>71</v>
      </c>
      <c r="H1511">
        <v>1</v>
      </c>
      <c r="I1511" s="3">
        <v>30.61</v>
      </c>
      <c r="J1511" t="s">
        <v>16</v>
      </c>
      <c r="K1511" t="s">
        <v>35</v>
      </c>
      <c r="L1511" s="4">
        <f>Table4[[#This Row],[quantity]]*Table4[[#This Row],[unit_price]]</f>
        <v>30.61</v>
      </c>
      <c r="M1511">
        <f>COUNTIFS($C$2:$C$3934,Table4[[#This Row],[customer_id]])</f>
        <v>3</v>
      </c>
      <c r="N1511" t="str">
        <f>IF(Table4[[#This Row],[customer_order_count]]=1,"New Customer","Repeat Customer")</f>
        <v>Repeat Customer</v>
      </c>
    </row>
    <row r="1512" spans="1:14">
      <c r="A1512" t="s">
        <v>1085</v>
      </c>
      <c r="B1512" s="1">
        <v>45377</v>
      </c>
      <c r="C1512" t="s">
        <v>909</v>
      </c>
      <c r="D1512" t="s">
        <v>910</v>
      </c>
      <c r="E1512" t="s">
        <v>21</v>
      </c>
      <c r="F1512" t="s">
        <v>28</v>
      </c>
      <c r="G1512" t="s">
        <v>114</v>
      </c>
      <c r="H1512">
        <v>1</v>
      </c>
      <c r="I1512" s="3">
        <v>30.64</v>
      </c>
      <c r="J1512" t="s">
        <v>16</v>
      </c>
      <c r="K1512" t="s">
        <v>30</v>
      </c>
      <c r="L1512" s="4">
        <f>Table4[[#This Row],[quantity]]*Table4[[#This Row],[unit_price]]</f>
        <v>30.64</v>
      </c>
      <c r="M1512">
        <f>COUNTIFS($C$2:$C$3934,Table4[[#This Row],[customer_id]])</f>
        <v>7</v>
      </c>
      <c r="N1512" t="str">
        <f>IF(Table4[[#This Row],[customer_order_count]]=1,"New Customer","Repeat Customer")</f>
        <v>Repeat Customer</v>
      </c>
    </row>
    <row r="1513" spans="1:14">
      <c r="A1513" t="s">
        <v>352</v>
      </c>
      <c r="B1513" s="1">
        <v>45287</v>
      </c>
      <c r="C1513" t="s">
        <v>353</v>
      </c>
      <c r="D1513" t="s">
        <v>310</v>
      </c>
      <c r="E1513" t="s">
        <v>44</v>
      </c>
      <c r="F1513" t="s">
        <v>28</v>
      </c>
      <c r="G1513" t="s">
        <v>139</v>
      </c>
      <c r="H1513">
        <v>3</v>
      </c>
      <c r="I1513" s="3">
        <v>30.64</v>
      </c>
      <c r="J1513" t="s">
        <v>16</v>
      </c>
      <c r="K1513" t="s">
        <v>30</v>
      </c>
      <c r="L1513" s="4">
        <f>Table4[[#This Row],[quantity]]*Table4[[#This Row],[unit_price]]</f>
        <v>91.92</v>
      </c>
      <c r="M1513">
        <f>COUNTIFS($C$2:$C$3934,Table4[[#This Row],[customer_id]])</f>
        <v>5</v>
      </c>
      <c r="N1513" t="str">
        <f>IF(Table4[[#This Row],[customer_order_count]]=1,"New Customer","Repeat Customer")</f>
        <v>Repeat Customer</v>
      </c>
    </row>
    <row r="1514" spans="1:14">
      <c r="A1514" t="s">
        <v>3281</v>
      </c>
      <c r="B1514" s="1">
        <v>45505</v>
      </c>
      <c r="C1514" t="s">
        <v>456</v>
      </c>
      <c r="D1514" t="s">
        <v>181</v>
      </c>
      <c r="E1514" t="s">
        <v>44</v>
      </c>
      <c r="F1514" t="s">
        <v>22</v>
      </c>
      <c r="G1514" t="s">
        <v>264</v>
      </c>
      <c r="H1514">
        <v>1</v>
      </c>
      <c r="I1514" s="3">
        <v>30.66</v>
      </c>
      <c r="J1514" t="s">
        <v>16</v>
      </c>
      <c r="K1514" t="s">
        <v>30</v>
      </c>
      <c r="L1514" s="4">
        <f>Table4[[#This Row],[quantity]]*Table4[[#This Row],[unit_price]]</f>
        <v>30.66</v>
      </c>
      <c r="M1514">
        <f>COUNTIFS($C$2:$C$3934,Table4[[#This Row],[customer_id]])</f>
        <v>4</v>
      </c>
      <c r="N1514" t="str">
        <f>IF(Table4[[#This Row],[customer_order_count]]=1,"New Customer","Repeat Customer")</f>
        <v>Repeat Customer</v>
      </c>
    </row>
    <row r="1515" spans="1:14">
      <c r="A1515" t="s">
        <v>4108</v>
      </c>
      <c r="B1515" s="1">
        <v>45134</v>
      </c>
      <c r="C1515" t="s">
        <v>930</v>
      </c>
      <c r="D1515" t="s">
        <v>931</v>
      </c>
      <c r="E1515" t="s">
        <v>21</v>
      </c>
      <c r="F1515" t="s">
        <v>66</v>
      </c>
      <c r="G1515" t="s">
        <v>217</v>
      </c>
      <c r="H1515">
        <v>2</v>
      </c>
      <c r="I1515" s="3">
        <v>30.66</v>
      </c>
      <c r="J1515" t="s">
        <v>16</v>
      </c>
      <c r="K1515" t="s">
        <v>40</v>
      </c>
      <c r="L1515" s="4">
        <f>Table4[[#This Row],[quantity]]*Table4[[#This Row],[unit_price]]</f>
        <v>61.32</v>
      </c>
      <c r="M1515">
        <f>COUNTIFS($C$2:$C$3934,Table4[[#This Row],[customer_id]])</f>
        <v>6</v>
      </c>
      <c r="N1515" t="str">
        <f>IF(Table4[[#This Row],[customer_order_count]]=1,"New Customer","Repeat Customer")</f>
        <v>Repeat Customer</v>
      </c>
    </row>
    <row r="1516" spans="1:14">
      <c r="A1516" t="s">
        <v>5008</v>
      </c>
      <c r="B1516" s="1">
        <v>45531</v>
      </c>
      <c r="C1516" t="s">
        <v>1271</v>
      </c>
      <c r="D1516" t="s">
        <v>1272</v>
      </c>
      <c r="E1516" t="s">
        <v>21</v>
      </c>
      <c r="F1516" t="s">
        <v>28</v>
      </c>
      <c r="G1516" t="s">
        <v>29</v>
      </c>
      <c r="H1516">
        <v>3</v>
      </c>
      <c r="I1516" s="3">
        <v>30.66</v>
      </c>
      <c r="J1516" t="s">
        <v>24</v>
      </c>
      <c r="K1516" t="s">
        <v>17</v>
      </c>
      <c r="L1516" s="4">
        <f>Table4[[#This Row],[quantity]]*Table4[[#This Row],[unit_price]]</f>
        <v>91.98</v>
      </c>
      <c r="M1516">
        <f>COUNTIFS($C$2:$C$3934,Table4[[#This Row],[customer_id]])</f>
        <v>6</v>
      </c>
      <c r="N1516" t="str">
        <f>IF(Table4[[#This Row],[customer_order_count]]=1,"New Customer","Repeat Customer")</f>
        <v>Repeat Customer</v>
      </c>
    </row>
    <row r="1517" spans="1:14">
      <c r="A1517" t="s">
        <v>2149</v>
      </c>
      <c r="B1517" s="1">
        <v>45230</v>
      </c>
      <c r="C1517" t="s">
        <v>1996</v>
      </c>
      <c r="D1517" t="s">
        <v>714</v>
      </c>
      <c r="E1517" t="s">
        <v>44</v>
      </c>
      <c r="F1517" t="s">
        <v>28</v>
      </c>
      <c r="G1517" t="s">
        <v>29</v>
      </c>
      <c r="H1517">
        <v>2</v>
      </c>
      <c r="I1517" s="3">
        <v>30.68</v>
      </c>
      <c r="J1517" t="s">
        <v>16</v>
      </c>
      <c r="K1517" s="2" t="s">
        <v>5256</v>
      </c>
      <c r="L1517" s="4">
        <f>Table4[[#This Row],[quantity]]*Table4[[#This Row],[unit_price]]</f>
        <v>61.36</v>
      </c>
      <c r="M1517">
        <f>COUNTIFS($C$2:$C$3934,Table4[[#This Row],[customer_id]])</f>
        <v>3</v>
      </c>
      <c r="N1517" t="str">
        <f>IF(Table4[[#This Row],[customer_order_count]]=1,"New Customer","Repeat Customer")</f>
        <v>Repeat Customer</v>
      </c>
    </row>
    <row r="1518" spans="1:14">
      <c r="A1518" t="s">
        <v>4846</v>
      </c>
      <c r="B1518" s="1">
        <v>45285</v>
      </c>
      <c r="C1518" t="s">
        <v>553</v>
      </c>
      <c r="D1518" t="s">
        <v>554</v>
      </c>
      <c r="E1518" t="s">
        <v>21</v>
      </c>
      <c r="F1518" t="s">
        <v>14</v>
      </c>
      <c r="G1518" t="s">
        <v>39</v>
      </c>
      <c r="H1518">
        <v>2</v>
      </c>
      <c r="I1518" s="3">
        <v>30.69</v>
      </c>
      <c r="J1518" t="s">
        <v>16</v>
      </c>
      <c r="K1518" s="5" t="s">
        <v>40</v>
      </c>
      <c r="L1518" s="4">
        <f>Table4[[#This Row],[quantity]]*Table4[[#This Row],[unit_price]]</f>
        <v>61.38</v>
      </c>
      <c r="M1518">
        <f>COUNTIFS($C$2:$C$3934,Table4[[#This Row],[customer_id]])</f>
        <v>5</v>
      </c>
      <c r="N1518" t="str">
        <f>IF(Table4[[#This Row],[customer_order_count]]=1,"New Customer","Repeat Customer")</f>
        <v>Repeat Customer</v>
      </c>
    </row>
    <row r="1519" spans="1:14">
      <c r="A1519" t="s">
        <v>4918</v>
      </c>
      <c r="B1519" s="1">
        <v>44965</v>
      </c>
      <c r="C1519" t="s">
        <v>37</v>
      </c>
      <c r="D1519" t="s">
        <v>38</v>
      </c>
      <c r="E1519" t="s">
        <v>44</v>
      </c>
      <c r="F1519" t="s">
        <v>79</v>
      </c>
      <c r="G1519" t="s">
        <v>398</v>
      </c>
      <c r="H1519">
        <v>2</v>
      </c>
      <c r="I1519" s="3">
        <v>30.7</v>
      </c>
      <c r="J1519" t="s">
        <v>16</v>
      </c>
      <c r="K1519" t="s">
        <v>30</v>
      </c>
      <c r="L1519" s="4">
        <f>Table4[[#This Row],[quantity]]*Table4[[#This Row],[unit_price]]</f>
        <v>61.4</v>
      </c>
      <c r="M1519">
        <f>COUNTIFS($C$2:$C$3934,Table4[[#This Row],[customer_id]])</f>
        <v>7</v>
      </c>
      <c r="N1519" t="str">
        <f>IF(Table4[[#This Row],[customer_order_count]]=1,"New Customer","Repeat Customer")</f>
        <v>Repeat Customer</v>
      </c>
    </row>
    <row r="1520" spans="1:14">
      <c r="A1520" t="s">
        <v>5172</v>
      </c>
      <c r="B1520" s="1">
        <v>45007</v>
      </c>
      <c r="C1520" t="s">
        <v>1397</v>
      </c>
      <c r="D1520" t="s">
        <v>383</v>
      </c>
      <c r="E1520" t="s">
        <v>44</v>
      </c>
      <c r="F1520" t="s">
        <v>56</v>
      </c>
      <c r="G1520" t="s">
        <v>118</v>
      </c>
      <c r="H1520">
        <v>3</v>
      </c>
      <c r="I1520" s="3">
        <v>30.71</v>
      </c>
      <c r="J1520" t="s">
        <v>16</v>
      </c>
      <c r="K1520" t="s">
        <v>17</v>
      </c>
      <c r="L1520" s="4">
        <f>Table4[[#This Row],[quantity]]*Table4[[#This Row],[unit_price]]</f>
        <v>92.13</v>
      </c>
      <c r="M1520">
        <f>COUNTIFS($C$2:$C$3934,Table4[[#This Row],[customer_id]])</f>
        <v>9</v>
      </c>
      <c r="N1520" t="str">
        <f>IF(Table4[[#This Row],[customer_order_count]]=1,"New Customer","Repeat Customer")</f>
        <v>Repeat Customer</v>
      </c>
    </row>
    <row r="1521" spans="1:14">
      <c r="A1521" t="s">
        <v>3163</v>
      </c>
      <c r="B1521" s="1">
        <v>45519</v>
      </c>
      <c r="C1521" t="s">
        <v>1842</v>
      </c>
      <c r="D1521" t="s">
        <v>496</v>
      </c>
      <c r="E1521" t="s">
        <v>44</v>
      </c>
      <c r="F1521" t="s">
        <v>28</v>
      </c>
      <c r="G1521" t="s">
        <v>45</v>
      </c>
      <c r="H1521">
        <v>1</v>
      </c>
      <c r="I1521" s="3">
        <v>30.73</v>
      </c>
      <c r="J1521" t="s">
        <v>16</v>
      </c>
      <c r="K1521" t="s">
        <v>17</v>
      </c>
      <c r="L1521" s="4">
        <f>Table4[[#This Row],[quantity]]*Table4[[#This Row],[unit_price]]</f>
        <v>30.73</v>
      </c>
      <c r="M1521">
        <f>COUNTIFS($C$2:$C$3934,Table4[[#This Row],[customer_id]])</f>
        <v>7</v>
      </c>
      <c r="N1521" t="str">
        <f>IF(Table4[[#This Row],[customer_order_count]]=1,"New Customer","Repeat Customer")</f>
        <v>Repeat Customer</v>
      </c>
    </row>
    <row r="1522" spans="1:14">
      <c r="A1522" t="s">
        <v>4000</v>
      </c>
      <c r="B1522" s="1">
        <v>45160</v>
      </c>
      <c r="C1522" t="s">
        <v>1532</v>
      </c>
      <c r="D1522" t="s">
        <v>1533</v>
      </c>
      <c r="E1522" t="s">
        <v>44</v>
      </c>
      <c r="F1522" t="s">
        <v>66</v>
      </c>
      <c r="G1522" t="s">
        <v>49</v>
      </c>
      <c r="H1522">
        <v>1</v>
      </c>
      <c r="I1522" s="3">
        <v>30.73</v>
      </c>
      <c r="J1522" t="s">
        <v>16</v>
      </c>
      <c r="K1522" t="s">
        <v>17</v>
      </c>
      <c r="L1522" s="4">
        <f>Table4[[#This Row],[quantity]]*Table4[[#This Row],[unit_price]]</f>
        <v>30.73</v>
      </c>
      <c r="M1522">
        <f>COUNTIFS($C$2:$C$3934,Table4[[#This Row],[customer_id]])</f>
        <v>9</v>
      </c>
      <c r="N1522" t="str">
        <f>IF(Table4[[#This Row],[customer_order_count]]=1,"New Customer","Repeat Customer")</f>
        <v>Repeat Customer</v>
      </c>
    </row>
    <row r="1523" spans="1:14">
      <c r="A1523" t="s">
        <v>3570</v>
      </c>
      <c r="B1523" s="1">
        <v>45250</v>
      </c>
      <c r="C1523" t="s">
        <v>488</v>
      </c>
      <c r="D1523" t="s">
        <v>52</v>
      </c>
      <c r="E1523" t="s">
        <v>21</v>
      </c>
      <c r="F1523" t="s">
        <v>79</v>
      </c>
      <c r="G1523" t="s">
        <v>96</v>
      </c>
      <c r="H1523">
        <v>1</v>
      </c>
      <c r="I1523" s="3">
        <v>30.74</v>
      </c>
      <c r="J1523" t="s">
        <v>16</v>
      </c>
      <c r="K1523" t="s">
        <v>40</v>
      </c>
      <c r="L1523" s="4">
        <f>Table4[[#This Row],[quantity]]*Table4[[#This Row],[unit_price]]</f>
        <v>30.74</v>
      </c>
      <c r="M1523">
        <f>COUNTIFS($C$2:$C$3934,Table4[[#This Row],[customer_id]])</f>
        <v>4</v>
      </c>
      <c r="N1523" t="str">
        <f>IF(Table4[[#This Row],[customer_order_count]]=1,"New Customer","Repeat Customer")</f>
        <v>Repeat Customer</v>
      </c>
    </row>
    <row r="1524" spans="1:14">
      <c r="A1524" t="s">
        <v>994</v>
      </c>
      <c r="B1524" s="1">
        <v>45016</v>
      </c>
      <c r="C1524" t="s">
        <v>112</v>
      </c>
      <c r="D1524" t="s">
        <v>113</v>
      </c>
      <c r="E1524" t="s">
        <v>21</v>
      </c>
      <c r="F1524" t="s">
        <v>28</v>
      </c>
      <c r="G1524" t="s">
        <v>29</v>
      </c>
      <c r="H1524">
        <v>1</v>
      </c>
      <c r="I1524" s="3">
        <v>30.74</v>
      </c>
      <c r="J1524" t="s">
        <v>16</v>
      </c>
      <c r="K1524" t="s">
        <v>40</v>
      </c>
      <c r="L1524" s="4">
        <f>Table4[[#This Row],[quantity]]*Table4[[#This Row],[unit_price]]</f>
        <v>30.74</v>
      </c>
      <c r="M1524">
        <f>COUNTIFS($C$2:$C$3934,Table4[[#This Row],[customer_id]])</f>
        <v>7</v>
      </c>
      <c r="N1524" t="str">
        <f>IF(Table4[[#This Row],[customer_order_count]]=1,"New Customer","Repeat Customer")</f>
        <v>Repeat Customer</v>
      </c>
    </row>
    <row r="1525" spans="1:14">
      <c r="A1525" t="s">
        <v>1797</v>
      </c>
      <c r="B1525" s="1">
        <v>45382</v>
      </c>
      <c r="C1525" t="s">
        <v>309</v>
      </c>
      <c r="D1525" t="s">
        <v>310</v>
      </c>
      <c r="E1525" t="s">
        <v>44</v>
      </c>
      <c r="F1525" t="s">
        <v>66</v>
      </c>
      <c r="G1525" t="s">
        <v>217</v>
      </c>
      <c r="H1525">
        <v>2</v>
      </c>
      <c r="I1525" s="3">
        <v>30.76</v>
      </c>
      <c r="J1525" t="s">
        <v>16</v>
      </c>
      <c r="K1525" t="s">
        <v>30</v>
      </c>
      <c r="L1525" s="4">
        <f>Table4[[#This Row],[quantity]]*Table4[[#This Row],[unit_price]]</f>
        <v>61.52</v>
      </c>
      <c r="M1525">
        <f>COUNTIFS($C$2:$C$3934,Table4[[#This Row],[customer_id]])</f>
        <v>8</v>
      </c>
      <c r="N1525" t="str">
        <f>IF(Table4[[#This Row],[customer_order_count]]=1,"New Customer","Repeat Customer")</f>
        <v>Repeat Customer</v>
      </c>
    </row>
    <row r="1526" spans="1:14">
      <c r="A1526" t="s">
        <v>1217</v>
      </c>
      <c r="B1526" s="1">
        <v>45521</v>
      </c>
      <c r="C1526" t="s">
        <v>1218</v>
      </c>
      <c r="D1526" t="s">
        <v>869</v>
      </c>
      <c r="E1526" t="s">
        <v>21</v>
      </c>
      <c r="F1526" t="s">
        <v>22</v>
      </c>
      <c r="G1526" t="s">
        <v>264</v>
      </c>
      <c r="H1526">
        <v>1</v>
      </c>
      <c r="I1526" s="3">
        <v>30.79</v>
      </c>
      <c r="J1526" t="s">
        <v>16</v>
      </c>
      <c r="K1526" t="s">
        <v>40</v>
      </c>
      <c r="L1526" s="4">
        <f>Table4[[#This Row],[quantity]]*Table4[[#This Row],[unit_price]]</f>
        <v>30.79</v>
      </c>
      <c r="M1526">
        <f>COUNTIFS($C$2:$C$3934,Table4[[#This Row],[customer_id]])</f>
        <v>4</v>
      </c>
      <c r="N1526" t="str">
        <f>IF(Table4[[#This Row],[customer_order_count]]=1,"New Customer","Repeat Customer")</f>
        <v>Repeat Customer</v>
      </c>
    </row>
    <row r="1527" spans="1:14">
      <c r="A1527" t="s">
        <v>4696</v>
      </c>
      <c r="B1527" s="1">
        <v>44948</v>
      </c>
      <c r="C1527" t="s">
        <v>2209</v>
      </c>
      <c r="D1527" t="s">
        <v>1080</v>
      </c>
      <c r="E1527" t="s">
        <v>21</v>
      </c>
      <c r="F1527" t="s">
        <v>28</v>
      </c>
      <c r="G1527" t="s">
        <v>114</v>
      </c>
      <c r="H1527">
        <v>1</v>
      </c>
      <c r="I1527" s="3">
        <v>30.8</v>
      </c>
      <c r="J1527" t="s">
        <v>16</v>
      </c>
      <c r="K1527" t="s">
        <v>40</v>
      </c>
      <c r="L1527" s="4">
        <f>Table4[[#This Row],[quantity]]*Table4[[#This Row],[unit_price]]</f>
        <v>30.8</v>
      </c>
      <c r="M1527">
        <f>COUNTIFS($C$2:$C$3934,Table4[[#This Row],[customer_id]])</f>
        <v>6</v>
      </c>
      <c r="N1527" t="str">
        <f>IF(Table4[[#This Row],[customer_order_count]]=1,"New Customer","Repeat Customer")</f>
        <v>Repeat Customer</v>
      </c>
    </row>
    <row r="1528" spans="1:14">
      <c r="A1528" t="s">
        <v>3235</v>
      </c>
      <c r="B1528" s="1">
        <v>45167</v>
      </c>
      <c r="C1528" t="s">
        <v>47</v>
      </c>
      <c r="D1528" t="s">
        <v>48</v>
      </c>
      <c r="E1528" t="s">
        <v>21</v>
      </c>
      <c r="F1528" t="s">
        <v>66</v>
      </c>
      <c r="G1528" t="s">
        <v>128</v>
      </c>
      <c r="H1528">
        <v>2</v>
      </c>
      <c r="I1528" s="3">
        <v>30.8</v>
      </c>
      <c r="J1528" t="s">
        <v>16</v>
      </c>
      <c r="K1528" t="s">
        <v>17</v>
      </c>
      <c r="L1528" s="4">
        <f>Table4[[#This Row],[quantity]]*Table4[[#This Row],[unit_price]]</f>
        <v>61.6</v>
      </c>
      <c r="M1528">
        <f>COUNTIFS($C$2:$C$3934,Table4[[#This Row],[customer_id]])</f>
        <v>8</v>
      </c>
      <c r="N1528" t="str">
        <f>IF(Table4[[#This Row],[customer_order_count]]=1,"New Customer","Repeat Customer")</f>
        <v>Repeat Customer</v>
      </c>
    </row>
    <row r="1529" spans="1:14">
      <c r="A1529" t="s">
        <v>2147</v>
      </c>
      <c r="B1529" s="1">
        <v>44948</v>
      </c>
      <c r="C1529" t="s">
        <v>2148</v>
      </c>
      <c r="D1529" t="s">
        <v>1419</v>
      </c>
      <c r="E1529" t="s">
        <v>44</v>
      </c>
      <c r="F1529" t="s">
        <v>28</v>
      </c>
      <c r="G1529" t="s">
        <v>114</v>
      </c>
      <c r="H1529">
        <v>1</v>
      </c>
      <c r="I1529" s="3">
        <v>30.81</v>
      </c>
      <c r="J1529" t="s">
        <v>16</v>
      </c>
      <c r="K1529" s="2" t="s">
        <v>5256</v>
      </c>
      <c r="L1529" s="4">
        <f>Table4[[#This Row],[quantity]]*Table4[[#This Row],[unit_price]]</f>
        <v>30.81</v>
      </c>
      <c r="M1529">
        <f>COUNTIFS($C$2:$C$3934,Table4[[#This Row],[customer_id]])</f>
        <v>4</v>
      </c>
      <c r="N1529" t="str">
        <f>IF(Table4[[#This Row],[customer_order_count]]=1,"New Customer","Repeat Customer")</f>
        <v>Repeat Customer</v>
      </c>
    </row>
    <row r="1530" spans="1:14">
      <c r="A1530" t="s">
        <v>1431</v>
      </c>
      <c r="B1530" s="1">
        <v>45644</v>
      </c>
      <c r="C1530" t="s">
        <v>537</v>
      </c>
      <c r="D1530" t="s">
        <v>538</v>
      </c>
      <c r="E1530" t="s">
        <v>21</v>
      </c>
      <c r="F1530" t="s">
        <v>66</v>
      </c>
      <c r="G1530" t="s">
        <v>49</v>
      </c>
      <c r="H1530">
        <v>5</v>
      </c>
      <c r="I1530" s="3">
        <v>30.81</v>
      </c>
      <c r="J1530" t="s">
        <v>16</v>
      </c>
      <c r="K1530" s="5" t="s">
        <v>40</v>
      </c>
      <c r="L1530" s="4">
        <f>Table4[[#This Row],[quantity]]*Table4[[#This Row],[unit_price]]</f>
        <v>154.04999999999998</v>
      </c>
      <c r="M1530">
        <f>COUNTIFS($C$2:$C$3934,Table4[[#This Row],[customer_id]])</f>
        <v>9</v>
      </c>
      <c r="N1530" t="str">
        <f>IF(Table4[[#This Row],[customer_order_count]]=1,"New Customer","Repeat Customer")</f>
        <v>Repeat Customer</v>
      </c>
    </row>
    <row r="1531" spans="1:14">
      <c r="A1531" t="s">
        <v>2579</v>
      </c>
      <c r="B1531" s="1">
        <v>45575</v>
      </c>
      <c r="C1531" t="s">
        <v>298</v>
      </c>
      <c r="D1531" t="s">
        <v>299</v>
      </c>
      <c r="E1531" t="s">
        <v>21</v>
      </c>
      <c r="F1531" t="s">
        <v>79</v>
      </c>
      <c r="G1531" t="s">
        <v>204</v>
      </c>
      <c r="H1531">
        <v>2</v>
      </c>
      <c r="I1531" s="3">
        <v>30.83</v>
      </c>
      <c r="J1531" t="s">
        <v>16</v>
      </c>
      <c r="K1531" t="s">
        <v>17</v>
      </c>
      <c r="L1531" s="4">
        <f>Table4[[#This Row],[quantity]]*Table4[[#This Row],[unit_price]]</f>
        <v>61.66</v>
      </c>
      <c r="M1531">
        <f>COUNTIFS($C$2:$C$3934,Table4[[#This Row],[customer_id]])</f>
        <v>7</v>
      </c>
      <c r="N1531" t="str">
        <f>IF(Table4[[#This Row],[customer_order_count]]=1,"New Customer","Repeat Customer")</f>
        <v>Repeat Customer</v>
      </c>
    </row>
    <row r="1532" spans="1:14">
      <c r="A1532" t="s">
        <v>360</v>
      </c>
      <c r="B1532" s="1">
        <v>45645</v>
      </c>
      <c r="C1532" t="s">
        <v>361</v>
      </c>
      <c r="D1532" t="s">
        <v>362</v>
      </c>
      <c r="E1532" t="s">
        <v>21</v>
      </c>
      <c r="F1532" t="s">
        <v>28</v>
      </c>
      <c r="G1532" t="s">
        <v>139</v>
      </c>
      <c r="H1532">
        <v>3</v>
      </c>
      <c r="I1532" s="3">
        <v>30.85</v>
      </c>
      <c r="J1532" t="s">
        <v>16</v>
      </c>
      <c r="K1532" t="s">
        <v>35</v>
      </c>
      <c r="L1532" s="4">
        <f>Table4[[#This Row],[quantity]]*Table4[[#This Row],[unit_price]]</f>
        <v>92.550000000000011</v>
      </c>
      <c r="M1532">
        <f>COUNTIFS($C$2:$C$3934,Table4[[#This Row],[customer_id]])</f>
        <v>8</v>
      </c>
      <c r="N1532" t="str">
        <f>IF(Table4[[#This Row],[customer_order_count]]=1,"New Customer","Repeat Customer")</f>
        <v>Repeat Customer</v>
      </c>
    </row>
    <row r="1533" spans="1:14">
      <c r="A1533" t="s">
        <v>2497</v>
      </c>
      <c r="B1533" s="1">
        <v>45400</v>
      </c>
      <c r="C1533" t="s">
        <v>2292</v>
      </c>
      <c r="D1533" t="s">
        <v>714</v>
      </c>
      <c r="E1533" t="s">
        <v>21</v>
      </c>
      <c r="F1533" t="s">
        <v>70</v>
      </c>
      <c r="G1533" t="s">
        <v>526</v>
      </c>
      <c r="H1533">
        <v>1</v>
      </c>
      <c r="I1533" s="3">
        <v>30.86</v>
      </c>
      <c r="J1533" t="s">
        <v>16</v>
      </c>
      <c r="K1533" t="s">
        <v>30</v>
      </c>
      <c r="L1533" s="4">
        <f>Table4[[#This Row],[quantity]]*Table4[[#This Row],[unit_price]]</f>
        <v>30.86</v>
      </c>
      <c r="M1533">
        <f>COUNTIFS($C$2:$C$3934,Table4[[#This Row],[customer_id]])</f>
        <v>6</v>
      </c>
      <c r="N1533" t="str">
        <f>IF(Table4[[#This Row],[customer_order_count]]=1,"New Customer","Repeat Customer")</f>
        <v>Repeat Customer</v>
      </c>
    </row>
    <row r="1534" spans="1:14">
      <c r="A1534" t="s">
        <v>3557</v>
      </c>
      <c r="B1534" s="1">
        <v>45313</v>
      </c>
      <c r="C1534" t="s">
        <v>633</v>
      </c>
      <c r="D1534" t="s">
        <v>634</v>
      </c>
      <c r="E1534" t="s">
        <v>21</v>
      </c>
      <c r="F1534" t="s">
        <v>28</v>
      </c>
      <c r="G1534" t="s">
        <v>139</v>
      </c>
      <c r="H1534">
        <v>1</v>
      </c>
      <c r="I1534" s="3">
        <v>30.87</v>
      </c>
      <c r="J1534" t="s">
        <v>16</v>
      </c>
      <c r="K1534" t="s">
        <v>35</v>
      </c>
      <c r="L1534" s="4">
        <f>Table4[[#This Row],[quantity]]*Table4[[#This Row],[unit_price]]</f>
        <v>30.87</v>
      </c>
      <c r="M1534">
        <f>COUNTIFS($C$2:$C$3934,Table4[[#This Row],[customer_id]])</f>
        <v>4</v>
      </c>
      <c r="N1534" t="str">
        <f>IF(Table4[[#This Row],[customer_order_count]]=1,"New Customer","Repeat Customer")</f>
        <v>Repeat Customer</v>
      </c>
    </row>
    <row r="1535" spans="1:14">
      <c r="A1535" t="s">
        <v>2302</v>
      </c>
      <c r="B1535" s="1">
        <v>45097</v>
      </c>
      <c r="C1535" t="s">
        <v>329</v>
      </c>
      <c r="D1535" t="s">
        <v>330</v>
      </c>
      <c r="E1535" t="s">
        <v>21</v>
      </c>
      <c r="F1535" t="s">
        <v>28</v>
      </c>
      <c r="G1535" t="s">
        <v>84</v>
      </c>
      <c r="H1535">
        <v>1</v>
      </c>
      <c r="I1535" s="3">
        <v>30.88</v>
      </c>
      <c r="J1535" t="s">
        <v>16</v>
      </c>
      <c r="K1535" t="s">
        <v>17</v>
      </c>
      <c r="L1535" s="4">
        <f>Table4[[#This Row],[quantity]]*Table4[[#This Row],[unit_price]]</f>
        <v>30.88</v>
      </c>
      <c r="M1535">
        <f>COUNTIFS($C$2:$C$3934,Table4[[#This Row],[customer_id]])</f>
        <v>5</v>
      </c>
      <c r="N1535" t="str">
        <f>IF(Table4[[#This Row],[customer_order_count]]=1,"New Customer","Repeat Customer")</f>
        <v>Repeat Customer</v>
      </c>
    </row>
    <row r="1536" spans="1:14">
      <c r="A1536" t="s">
        <v>1836</v>
      </c>
      <c r="B1536" s="1">
        <v>45222</v>
      </c>
      <c r="C1536" t="s">
        <v>1837</v>
      </c>
      <c r="D1536" t="s">
        <v>1838</v>
      </c>
      <c r="E1536" t="s">
        <v>21</v>
      </c>
      <c r="F1536" t="s">
        <v>66</v>
      </c>
      <c r="G1536" t="s">
        <v>67</v>
      </c>
      <c r="H1536">
        <v>1</v>
      </c>
      <c r="I1536" s="3">
        <v>30.88</v>
      </c>
      <c r="J1536" t="s">
        <v>255</v>
      </c>
      <c r="K1536" t="s">
        <v>40</v>
      </c>
      <c r="L1536" s="4">
        <f>Table4[[#This Row],[quantity]]*Table4[[#This Row],[unit_price]]</f>
        <v>30.88</v>
      </c>
      <c r="M1536">
        <f>COUNTIFS($C$2:$C$3934,Table4[[#This Row],[customer_id]])</f>
        <v>9</v>
      </c>
      <c r="N1536" t="str">
        <f>IF(Table4[[#This Row],[customer_order_count]]=1,"New Customer","Repeat Customer")</f>
        <v>Repeat Customer</v>
      </c>
    </row>
    <row r="1537" spans="1:14">
      <c r="A1537" t="s">
        <v>727</v>
      </c>
      <c r="B1537" s="1">
        <v>45100</v>
      </c>
      <c r="C1537" t="s">
        <v>477</v>
      </c>
      <c r="D1537" t="s">
        <v>478</v>
      </c>
      <c r="E1537" t="s">
        <v>21</v>
      </c>
      <c r="F1537" t="s">
        <v>22</v>
      </c>
      <c r="G1537" t="s">
        <v>162</v>
      </c>
      <c r="H1537">
        <v>1</v>
      </c>
      <c r="I1537" s="3">
        <v>30.89</v>
      </c>
      <c r="J1537" t="s">
        <v>16</v>
      </c>
      <c r="K1537" t="s">
        <v>40</v>
      </c>
      <c r="L1537" s="4">
        <f>Table4[[#This Row],[quantity]]*Table4[[#This Row],[unit_price]]</f>
        <v>30.89</v>
      </c>
      <c r="M1537">
        <f>COUNTIFS($C$2:$C$3934,Table4[[#This Row],[customer_id]])</f>
        <v>6</v>
      </c>
      <c r="N1537" t="str">
        <f>IF(Table4[[#This Row],[customer_order_count]]=1,"New Customer","Repeat Customer")</f>
        <v>Repeat Customer</v>
      </c>
    </row>
    <row r="1538" spans="1:14">
      <c r="A1538" t="s">
        <v>4770</v>
      </c>
      <c r="B1538" s="1">
        <v>45187</v>
      </c>
      <c r="C1538" t="s">
        <v>2301</v>
      </c>
      <c r="D1538" t="s">
        <v>1922</v>
      </c>
      <c r="E1538" t="s">
        <v>21</v>
      </c>
      <c r="F1538" t="s">
        <v>14</v>
      </c>
      <c r="G1538" t="s">
        <v>39</v>
      </c>
      <c r="H1538">
        <v>1</v>
      </c>
      <c r="I1538" s="3">
        <v>30.9</v>
      </c>
      <c r="J1538" t="s">
        <v>16</v>
      </c>
      <c r="K1538" t="s">
        <v>35</v>
      </c>
      <c r="L1538" s="4">
        <f>Table4[[#This Row],[quantity]]*Table4[[#This Row],[unit_price]]</f>
        <v>30.9</v>
      </c>
      <c r="M1538">
        <f>COUNTIFS($C$2:$C$3934,Table4[[#This Row],[customer_id]])</f>
        <v>6</v>
      </c>
      <c r="N1538" t="str">
        <f>IF(Table4[[#This Row],[customer_order_count]]=1,"New Customer","Repeat Customer")</f>
        <v>Repeat Customer</v>
      </c>
    </row>
    <row r="1539" spans="1:14">
      <c r="A1539" t="s">
        <v>2756</v>
      </c>
      <c r="B1539" s="1">
        <v>45532</v>
      </c>
      <c r="C1539" t="s">
        <v>2222</v>
      </c>
      <c r="D1539" t="s">
        <v>372</v>
      </c>
      <c r="E1539" t="s">
        <v>61</v>
      </c>
      <c r="F1539" t="s">
        <v>66</v>
      </c>
      <c r="G1539" t="s">
        <v>49</v>
      </c>
      <c r="H1539">
        <v>1</v>
      </c>
      <c r="I1539" s="3">
        <v>30.92</v>
      </c>
      <c r="J1539" t="s">
        <v>16</v>
      </c>
      <c r="K1539" t="s">
        <v>30</v>
      </c>
      <c r="L1539" s="4">
        <f>Table4[[#This Row],[quantity]]*Table4[[#This Row],[unit_price]]</f>
        <v>30.92</v>
      </c>
      <c r="M1539">
        <f>COUNTIFS($C$2:$C$3934,Table4[[#This Row],[customer_id]])</f>
        <v>3</v>
      </c>
      <c r="N1539" t="str">
        <f>IF(Table4[[#This Row],[customer_order_count]]=1,"New Customer","Repeat Customer")</f>
        <v>Repeat Customer</v>
      </c>
    </row>
    <row r="1540" spans="1:14">
      <c r="A1540" t="s">
        <v>1496</v>
      </c>
      <c r="B1540" s="1">
        <v>45619</v>
      </c>
      <c r="C1540" t="s">
        <v>1248</v>
      </c>
      <c r="D1540" t="s">
        <v>787</v>
      </c>
      <c r="E1540" t="s">
        <v>21</v>
      </c>
      <c r="F1540" t="s">
        <v>22</v>
      </c>
      <c r="G1540" t="s">
        <v>23</v>
      </c>
      <c r="H1540">
        <v>1</v>
      </c>
      <c r="I1540" s="3">
        <v>30.96</v>
      </c>
      <c r="J1540" t="s">
        <v>16</v>
      </c>
      <c r="K1540" t="s">
        <v>35</v>
      </c>
      <c r="L1540" s="4">
        <f>Table4[[#This Row],[quantity]]*Table4[[#This Row],[unit_price]]</f>
        <v>30.96</v>
      </c>
      <c r="M1540">
        <f>COUNTIFS($C$2:$C$3934,Table4[[#This Row],[customer_id]])</f>
        <v>6</v>
      </c>
      <c r="N1540" t="str">
        <f>IF(Table4[[#This Row],[customer_order_count]]=1,"New Customer","Repeat Customer")</f>
        <v>Repeat Customer</v>
      </c>
    </row>
    <row r="1541" spans="1:14">
      <c r="A1541" t="s">
        <v>1270</v>
      </c>
      <c r="B1541" s="1">
        <v>45625</v>
      </c>
      <c r="C1541" t="s">
        <v>1271</v>
      </c>
      <c r="D1541" t="s">
        <v>1272</v>
      </c>
      <c r="E1541" t="s">
        <v>21</v>
      </c>
      <c r="F1541" t="s">
        <v>66</v>
      </c>
      <c r="G1541" t="s">
        <v>49</v>
      </c>
      <c r="H1541">
        <v>1</v>
      </c>
      <c r="I1541" s="3">
        <v>30.99</v>
      </c>
      <c r="J1541" t="s">
        <v>16</v>
      </c>
      <c r="K1541" t="s">
        <v>40</v>
      </c>
      <c r="L1541" s="4">
        <f>Table4[[#This Row],[quantity]]*Table4[[#This Row],[unit_price]]</f>
        <v>30.99</v>
      </c>
      <c r="M1541">
        <f>COUNTIFS($C$2:$C$3934,Table4[[#This Row],[customer_id]])</f>
        <v>6</v>
      </c>
      <c r="N1541" t="str">
        <f>IF(Table4[[#This Row],[customer_order_count]]=1,"New Customer","Repeat Customer")</f>
        <v>Repeat Customer</v>
      </c>
    </row>
    <row r="1542" spans="1:14">
      <c r="A1542" t="s">
        <v>1448</v>
      </c>
      <c r="B1542" s="1">
        <v>45078</v>
      </c>
      <c r="C1542" t="s">
        <v>1449</v>
      </c>
      <c r="D1542" t="s">
        <v>1450</v>
      </c>
      <c r="E1542" t="s">
        <v>21</v>
      </c>
      <c r="F1542" t="s">
        <v>14</v>
      </c>
      <c r="G1542" t="s">
        <v>15</v>
      </c>
      <c r="H1542">
        <v>1</v>
      </c>
      <c r="I1542" s="3">
        <v>31</v>
      </c>
      <c r="J1542" t="s">
        <v>24</v>
      </c>
      <c r="K1542" t="s">
        <v>17</v>
      </c>
      <c r="L1542" s="4">
        <f>Table4[[#This Row],[quantity]]*Table4[[#This Row],[unit_price]]</f>
        <v>31</v>
      </c>
      <c r="M1542">
        <f>COUNTIFS($C$2:$C$3934,Table4[[#This Row],[customer_id]])</f>
        <v>4</v>
      </c>
      <c r="N1542" t="str">
        <f>IF(Table4[[#This Row],[customer_order_count]]=1,"New Customer","Repeat Customer")</f>
        <v>Repeat Customer</v>
      </c>
    </row>
    <row r="1543" spans="1:14">
      <c r="A1543" t="s">
        <v>4294</v>
      </c>
      <c r="B1543" s="1">
        <v>45160</v>
      </c>
      <c r="C1543" t="s">
        <v>2648</v>
      </c>
      <c r="D1543" t="s">
        <v>650</v>
      </c>
      <c r="E1543" t="s">
        <v>21</v>
      </c>
      <c r="F1543" t="s">
        <v>56</v>
      </c>
      <c r="G1543" t="s">
        <v>153</v>
      </c>
      <c r="H1543">
        <v>2</v>
      </c>
      <c r="I1543" s="3">
        <v>31</v>
      </c>
      <c r="J1543" t="s">
        <v>16</v>
      </c>
      <c r="K1543" t="s">
        <v>30</v>
      </c>
      <c r="L1543" s="4">
        <f>Table4[[#This Row],[quantity]]*Table4[[#This Row],[unit_price]]</f>
        <v>62</v>
      </c>
      <c r="M1543">
        <f>COUNTIFS($C$2:$C$3934,Table4[[#This Row],[customer_id]])</f>
        <v>3</v>
      </c>
      <c r="N1543" t="str">
        <f>IF(Table4[[#This Row],[customer_order_count]]=1,"New Customer","Repeat Customer")</f>
        <v>Repeat Customer</v>
      </c>
    </row>
    <row r="1544" spans="1:14">
      <c r="A1544" t="s">
        <v>4471</v>
      </c>
      <c r="B1544" s="1">
        <v>45227</v>
      </c>
      <c r="C1544" t="s">
        <v>1282</v>
      </c>
      <c r="D1544" t="s">
        <v>78</v>
      </c>
      <c r="E1544" t="s">
        <v>21</v>
      </c>
      <c r="F1544" t="s">
        <v>22</v>
      </c>
      <c r="G1544" t="s">
        <v>135</v>
      </c>
      <c r="H1544">
        <v>3</v>
      </c>
      <c r="I1544" s="3">
        <v>31</v>
      </c>
      <c r="J1544" t="s">
        <v>16</v>
      </c>
      <c r="K1544" t="s">
        <v>40</v>
      </c>
      <c r="L1544" s="4">
        <f>Table4[[#This Row],[quantity]]*Table4[[#This Row],[unit_price]]</f>
        <v>93</v>
      </c>
      <c r="M1544">
        <f>COUNTIFS($C$2:$C$3934,Table4[[#This Row],[customer_id]])</f>
        <v>4</v>
      </c>
      <c r="N1544" t="str">
        <f>IF(Table4[[#This Row],[customer_order_count]]=1,"New Customer","Repeat Customer")</f>
        <v>Repeat Customer</v>
      </c>
    </row>
    <row r="1545" spans="1:14">
      <c r="A1545" t="s">
        <v>5248</v>
      </c>
      <c r="B1545" s="1">
        <v>45422</v>
      </c>
      <c r="C1545" t="s">
        <v>1144</v>
      </c>
      <c r="D1545" t="s">
        <v>60</v>
      </c>
      <c r="E1545" t="s">
        <v>21</v>
      </c>
      <c r="F1545" t="s">
        <v>70</v>
      </c>
      <c r="G1545" t="s">
        <v>71</v>
      </c>
      <c r="H1545">
        <v>1</v>
      </c>
      <c r="I1545" s="3">
        <v>31.02</v>
      </c>
      <c r="J1545" t="s">
        <v>16</v>
      </c>
      <c r="K1545" t="s">
        <v>35</v>
      </c>
      <c r="L1545" s="4">
        <f>Table4[[#This Row],[quantity]]*Table4[[#This Row],[unit_price]]</f>
        <v>31.02</v>
      </c>
      <c r="M1545">
        <f>COUNTIFS($C$2:$C$3934,Table4[[#This Row],[customer_id]])</f>
        <v>7</v>
      </c>
      <c r="N1545" t="str">
        <f>IF(Table4[[#This Row],[customer_order_count]]=1,"New Customer","Repeat Customer")</f>
        <v>Repeat Customer</v>
      </c>
    </row>
    <row r="1546" spans="1:14">
      <c r="A1546" t="s">
        <v>2132</v>
      </c>
      <c r="B1546" s="1">
        <v>45327</v>
      </c>
      <c r="C1546" t="s">
        <v>1306</v>
      </c>
      <c r="D1546" t="s">
        <v>38</v>
      </c>
      <c r="E1546" t="s">
        <v>44</v>
      </c>
      <c r="F1546" t="s">
        <v>28</v>
      </c>
      <c r="G1546" t="s">
        <v>139</v>
      </c>
      <c r="H1546">
        <v>2</v>
      </c>
      <c r="I1546" s="3">
        <v>31.02</v>
      </c>
      <c r="J1546" t="s">
        <v>16</v>
      </c>
      <c r="K1546" t="s">
        <v>40</v>
      </c>
      <c r="L1546" s="4">
        <f>Table4[[#This Row],[quantity]]*Table4[[#This Row],[unit_price]]</f>
        <v>62.04</v>
      </c>
      <c r="M1546">
        <f>COUNTIFS($C$2:$C$3934,Table4[[#This Row],[customer_id]])</f>
        <v>3</v>
      </c>
      <c r="N1546" t="str">
        <f>IF(Table4[[#This Row],[customer_order_count]]=1,"New Customer","Repeat Customer")</f>
        <v>Repeat Customer</v>
      </c>
    </row>
    <row r="1547" spans="1:14">
      <c r="A1547" t="s">
        <v>1279</v>
      </c>
      <c r="B1547" s="1">
        <v>45251</v>
      </c>
      <c r="C1547" t="s">
        <v>1280</v>
      </c>
      <c r="D1547" t="s">
        <v>299</v>
      </c>
      <c r="E1547" t="s">
        <v>61</v>
      </c>
      <c r="F1547" t="s">
        <v>66</v>
      </c>
      <c r="G1547" t="s">
        <v>128</v>
      </c>
      <c r="H1547">
        <v>3</v>
      </c>
      <c r="I1547" s="3">
        <v>31.02</v>
      </c>
      <c r="J1547" t="s">
        <v>16</v>
      </c>
      <c r="K1547" t="s">
        <v>35</v>
      </c>
      <c r="L1547" s="4">
        <f>Table4[[#This Row],[quantity]]*Table4[[#This Row],[unit_price]]</f>
        <v>93.06</v>
      </c>
      <c r="M1547">
        <f>COUNTIFS($C$2:$C$3934,Table4[[#This Row],[customer_id]])</f>
        <v>3</v>
      </c>
      <c r="N1547" t="str">
        <f>IF(Table4[[#This Row],[customer_order_count]]=1,"New Customer","Repeat Customer")</f>
        <v>Repeat Customer</v>
      </c>
    </row>
    <row r="1548" spans="1:14">
      <c r="A1548" t="s">
        <v>3748</v>
      </c>
      <c r="B1548" s="1">
        <v>45617</v>
      </c>
      <c r="C1548" t="s">
        <v>983</v>
      </c>
      <c r="D1548" t="s">
        <v>237</v>
      </c>
      <c r="E1548" t="s">
        <v>44</v>
      </c>
      <c r="F1548" t="s">
        <v>56</v>
      </c>
      <c r="G1548" t="s">
        <v>422</v>
      </c>
      <c r="H1548">
        <v>3</v>
      </c>
      <c r="I1548" s="3">
        <v>31.03</v>
      </c>
      <c r="J1548" t="s">
        <v>85</v>
      </c>
      <c r="K1548" t="s">
        <v>17</v>
      </c>
      <c r="L1548" s="4">
        <f>Table4[[#This Row],[quantity]]*Table4[[#This Row],[unit_price]]</f>
        <v>93.09</v>
      </c>
      <c r="M1548">
        <f>COUNTIFS($C$2:$C$3934,Table4[[#This Row],[customer_id]])</f>
        <v>7</v>
      </c>
      <c r="N1548" t="str">
        <f>IF(Table4[[#This Row],[customer_order_count]]=1,"New Customer","Repeat Customer")</f>
        <v>Repeat Customer</v>
      </c>
    </row>
    <row r="1549" spans="1:14">
      <c r="A1549" t="s">
        <v>1629</v>
      </c>
      <c r="B1549" s="1">
        <v>45068</v>
      </c>
      <c r="C1549" t="s">
        <v>993</v>
      </c>
      <c r="D1549" t="s">
        <v>117</v>
      </c>
      <c r="E1549" t="s">
        <v>21</v>
      </c>
      <c r="F1549" t="s">
        <v>22</v>
      </c>
      <c r="G1549" t="s">
        <v>23</v>
      </c>
      <c r="H1549">
        <v>1</v>
      </c>
      <c r="I1549" s="3">
        <v>31.08</v>
      </c>
      <c r="J1549" t="s">
        <v>16</v>
      </c>
      <c r="K1549" t="s">
        <v>35</v>
      </c>
      <c r="L1549" s="4">
        <f>Table4[[#This Row],[quantity]]*Table4[[#This Row],[unit_price]]</f>
        <v>31.08</v>
      </c>
      <c r="M1549">
        <f>COUNTIFS($C$2:$C$3934,Table4[[#This Row],[customer_id]])</f>
        <v>5</v>
      </c>
      <c r="N1549" t="str">
        <f>IF(Table4[[#This Row],[customer_order_count]]=1,"New Customer","Repeat Customer")</f>
        <v>Repeat Customer</v>
      </c>
    </row>
    <row r="1550" spans="1:14">
      <c r="A1550" t="s">
        <v>4739</v>
      </c>
      <c r="B1550" s="1">
        <v>45249</v>
      </c>
      <c r="C1550" t="s">
        <v>1181</v>
      </c>
      <c r="D1550" t="s">
        <v>1000</v>
      </c>
      <c r="E1550" t="s">
        <v>21</v>
      </c>
      <c r="F1550" t="s">
        <v>14</v>
      </c>
      <c r="G1550" t="s">
        <v>100</v>
      </c>
      <c r="H1550">
        <v>2</v>
      </c>
      <c r="I1550" s="3">
        <v>31.08</v>
      </c>
      <c r="J1550" t="s">
        <v>85</v>
      </c>
      <c r="K1550" t="s">
        <v>30</v>
      </c>
      <c r="L1550" s="4">
        <f>Table4[[#This Row],[quantity]]*Table4[[#This Row],[unit_price]]</f>
        <v>62.16</v>
      </c>
      <c r="M1550">
        <f>COUNTIFS($C$2:$C$3934,Table4[[#This Row],[customer_id]])</f>
        <v>6</v>
      </c>
      <c r="N1550" t="str">
        <f>IF(Table4[[#This Row],[customer_order_count]]=1,"New Customer","Repeat Customer")</f>
        <v>Repeat Customer</v>
      </c>
    </row>
    <row r="1551" spans="1:14">
      <c r="A1551" t="s">
        <v>4876</v>
      </c>
      <c r="B1551" s="1">
        <v>45600</v>
      </c>
      <c r="C1551" t="s">
        <v>737</v>
      </c>
      <c r="D1551" t="s">
        <v>612</v>
      </c>
      <c r="E1551" t="s">
        <v>21</v>
      </c>
      <c r="F1551" t="s">
        <v>56</v>
      </c>
      <c r="G1551" t="s">
        <v>75</v>
      </c>
      <c r="H1551">
        <v>1</v>
      </c>
      <c r="I1551" s="3">
        <v>31.12</v>
      </c>
      <c r="J1551" t="s">
        <v>16</v>
      </c>
      <c r="K1551" t="s">
        <v>35</v>
      </c>
      <c r="L1551" s="4">
        <f>Table4[[#This Row],[quantity]]*Table4[[#This Row],[unit_price]]</f>
        <v>31.12</v>
      </c>
      <c r="M1551">
        <f>COUNTIFS($C$2:$C$3934,Table4[[#This Row],[customer_id]])</f>
        <v>5</v>
      </c>
      <c r="N1551" t="str">
        <f>IF(Table4[[#This Row],[customer_order_count]]=1,"New Customer","Repeat Customer")</f>
        <v>Repeat Customer</v>
      </c>
    </row>
    <row r="1552" spans="1:14">
      <c r="A1552" t="s">
        <v>3787</v>
      </c>
      <c r="B1552" s="1">
        <v>45543</v>
      </c>
      <c r="C1552" t="s">
        <v>2435</v>
      </c>
      <c r="D1552" t="s">
        <v>758</v>
      </c>
      <c r="E1552" t="s">
        <v>21</v>
      </c>
      <c r="F1552" t="s">
        <v>56</v>
      </c>
      <c r="G1552" t="s">
        <v>57</v>
      </c>
      <c r="H1552">
        <v>1</v>
      </c>
      <c r="I1552" s="3">
        <v>31.13</v>
      </c>
      <c r="J1552" t="s">
        <v>16</v>
      </c>
      <c r="K1552" t="s">
        <v>17</v>
      </c>
      <c r="L1552" s="4">
        <f>Table4[[#This Row],[quantity]]*Table4[[#This Row],[unit_price]]</f>
        <v>31.13</v>
      </c>
      <c r="M1552">
        <f>COUNTIFS($C$2:$C$3934,Table4[[#This Row],[customer_id]])</f>
        <v>5</v>
      </c>
      <c r="N1552" t="str">
        <f>IF(Table4[[#This Row],[customer_order_count]]=1,"New Customer","Repeat Customer")</f>
        <v>Repeat Customer</v>
      </c>
    </row>
    <row r="1553" spans="1:14">
      <c r="A1553" t="s">
        <v>4606</v>
      </c>
      <c r="B1553" s="1">
        <v>45276</v>
      </c>
      <c r="C1553" t="s">
        <v>2683</v>
      </c>
      <c r="D1553" t="s">
        <v>981</v>
      </c>
      <c r="E1553" t="s">
        <v>21</v>
      </c>
      <c r="F1553" t="s">
        <v>28</v>
      </c>
      <c r="G1553" t="s">
        <v>84</v>
      </c>
      <c r="H1553">
        <v>1</v>
      </c>
      <c r="I1553" s="3">
        <v>31.14</v>
      </c>
      <c r="J1553" t="s">
        <v>16</v>
      </c>
      <c r="K1553" t="s">
        <v>30</v>
      </c>
      <c r="L1553" s="4">
        <f>Table4[[#This Row],[quantity]]*Table4[[#This Row],[unit_price]]</f>
        <v>31.14</v>
      </c>
      <c r="M1553">
        <f>COUNTIFS($C$2:$C$3934,Table4[[#This Row],[customer_id]])</f>
        <v>3</v>
      </c>
      <c r="N1553" t="str">
        <f>IF(Table4[[#This Row],[customer_order_count]]=1,"New Customer","Repeat Customer")</f>
        <v>Repeat Customer</v>
      </c>
    </row>
    <row r="1554" spans="1:14">
      <c r="A1554" t="s">
        <v>2736</v>
      </c>
      <c r="B1554" s="1">
        <v>45100</v>
      </c>
      <c r="C1554" t="s">
        <v>416</v>
      </c>
      <c r="D1554" t="s">
        <v>417</v>
      </c>
      <c r="E1554" t="s">
        <v>21</v>
      </c>
      <c r="F1554" t="s">
        <v>22</v>
      </c>
      <c r="G1554" t="s">
        <v>142</v>
      </c>
      <c r="H1554">
        <v>5</v>
      </c>
      <c r="I1554" s="3">
        <v>31.14</v>
      </c>
      <c r="J1554" t="s">
        <v>16</v>
      </c>
      <c r="K1554" t="s">
        <v>35</v>
      </c>
      <c r="L1554" s="4">
        <f>Table4[[#This Row],[quantity]]*Table4[[#This Row],[unit_price]]</f>
        <v>155.69999999999999</v>
      </c>
      <c r="M1554">
        <f>COUNTIFS($C$2:$C$3934,Table4[[#This Row],[customer_id]])</f>
        <v>6</v>
      </c>
      <c r="N1554" t="str">
        <f>IF(Table4[[#This Row],[customer_order_count]]=1,"New Customer","Repeat Customer")</f>
        <v>Repeat Customer</v>
      </c>
    </row>
    <row r="1555" spans="1:14">
      <c r="A1555" t="s">
        <v>2208</v>
      </c>
      <c r="B1555" s="1">
        <v>45482</v>
      </c>
      <c r="C1555" t="s">
        <v>2209</v>
      </c>
      <c r="D1555" t="s">
        <v>1080</v>
      </c>
      <c r="E1555" t="s">
        <v>21</v>
      </c>
      <c r="F1555" t="s">
        <v>66</v>
      </c>
      <c r="G1555" t="s">
        <v>67</v>
      </c>
      <c r="H1555">
        <v>1</v>
      </c>
      <c r="I1555" s="3">
        <v>31.15</v>
      </c>
      <c r="J1555" t="s">
        <v>16</v>
      </c>
      <c r="K1555" t="s">
        <v>35</v>
      </c>
      <c r="L1555" s="4">
        <f>Table4[[#This Row],[quantity]]*Table4[[#This Row],[unit_price]]</f>
        <v>31.15</v>
      </c>
      <c r="M1555">
        <f>COUNTIFS($C$2:$C$3934,Table4[[#This Row],[customer_id]])</f>
        <v>6</v>
      </c>
      <c r="N1555" t="str">
        <f>IF(Table4[[#This Row],[customer_order_count]]=1,"New Customer","Repeat Customer")</f>
        <v>Repeat Customer</v>
      </c>
    </row>
    <row r="1556" spans="1:14">
      <c r="A1556" t="s">
        <v>728</v>
      </c>
      <c r="B1556" s="1">
        <v>45221</v>
      </c>
      <c r="C1556" t="s">
        <v>729</v>
      </c>
      <c r="D1556" s="2" t="s">
        <v>5257</v>
      </c>
      <c r="E1556" t="s">
        <v>44</v>
      </c>
      <c r="F1556" t="s">
        <v>28</v>
      </c>
      <c r="G1556" t="s">
        <v>139</v>
      </c>
      <c r="H1556">
        <v>1</v>
      </c>
      <c r="I1556" s="3">
        <v>31.17</v>
      </c>
      <c r="J1556" t="s">
        <v>16</v>
      </c>
      <c r="K1556" t="s">
        <v>17</v>
      </c>
      <c r="L1556" s="4">
        <f>Table4[[#This Row],[quantity]]*Table4[[#This Row],[unit_price]]</f>
        <v>31.17</v>
      </c>
      <c r="M1556">
        <f>COUNTIFS($C$2:$C$3934,Table4[[#This Row],[customer_id]])</f>
        <v>5</v>
      </c>
      <c r="N1556" t="str">
        <f>IF(Table4[[#This Row],[customer_order_count]]=1,"New Customer","Repeat Customer")</f>
        <v>Repeat Customer</v>
      </c>
    </row>
    <row r="1557" spans="1:14">
      <c r="A1557" t="s">
        <v>710</v>
      </c>
      <c r="B1557" s="1">
        <v>45007</v>
      </c>
      <c r="C1557" t="s">
        <v>711</v>
      </c>
      <c r="D1557" s="5" t="s">
        <v>505</v>
      </c>
      <c r="E1557" t="s">
        <v>21</v>
      </c>
      <c r="F1557" t="s">
        <v>66</v>
      </c>
      <c r="G1557" t="s">
        <v>238</v>
      </c>
      <c r="H1557">
        <v>1</v>
      </c>
      <c r="I1557" s="3">
        <v>31.17</v>
      </c>
      <c r="J1557" t="s">
        <v>16</v>
      </c>
      <c r="K1557" t="s">
        <v>35</v>
      </c>
      <c r="L1557" s="4">
        <f>Table4[[#This Row],[quantity]]*Table4[[#This Row],[unit_price]]</f>
        <v>31.17</v>
      </c>
      <c r="M1557">
        <f>COUNTIFS($C$2:$C$3934,Table4[[#This Row],[customer_id]])</f>
        <v>8</v>
      </c>
      <c r="N1557" t="str">
        <f>IF(Table4[[#This Row],[customer_order_count]]=1,"New Customer","Repeat Customer")</f>
        <v>Repeat Customer</v>
      </c>
    </row>
    <row r="1558" spans="1:14">
      <c r="A1558" t="s">
        <v>4135</v>
      </c>
      <c r="B1558" s="1">
        <v>45608</v>
      </c>
      <c r="C1558" t="s">
        <v>668</v>
      </c>
      <c r="D1558" t="s">
        <v>669</v>
      </c>
      <c r="E1558" t="s">
        <v>44</v>
      </c>
      <c r="F1558" t="s">
        <v>70</v>
      </c>
      <c r="G1558" t="s">
        <v>526</v>
      </c>
      <c r="H1558">
        <v>1</v>
      </c>
      <c r="I1558" s="3">
        <v>31.17</v>
      </c>
      <c r="J1558" t="s">
        <v>16</v>
      </c>
      <c r="K1558" t="s">
        <v>30</v>
      </c>
      <c r="L1558" s="4">
        <f>Table4[[#This Row],[quantity]]*Table4[[#This Row],[unit_price]]</f>
        <v>31.17</v>
      </c>
      <c r="M1558">
        <f>COUNTIFS($C$2:$C$3934,Table4[[#This Row],[customer_id]])</f>
        <v>7</v>
      </c>
      <c r="N1558" t="str">
        <f>IF(Table4[[#This Row],[customer_order_count]]=1,"New Customer","Repeat Customer")</f>
        <v>Repeat Customer</v>
      </c>
    </row>
    <row r="1559" spans="1:14">
      <c r="A1559" t="s">
        <v>3923</v>
      </c>
      <c r="B1559" s="1">
        <v>45296</v>
      </c>
      <c r="C1559" t="s">
        <v>2004</v>
      </c>
      <c r="D1559" t="s">
        <v>99</v>
      </c>
      <c r="E1559" t="s">
        <v>44</v>
      </c>
      <c r="F1559" t="s">
        <v>14</v>
      </c>
      <c r="G1559" t="s">
        <v>34</v>
      </c>
      <c r="H1559">
        <v>1</v>
      </c>
      <c r="I1559" s="3">
        <v>31.18</v>
      </c>
      <c r="J1559" t="s">
        <v>16</v>
      </c>
      <c r="K1559" t="s">
        <v>35</v>
      </c>
      <c r="L1559" s="4">
        <f>Table4[[#This Row],[quantity]]*Table4[[#This Row],[unit_price]]</f>
        <v>31.18</v>
      </c>
      <c r="M1559">
        <f>COUNTIFS($C$2:$C$3934,Table4[[#This Row],[customer_id]])</f>
        <v>6</v>
      </c>
      <c r="N1559" t="str">
        <f>IF(Table4[[#This Row],[customer_order_count]]=1,"New Customer","Repeat Customer")</f>
        <v>Repeat Customer</v>
      </c>
    </row>
    <row r="1560" spans="1:14">
      <c r="A1560" t="s">
        <v>2337</v>
      </c>
      <c r="B1560" s="1">
        <v>45267</v>
      </c>
      <c r="C1560" t="s">
        <v>1401</v>
      </c>
      <c r="D1560" t="s">
        <v>1402</v>
      </c>
      <c r="E1560" t="s">
        <v>21</v>
      </c>
      <c r="F1560" t="s">
        <v>28</v>
      </c>
      <c r="G1560" t="s">
        <v>139</v>
      </c>
      <c r="H1560">
        <v>1</v>
      </c>
      <c r="I1560" s="3">
        <v>31.19</v>
      </c>
      <c r="J1560" t="s">
        <v>16</v>
      </c>
      <c r="K1560" t="s">
        <v>17</v>
      </c>
      <c r="L1560" s="4">
        <f>Table4[[#This Row],[quantity]]*Table4[[#This Row],[unit_price]]</f>
        <v>31.19</v>
      </c>
      <c r="M1560">
        <f>COUNTIFS($C$2:$C$3934,Table4[[#This Row],[customer_id]])</f>
        <v>3</v>
      </c>
      <c r="N1560" t="str">
        <f>IF(Table4[[#This Row],[customer_order_count]]=1,"New Customer","Repeat Customer")</f>
        <v>Repeat Customer</v>
      </c>
    </row>
    <row r="1561" spans="1:14">
      <c r="A1561" t="s">
        <v>4620</v>
      </c>
      <c r="B1561" s="1">
        <v>45635</v>
      </c>
      <c r="C1561" t="s">
        <v>1511</v>
      </c>
      <c r="D1561" t="s">
        <v>1080</v>
      </c>
      <c r="E1561" t="s">
        <v>44</v>
      </c>
      <c r="F1561" t="s">
        <v>28</v>
      </c>
      <c r="G1561" t="s">
        <v>114</v>
      </c>
      <c r="H1561">
        <v>2</v>
      </c>
      <c r="I1561" s="3">
        <v>31.22</v>
      </c>
      <c r="J1561" t="s">
        <v>16</v>
      </c>
      <c r="K1561" t="s">
        <v>35</v>
      </c>
      <c r="L1561" s="4">
        <f>Table4[[#This Row],[quantity]]*Table4[[#This Row],[unit_price]]</f>
        <v>62.44</v>
      </c>
      <c r="M1561">
        <f>COUNTIFS($C$2:$C$3934,Table4[[#This Row],[customer_id]])</f>
        <v>4</v>
      </c>
      <c r="N1561" t="str">
        <f>IF(Table4[[#This Row],[customer_order_count]]=1,"New Customer","Repeat Customer")</f>
        <v>Repeat Customer</v>
      </c>
    </row>
    <row r="1562" spans="1:14">
      <c r="A1562" t="s">
        <v>3563</v>
      </c>
      <c r="B1562" s="1">
        <v>45120</v>
      </c>
      <c r="C1562" t="s">
        <v>880</v>
      </c>
      <c r="D1562" t="s">
        <v>881</v>
      </c>
      <c r="E1562" t="s">
        <v>21</v>
      </c>
      <c r="F1562" t="s">
        <v>66</v>
      </c>
      <c r="G1562" t="s">
        <v>67</v>
      </c>
      <c r="H1562">
        <v>1</v>
      </c>
      <c r="I1562" s="3">
        <v>31.25</v>
      </c>
      <c r="J1562" t="s">
        <v>85</v>
      </c>
      <c r="K1562" t="s">
        <v>30</v>
      </c>
      <c r="L1562" s="4">
        <f>Table4[[#This Row],[quantity]]*Table4[[#This Row],[unit_price]]</f>
        <v>31.25</v>
      </c>
      <c r="M1562">
        <f>COUNTIFS($C$2:$C$3934,Table4[[#This Row],[customer_id]])</f>
        <v>6</v>
      </c>
      <c r="N1562" t="str">
        <f>IF(Table4[[#This Row],[customer_order_count]]=1,"New Customer","Repeat Customer")</f>
        <v>Repeat Customer</v>
      </c>
    </row>
    <row r="1563" spans="1:14">
      <c r="A1563" t="s">
        <v>5208</v>
      </c>
      <c r="B1563" s="1">
        <v>45048</v>
      </c>
      <c r="C1563" t="s">
        <v>1194</v>
      </c>
      <c r="D1563" t="s">
        <v>1195</v>
      </c>
      <c r="E1563" t="s">
        <v>44</v>
      </c>
      <c r="F1563" t="s">
        <v>79</v>
      </c>
      <c r="G1563" t="s">
        <v>96</v>
      </c>
      <c r="H1563">
        <v>2</v>
      </c>
      <c r="I1563" s="3">
        <v>31.25</v>
      </c>
      <c r="J1563" t="s">
        <v>16</v>
      </c>
      <c r="K1563" t="s">
        <v>17</v>
      </c>
      <c r="L1563" s="4">
        <f>Table4[[#This Row],[quantity]]*Table4[[#This Row],[unit_price]]</f>
        <v>62.5</v>
      </c>
      <c r="M1563">
        <f>COUNTIFS($C$2:$C$3934,Table4[[#This Row],[customer_id]])</f>
        <v>4</v>
      </c>
      <c r="N1563" t="str">
        <f>IF(Table4[[#This Row],[customer_order_count]]=1,"New Customer","Repeat Customer")</f>
        <v>Repeat Customer</v>
      </c>
    </row>
    <row r="1564" spans="1:14">
      <c r="A1564" t="s">
        <v>3083</v>
      </c>
      <c r="B1564" s="1">
        <v>45050</v>
      </c>
      <c r="C1564" t="s">
        <v>921</v>
      </c>
      <c r="D1564" t="s">
        <v>181</v>
      </c>
      <c r="E1564" t="s">
        <v>21</v>
      </c>
      <c r="F1564" t="s">
        <v>79</v>
      </c>
      <c r="G1564" t="s">
        <v>541</v>
      </c>
      <c r="H1564">
        <v>2</v>
      </c>
      <c r="I1564" s="3">
        <v>31.27</v>
      </c>
      <c r="J1564" t="s">
        <v>16</v>
      </c>
      <c r="K1564" t="s">
        <v>17</v>
      </c>
      <c r="L1564" s="4">
        <f>Table4[[#This Row],[quantity]]*Table4[[#This Row],[unit_price]]</f>
        <v>62.54</v>
      </c>
      <c r="M1564">
        <f>COUNTIFS($C$2:$C$3934,Table4[[#This Row],[customer_id]])</f>
        <v>6</v>
      </c>
      <c r="N1564" t="str">
        <f>IF(Table4[[#This Row],[customer_order_count]]=1,"New Customer","Repeat Customer")</f>
        <v>Repeat Customer</v>
      </c>
    </row>
    <row r="1565" spans="1:14">
      <c r="A1565" t="s">
        <v>1116</v>
      </c>
      <c r="B1565" s="1">
        <v>45018</v>
      </c>
      <c r="C1565" t="s">
        <v>521</v>
      </c>
      <c r="D1565" t="s">
        <v>522</v>
      </c>
      <c r="E1565" t="s">
        <v>44</v>
      </c>
      <c r="F1565" t="s">
        <v>56</v>
      </c>
      <c r="G1565" t="s">
        <v>422</v>
      </c>
      <c r="H1565">
        <v>1</v>
      </c>
      <c r="I1565" s="3">
        <v>31.29</v>
      </c>
      <c r="J1565" t="s">
        <v>16</v>
      </c>
      <c r="K1565" t="s">
        <v>40</v>
      </c>
      <c r="L1565" s="4">
        <f>Table4[[#This Row],[quantity]]*Table4[[#This Row],[unit_price]]</f>
        <v>31.29</v>
      </c>
      <c r="M1565">
        <f>COUNTIFS($C$2:$C$3934,Table4[[#This Row],[customer_id]])</f>
        <v>5</v>
      </c>
      <c r="N1565" t="str">
        <f>IF(Table4[[#This Row],[customer_order_count]]=1,"New Customer","Repeat Customer")</f>
        <v>Repeat Customer</v>
      </c>
    </row>
    <row r="1566" spans="1:14">
      <c r="A1566" t="s">
        <v>1936</v>
      </c>
      <c r="B1566" s="1">
        <v>45160</v>
      </c>
      <c r="C1566" t="s">
        <v>1937</v>
      </c>
      <c r="D1566" t="s">
        <v>1938</v>
      </c>
      <c r="E1566" t="s">
        <v>44</v>
      </c>
      <c r="F1566" t="s">
        <v>66</v>
      </c>
      <c r="G1566" t="s">
        <v>49</v>
      </c>
      <c r="H1566">
        <v>1</v>
      </c>
      <c r="I1566" s="3">
        <v>31.3</v>
      </c>
      <c r="J1566" t="s">
        <v>16</v>
      </c>
      <c r="K1566" t="s">
        <v>35</v>
      </c>
      <c r="L1566" s="4">
        <f>Table4[[#This Row],[quantity]]*Table4[[#This Row],[unit_price]]</f>
        <v>31.3</v>
      </c>
      <c r="M1566">
        <f>COUNTIFS($C$2:$C$3934,Table4[[#This Row],[customer_id]])</f>
        <v>4</v>
      </c>
      <c r="N1566" t="str">
        <f>IF(Table4[[#This Row],[customer_order_count]]=1,"New Customer","Repeat Customer")</f>
        <v>Repeat Customer</v>
      </c>
    </row>
    <row r="1567" spans="1:14">
      <c r="A1567" t="s">
        <v>3044</v>
      </c>
      <c r="B1567" s="1">
        <v>45331</v>
      </c>
      <c r="C1567" t="s">
        <v>2503</v>
      </c>
      <c r="D1567" t="s">
        <v>310</v>
      </c>
      <c r="E1567" t="s">
        <v>61</v>
      </c>
      <c r="F1567" t="s">
        <v>14</v>
      </c>
      <c r="G1567" t="s">
        <v>15</v>
      </c>
      <c r="H1567">
        <v>1</v>
      </c>
      <c r="I1567" s="3">
        <v>31.31</v>
      </c>
      <c r="J1567" t="s">
        <v>16</v>
      </c>
      <c r="K1567" t="s">
        <v>30</v>
      </c>
      <c r="L1567" s="4">
        <f>Table4[[#This Row],[quantity]]*Table4[[#This Row],[unit_price]]</f>
        <v>31.31</v>
      </c>
      <c r="M1567">
        <f>COUNTIFS($C$2:$C$3934,Table4[[#This Row],[customer_id]])</f>
        <v>3</v>
      </c>
      <c r="N1567" t="str">
        <f>IF(Table4[[#This Row],[customer_order_count]]=1,"New Customer","Repeat Customer")</f>
        <v>Repeat Customer</v>
      </c>
    </row>
    <row r="1568" spans="1:14">
      <c r="A1568" t="s">
        <v>2892</v>
      </c>
      <c r="B1568" s="1">
        <v>45555</v>
      </c>
      <c r="C1568" t="s">
        <v>1142</v>
      </c>
      <c r="D1568" t="s">
        <v>758</v>
      </c>
      <c r="E1568" t="s">
        <v>21</v>
      </c>
      <c r="F1568" t="s">
        <v>66</v>
      </c>
      <c r="G1568" t="s">
        <v>128</v>
      </c>
      <c r="H1568">
        <v>1</v>
      </c>
      <c r="I1568" s="3">
        <v>31.32</v>
      </c>
      <c r="J1568" t="s">
        <v>16</v>
      </c>
      <c r="K1568" t="s">
        <v>40</v>
      </c>
      <c r="L1568" s="4">
        <f>Table4[[#This Row],[quantity]]*Table4[[#This Row],[unit_price]]</f>
        <v>31.32</v>
      </c>
      <c r="M1568">
        <f>COUNTIFS($C$2:$C$3934,Table4[[#This Row],[customer_id]])</f>
        <v>3</v>
      </c>
      <c r="N1568" t="str">
        <f>IF(Table4[[#This Row],[customer_order_count]]=1,"New Customer","Repeat Customer")</f>
        <v>Repeat Customer</v>
      </c>
    </row>
    <row r="1569" spans="1:14">
      <c r="A1569" t="s">
        <v>3148</v>
      </c>
      <c r="B1569" s="1">
        <v>45500</v>
      </c>
      <c r="C1569" t="s">
        <v>1757</v>
      </c>
      <c r="D1569" t="s">
        <v>1758</v>
      </c>
      <c r="E1569" t="s">
        <v>21</v>
      </c>
      <c r="F1569" t="s">
        <v>14</v>
      </c>
      <c r="G1569" t="s">
        <v>100</v>
      </c>
      <c r="H1569">
        <v>2</v>
      </c>
      <c r="I1569" s="3">
        <v>31.32</v>
      </c>
      <c r="J1569" t="s">
        <v>16</v>
      </c>
      <c r="K1569" t="s">
        <v>30</v>
      </c>
      <c r="L1569" s="4">
        <f>Table4[[#This Row],[quantity]]*Table4[[#This Row],[unit_price]]</f>
        <v>62.64</v>
      </c>
      <c r="M1569">
        <f>COUNTIFS($C$2:$C$3934,Table4[[#This Row],[customer_id]])</f>
        <v>9</v>
      </c>
      <c r="N1569" t="str">
        <f>IF(Table4[[#This Row],[customer_order_count]]=1,"New Customer","Repeat Customer")</f>
        <v>Repeat Customer</v>
      </c>
    </row>
    <row r="1570" spans="1:14">
      <c r="A1570" t="s">
        <v>2688</v>
      </c>
      <c r="B1570" s="1">
        <v>45044</v>
      </c>
      <c r="C1570" t="s">
        <v>108</v>
      </c>
      <c r="D1570" t="s">
        <v>109</v>
      </c>
      <c r="E1570" t="s">
        <v>106</v>
      </c>
      <c r="F1570" t="s">
        <v>22</v>
      </c>
      <c r="G1570" t="s">
        <v>162</v>
      </c>
      <c r="H1570">
        <v>1</v>
      </c>
      <c r="I1570" s="3">
        <v>31.33</v>
      </c>
      <c r="J1570" t="s">
        <v>85</v>
      </c>
      <c r="K1570" t="s">
        <v>17</v>
      </c>
      <c r="L1570" s="4">
        <f>Table4[[#This Row],[quantity]]*Table4[[#This Row],[unit_price]]</f>
        <v>31.33</v>
      </c>
      <c r="M1570">
        <f>COUNTIFS($C$2:$C$3934,Table4[[#This Row],[customer_id]])</f>
        <v>4</v>
      </c>
      <c r="N1570" t="str">
        <f>IF(Table4[[#This Row],[customer_order_count]]=1,"New Customer","Repeat Customer")</f>
        <v>Repeat Customer</v>
      </c>
    </row>
    <row r="1571" spans="1:14">
      <c r="A1571" t="s">
        <v>4747</v>
      </c>
      <c r="B1571" s="1">
        <v>45034</v>
      </c>
      <c r="C1571" t="s">
        <v>1624</v>
      </c>
      <c r="D1571" s="2" t="s">
        <v>5257</v>
      </c>
      <c r="E1571" t="s">
        <v>21</v>
      </c>
      <c r="F1571" t="s">
        <v>66</v>
      </c>
      <c r="G1571" t="s">
        <v>67</v>
      </c>
      <c r="H1571">
        <v>1</v>
      </c>
      <c r="I1571" s="3">
        <v>31.34</v>
      </c>
      <c r="J1571" t="s">
        <v>16</v>
      </c>
      <c r="K1571" t="s">
        <v>17</v>
      </c>
      <c r="L1571" s="4">
        <f>Table4[[#This Row],[quantity]]*Table4[[#This Row],[unit_price]]</f>
        <v>31.34</v>
      </c>
      <c r="M1571">
        <f>COUNTIFS($C$2:$C$3934,Table4[[#This Row],[customer_id]])</f>
        <v>8</v>
      </c>
      <c r="N1571" t="str">
        <f>IF(Table4[[#This Row],[customer_order_count]]=1,"New Customer","Repeat Customer")</f>
        <v>Repeat Customer</v>
      </c>
    </row>
    <row r="1572" spans="1:14">
      <c r="A1572" t="s">
        <v>1398</v>
      </c>
      <c r="B1572" s="1">
        <v>45160</v>
      </c>
      <c r="C1572" t="s">
        <v>850</v>
      </c>
      <c r="D1572" s="5" t="s">
        <v>851</v>
      </c>
      <c r="E1572" t="s">
        <v>21</v>
      </c>
      <c r="F1572" t="s">
        <v>66</v>
      </c>
      <c r="G1572" t="s">
        <v>67</v>
      </c>
      <c r="H1572">
        <v>2</v>
      </c>
      <c r="I1572" s="3">
        <v>31.35</v>
      </c>
      <c r="J1572" t="s">
        <v>16</v>
      </c>
      <c r="K1572" t="s">
        <v>40</v>
      </c>
      <c r="L1572" s="4">
        <f>Table4[[#This Row],[quantity]]*Table4[[#This Row],[unit_price]]</f>
        <v>62.7</v>
      </c>
      <c r="M1572">
        <f>COUNTIFS($C$2:$C$3934,Table4[[#This Row],[customer_id]])</f>
        <v>9</v>
      </c>
      <c r="N1572" t="str">
        <f>IF(Table4[[#This Row],[customer_order_count]]=1,"New Customer","Repeat Customer")</f>
        <v>Repeat Customer</v>
      </c>
    </row>
    <row r="1573" spans="1:14">
      <c r="A1573" t="s">
        <v>302</v>
      </c>
      <c r="B1573" s="1">
        <v>45155</v>
      </c>
      <c r="C1573" t="s">
        <v>303</v>
      </c>
      <c r="D1573" t="s">
        <v>304</v>
      </c>
      <c r="E1573" t="s">
        <v>21</v>
      </c>
      <c r="F1573" t="s">
        <v>70</v>
      </c>
      <c r="G1573" t="s">
        <v>71</v>
      </c>
      <c r="H1573">
        <v>1</v>
      </c>
      <c r="I1573" s="3">
        <v>31.36</v>
      </c>
      <c r="J1573" t="s">
        <v>16</v>
      </c>
      <c r="K1573" t="s">
        <v>35</v>
      </c>
      <c r="L1573" s="4">
        <f>Table4[[#This Row],[quantity]]*Table4[[#This Row],[unit_price]]</f>
        <v>31.36</v>
      </c>
      <c r="M1573">
        <f>COUNTIFS($C$2:$C$3934,Table4[[#This Row],[customer_id]])</f>
        <v>5</v>
      </c>
      <c r="N1573" t="str">
        <f>IF(Table4[[#This Row],[customer_order_count]]=1,"New Customer","Repeat Customer")</f>
        <v>Repeat Customer</v>
      </c>
    </row>
    <row r="1574" spans="1:14">
      <c r="A1574" t="s">
        <v>2547</v>
      </c>
      <c r="B1574" s="1">
        <v>45588</v>
      </c>
      <c r="C1574" t="s">
        <v>2126</v>
      </c>
      <c r="D1574" t="s">
        <v>2127</v>
      </c>
      <c r="E1574" t="s">
        <v>21</v>
      </c>
      <c r="F1574" t="s">
        <v>14</v>
      </c>
      <c r="G1574" t="s">
        <v>39</v>
      </c>
      <c r="H1574">
        <v>1</v>
      </c>
      <c r="I1574" s="3">
        <v>31.38</v>
      </c>
      <c r="J1574" t="s">
        <v>16</v>
      </c>
      <c r="K1574" t="s">
        <v>40</v>
      </c>
      <c r="L1574" s="4">
        <f>Table4[[#This Row],[quantity]]*Table4[[#This Row],[unit_price]]</f>
        <v>31.38</v>
      </c>
      <c r="M1574">
        <f>COUNTIFS($C$2:$C$3934,Table4[[#This Row],[customer_id]])</f>
        <v>3</v>
      </c>
      <c r="N1574" t="str">
        <f>IF(Table4[[#This Row],[customer_order_count]]=1,"New Customer","Repeat Customer")</f>
        <v>Repeat Customer</v>
      </c>
    </row>
    <row r="1575" spans="1:14">
      <c r="A1575" t="s">
        <v>2467</v>
      </c>
      <c r="B1575" s="1">
        <v>45368</v>
      </c>
      <c r="C1575" t="s">
        <v>2209</v>
      </c>
      <c r="D1575" t="s">
        <v>1080</v>
      </c>
      <c r="E1575" t="s">
        <v>21</v>
      </c>
      <c r="F1575" t="s">
        <v>28</v>
      </c>
      <c r="G1575" t="s">
        <v>114</v>
      </c>
      <c r="H1575">
        <v>1</v>
      </c>
      <c r="I1575" s="3">
        <v>31.38</v>
      </c>
      <c r="J1575" t="s">
        <v>16</v>
      </c>
      <c r="K1575" t="s">
        <v>35</v>
      </c>
      <c r="L1575" s="4">
        <f>Table4[[#This Row],[quantity]]*Table4[[#This Row],[unit_price]]</f>
        <v>31.38</v>
      </c>
      <c r="M1575">
        <f>COUNTIFS($C$2:$C$3934,Table4[[#This Row],[customer_id]])</f>
        <v>6</v>
      </c>
      <c r="N1575" t="str">
        <f>IF(Table4[[#This Row],[customer_order_count]]=1,"New Customer","Repeat Customer")</f>
        <v>Repeat Customer</v>
      </c>
    </row>
    <row r="1576" spans="1:14">
      <c r="A1576" t="s">
        <v>1776</v>
      </c>
      <c r="B1576" s="1">
        <v>45344</v>
      </c>
      <c r="C1576" t="s">
        <v>1777</v>
      </c>
      <c r="D1576" t="s">
        <v>1778</v>
      </c>
      <c r="E1576" t="s">
        <v>21</v>
      </c>
      <c r="F1576" t="s">
        <v>28</v>
      </c>
      <c r="G1576" t="s">
        <v>114</v>
      </c>
      <c r="H1576">
        <v>3</v>
      </c>
      <c r="I1576" s="3">
        <v>31.42</v>
      </c>
      <c r="J1576" t="s">
        <v>85</v>
      </c>
      <c r="K1576" t="s">
        <v>35</v>
      </c>
      <c r="L1576" s="4">
        <f>Table4[[#This Row],[quantity]]*Table4[[#This Row],[unit_price]]</f>
        <v>94.26</v>
      </c>
      <c r="M1576">
        <f>COUNTIFS($C$2:$C$3934,Table4[[#This Row],[customer_id]])</f>
        <v>3</v>
      </c>
      <c r="N1576" t="str">
        <f>IF(Table4[[#This Row],[customer_order_count]]=1,"New Customer","Repeat Customer")</f>
        <v>Repeat Customer</v>
      </c>
    </row>
    <row r="1577" spans="1:14">
      <c r="A1577" t="s">
        <v>2452</v>
      </c>
      <c r="B1577" s="1">
        <v>45632</v>
      </c>
      <c r="C1577" t="s">
        <v>696</v>
      </c>
      <c r="D1577" t="s">
        <v>582</v>
      </c>
      <c r="E1577" t="s">
        <v>21</v>
      </c>
      <c r="F1577" t="s">
        <v>14</v>
      </c>
      <c r="G1577" t="s">
        <v>100</v>
      </c>
      <c r="H1577">
        <v>1</v>
      </c>
      <c r="I1577" s="3">
        <v>31.43</v>
      </c>
      <c r="J1577" t="s">
        <v>24</v>
      </c>
      <c r="K1577" t="s">
        <v>35</v>
      </c>
      <c r="L1577" s="4">
        <f>Table4[[#This Row],[quantity]]*Table4[[#This Row],[unit_price]]</f>
        <v>31.43</v>
      </c>
      <c r="M1577">
        <f>COUNTIFS($C$2:$C$3934,Table4[[#This Row],[customer_id]])</f>
        <v>12</v>
      </c>
      <c r="N1577" t="str">
        <f>IF(Table4[[#This Row],[customer_order_count]]=1,"New Customer","Repeat Customer")</f>
        <v>Repeat Customer</v>
      </c>
    </row>
    <row r="1578" spans="1:14">
      <c r="A1578" t="s">
        <v>1739</v>
      </c>
      <c r="B1578" s="1">
        <v>45113</v>
      </c>
      <c r="C1578" t="s">
        <v>1740</v>
      </c>
      <c r="D1578" t="s">
        <v>250</v>
      </c>
      <c r="E1578" t="s">
        <v>21</v>
      </c>
      <c r="F1578" t="s">
        <v>79</v>
      </c>
      <c r="G1578" t="s">
        <v>96</v>
      </c>
      <c r="H1578">
        <v>1</v>
      </c>
      <c r="I1578" s="3">
        <v>31.43</v>
      </c>
      <c r="J1578" t="s">
        <v>16</v>
      </c>
      <c r="K1578" t="s">
        <v>17</v>
      </c>
      <c r="L1578" s="4">
        <f>Table4[[#This Row],[quantity]]*Table4[[#This Row],[unit_price]]</f>
        <v>31.43</v>
      </c>
      <c r="M1578">
        <f>COUNTIFS($C$2:$C$3934,Table4[[#This Row],[customer_id]])</f>
        <v>6</v>
      </c>
      <c r="N1578" t="str">
        <f>IF(Table4[[#This Row],[customer_order_count]]=1,"New Customer","Repeat Customer")</f>
        <v>Repeat Customer</v>
      </c>
    </row>
    <row r="1579" spans="1:14">
      <c r="A1579" t="s">
        <v>3523</v>
      </c>
      <c r="B1579" s="1">
        <v>44958</v>
      </c>
      <c r="C1579" t="s">
        <v>1202</v>
      </c>
      <c r="D1579" t="s">
        <v>1203</v>
      </c>
      <c r="E1579" t="s">
        <v>21</v>
      </c>
      <c r="F1579" t="s">
        <v>28</v>
      </c>
      <c r="G1579" t="s">
        <v>114</v>
      </c>
      <c r="H1579">
        <v>1</v>
      </c>
      <c r="I1579" s="3">
        <v>31.46</v>
      </c>
      <c r="J1579" t="s">
        <v>24</v>
      </c>
      <c r="K1579" t="s">
        <v>30</v>
      </c>
      <c r="L1579" s="4">
        <f>Table4[[#This Row],[quantity]]*Table4[[#This Row],[unit_price]]</f>
        <v>31.46</v>
      </c>
      <c r="M1579">
        <f>COUNTIFS($C$2:$C$3934,Table4[[#This Row],[customer_id]])</f>
        <v>4</v>
      </c>
      <c r="N1579" t="str">
        <f>IF(Table4[[#This Row],[customer_order_count]]=1,"New Customer","Repeat Customer")</f>
        <v>Repeat Customer</v>
      </c>
    </row>
    <row r="1580" spans="1:14">
      <c r="A1580" t="s">
        <v>1066</v>
      </c>
      <c r="B1580" s="1">
        <v>45094</v>
      </c>
      <c r="C1580" t="s">
        <v>729</v>
      </c>
      <c r="D1580" t="s">
        <v>1067</v>
      </c>
      <c r="E1580" t="s">
        <v>44</v>
      </c>
      <c r="F1580" t="s">
        <v>66</v>
      </c>
      <c r="G1580" t="s">
        <v>238</v>
      </c>
      <c r="H1580">
        <v>1</v>
      </c>
      <c r="I1580" s="3">
        <v>31.49</v>
      </c>
      <c r="J1580" t="s">
        <v>16</v>
      </c>
      <c r="K1580" t="s">
        <v>40</v>
      </c>
      <c r="L1580" s="4">
        <f>Table4[[#This Row],[quantity]]*Table4[[#This Row],[unit_price]]</f>
        <v>31.49</v>
      </c>
      <c r="M1580">
        <f>COUNTIFS($C$2:$C$3934,Table4[[#This Row],[customer_id]])</f>
        <v>5</v>
      </c>
      <c r="N1580" t="str">
        <f>IF(Table4[[#This Row],[customer_order_count]]=1,"New Customer","Repeat Customer")</f>
        <v>Repeat Customer</v>
      </c>
    </row>
    <row r="1581" spans="1:14">
      <c r="A1581" t="s">
        <v>3781</v>
      </c>
      <c r="B1581" s="1">
        <v>45000</v>
      </c>
      <c r="C1581" t="s">
        <v>1722</v>
      </c>
      <c r="D1581" t="s">
        <v>138</v>
      </c>
      <c r="E1581" t="s">
        <v>21</v>
      </c>
      <c r="F1581" t="s">
        <v>28</v>
      </c>
      <c r="G1581" t="s">
        <v>29</v>
      </c>
      <c r="H1581">
        <v>1</v>
      </c>
      <c r="I1581" s="3">
        <v>31.49</v>
      </c>
      <c r="J1581" t="s">
        <v>16</v>
      </c>
      <c r="K1581" t="s">
        <v>17</v>
      </c>
      <c r="L1581" s="4">
        <f>Table4[[#This Row],[quantity]]*Table4[[#This Row],[unit_price]]</f>
        <v>31.49</v>
      </c>
      <c r="M1581">
        <f>COUNTIFS($C$2:$C$3934,Table4[[#This Row],[customer_id]])</f>
        <v>4</v>
      </c>
      <c r="N1581" t="str">
        <f>IF(Table4[[#This Row],[customer_order_count]]=1,"New Customer","Repeat Customer")</f>
        <v>Repeat Customer</v>
      </c>
    </row>
    <row r="1582" spans="1:14">
      <c r="A1582" t="s">
        <v>1662</v>
      </c>
      <c r="B1582" s="1">
        <v>45642</v>
      </c>
      <c r="C1582" t="s">
        <v>1049</v>
      </c>
      <c r="D1582" t="s">
        <v>1050</v>
      </c>
      <c r="E1582" t="s">
        <v>44</v>
      </c>
      <c r="F1582" t="s">
        <v>56</v>
      </c>
      <c r="G1582" t="s">
        <v>153</v>
      </c>
      <c r="H1582">
        <v>1</v>
      </c>
      <c r="I1582" s="3">
        <v>31.49</v>
      </c>
      <c r="J1582" t="s">
        <v>16</v>
      </c>
      <c r="K1582" t="s">
        <v>35</v>
      </c>
      <c r="L1582" s="4">
        <f>Table4[[#This Row],[quantity]]*Table4[[#This Row],[unit_price]]</f>
        <v>31.49</v>
      </c>
      <c r="M1582">
        <f>COUNTIFS($C$2:$C$3934,Table4[[#This Row],[customer_id]])</f>
        <v>5</v>
      </c>
      <c r="N1582" t="str">
        <f>IF(Table4[[#This Row],[customer_order_count]]=1,"New Customer","Repeat Customer")</f>
        <v>Repeat Customer</v>
      </c>
    </row>
    <row r="1583" spans="1:14">
      <c r="A1583" t="s">
        <v>4980</v>
      </c>
      <c r="B1583" s="1">
        <v>44967</v>
      </c>
      <c r="C1583" t="s">
        <v>883</v>
      </c>
      <c r="D1583" t="s">
        <v>181</v>
      </c>
      <c r="E1583" t="s">
        <v>21</v>
      </c>
      <c r="F1583" t="s">
        <v>28</v>
      </c>
      <c r="G1583" t="s">
        <v>29</v>
      </c>
      <c r="H1583">
        <v>1</v>
      </c>
      <c r="I1583" s="3">
        <v>31.5</v>
      </c>
      <c r="J1583" t="s">
        <v>16</v>
      </c>
      <c r="K1583" s="2" t="s">
        <v>5256</v>
      </c>
      <c r="L1583" s="4">
        <f>Table4[[#This Row],[quantity]]*Table4[[#This Row],[unit_price]]</f>
        <v>31.5</v>
      </c>
      <c r="M1583">
        <f>COUNTIFS($C$2:$C$3934,Table4[[#This Row],[customer_id]])</f>
        <v>11</v>
      </c>
      <c r="N1583" t="str">
        <f>IF(Table4[[#This Row],[customer_order_count]]=1,"New Customer","Repeat Customer")</f>
        <v>Repeat Customer</v>
      </c>
    </row>
    <row r="1584" spans="1:14">
      <c r="A1584" t="s">
        <v>3933</v>
      </c>
      <c r="B1584" s="1">
        <v>45017</v>
      </c>
      <c r="C1584" t="s">
        <v>209</v>
      </c>
      <c r="D1584" t="s">
        <v>181</v>
      </c>
      <c r="E1584" t="s">
        <v>21</v>
      </c>
      <c r="F1584" t="s">
        <v>28</v>
      </c>
      <c r="G1584" t="s">
        <v>114</v>
      </c>
      <c r="H1584">
        <v>2</v>
      </c>
      <c r="I1584" s="3">
        <v>31.5</v>
      </c>
      <c r="J1584" t="s">
        <v>16</v>
      </c>
      <c r="K1584" s="5" t="s">
        <v>40</v>
      </c>
      <c r="L1584" s="4">
        <f>Table4[[#This Row],[quantity]]*Table4[[#This Row],[unit_price]]</f>
        <v>63</v>
      </c>
      <c r="M1584">
        <f>COUNTIFS($C$2:$C$3934,Table4[[#This Row],[customer_id]])</f>
        <v>5</v>
      </c>
      <c r="N1584" t="str">
        <f>IF(Table4[[#This Row],[customer_order_count]]=1,"New Customer","Repeat Customer")</f>
        <v>Repeat Customer</v>
      </c>
    </row>
    <row r="1585" spans="1:14">
      <c r="A1585" t="s">
        <v>4022</v>
      </c>
      <c r="B1585" s="1">
        <v>45206</v>
      </c>
      <c r="C1585" t="s">
        <v>260</v>
      </c>
      <c r="D1585" t="s">
        <v>261</v>
      </c>
      <c r="E1585" t="s">
        <v>44</v>
      </c>
      <c r="F1585" t="s">
        <v>66</v>
      </c>
      <c r="G1585" t="s">
        <v>217</v>
      </c>
      <c r="H1585">
        <v>2</v>
      </c>
      <c r="I1585" s="3">
        <v>31.51</v>
      </c>
      <c r="J1585" t="s">
        <v>16</v>
      </c>
      <c r="K1585" t="s">
        <v>35</v>
      </c>
      <c r="L1585" s="4">
        <f>Table4[[#This Row],[quantity]]*Table4[[#This Row],[unit_price]]</f>
        <v>63.02</v>
      </c>
      <c r="M1585">
        <f>COUNTIFS($C$2:$C$3934,Table4[[#This Row],[customer_id]])</f>
        <v>7</v>
      </c>
      <c r="N1585" t="str">
        <f>IF(Table4[[#This Row],[customer_order_count]]=1,"New Customer","Repeat Customer")</f>
        <v>Repeat Customer</v>
      </c>
    </row>
    <row r="1586" spans="1:14">
      <c r="A1586" t="s">
        <v>2295</v>
      </c>
      <c r="B1586" s="1">
        <v>45642</v>
      </c>
      <c r="C1586" t="s">
        <v>374</v>
      </c>
      <c r="D1586" t="s">
        <v>121</v>
      </c>
      <c r="E1586" t="s">
        <v>21</v>
      </c>
      <c r="F1586" t="s">
        <v>56</v>
      </c>
      <c r="G1586" t="s">
        <v>422</v>
      </c>
      <c r="H1586">
        <v>2</v>
      </c>
      <c r="I1586" s="3">
        <v>31.52</v>
      </c>
      <c r="J1586" t="s">
        <v>16</v>
      </c>
      <c r="K1586" t="s">
        <v>30</v>
      </c>
      <c r="L1586" s="4">
        <f>Table4[[#This Row],[quantity]]*Table4[[#This Row],[unit_price]]</f>
        <v>63.04</v>
      </c>
      <c r="M1586">
        <f>COUNTIFS($C$2:$C$3934,Table4[[#This Row],[customer_id]])</f>
        <v>4</v>
      </c>
      <c r="N1586" t="str">
        <f>IF(Table4[[#This Row],[customer_order_count]]=1,"New Customer","Repeat Customer")</f>
        <v>Repeat Customer</v>
      </c>
    </row>
    <row r="1587" spans="1:14">
      <c r="A1587" t="s">
        <v>4958</v>
      </c>
      <c r="B1587" s="1">
        <v>45348</v>
      </c>
      <c r="C1587" t="s">
        <v>3705</v>
      </c>
      <c r="D1587" t="s">
        <v>743</v>
      </c>
      <c r="E1587" t="s">
        <v>44</v>
      </c>
      <c r="F1587" t="s">
        <v>28</v>
      </c>
      <c r="G1587" t="s">
        <v>139</v>
      </c>
      <c r="H1587">
        <v>1</v>
      </c>
      <c r="I1587" s="3">
        <v>31.53</v>
      </c>
      <c r="J1587" t="s">
        <v>16</v>
      </c>
      <c r="K1587" t="s">
        <v>40</v>
      </c>
      <c r="L1587" s="4">
        <f>Table4[[#This Row],[quantity]]*Table4[[#This Row],[unit_price]]</f>
        <v>31.53</v>
      </c>
      <c r="M1587">
        <f>COUNTIFS($C$2:$C$3934,Table4[[#This Row],[customer_id]])</f>
        <v>2</v>
      </c>
      <c r="N1587" t="str">
        <f>IF(Table4[[#This Row],[customer_order_count]]=1,"New Customer","Repeat Customer")</f>
        <v>Repeat Customer</v>
      </c>
    </row>
    <row r="1588" spans="1:14">
      <c r="A1588" t="s">
        <v>4275</v>
      </c>
      <c r="B1588" s="1">
        <v>45284</v>
      </c>
      <c r="C1588" t="s">
        <v>4162</v>
      </c>
      <c r="D1588" t="s">
        <v>307</v>
      </c>
      <c r="E1588" t="s">
        <v>21</v>
      </c>
      <c r="F1588" t="s">
        <v>22</v>
      </c>
      <c r="G1588" t="s">
        <v>162</v>
      </c>
      <c r="H1588">
        <v>2</v>
      </c>
      <c r="I1588" s="3">
        <v>31.54</v>
      </c>
      <c r="J1588" t="s">
        <v>16</v>
      </c>
      <c r="K1588" t="s">
        <v>40</v>
      </c>
      <c r="L1588" s="4">
        <f>Table4[[#This Row],[quantity]]*Table4[[#This Row],[unit_price]]</f>
        <v>63.08</v>
      </c>
      <c r="M1588">
        <f>COUNTIFS($C$2:$C$3934,Table4[[#This Row],[customer_id]])</f>
        <v>4</v>
      </c>
      <c r="N1588" t="str">
        <f>IF(Table4[[#This Row],[customer_order_count]]=1,"New Customer","Repeat Customer")</f>
        <v>Repeat Customer</v>
      </c>
    </row>
    <row r="1589" spans="1:14">
      <c r="A1589" t="s">
        <v>913</v>
      </c>
      <c r="B1589" s="1">
        <v>45291</v>
      </c>
      <c r="C1589" t="s">
        <v>914</v>
      </c>
      <c r="D1589" t="s">
        <v>95</v>
      </c>
      <c r="E1589" t="s">
        <v>21</v>
      </c>
      <c r="F1589" t="s">
        <v>70</v>
      </c>
      <c r="G1589" t="s">
        <v>71</v>
      </c>
      <c r="H1589">
        <v>2</v>
      </c>
      <c r="I1589" s="3">
        <v>31.55</v>
      </c>
      <c r="J1589" t="s">
        <v>16</v>
      </c>
      <c r="K1589" t="s">
        <v>30</v>
      </c>
      <c r="L1589" s="4">
        <f>Table4[[#This Row],[quantity]]*Table4[[#This Row],[unit_price]]</f>
        <v>63.1</v>
      </c>
      <c r="M1589">
        <f>COUNTIFS($C$2:$C$3934,Table4[[#This Row],[customer_id]])</f>
        <v>10</v>
      </c>
      <c r="N1589" t="str">
        <f>IF(Table4[[#This Row],[customer_order_count]]=1,"New Customer","Repeat Customer")</f>
        <v>Repeat Customer</v>
      </c>
    </row>
    <row r="1590" spans="1:14">
      <c r="A1590" t="s">
        <v>4281</v>
      </c>
      <c r="B1590" s="1">
        <v>45100</v>
      </c>
      <c r="C1590" t="s">
        <v>657</v>
      </c>
      <c r="D1590" t="s">
        <v>609</v>
      </c>
      <c r="E1590" t="s">
        <v>21</v>
      </c>
      <c r="F1590" t="s">
        <v>56</v>
      </c>
      <c r="G1590" t="s">
        <v>75</v>
      </c>
      <c r="H1590">
        <v>1</v>
      </c>
      <c r="I1590" s="3">
        <v>31.58</v>
      </c>
      <c r="J1590" t="s">
        <v>16</v>
      </c>
      <c r="K1590" t="s">
        <v>35</v>
      </c>
      <c r="L1590" s="4">
        <f>Table4[[#This Row],[quantity]]*Table4[[#This Row],[unit_price]]</f>
        <v>31.58</v>
      </c>
      <c r="M1590">
        <f>COUNTIFS($C$2:$C$3934,Table4[[#This Row],[customer_id]])</f>
        <v>5</v>
      </c>
      <c r="N1590" t="str">
        <f>IF(Table4[[#This Row],[customer_order_count]]=1,"New Customer","Repeat Customer")</f>
        <v>Repeat Customer</v>
      </c>
    </row>
    <row r="1591" spans="1:14">
      <c r="A1591" t="s">
        <v>5116</v>
      </c>
      <c r="B1591" s="1">
        <v>45628</v>
      </c>
      <c r="C1591" t="s">
        <v>1557</v>
      </c>
      <c r="D1591" t="s">
        <v>92</v>
      </c>
      <c r="E1591" t="s">
        <v>21</v>
      </c>
      <c r="F1591" t="s">
        <v>56</v>
      </c>
      <c r="G1591" t="s">
        <v>254</v>
      </c>
      <c r="H1591">
        <v>1</v>
      </c>
      <c r="I1591" s="3">
        <v>31.58</v>
      </c>
      <c r="J1591" t="s">
        <v>16</v>
      </c>
      <c r="K1591" t="s">
        <v>35</v>
      </c>
      <c r="L1591" s="4">
        <f>Table4[[#This Row],[quantity]]*Table4[[#This Row],[unit_price]]</f>
        <v>31.58</v>
      </c>
      <c r="M1591">
        <f>COUNTIFS($C$2:$C$3934,Table4[[#This Row],[customer_id]])</f>
        <v>5</v>
      </c>
      <c r="N1591" t="str">
        <f>IF(Table4[[#This Row],[customer_order_count]]=1,"New Customer","Repeat Customer")</f>
        <v>Repeat Customer</v>
      </c>
    </row>
    <row r="1592" spans="1:14">
      <c r="A1592" t="s">
        <v>5126</v>
      </c>
      <c r="B1592" s="1">
        <v>44981</v>
      </c>
      <c r="C1592" t="s">
        <v>3211</v>
      </c>
      <c r="D1592" t="s">
        <v>950</v>
      </c>
      <c r="E1592" t="s">
        <v>21</v>
      </c>
      <c r="F1592" t="s">
        <v>28</v>
      </c>
      <c r="G1592" t="s">
        <v>84</v>
      </c>
      <c r="H1592">
        <v>1</v>
      </c>
      <c r="I1592" s="3">
        <v>31.61</v>
      </c>
      <c r="J1592" t="s">
        <v>85</v>
      </c>
      <c r="K1592" t="s">
        <v>30</v>
      </c>
      <c r="L1592" s="4">
        <f>Table4[[#This Row],[quantity]]*Table4[[#This Row],[unit_price]]</f>
        <v>31.61</v>
      </c>
      <c r="M1592">
        <f>COUNTIFS($C$2:$C$3934,Table4[[#This Row],[customer_id]])</f>
        <v>6</v>
      </c>
      <c r="N1592" t="str">
        <f>IF(Table4[[#This Row],[customer_order_count]]=1,"New Customer","Repeat Customer")</f>
        <v>Repeat Customer</v>
      </c>
    </row>
    <row r="1593" spans="1:14">
      <c r="A1593" t="s">
        <v>4333</v>
      </c>
      <c r="B1593" s="1">
        <v>45654</v>
      </c>
      <c r="C1593" t="s">
        <v>4334</v>
      </c>
      <c r="D1593" t="s">
        <v>43</v>
      </c>
      <c r="E1593" t="s">
        <v>21</v>
      </c>
      <c r="F1593" t="s">
        <v>22</v>
      </c>
      <c r="G1593" t="s">
        <v>142</v>
      </c>
      <c r="H1593">
        <v>1</v>
      </c>
      <c r="I1593" s="3">
        <v>31.61</v>
      </c>
      <c r="J1593" t="s">
        <v>16</v>
      </c>
      <c r="K1593" t="s">
        <v>35</v>
      </c>
      <c r="L1593" s="4">
        <f>Table4[[#This Row],[quantity]]*Table4[[#This Row],[unit_price]]</f>
        <v>31.61</v>
      </c>
      <c r="M1593">
        <f>COUNTIFS($C$2:$C$3934,Table4[[#This Row],[customer_id]])</f>
        <v>2</v>
      </c>
      <c r="N1593" t="str">
        <f>IF(Table4[[#This Row],[customer_order_count]]=1,"New Customer","Repeat Customer")</f>
        <v>Repeat Customer</v>
      </c>
    </row>
    <row r="1594" spans="1:14">
      <c r="A1594" t="s">
        <v>3160</v>
      </c>
      <c r="B1594" s="1">
        <v>45146</v>
      </c>
      <c r="C1594" t="s">
        <v>2536</v>
      </c>
      <c r="D1594" t="s">
        <v>1514</v>
      </c>
      <c r="E1594" t="s">
        <v>21</v>
      </c>
      <c r="F1594" t="s">
        <v>66</v>
      </c>
      <c r="G1594" t="s">
        <v>67</v>
      </c>
      <c r="H1594">
        <v>4</v>
      </c>
      <c r="I1594" s="3">
        <v>31.61</v>
      </c>
      <c r="J1594" t="s">
        <v>24</v>
      </c>
      <c r="K1594" t="s">
        <v>40</v>
      </c>
      <c r="L1594" s="4">
        <f>Table4[[#This Row],[quantity]]*Table4[[#This Row],[unit_price]]</f>
        <v>126.44</v>
      </c>
      <c r="M1594">
        <f>COUNTIFS($C$2:$C$3934,Table4[[#This Row],[customer_id]])</f>
        <v>5</v>
      </c>
      <c r="N1594" t="str">
        <f>IF(Table4[[#This Row],[customer_order_count]]=1,"New Customer","Repeat Customer")</f>
        <v>Repeat Customer</v>
      </c>
    </row>
    <row r="1595" spans="1:14">
      <c r="A1595" t="s">
        <v>4641</v>
      </c>
      <c r="B1595" s="1">
        <v>45219</v>
      </c>
      <c r="C1595" t="s">
        <v>1105</v>
      </c>
      <c r="D1595" t="s">
        <v>609</v>
      </c>
      <c r="E1595" t="s">
        <v>21</v>
      </c>
      <c r="F1595" t="s">
        <v>70</v>
      </c>
      <c r="G1595" t="s">
        <v>526</v>
      </c>
      <c r="H1595">
        <v>1</v>
      </c>
      <c r="I1595" s="3">
        <v>31.62</v>
      </c>
      <c r="J1595" t="s">
        <v>85</v>
      </c>
      <c r="K1595" t="s">
        <v>17</v>
      </c>
      <c r="L1595" s="4">
        <f>Table4[[#This Row],[quantity]]*Table4[[#This Row],[unit_price]]</f>
        <v>31.62</v>
      </c>
      <c r="M1595">
        <f>COUNTIFS($C$2:$C$3934,Table4[[#This Row],[customer_id]])</f>
        <v>6</v>
      </c>
      <c r="N1595" t="str">
        <f>IF(Table4[[#This Row],[customer_order_count]]=1,"New Customer","Repeat Customer")</f>
        <v>Repeat Customer</v>
      </c>
    </row>
    <row r="1596" spans="1:14">
      <c r="A1596" t="s">
        <v>2829</v>
      </c>
      <c r="B1596" s="1">
        <v>45592</v>
      </c>
      <c r="C1596" t="s">
        <v>1593</v>
      </c>
      <c r="D1596" t="s">
        <v>304</v>
      </c>
      <c r="E1596" t="s">
        <v>44</v>
      </c>
      <c r="F1596" t="s">
        <v>14</v>
      </c>
      <c r="G1596" t="s">
        <v>258</v>
      </c>
      <c r="H1596">
        <v>1</v>
      </c>
      <c r="I1596" s="3">
        <v>31.64</v>
      </c>
      <c r="J1596" t="s">
        <v>16</v>
      </c>
      <c r="K1596" t="s">
        <v>17</v>
      </c>
      <c r="L1596" s="4">
        <f>Table4[[#This Row],[quantity]]*Table4[[#This Row],[unit_price]]</f>
        <v>31.64</v>
      </c>
      <c r="M1596">
        <f>COUNTIFS($C$2:$C$3934,Table4[[#This Row],[customer_id]])</f>
        <v>4</v>
      </c>
      <c r="N1596" t="str">
        <f>IF(Table4[[#This Row],[customer_order_count]]=1,"New Customer","Repeat Customer")</f>
        <v>Repeat Customer</v>
      </c>
    </row>
    <row r="1597" spans="1:14">
      <c r="A1597" t="s">
        <v>3393</v>
      </c>
      <c r="B1597" s="1">
        <v>45039</v>
      </c>
      <c r="C1597" t="s">
        <v>3394</v>
      </c>
      <c r="D1597" t="s">
        <v>196</v>
      </c>
      <c r="E1597" t="s">
        <v>61</v>
      </c>
      <c r="F1597" t="s">
        <v>22</v>
      </c>
      <c r="G1597" t="s">
        <v>23</v>
      </c>
      <c r="H1597">
        <v>1</v>
      </c>
      <c r="I1597" s="3">
        <v>31.65</v>
      </c>
      <c r="J1597" t="s">
        <v>16</v>
      </c>
      <c r="K1597" t="s">
        <v>35</v>
      </c>
      <c r="L1597" s="4">
        <f>Table4[[#This Row],[quantity]]*Table4[[#This Row],[unit_price]]</f>
        <v>31.65</v>
      </c>
      <c r="M1597">
        <f>COUNTIFS($C$2:$C$3934,Table4[[#This Row],[customer_id]])</f>
        <v>2</v>
      </c>
      <c r="N1597" t="str">
        <f>IF(Table4[[#This Row],[customer_order_count]]=1,"New Customer","Repeat Customer")</f>
        <v>Repeat Customer</v>
      </c>
    </row>
    <row r="1598" spans="1:14">
      <c r="A1598" t="s">
        <v>3513</v>
      </c>
      <c r="B1598" s="1">
        <v>45363</v>
      </c>
      <c r="C1598" t="s">
        <v>2573</v>
      </c>
      <c r="D1598" s="2" t="s">
        <v>5257</v>
      </c>
      <c r="E1598" t="s">
        <v>21</v>
      </c>
      <c r="F1598" t="s">
        <v>66</v>
      </c>
      <c r="G1598" t="s">
        <v>67</v>
      </c>
      <c r="H1598">
        <v>2</v>
      </c>
      <c r="I1598" s="3">
        <v>31.65</v>
      </c>
      <c r="J1598" t="s">
        <v>16</v>
      </c>
      <c r="K1598" t="s">
        <v>17</v>
      </c>
      <c r="L1598" s="4">
        <f>Table4[[#This Row],[quantity]]*Table4[[#This Row],[unit_price]]</f>
        <v>63.3</v>
      </c>
      <c r="M1598">
        <f>COUNTIFS($C$2:$C$3934,Table4[[#This Row],[customer_id]])</f>
        <v>3</v>
      </c>
      <c r="N1598" t="str">
        <f>IF(Table4[[#This Row],[customer_order_count]]=1,"New Customer","Repeat Customer")</f>
        <v>Repeat Customer</v>
      </c>
    </row>
    <row r="1599" spans="1:14">
      <c r="A1599" t="s">
        <v>5247</v>
      </c>
      <c r="B1599" s="1">
        <v>45196</v>
      </c>
      <c r="C1599" t="s">
        <v>2039</v>
      </c>
      <c r="D1599" s="5" t="s">
        <v>1869</v>
      </c>
      <c r="E1599" t="s">
        <v>44</v>
      </c>
      <c r="F1599" t="s">
        <v>28</v>
      </c>
      <c r="G1599" t="s">
        <v>45</v>
      </c>
      <c r="H1599">
        <v>3</v>
      </c>
      <c r="I1599" s="3">
        <v>31.66</v>
      </c>
      <c r="J1599" t="s">
        <v>16</v>
      </c>
      <c r="K1599" s="2" t="s">
        <v>5256</v>
      </c>
      <c r="L1599" s="4">
        <f>Table4[[#This Row],[quantity]]*Table4[[#This Row],[unit_price]]</f>
        <v>94.98</v>
      </c>
      <c r="M1599">
        <f>COUNTIFS($C$2:$C$3934,Table4[[#This Row],[customer_id]])</f>
        <v>4</v>
      </c>
      <c r="N1599" t="str">
        <f>IF(Table4[[#This Row],[customer_order_count]]=1,"New Customer","Repeat Customer")</f>
        <v>Repeat Customer</v>
      </c>
    </row>
    <row r="1600" spans="1:14">
      <c r="A1600" t="s">
        <v>3311</v>
      </c>
      <c r="B1600" s="1">
        <v>45643</v>
      </c>
      <c r="C1600" t="s">
        <v>747</v>
      </c>
      <c r="D1600" t="s">
        <v>52</v>
      </c>
      <c r="E1600" t="s">
        <v>61</v>
      </c>
      <c r="F1600" t="s">
        <v>66</v>
      </c>
      <c r="G1600" t="s">
        <v>49</v>
      </c>
      <c r="H1600">
        <v>4</v>
      </c>
      <c r="I1600" s="3">
        <v>31.66</v>
      </c>
      <c r="J1600" t="s">
        <v>24</v>
      </c>
      <c r="K1600" s="5" t="s">
        <v>35</v>
      </c>
      <c r="L1600" s="4">
        <f>Table4[[#This Row],[quantity]]*Table4[[#This Row],[unit_price]]</f>
        <v>126.64</v>
      </c>
      <c r="M1600">
        <f>COUNTIFS($C$2:$C$3934,Table4[[#This Row],[customer_id]])</f>
        <v>4</v>
      </c>
      <c r="N1600" t="str">
        <f>IF(Table4[[#This Row],[customer_order_count]]=1,"New Customer","Repeat Customer")</f>
        <v>Repeat Customer</v>
      </c>
    </row>
    <row r="1601" spans="1:14">
      <c r="A1601" t="s">
        <v>770</v>
      </c>
      <c r="B1601" s="1">
        <v>45445</v>
      </c>
      <c r="C1601" t="s">
        <v>771</v>
      </c>
      <c r="D1601" t="s">
        <v>772</v>
      </c>
      <c r="E1601" t="s">
        <v>21</v>
      </c>
      <c r="F1601" t="s">
        <v>22</v>
      </c>
      <c r="G1601" t="s">
        <v>264</v>
      </c>
      <c r="H1601">
        <v>2</v>
      </c>
      <c r="I1601" s="3">
        <v>31.69</v>
      </c>
      <c r="J1601" t="s">
        <v>85</v>
      </c>
      <c r="K1601" t="s">
        <v>30</v>
      </c>
      <c r="L1601" s="4">
        <f>Table4[[#This Row],[quantity]]*Table4[[#This Row],[unit_price]]</f>
        <v>63.38</v>
      </c>
      <c r="M1601">
        <f>COUNTIFS($C$2:$C$3934,Table4[[#This Row],[customer_id]])</f>
        <v>5</v>
      </c>
      <c r="N1601" t="str">
        <f>IF(Table4[[#This Row],[customer_order_count]]=1,"New Customer","Repeat Customer")</f>
        <v>Repeat Customer</v>
      </c>
    </row>
    <row r="1602" spans="1:14">
      <c r="A1602" t="s">
        <v>1840</v>
      </c>
      <c r="B1602" s="1">
        <v>45335</v>
      </c>
      <c r="C1602" t="s">
        <v>1425</v>
      </c>
      <c r="D1602" t="s">
        <v>519</v>
      </c>
      <c r="E1602" t="s">
        <v>21</v>
      </c>
      <c r="F1602" t="s">
        <v>28</v>
      </c>
      <c r="G1602" t="s">
        <v>139</v>
      </c>
      <c r="H1602">
        <v>1</v>
      </c>
      <c r="I1602" s="3">
        <v>31.72</v>
      </c>
      <c r="J1602" t="s">
        <v>85</v>
      </c>
      <c r="K1602" t="s">
        <v>30</v>
      </c>
      <c r="L1602" s="4">
        <f>Table4[[#This Row],[quantity]]*Table4[[#This Row],[unit_price]]</f>
        <v>31.72</v>
      </c>
      <c r="M1602">
        <f>COUNTIFS($C$2:$C$3934,Table4[[#This Row],[customer_id]])</f>
        <v>5</v>
      </c>
      <c r="N1602" t="str">
        <f>IF(Table4[[#This Row],[customer_order_count]]=1,"New Customer","Repeat Customer")</f>
        <v>Repeat Customer</v>
      </c>
    </row>
    <row r="1603" spans="1:14">
      <c r="A1603" t="s">
        <v>2654</v>
      </c>
      <c r="B1603" s="1">
        <v>45608</v>
      </c>
      <c r="C1603" t="s">
        <v>2023</v>
      </c>
      <c r="D1603" t="s">
        <v>2024</v>
      </c>
      <c r="E1603" t="s">
        <v>106</v>
      </c>
      <c r="F1603" t="s">
        <v>70</v>
      </c>
      <c r="G1603" t="s">
        <v>110</v>
      </c>
      <c r="H1603">
        <v>1</v>
      </c>
      <c r="I1603" s="3">
        <v>31.72</v>
      </c>
      <c r="J1603" t="s">
        <v>24</v>
      </c>
      <c r="K1603" t="s">
        <v>30</v>
      </c>
      <c r="L1603" s="4">
        <f>Table4[[#This Row],[quantity]]*Table4[[#This Row],[unit_price]]</f>
        <v>31.72</v>
      </c>
      <c r="M1603">
        <f>COUNTIFS($C$2:$C$3934,Table4[[#This Row],[customer_id]])</f>
        <v>3</v>
      </c>
      <c r="N1603" t="str">
        <f>IF(Table4[[#This Row],[customer_order_count]]=1,"New Customer","Repeat Customer")</f>
        <v>Repeat Customer</v>
      </c>
    </row>
    <row r="1604" spans="1:14">
      <c r="A1604" t="s">
        <v>5043</v>
      </c>
      <c r="B1604" s="1">
        <v>45254</v>
      </c>
      <c r="C1604" t="s">
        <v>1257</v>
      </c>
      <c r="D1604" t="s">
        <v>917</v>
      </c>
      <c r="E1604" t="s">
        <v>21</v>
      </c>
      <c r="F1604" t="s">
        <v>28</v>
      </c>
      <c r="G1604" t="s">
        <v>84</v>
      </c>
      <c r="H1604">
        <v>1</v>
      </c>
      <c r="I1604" s="3">
        <v>31.73</v>
      </c>
      <c r="J1604" t="s">
        <v>16</v>
      </c>
      <c r="K1604" t="s">
        <v>40</v>
      </c>
      <c r="L1604" s="4">
        <f>Table4[[#This Row],[quantity]]*Table4[[#This Row],[unit_price]]</f>
        <v>31.73</v>
      </c>
      <c r="M1604">
        <f>COUNTIFS($C$2:$C$3934,Table4[[#This Row],[customer_id]])</f>
        <v>6</v>
      </c>
      <c r="N1604" t="str">
        <f>IF(Table4[[#This Row],[customer_order_count]]=1,"New Customer","Repeat Customer")</f>
        <v>Repeat Customer</v>
      </c>
    </row>
    <row r="1605" spans="1:14">
      <c r="A1605" t="s">
        <v>3059</v>
      </c>
      <c r="B1605" s="1">
        <v>44933</v>
      </c>
      <c r="C1605" t="s">
        <v>534</v>
      </c>
      <c r="D1605" t="s">
        <v>535</v>
      </c>
      <c r="E1605" t="s">
        <v>21</v>
      </c>
      <c r="F1605" t="s">
        <v>22</v>
      </c>
      <c r="G1605" t="s">
        <v>23</v>
      </c>
      <c r="H1605">
        <v>1</v>
      </c>
      <c r="I1605" s="3">
        <v>31.73</v>
      </c>
      <c r="J1605" t="s">
        <v>16</v>
      </c>
      <c r="K1605" t="s">
        <v>17</v>
      </c>
      <c r="L1605" s="4">
        <f>Table4[[#This Row],[quantity]]*Table4[[#This Row],[unit_price]]</f>
        <v>31.73</v>
      </c>
      <c r="M1605">
        <f>COUNTIFS($C$2:$C$3934,Table4[[#This Row],[customer_id]])</f>
        <v>6</v>
      </c>
      <c r="N1605" t="str">
        <f>IF(Table4[[#This Row],[customer_order_count]]=1,"New Customer","Repeat Customer")</f>
        <v>Repeat Customer</v>
      </c>
    </row>
    <row r="1606" spans="1:14">
      <c r="A1606" t="s">
        <v>3015</v>
      </c>
      <c r="B1606" s="1">
        <v>45463</v>
      </c>
      <c r="C1606" t="s">
        <v>1587</v>
      </c>
      <c r="D1606" t="s">
        <v>1588</v>
      </c>
      <c r="E1606" t="s">
        <v>21</v>
      </c>
      <c r="F1606" t="s">
        <v>22</v>
      </c>
      <c r="G1606" t="s">
        <v>23</v>
      </c>
      <c r="H1606">
        <v>1</v>
      </c>
      <c r="I1606" s="3">
        <v>31.74</v>
      </c>
      <c r="J1606" t="s">
        <v>16</v>
      </c>
      <c r="K1606" t="s">
        <v>35</v>
      </c>
      <c r="L1606" s="4">
        <f>Table4[[#This Row],[quantity]]*Table4[[#This Row],[unit_price]]</f>
        <v>31.74</v>
      </c>
      <c r="M1606">
        <f>COUNTIFS($C$2:$C$3934,Table4[[#This Row],[customer_id]])</f>
        <v>8</v>
      </c>
      <c r="N1606" t="str">
        <f>IF(Table4[[#This Row],[customer_order_count]]=1,"New Customer","Repeat Customer")</f>
        <v>Repeat Customer</v>
      </c>
    </row>
    <row r="1607" spans="1:14">
      <c r="A1607" t="s">
        <v>2627</v>
      </c>
      <c r="B1607" s="1">
        <v>45074</v>
      </c>
      <c r="C1607" t="s">
        <v>2372</v>
      </c>
      <c r="D1607" t="s">
        <v>1453</v>
      </c>
      <c r="E1607" t="s">
        <v>21</v>
      </c>
      <c r="F1607" t="s">
        <v>66</v>
      </c>
      <c r="G1607" t="s">
        <v>238</v>
      </c>
      <c r="H1607">
        <v>1</v>
      </c>
      <c r="I1607" s="3">
        <v>31.77</v>
      </c>
      <c r="J1607" t="s">
        <v>16</v>
      </c>
      <c r="K1607" t="s">
        <v>35</v>
      </c>
      <c r="L1607" s="4">
        <f>Table4[[#This Row],[quantity]]*Table4[[#This Row],[unit_price]]</f>
        <v>31.77</v>
      </c>
      <c r="M1607">
        <f>COUNTIFS($C$2:$C$3934,Table4[[#This Row],[customer_id]])</f>
        <v>6</v>
      </c>
      <c r="N1607" t="str">
        <f>IF(Table4[[#This Row],[customer_order_count]]=1,"New Customer","Repeat Customer")</f>
        <v>Repeat Customer</v>
      </c>
    </row>
    <row r="1608" spans="1:14">
      <c r="A1608" t="s">
        <v>878</v>
      </c>
      <c r="B1608" s="1">
        <v>45420</v>
      </c>
      <c r="C1608" t="s">
        <v>180</v>
      </c>
      <c r="D1608" t="s">
        <v>181</v>
      </c>
      <c r="E1608" t="s">
        <v>21</v>
      </c>
      <c r="F1608" t="s">
        <v>66</v>
      </c>
      <c r="G1608" t="s">
        <v>128</v>
      </c>
      <c r="H1608">
        <v>2</v>
      </c>
      <c r="I1608" s="3">
        <v>31.78</v>
      </c>
      <c r="J1608" t="s">
        <v>16</v>
      </c>
      <c r="K1608" t="s">
        <v>35</v>
      </c>
      <c r="L1608" s="4">
        <f>Table4[[#This Row],[quantity]]*Table4[[#This Row],[unit_price]]</f>
        <v>63.56</v>
      </c>
      <c r="M1608">
        <f>COUNTIFS($C$2:$C$3934,Table4[[#This Row],[customer_id]])</f>
        <v>5</v>
      </c>
      <c r="N1608" t="str">
        <f>IF(Table4[[#This Row],[customer_order_count]]=1,"New Customer","Repeat Customer")</f>
        <v>Repeat Customer</v>
      </c>
    </row>
    <row r="1609" spans="1:14">
      <c r="A1609" t="s">
        <v>2700</v>
      </c>
      <c r="B1609" s="1">
        <v>45510</v>
      </c>
      <c r="C1609" t="s">
        <v>993</v>
      </c>
      <c r="D1609" t="s">
        <v>117</v>
      </c>
      <c r="E1609" t="s">
        <v>21</v>
      </c>
      <c r="F1609" t="s">
        <v>22</v>
      </c>
      <c r="G1609" t="s">
        <v>23</v>
      </c>
      <c r="H1609">
        <v>1</v>
      </c>
      <c r="I1609" s="3">
        <v>31.78</v>
      </c>
      <c r="J1609" t="s">
        <v>16</v>
      </c>
      <c r="K1609" t="s">
        <v>35</v>
      </c>
      <c r="L1609" s="4">
        <f>Table4[[#This Row],[quantity]]*Table4[[#This Row],[unit_price]]</f>
        <v>31.78</v>
      </c>
      <c r="M1609">
        <f>COUNTIFS($C$2:$C$3934,Table4[[#This Row],[customer_id]])</f>
        <v>5</v>
      </c>
      <c r="N1609" t="str">
        <f>IF(Table4[[#This Row],[customer_order_count]]=1,"New Customer","Repeat Customer")</f>
        <v>Repeat Customer</v>
      </c>
    </row>
    <row r="1610" spans="1:14">
      <c r="A1610" t="s">
        <v>1403</v>
      </c>
      <c r="B1610" s="1">
        <v>45578</v>
      </c>
      <c r="C1610" t="s">
        <v>1404</v>
      </c>
      <c r="D1610" t="s">
        <v>145</v>
      </c>
      <c r="E1610" t="s">
        <v>44</v>
      </c>
      <c r="F1610" t="s">
        <v>14</v>
      </c>
      <c r="G1610" t="s">
        <v>100</v>
      </c>
      <c r="H1610">
        <v>1</v>
      </c>
      <c r="I1610" s="3">
        <v>31.84</v>
      </c>
      <c r="J1610" t="s">
        <v>16</v>
      </c>
      <c r="K1610" t="s">
        <v>35</v>
      </c>
      <c r="L1610" s="4">
        <f>Table4[[#This Row],[quantity]]*Table4[[#This Row],[unit_price]]</f>
        <v>31.84</v>
      </c>
      <c r="M1610">
        <f>COUNTIFS($C$2:$C$3934,Table4[[#This Row],[customer_id]])</f>
        <v>6</v>
      </c>
      <c r="N1610" t="str">
        <f>IF(Table4[[#This Row],[customer_order_count]]=1,"New Customer","Repeat Customer")</f>
        <v>Repeat Customer</v>
      </c>
    </row>
    <row r="1611" spans="1:14">
      <c r="A1611" t="s">
        <v>2652</v>
      </c>
      <c r="B1611" s="1">
        <v>45625</v>
      </c>
      <c r="C1611" t="s">
        <v>458</v>
      </c>
      <c r="D1611" t="s">
        <v>459</v>
      </c>
      <c r="E1611" t="s">
        <v>21</v>
      </c>
      <c r="F1611" t="s">
        <v>28</v>
      </c>
      <c r="G1611" t="s">
        <v>114</v>
      </c>
      <c r="H1611">
        <v>1</v>
      </c>
      <c r="I1611" s="3">
        <v>31.86</v>
      </c>
      <c r="J1611" t="s">
        <v>16</v>
      </c>
      <c r="K1611" t="s">
        <v>35</v>
      </c>
      <c r="L1611" s="4">
        <f>Table4[[#This Row],[quantity]]*Table4[[#This Row],[unit_price]]</f>
        <v>31.86</v>
      </c>
      <c r="M1611">
        <f>COUNTIFS($C$2:$C$3934,Table4[[#This Row],[customer_id]])</f>
        <v>4</v>
      </c>
      <c r="N1611" t="str">
        <f>IF(Table4[[#This Row],[customer_order_count]]=1,"New Customer","Repeat Customer")</f>
        <v>Repeat Customer</v>
      </c>
    </row>
    <row r="1612" spans="1:14">
      <c r="A1612" t="s">
        <v>2948</v>
      </c>
      <c r="B1612" s="1">
        <v>45165</v>
      </c>
      <c r="C1612" t="s">
        <v>2648</v>
      </c>
      <c r="D1612" t="s">
        <v>650</v>
      </c>
      <c r="E1612" t="s">
        <v>21</v>
      </c>
      <c r="F1612" t="s">
        <v>28</v>
      </c>
      <c r="G1612" t="s">
        <v>139</v>
      </c>
      <c r="H1612">
        <v>1</v>
      </c>
      <c r="I1612" s="3">
        <v>31.86</v>
      </c>
      <c r="J1612" t="s">
        <v>24</v>
      </c>
      <c r="K1612" t="s">
        <v>40</v>
      </c>
      <c r="L1612" s="4">
        <f>Table4[[#This Row],[quantity]]*Table4[[#This Row],[unit_price]]</f>
        <v>31.86</v>
      </c>
      <c r="M1612">
        <f>COUNTIFS($C$2:$C$3934,Table4[[#This Row],[customer_id]])</f>
        <v>3</v>
      </c>
      <c r="N1612" t="str">
        <f>IF(Table4[[#This Row],[customer_order_count]]=1,"New Customer","Repeat Customer")</f>
        <v>Repeat Customer</v>
      </c>
    </row>
    <row r="1613" spans="1:14">
      <c r="A1613" t="s">
        <v>4678</v>
      </c>
      <c r="B1613" s="1">
        <v>45189</v>
      </c>
      <c r="C1613" t="s">
        <v>900</v>
      </c>
      <c r="D1613" t="s">
        <v>857</v>
      </c>
      <c r="E1613" t="s">
        <v>21</v>
      </c>
      <c r="F1613" t="s">
        <v>66</v>
      </c>
      <c r="G1613" t="s">
        <v>238</v>
      </c>
      <c r="H1613">
        <v>1</v>
      </c>
      <c r="I1613" s="3">
        <v>31.87</v>
      </c>
      <c r="J1613" t="s">
        <v>16</v>
      </c>
      <c r="K1613" s="2" t="s">
        <v>5256</v>
      </c>
      <c r="L1613" s="4">
        <f>Table4[[#This Row],[quantity]]*Table4[[#This Row],[unit_price]]</f>
        <v>31.87</v>
      </c>
      <c r="M1613">
        <f>COUNTIFS($C$2:$C$3934,Table4[[#This Row],[customer_id]])</f>
        <v>6</v>
      </c>
      <c r="N1613" t="str">
        <f>IF(Table4[[#This Row],[customer_order_count]]=1,"New Customer","Repeat Customer")</f>
        <v>Repeat Customer</v>
      </c>
    </row>
    <row r="1614" spans="1:14">
      <c r="A1614" t="s">
        <v>4190</v>
      </c>
      <c r="B1614" s="1">
        <v>45123</v>
      </c>
      <c r="C1614" t="s">
        <v>413</v>
      </c>
      <c r="D1614" t="s">
        <v>414</v>
      </c>
      <c r="E1614" t="s">
        <v>21</v>
      </c>
      <c r="F1614" t="s">
        <v>66</v>
      </c>
      <c r="G1614" t="s">
        <v>128</v>
      </c>
      <c r="H1614">
        <v>2</v>
      </c>
      <c r="I1614" s="3">
        <v>31.91</v>
      </c>
      <c r="J1614" t="s">
        <v>16</v>
      </c>
      <c r="K1614" s="5" t="s">
        <v>35</v>
      </c>
      <c r="L1614" s="4">
        <f>Table4[[#This Row],[quantity]]*Table4[[#This Row],[unit_price]]</f>
        <v>63.82</v>
      </c>
      <c r="M1614">
        <f>COUNTIFS($C$2:$C$3934,Table4[[#This Row],[customer_id]])</f>
        <v>8</v>
      </c>
      <c r="N1614" t="str">
        <f>IF(Table4[[#This Row],[customer_order_count]]=1,"New Customer","Repeat Customer")</f>
        <v>Repeat Customer</v>
      </c>
    </row>
    <row r="1615" spans="1:14">
      <c r="A1615" t="s">
        <v>4883</v>
      </c>
      <c r="B1615" s="1">
        <v>45559</v>
      </c>
      <c r="C1615" t="s">
        <v>4039</v>
      </c>
      <c r="D1615" t="s">
        <v>138</v>
      </c>
      <c r="E1615" t="s">
        <v>21</v>
      </c>
      <c r="F1615" t="s">
        <v>22</v>
      </c>
      <c r="G1615" t="s">
        <v>162</v>
      </c>
      <c r="H1615">
        <v>2</v>
      </c>
      <c r="I1615" s="3">
        <v>31.94</v>
      </c>
      <c r="J1615" t="s">
        <v>16</v>
      </c>
      <c r="K1615" t="s">
        <v>40</v>
      </c>
      <c r="L1615" s="4">
        <f>Table4[[#This Row],[quantity]]*Table4[[#This Row],[unit_price]]</f>
        <v>63.88</v>
      </c>
      <c r="M1615">
        <f>COUNTIFS($C$2:$C$3934,Table4[[#This Row],[customer_id]])</f>
        <v>2</v>
      </c>
      <c r="N1615" t="str">
        <f>IF(Table4[[#This Row],[customer_order_count]]=1,"New Customer","Repeat Customer")</f>
        <v>Repeat Customer</v>
      </c>
    </row>
    <row r="1616" spans="1:14">
      <c r="A1616" t="s">
        <v>4769</v>
      </c>
      <c r="B1616" s="1">
        <v>45238</v>
      </c>
      <c r="C1616" t="s">
        <v>653</v>
      </c>
      <c r="D1616" t="s">
        <v>117</v>
      </c>
      <c r="E1616" t="s">
        <v>21</v>
      </c>
      <c r="F1616" t="s">
        <v>66</v>
      </c>
      <c r="G1616" t="s">
        <v>217</v>
      </c>
      <c r="H1616">
        <v>1</v>
      </c>
      <c r="I1616" s="3">
        <v>31.95</v>
      </c>
      <c r="J1616" t="s">
        <v>16</v>
      </c>
      <c r="K1616" t="s">
        <v>30</v>
      </c>
      <c r="L1616" s="4">
        <f>Table4[[#This Row],[quantity]]*Table4[[#This Row],[unit_price]]</f>
        <v>31.95</v>
      </c>
      <c r="M1616">
        <f>COUNTIFS($C$2:$C$3934,Table4[[#This Row],[customer_id]])</f>
        <v>6</v>
      </c>
      <c r="N1616" t="str">
        <f>IF(Table4[[#This Row],[customer_order_count]]=1,"New Customer","Repeat Customer")</f>
        <v>Repeat Customer</v>
      </c>
    </row>
    <row r="1617" spans="1:14">
      <c r="A1617" t="s">
        <v>4246</v>
      </c>
      <c r="B1617" s="1">
        <v>45164</v>
      </c>
      <c r="C1617" t="s">
        <v>848</v>
      </c>
      <c r="D1617" t="s">
        <v>340</v>
      </c>
      <c r="E1617" t="s">
        <v>21</v>
      </c>
      <c r="F1617" t="s">
        <v>79</v>
      </c>
      <c r="G1617" t="s">
        <v>541</v>
      </c>
      <c r="H1617">
        <v>1</v>
      </c>
      <c r="I1617" s="3">
        <v>31.96</v>
      </c>
      <c r="J1617" t="s">
        <v>255</v>
      </c>
      <c r="K1617" t="s">
        <v>40</v>
      </c>
      <c r="L1617" s="4">
        <f>Table4[[#This Row],[quantity]]*Table4[[#This Row],[unit_price]]</f>
        <v>31.96</v>
      </c>
      <c r="M1617">
        <f>COUNTIFS($C$2:$C$3934,Table4[[#This Row],[customer_id]])</f>
        <v>9</v>
      </c>
      <c r="N1617" t="str">
        <f>IF(Table4[[#This Row],[customer_order_count]]=1,"New Customer","Repeat Customer")</f>
        <v>Repeat Customer</v>
      </c>
    </row>
    <row r="1618" spans="1:14">
      <c r="A1618" t="s">
        <v>812</v>
      </c>
      <c r="B1618" s="1">
        <v>45564</v>
      </c>
      <c r="C1618" t="s">
        <v>379</v>
      </c>
      <c r="D1618" t="s">
        <v>380</v>
      </c>
      <c r="E1618" t="s">
        <v>44</v>
      </c>
      <c r="F1618" t="s">
        <v>22</v>
      </c>
      <c r="G1618" t="s">
        <v>135</v>
      </c>
      <c r="H1618">
        <v>1</v>
      </c>
      <c r="I1618" s="3">
        <v>31.96</v>
      </c>
      <c r="J1618" t="s">
        <v>16</v>
      </c>
      <c r="K1618" t="s">
        <v>40</v>
      </c>
      <c r="L1618" s="4">
        <f>Table4[[#This Row],[quantity]]*Table4[[#This Row],[unit_price]]</f>
        <v>31.96</v>
      </c>
      <c r="M1618">
        <f>COUNTIFS($C$2:$C$3934,Table4[[#This Row],[customer_id]])</f>
        <v>7</v>
      </c>
      <c r="N1618" t="str">
        <f>IF(Table4[[#This Row],[customer_order_count]]=1,"New Customer","Repeat Customer")</f>
        <v>Repeat Customer</v>
      </c>
    </row>
    <row r="1619" spans="1:14">
      <c r="A1619" t="s">
        <v>691</v>
      </c>
      <c r="B1619" s="1">
        <v>45039</v>
      </c>
      <c r="C1619" t="s">
        <v>692</v>
      </c>
      <c r="D1619" t="s">
        <v>693</v>
      </c>
      <c r="E1619" t="s">
        <v>21</v>
      </c>
      <c r="F1619" t="s">
        <v>56</v>
      </c>
      <c r="G1619" t="s">
        <v>254</v>
      </c>
      <c r="H1619">
        <v>1</v>
      </c>
      <c r="I1619" s="3">
        <v>32</v>
      </c>
      <c r="J1619" t="s">
        <v>16</v>
      </c>
      <c r="K1619" t="s">
        <v>40</v>
      </c>
      <c r="L1619" s="4">
        <f>Table4[[#This Row],[quantity]]*Table4[[#This Row],[unit_price]]</f>
        <v>32</v>
      </c>
      <c r="M1619">
        <f>COUNTIFS($C$2:$C$3934,Table4[[#This Row],[customer_id]])</f>
        <v>3</v>
      </c>
      <c r="N1619" t="str">
        <f>IF(Table4[[#This Row],[customer_order_count]]=1,"New Customer","Repeat Customer")</f>
        <v>Repeat Customer</v>
      </c>
    </row>
    <row r="1620" spans="1:14">
      <c r="A1620" t="s">
        <v>3118</v>
      </c>
      <c r="B1620" s="1">
        <v>44987</v>
      </c>
      <c r="C1620" t="s">
        <v>2297</v>
      </c>
      <c r="D1620" t="s">
        <v>560</v>
      </c>
      <c r="E1620" t="s">
        <v>21</v>
      </c>
      <c r="F1620" t="s">
        <v>66</v>
      </c>
      <c r="G1620" t="s">
        <v>49</v>
      </c>
      <c r="H1620">
        <v>1</v>
      </c>
      <c r="I1620" s="3">
        <v>32</v>
      </c>
      <c r="J1620" t="s">
        <v>16</v>
      </c>
      <c r="K1620" t="s">
        <v>30</v>
      </c>
      <c r="L1620" s="4">
        <f>Table4[[#This Row],[quantity]]*Table4[[#This Row],[unit_price]]</f>
        <v>32</v>
      </c>
      <c r="M1620">
        <f>COUNTIFS($C$2:$C$3934,Table4[[#This Row],[customer_id]])</f>
        <v>5</v>
      </c>
      <c r="N1620" t="str">
        <f>IF(Table4[[#This Row],[customer_order_count]]=1,"New Customer","Repeat Customer")</f>
        <v>Repeat Customer</v>
      </c>
    </row>
    <row r="1621" spans="1:14">
      <c r="A1621" t="s">
        <v>3165</v>
      </c>
      <c r="B1621" s="1">
        <v>45350</v>
      </c>
      <c r="C1621" t="s">
        <v>12</v>
      </c>
      <c r="D1621" t="s">
        <v>13</v>
      </c>
      <c r="E1621" t="s">
        <v>21</v>
      </c>
      <c r="F1621" t="s">
        <v>66</v>
      </c>
      <c r="G1621" t="s">
        <v>238</v>
      </c>
      <c r="H1621">
        <v>1</v>
      </c>
      <c r="I1621" s="3">
        <v>32.020000000000003</v>
      </c>
      <c r="J1621" t="s">
        <v>24</v>
      </c>
      <c r="K1621" t="s">
        <v>17</v>
      </c>
      <c r="L1621" s="4">
        <f>Table4[[#This Row],[quantity]]*Table4[[#This Row],[unit_price]]</f>
        <v>32.020000000000003</v>
      </c>
      <c r="M1621">
        <f>COUNTIFS($C$2:$C$3934,Table4[[#This Row],[customer_id]])</f>
        <v>10</v>
      </c>
      <c r="N1621" t="str">
        <f>IF(Table4[[#This Row],[customer_order_count]]=1,"New Customer","Repeat Customer")</f>
        <v>Repeat Customer</v>
      </c>
    </row>
    <row r="1622" spans="1:14">
      <c r="A1622" t="s">
        <v>3279</v>
      </c>
      <c r="B1622" s="1">
        <v>45632</v>
      </c>
      <c r="C1622" t="s">
        <v>2177</v>
      </c>
      <c r="D1622" t="s">
        <v>519</v>
      </c>
      <c r="E1622" t="s">
        <v>21</v>
      </c>
      <c r="F1622" t="s">
        <v>66</v>
      </c>
      <c r="G1622" t="s">
        <v>49</v>
      </c>
      <c r="H1622">
        <v>2</v>
      </c>
      <c r="I1622" s="3">
        <v>32.020000000000003</v>
      </c>
      <c r="J1622" t="s">
        <v>16</v>
      </c>
      <c r="K1622" t="s">
        <v>17</v>
      </c>
      <c r="L1622" s="4">
        <f>Table4[[#This Row],[quantity]]*Table4[[#This Row],[unit_price]]</f>
        <v>64.040000000000006</v>
      </c>
      <c r="M1622">
        <f>COUNTIFS($C$2:$C$3934,Table4[[#This Row],[customer_id]])</f>
        <v>2</v>
      </c>
      <c r="N1622" t="str">
        <f>IF(Table4[[#This Row],[customer_order_count]]=1,"New Customer","Repeat Customer")</f>
        <v>Repeat Customer</v>
      </c>
    </row>
    <row r="1623" spans="1:14">
      <c r="A1623" t="s">
        <v>3956</v>
      </c>
      <c r="B1623" s="1">
        <v>44941</v>
      </c>
      <c r="C1623" t="s">
        <v>964</v>
      </c>
      <c r="D1623" t="s">
        <v>965</v>
      </c>
      <c r="E1623" t="s">
        <v>21</v>
      </c>
      <c r="F1623" t="s">
        <v>66</v>
      </c>
      <c r="G1623" t="s">
        <v>217</v>
      </c>
      <c r="H1623">
        <v>1</v>
      </c>
      <c r="I1623" s="3">
        <v>32.03</v>
      </c>
      <c r="J1623" t="s">
        <v>16</v>
      </c>
      <c r="K1623" t="s">
        <v>40</v>
      </c>
      <c r="L1623" s="4">
        <f>Table4[[#This Row],[quantity]]*Table4[[#This Row],[unit_price]]</f>
        <v>32.03</v>
      </c>
      <c r="M1623">
        <f>COUNTIFS($C$2:$C$3934,Table4[[#This Row],[customer_id]])</f>
        <v>5</v>
      </c>
      <c r="N1623" t="str">
        <f>IF(Table4[[#This Row],[customer_order_count]]=1,"New Customer","Repeat Customer")</f>
        <v>Repeat Customer</v>
      </c>
    </row>
    <row r="1624" spans="1:14">
      <c r="A1624" t="s">
        <v>3379</v>
      </c>
      <c r="B1624" s="1">
        <v>45389</v>
      </c>
      <c r="C1624" t="s">
        <v>3380</v>
      </c>
      <c r="D1624" t="s">
        <v>178</v>
      </c>
      <c r="E1624" t="s">
        <v>44</v>
      </c>
      <c r="F1624" t="s">
        <v>56</v>
      </c>
      <c r="G1624" t="s">
        <v>422</v>
      </c>
      <c r="H1624">
        <v>2</v>
      </c>
      <c r="I1624" s="3">
        <v>32.03</v>
      </c>
      <c r="J1624" t="s">
        <v>24</v>
      </c>
      <c r="K1624" t="s">
        <v>40</v>
      </c>
      <c r="L1624" s="4">
        <f>Table4[[#This Row],[quantity]]*Table4[[#This Row],[unit_price]]</f>
        <v>64.06</v>
      </c>
      <c r="M1624">
        <f>COUNTIFS($C$2:$C$3934,Table4[[#This Row],[customer_id]])</f>
        <v>3</v>
      </c>
      <c r="N1624" t="str">
        <f>IF(Table4[[#This Row],[customer_order_count]]=1,"New Customer","Repeat Customer")</f>
        <v>Repeat Customer</v>
      </c>
    </row>
    <row r="1625" spans="1:14">
      <c r="A1625" t="s">
        <v>1789</v>
      </c>
      <c r="B1625" s="1">
        <v>45413</v>
      </c>
      <c r="C1625" t="s">
        <v>1790</v>
      </c>
      <c r="D1625" t="s">
        <v>452</v>
      </c>
      <c r="E1625" t="s">
        <v>21</v>
      </c>
      <c r="F1625" t="s">
        <v>28</v>
      </c>
      <c r="G1625" t="s">
        <v>114</v>
      </c>
      <c r="H1625">
        <v>2</v>
      </c>
      <c r="I1625" s="3">
        <v>32.06</v>
      </c>
      <c r="J1625" t="s">
        <v>16</v>
      </c>
      <c r="K1625" t="s">
        <v>30</v>
      </c>
      <c r="L1625" s="4">
        <f>Table4[[#This Row],[quantity]]*Table4[[#This Row],[unit_price]]</f>
        <v>64.12</v>
      </c>
      <c r="M1625">
        <f>COUNTIFS($C$2:$C$3934,Table4[[#This Row],[customer_id]])</f>
        <v>2</v>
      </c>
      <c r="N1625" t="str">
        <f>IF(Table4[[#This Row],[customer_order_count]]=1,"New Customer","Repeat Customer")</f>
        <v>Repeat Customer</v>
      </c>
    </row>
    <row r="1626" spans="1:14">
      <c r="A1626" t="s">
        <v>2495</v>
      </c>
      <c r="B1626" s="1">
        <v>45564</v>
      </c>
      <c r="C1626" t="s">
        <v>2496</v>
      </c>
      <c r="D1626" t="s">
        <v>1088</v>
      </c>
      <c r="E1626" t="s">
        <v>21</v>
      </c>
      <c r="F1626" t="s">
        <v>28</v>
      </c>
      <c r="G1626" t="s">
        <v>29</v>
      </c>
      <c r="H1626">
        <v>1</v>
      </c>
      <c r="I1626" s="3">
        <v>32.090000000000003</v>
      </c>
      <c r="J1626" t="s">
        <v>24</v>
      </c>
      <c r="K1626" t="s">
        <v>40</v>
      </c>
      <c r="L1626" s="4">
        <f>Table4[[#This Row],[quantity]]*Table4[[#This Row],[unit_price]]</f>
        <v>32.090000000000003</v>
      </c>
      <c r="M1626">
        <f>COUNTIFS($C$2:$C$3934,Table4[[#This Row],[customer_id]])</f>
        <v>4</v>
      </c>
      <c r="N1626" t="str">
        <f>IF(Table4[[#This Row],[customer_order_count]]=1,"New Customer","Repeat Customer")</f>
        <v>Repeat Customer</v>
      </c>
    </row>
    <row r="1627" spans="1:14">
      <c r="A1627" t="s">
        <v>3385</v>
      </c>
      <c r="B1627" s="1">
        <v>45305</v>
      </c>
      <c r="C1627" t="s">
        <v>1513</v>
      </c>
      <c r="D1627" t="s">
        <v>1514</v>
      </c>
      <c r="E1627" t="s">
        <v>21</v>
      </c>
      <c r="F1627" t="s">
        <v>56</v>
      </c>
      <c r="G1627" t="s">
        <v>118</v>
      </c>
      <c r="H1627">
        <v>2</v>
      </c>
      <c r="I1627" s="3">
        <v>32.090000000000003</v>
      </c>
      <c r="J1627" t="s">
        <v>16</v>
      </c>
      <c r="K1627" t="s">
        <v>17</v>
      </c>
      <c r="L1627" s="4">
        <f>Table4[[#This Row],[quantity]]*Table4[[#This Row],[unit_price]]</f>
        <v>64.180000000000007</v>
      </c>
      <c r="M1627">
        <f>COUNTIFS($C$2:$C$3934,Table4[[#This Row],[customer_id]])</f>
        <v>5</v>
      </c>
      <c r="N1627" t="str">
        <f>IF(Table4[[#This Row],[customer_order_count]]=1,"New Customer","Repeat Customer")</f>
        <v>Repeat Customer</v>
      </c>
    </row>
    <row r="1628" spans="1:14">
      <c r="A1628" t="s">
        <v>1687</v>
      </c>
      <c r="B1628" s="1">
        <v>45372</v>
      </c>
      <c r="C1628" t="s">
        <v>1161</v>
      </c>
      <c r="D1628" t="s">
        <v>725</v>
      </c>
      <c r="E1628" t="s">
        <v>44</v>
      </c>
      <c r="F1628" t="s">
        <v>66</v>
      </c>
      <c r="G1628" t="s">
        <v>49</v>
      </c>
      <c r="H1628">
        <v>1</v>
      </c>
      <c r="I1628" s="3">
        <v>32.130000000000003</v>
      </c>
      <c r="J1628" t="s">
        <v>16</v>
      </c>
      <c r="K1628" t="s">
        <v>30</v>
      </c>
      <c r="L1628" s="4">
        <f>Table4[[#This Row],[quantity]]*Table4[[#This Row],[unit_price]]</f>
        <v>32.130000000000003</v>
      </c>
      <c r="M1628">
        <f>COUNTIFS($C$2:$C$3934,Table4[[#This Row],[customer_id]])</f>
        <v>3</v>
      </c>
      <c r="N1628" t="str">
        <f>IF(Table4[[#This Row],[customer_order_count]]=1,"New Customer","Repeat Customer")</f>
        <v>Repeat Customer</v>
      </c>
    </row>
    <row r="1629" spans="1:14">
      <c r="A1629" t="s">
        <v>3993</v>
      </c>
      <c r="B1629" s="1">
        <v>45376</v>
      </c>
      <c r="C1629" t="s">
        <v>1646</v>
      </c>
      <c r="D1629" t="s">
        <v>313</v>
      </c>
      <c r="E1629" t="s">
        <v>21</v>
      </c>
      <c r="F1629" t="s">
        <v>66</v>
      </c>
      <c r="G1629" t="s">
        <v>49</v>
      </c>
      <c r="H1629">
        <v>1</v>
      </c>
      <c r="I1629" s="3">
        <v>32.14</v>
      </c>
      <c r="J1629" t="s">
        <v>16</v>
      </c>
      <c r="K1629" t="s">
        <v>17</v>
      </c>
      <c r="L1629" s="4">
        <f>Table4[[#This Row],[quantity]]*Table4[[#This Row],[unit_price]]</f>
        <v>32.14</v>
      </c>
      <c r="M1629">
        <f>COUNTIFS($C$2:$C$3934,Table4[[#This Row],[customer_id]])</f>
        <v>4</v>
      </c>
      <c r="N1629" t="str">
        <f>IF(Table4[[#This Row],[customer_order_count]]=1,"New Customer","Repeat Customer")</f>
        <v>Repeat Customer</v>
      </c>
    </row>
    <row r="1630" spans="1:14">
      <c r="A1630" t="s">
        <v>5232</v>
      </c>
      <c r="B1630" s="1">
        <v>45507</v>
      </c>
      <c r="C1630" t="s">
        <v>263</v>
      </c>
      <c r="D1630" t="s">
        <v>78</v>
      </c>
      <c r="E1630" t="s">
        <v>21</v>
      </c>
      <c r="F1630" t="s">
        <v>70</v>
      </c>
      <c r="G1630" t="s">
        <v>110</v>
      </c>
      <c r="H1630">
        <v>1</v>
      </c>
      <c r="I1630" s="3">
        <v>32.14</v>
      </c>
      <c r="J1630" t="s">
        <v>85</v>
      </c>
      <c r="K1630" s="2" t="s">
        <v>5256</v>
      </c>
      <c r="L1630" s="4">
        <f>Table4[[#This Row],[quantity]]*Table4[[#This Row],[unit_price]]</f>
        <v>32.14</v>
      </c>
      <c r="M1630">
        <f>COUNTIFS($C$2:$C$3934,Table4[[#This Row],[customer_id]])</f>
        <v>5</v>
      </c>
      <c r="N1630" t="str">
        <f>IF(Table4[[#This Row],[customer_order_count]]=1,"New Customer","Repeat Customer")</f>
        <v>Repeat Customer</v>
      </c>
    </row>
    <row r="1631" spans="1:14">
      <c r="A1631" t="s">
        <v>2655</v>
      </c>
      <c r="B1631" s="1">
        <v>45221</v>
      </c>
      <c r="C1631" t="s">
        <v>653</v>
      </c>
      <c r="D1631" t="s">
        <v>117</v>
      </c>
      <c r="E1631" t="s">
        <v>21</v>
      </c>
      <c r="F1631" t="s">
        <v>14</v>
      </c>
      <c r="G1631" t="s">
        <v>15</v>
      </c>
      <c r="H1631">
        <v>1</v>
      </c>
      <c r="I1631" s="3">
        <v>32.15</v>
      </c>
      <c r="J1631" t="s">
        <v>16</v>
      </c>
      <c r="K1631" s="5" t="s">
        <v>30</v>
      </c>
      <c r="L1631" s="4">
        <f>Table4[[#This Row],[quantity]]*Table4[[#This Row],[unit_price]]</f>
        <v>32.15</v>
      </c>
      <c r="M1631">
        <f>COUNTIFS($C$2:$C$3934,Table4[[#This Row],[customer_id]])</f>
        <v>6</v>
      </c>
      <c r="N1631" t="str">
        <f>IF(Table4[[#This Row],[customer_order_count]]=1,"New Customer","Repeat Customer")</f>
        <v>Repeat Customer</v>
      </c>
    </row>
    <row r="1632" spans="1:14">
      <c r="A1632" t="s">
        <v>3431</v>
      </c>
      <c r="B1632" s="1">
        <v>44992</v>
      </c>
      <c r="C1632" t="s">
        <v>3432</v>
      </c>
      <c r="D1632" t="s">
        <v>582</v>
      </c>
      <c r="E1632" t="s">
        <v>44</v>
      </c>
      <c r="F1632" t="s">
        <v>14</v>
      </c>
      <c r="G1632" t="s">
        <v>39</v>
      </c>
      <c r="H1632">
        <v>3</v>
      </c>
      <c r="I1632" s="3">
        <v>32.15</v>
      </c>
      <c r="J1632" t="s">
        <v>16</v>
      </c>
      <c r="K1632" t="s">
        <v>17</v>
      </c>
      <c r="L1632" s="4">
        <f>Table4[[#This Row],[quantity]]*Table4[[#This Row],[unit_price]]</f>
        <v>96.449999999999989</v>
      </c>
      <c r="M1632">
        <f>COUNTIFS($C$2:$C$3934,Table4[[#This Row],[customer_id]])</f>
        <v>4</v>
      </c>
      <c r="N1632" t="str">
        <f>IF(Table4[[#This Row],[customer_order_count]]=1,"New Customer","Repeat Customer")</f>
        <v>Repeat Customer</v>
      </c>
    </row>
    <row r="1633" spans="1:14">
      <c r="A1633" t="s">
        <v>813</v>
      </c>
      <c r="B1633" s="1">
        <v>45296</v>
      </c>
      <c r="C1633" t="s">
        <v>814</v>
      </c>
      <c r="D1633" t="s">
        <v>815</v>
      </c>
      <c r="E1633" t="s">
        <v>21</v>
      </c>
      <c r="F1633" t="s">
        <v>79</v>
      </c>
      <c r="G1633" t="s">
        <v>80</v>
      </c>
      <c r="H1633">
        <v>2</v>
      </c>
      <c r="I1633" s="3">
        <v>32.159999999999997</v>
      </c>
      <c r="J1633" t="s">
        <v>16</v>
      </c>
      <c r="K1633" t="s">
        <v>17</v>
      </c>
      <c r="L1633" s="4">
        <f>Table4[[#This Row],[quantity]]*Table4[[#This Row],[unit_price]]</f>
        <v>64.319999999999993</v>
      </c>
      <c r="M1633">
        <f>COUNTIFS($C$2:$C$3934,Table4[[#This Row],[customer_id]])</f>
        <v>5</v>
      </c>
      <c r="N1633" t="str">
        <f>IF(Table4[[#This Row],[customer_order_count]]=1,"New Customer","Repeat Customer")</f>
        <v>Repeat Customer</v>
      </c>
    </row>
    <row r="1634" spans="1:14">
      <c r="A1634" t="s">
        <v>2638</v>
      </c>
      <c r="B1634" s="1">
        <v>45012</v>
      </c>
      <c r="C1634" t="s">
        <v>2639</v>
      </c>
      <c r="D1634" t="s">
        <v>1804</v>
      </c>
      <c r="E1634" t="s">
        <v>21</v>
      </c>
      <c r="F1634" t="s">
        <v>66</v>
      </c>
      <c r="G1634" t="s">
        <v>67</v>
      </c>
      <c r="H1634">
        <v>4</v>
      </c>
      <c r="I1634" s="3">
        <v>32.17</v>
      </c>
      <c r="J1634" t="s">
        <v>16</v>
      </c>
      <c r="K1634" t="s">
        <v>40</v>
      </c>
      <c r="L1634" s="4">
        <f>Table4[[#This Row],[quantity]]*Table4[[#This Row],[unit_price]]</f>
        <v>128.68</v>
      </c>
      <c r="M1634">
        <f>COUNTIFS($C$2:$C$3934,Table4[[#This Row],[customer_id]])</f>
        <v>2</v>
      </c>
      <c r="N1634" t="str">
        <f>IF(Table4[[#This Row],[customer_order_count]]=1,"New Customer","Repeat Customer")</f>
        <v>Repeat Customer</v>
      </c>
    </row>
    <row r="1635" spans="1:14">
      <c r="A1635" t="s">
        <v>2795</v>
      </c>
      <c r="B1635" s="1">
        <v>45346</v>
      </c>
      <c r="C1635" t="s">
        <v>1087</v>
      </c>
      <c r="D1635" t="s">
        <v>1088</v>
      </c>
      <c r="E1635" t="s">
        <v>61</v>
      </c>
      <c r="F1635" t="s">
        <v>70</v>
      </c>
      <c r="G1635" t="s">
        <v>110</v>
      </c>
      <c r="H1635">
        <v>1</v>
      </c>
      <c r="I1635" s="3">
        <v>32.19</v>
      </c>
      <c r="J1635" t="s">
        <v>16</v>
      </c>
      <c r="K1635" t="s">
        <v>17</v>
      </c>
      <c r="L1635" s="4">
        <f>Table4[[#This Row],[quantity]]*Table4[[#This Row],[unit_price]]</f>
        <v>32.19</v>
      </c>
      <c r="M1635">
        <f>COUNTIFS($C$2:$C$3934,Table4[[#This Row],[customer_id]])</f>
        <v>3</v>
      </c>
      <c r="N1635" t="str">
        <f>IF(Table4[[#This Row],[customer_order_count]]=1,"New Customer","Repeat Customer")</f>
        <v>Repeat Customer</v>
      </c>
    </row>
    <row r="1636" spans="1:14">
      <c r="A1636" t="s">
        <v>2711</v>
      </c>
      <c r="B1636" s="1">
        <v>45540</v>
      </c>
      <c r="C1636" t="s">
        <v>1330</v>
      </c>
      <c r="D1636" t="s">
        <v>1331</v>
      </c>
      <c r="E1636" t="s">
        <v>21</v>
      </c>
      <c r="F1636" t="s">
        <v>66</v>
      </c>
      <c r="G1636" t="s">
        <v>67</v>
      </c>
      <c r="H1636">
        <v>1</v>
      </c>
      <c r="I1636" s="3">
        <v>32.21</v>
      </c>
      <c r="J1636" t="s">
        <v>16</v>
      </c>
      <c r="K1636" t="s">
        <v>35</v>
      </c>
      <c r="L1636" s="4">
        <f>Table4[[#This Row],[quantity]]*Table4[[#This Row],[unit_price]]</f>
        <v>32.21</v>
      </c>
      <c r="M1636">
        <f>COUNTIFS($C$2:$C$3934,Table4[[#This Row],[customer_id]])</f>
        <v>5</v>
      </c>
      <c r="N1636" t="str">
        <f>IF(Table4[[#This Row],[customer_order_count]]=1,"New Customer","Repeat Customer")</f>
        <v>Repeat Customer</v>
      </c>
    </row>
    <row r="1637" spans="1:14">
      <c r="A1637" t="s">
        <v>1261</v>
      </c>
      <c r="B1637" s="1">
        <v>45646</v>
      </c>
      <c r="C1637" t="s">
        <v>466</v>
      </c>
      <c r="D1637" t="s">
        <v>467</v>
      </c>
      <c r="E1637" t="s">
        <v>44</v>
      </c>
      <c r="F1637" t="s">
        <v>66</v>
      </c>
      <c r="G1637" t="s">
        <v>49</v>
      </c>
      <c r="H1637">
        <v>1</v>
      </c>
      <c r="I1637" s="3">
        <v>32.21</v>
      </c>
      <c r="J1637" t="s">
        <v>16</v>
      </c>
      <c r="K1637" t="s">
        <v>30</v>
      </c>
      <c r="L1637" s="4">
        <f>Table4[[#This Row],[quantity]]*Table4[[#This Row],[unit_price]]</f>
        <v>32.21</v>
      </c>
      <c r="M1637">
        <f>COUNTIFS($C$2:$C$3934,Table4[[#This Row],[customer_id]])</f>
        <v>5</v>
      </c>
      <c r="N1637" t="str">
        <f>IF(Table4[[#This Row],[customer_order_count]]=1,"New Customer","Repeat Customer")</f>
        <v>Repeat Customer</v>
      </c>
    </row>
    <row r="1638" spans="1:14">
      <c r="A1638" t="s">
        <v>3816</v>
      </c>
      <c r="B1638" s="1">
        <v>45621</v>
      </c>
      <c r="C1638" t="s">
        <v>3665</v>
      </c>
      <c r="D1638" t="s">
        <v>3666</v>
      </c>
      <c r="E1638" t="s">
        <v>21</v>
      </c>
      <c r="F1638" t="s">
        <v>66</v>
      </c>
      <c r="G1638" t="s">
        <v>217</v>
      </c>
      <c r="H1638">
        <v>1</v>
      </c>
      <c r="I1638" s="3">
        <v>32.229999999999997</v>
      </c>
      <c r="J1638" t="s">
        <v>16</v>
      </c>
      <c r="K1638" t="s">
        <v>17</v>
      </c>
      <c r="L1638" s="4">
        <f>Table4[[#This Row],[quantity]]*Table4[[#This Row],[unit_price]]</f>
        <v>32.229999999999997</v>
      </c>
      <c r="M1638">
        <f>COUNTIFS($C$2:$C$3934,Table4[[#This Row],[customer_id]])</f>
        <v>4</v>
      </c>
      <c r="N1638" t="str">
        <f>IF(Table4[[#This Row],[customer_order_count]]=1,"New Customer","Repeat Customer")</f>
        <v>Repeat Customer</v>
      </c>
    </row>
    <row r="1639" spans="1:14">
      <c r="A1639" t="s">
        <v>1642</v>
      </c>
      <c r="B1639" s="1">
        <v>45087</v>
      </c>
      <c r="C1639" t="s">
        <v>596</v>
      </c>
      <c r="D1639" t="s">
        <v>597</v>
      </c>
      <c r="E1639" t="s">
        <v>21</v>
      </c>
      <c r="F1639" t="s">
        <v>70</v>
      </c>
      <c r="G1639" t="s">
        <v>146</v>
      </c>
      <c r="H1639">
        <v>1</v>
      </c>
      <c r="I1639" s="3">
        <v>32.229999999999997</v>
      </c>
      <c r="J1639" t="s">
        <v>16</v>
      </c>
      <c r="K1639" t="s">
        <v>30</v>
      </c>
      <c r="L1639" s="4">
        <f>Table4[[#This Row],[quantity]]*Table4[[#This Row],[unit_price]]</f>
        <v>32.229999999999997</v>
      </c>
      <c r="M1639">
        <f>COUNTIFS($C$2:$C$3934,Table4[[#This Row],[customer_id]])</f>
        <v>8</v>
      </c>
      <c r="N1639" t="str">
        <f>IF(Table4[[#This Row],[customer_order_count]]=1,"New Customer","Repeat Customer")</f>
        <v>Repeat Customer</v>
      </c>
    </row>
    <row r="1640" spans="1:14">
      <c r="A1640" t="s">
        <v>2763</v>
      </c>
      <c r="B1640" s="1">
        <v>45187</v>
      </c>
      <c r="C1640" t="s">
        <v>1248</v>
      </c>
      <c r="D1640" t="s">
        <v>787</v>
      </c>
      <c r="E1640" t="s">
        <v>21</v>
      </c>
      <c r="F1640" t="s">
        <v>66</v>
      </c>
      <c r="G1640" t="s">
        <v>128</v>
      </c>
      <c r="H1640">
        <v>4</v>
      </c>
      <c r="I1640" s="3">
        <v>32.24</v>
      </c>
      <c r="J1640" t="s">
        <v>16</v>
      </c>
      <c r="K1640" t="s">
        <v>30</v>
      </c>
      <c r="L1640" s="4">
        <f>Table4[[#This Row],[quantity]]*Table4[[#This Row],[unit_price]]</f>
        <v>128.96</v>
      </c>
      <c r="M1640">
        <f>COUNTIFS($C$2:$C$3934,Table4[[#This Row],[customer_id]])</f>
        <v>6</v>
      </c>
      <c r="N1640" t="str">
        <f>IF(Table4[[#This Row],[customer_order_count]]=1,"New Customer","Repeat Customer")</f>
        <v>Repeat Customer</v>
      </c>
    </row>
    <row r="1641" spans="1:14">
      <c r="A1641" t="s">
        <v>4744</v>
      </c>
      <c r="B1641" s="1">
        <v>44969</v>
      </c>
      <c r="C1641" t="s">
        <v>1188</v>
      </c>
      <c r="D1641" t="s">
        <v>1189</v>
      </c>
      <c r="E1641" t="s">
        <v>21</v>
      </c>
      <c r="F1641" t="s">
        <v>66</v>
      </c>
      <c r="G1641" t="s">
        <v>67</v>
      </c>
      <c r="H1641">
        <v>4</v>
      </c>
      <c r="I1641" s="3">
        <v>32.25</v>
      </c>
      <c r="J1641" t="s">
        <v>16</v>
      </c>
      <c r="K1641" s="2" t="s">
        <v>5256</v>
      </c>
      <c r="L1641" s="4">
        <f>Table4[[#This Row],[quantity]]*Table4[[#This Row],[unit_price]]</f>
        <v>129</v>
      </c>
      <c r="M1641">
        <f>COUNTIFS($C$2:$C$3934,Table4[[#This Row],[customer_id]])</f>
        <v>7</v>
      </c>
      <c r="N1641" t="str">
        <f>IF(Table4[[#This Row],[customer_order_count]]=1,"New Customer","Repeat Customer")</f>
        <v>Repeat Customer</v>
      </c>
    </row>
    <row r="1642" spans="1:14">
      <c r="A1642" t="s">
        <v>5060</v>
      </c>
      <c r="B1642" s="1">
        <v>45332</v>
      </c>
      <c r="C1642" t="s">
        <v>518</v>
      </c>
      <c r="D1642" t="s">
        <v>519</v>
      </c>
      <c r="E1642" t="s">
        <v>21</v>
      </c>
      <c r="F1642" t="s">
        <v>66</v>
      </c>
      <c r="G1642" t="s">
        <v>217</v>
      </c>
      <c r="H1642">
        <v>1</v>
      </c>
      <c r="I1642" s="3">
        <v>32.26</v>
      </c>
      <c r="J1642" t="s">
        <v>16</v>
      </c>
      <c r="K1642" s="5" t="s">
        <v>35</v>
      </c>
      <c r="L1642" s="4">
        <f>Table4[[#This Row],[quantity]]*Table4[[#This Row],[unit_price]]</f>
        <v>32.26</v>
      </c>
      <c r="M1642">
        <f>COUNTIFS($C$2:$C$3934,Table4[[#This Row],[customer_id]])</f>
        <v>7</v>
      </c>
      <c r="N1642" t="str">
        <f>IF(Table4[[#This Row],[customer_order_count]]=1,"New Customer","Repeat Customer")</f>
        <v>Repeat Customer</v>
      </c>
    </row>
    <row r="1643" spans="1:14">
      <c r="A1643" t="s">
        <v>3140</v>
      </c>
      <c r="B1643" s="1">
        <v>44927</v>
      </c>
      <c r="C1643" t="s">
        <v>1837</v>
      </c>
      <c r="D1643" t="s">
        <v>1838</v>
      </c>
      <c r="E1643" t="s">
        <v>21</v>
      </c>
      <c r="F1643" t="s">
        <v>66</v>
      </c>
      <c r="G1643" t="s">
        <v>67</v>
      </c>
      <c r="H1643">
        <v>1</v>
      </c>
      <c r="I1643" s="3">
        <v>32.26</v>
      </c>
      <c r="J1643" t="s">
        <v>16</v>
      </c>
      <c r="K1643" t="s">
        <v>35</v>
      </c>
      <c r="L1643" s="4">
        <f>Table4[[#This Row],[quantity]]*Table4[[#This Row],[unit_price]]</f>
        <v>32.26</v>
      </c>
      <c r="M1643">
        <f>COUNTIFS($C$2:$C$3934,Table4[[#This Row],[customer_id]])</f>
        <v>9</v>
      </c>
      <c r="N1643" t="str">
        <f>IF(Table4[[#This Row],[customer_order_count]]=1,"New Customer","Repeat Customer")</f>
        <v>Repeat Customer</v>
      </c>
    </row>
    <row r="1644" spans="1:14">
      <c r="A1644" t="s">
        <v>4830</v>
      </c>
      <c r="B1644" s="1">
        <v>45243</v>
      </c>
      <c r="C1644" t="s">
        <v>51</v>
      </c>
      <c r="D1644" s="2" t="s">
        <v>5257</v>
      </c>
      <c r="E1644" t="s">
        <v>21</v>
      </c>
      <c r="F1644" t="s">
        <v>66</v>
      </c>
      <c r="G1644" t="s">
        <v>49</v>
      </c>
      <c r="H1644">
        <v>1</v>
      </c>
      <c r="I1644" s="3">
        <v>32.28</v>
      </c>
      <c r="J1644" t="s">
        <v>16</v>
      </c>
      <c r="K1644" t="s">
        <v>40</v>
      </c>
      <c r="L1644" s="4">
        <f>Table4[[#This Row],[quantity]]*Table4[[#This Row],[unit_price]]</f>
        <v>32.28</v>
      </c>
      <c r="M1644">
        <f>COUNTIFS($C$2:$C$3934,Table4[[#This Row],[customer_id]])</f>
        <v>9</v>
      </c>
      <c r="N1644" t="str">
        <f>IF(Table4[[#This Row],[customer_order_count]]=1,"New Customer","Repeat Customer")</f>
        <v>Repeat Customer</v>
      </c>
    </row>
    <row r="1645" spans="1:14">
      <c r="A1645" t="s">
        <v>2393</v>
      </c>
      <c r="B1645" s="1">
        <v>45264</v>
      </c>
      <c r="C1645" t="s">
        <v>2353</v>
      </c>
      <c r="D1645" s="5" t="s">
        <v>576</v>
      </c>
      <c r="E1645" t="s">
        <v>21</v>
      </c>
      <c r="F1645" t="s">
        <v>28</v>
      </c>
      <c r="G1645" t="s">
        <v>84</v>
      </c>
      <c r="H1645">
        <v>1</v>
      </c>
      <c r="I1645" s="3">
        <v>32.299999999999997</v>
      </c>
      <c r="J1645" t="s">
        <v>24</v>
      </c>
      <c r="K1645" t="s">
        <v>30</v>
      </c>
      <c r="L1645" s="4">
        <f>Table4[[#This Row],[quantity]]*Table4[[#This Row],[unit_price]]</f>
        <v>32.299999999999997</v>
      </c>
      <c r="M1645">
        <f>COUNTIFS($C$2:$C$3934,Table4[[#This Row],[customer_id]])</f>
        <v>3</v>
      </c>
      <c r="N1645" t="str">
        <f>IF(Table4[[#This Row],[customer_order_count]]=1,"New Customer","Repeat Customer")</f>
        <v>Repeat Customer</v>
      </c>
    </row>
    <row r="1646" spans="1:14">
      <c r="A1646" t="s">
        <v>3263</v>
      </c>
      <c r="B1646" s="1">
        <v>45033</v>
      </c>
      <c r="C1646" t="s">
        <v>2239</v>
      </c>
      <c r="D1646" t="s">
        <v>95</v>
      </c>
      <c r="E1646" t="s">
        <v>21</v>
      </c>
      <c r="F1646" t="s">
        <v>70</v>
      </c>
      <c r="G1646" t="s">
        <v>89</v>
      </c>
      <c r="H1646">
        <v>1</v>
      </c>
      <c r="I1646" s="3">
        <v>32.340000000000003</v>
      </c>
      <c r="J1646" t="s">
        <v>16</v>
      </c>
      <c r="K1646" t="s">
        <v>35</v>
      </c>
      <c r="L1646" s="4">
        <f>Table4[[#This Row],[quantity]]*Table4[[#This Row],[unit_price]]</f>
        <v>32.340000000000003</v>
      </c>
      <c r="M1646">
        <f>COUNTIFS($C$2:$C$3934,Table4[[#This Row],[customer_id]])</f>
        <v>10</v>
      </c>
      <c r="N1646" t="str">
        <f>IF(Table4[[#This Row],[customer_order_count]]=1,"New Customer","Repeat Customer")</f>
        <v>Repeat Customer</v>
      </c>
    </row>
    <row r="1647" spans="1:14">
      <c r="A1647" t="s">
        <v>1682</v>
      </c>
      <c r="B1647" s="1">
        <v>45478</v>
      </c>
      <c r="C1647" t="s">
        <v>376</v>
      </c>
      <c r="D1647" t="s">
        <v>377</v>
      </c>
      <c r="E1647" t="s">
        <v>21</v>
      </c>
      <c r="F1647" t="s">
        <v>66</v>
      </c>
      <c r="G1647" t="s">
        <v>238</v>
      </c>
      <c r="H1647">
        <v>2</v>
      </c>
      <c r="I1647" s="3">
        <v>32.340000000000003</v>
      </c>
      <c r="J1647" t="s">
        <v>85</v>
      </c>
      <c r="K1647" t="s">
        <v>40</v>
      </c>
      <c r="L1647" s="4">
        <f>Table4[[#This Row],[quantity]]*Table4[[#This Row],[unit_price]]</f>
        <v>64.680000000000007</v>
      </c>
      <c r="M1647">
        <f>COUNTIFS($C$2:$C$3934,Table4[[#This Row],[customer_id]])</f>
        <v>3</v>
      </c>
      <c r="N1647" t="str">
        <f>IF(Table4[[#This Row],[customer_order_count]]=1,"New Customer","Repeat Customer")</f>
        <v>Repeat Customer</v>
      </c>
    </row>
    <row r="1648" spans="1:14">
      <c r="A1648" t="s">
        <v>4875</v>
      </c>
      <c r="B1648" s="1">
        <v>45563</v>
      </c>
      <c r="C1648" t="s">
        <v>1166</v>
      </c>
      <c r="D1648" t="s">
        <v>292</v>
      </c>
      <c r="E1648" t="s">
        <v>21</v>
      </c>
      <c r="F1648" t="s">
        <v>22</v>
      </c>
      <c r="G1648" t="s">
        <v>135</v>
      </c>
      <c r="H1648">
        <v>2</v>
      </c>
      <c r="I1648" s="3">
        <v>32.35</v>
      </c>
      <c r="J1648" t="s">
        <v>16</v>
      </c>
      <c r="K1648" t="s">
        <v>30</v>
      </c>
      <c r="L1648" s="4">
        <f>Table4[[#This Row],[quantity]]*Table4[[#This Row],[unit_price]]</f>
        <v>64.7</v>
      </c>
      <c r="M1648">
        <f>COUNTIFS($C$2:$C$3934,Table4[[#This Row],[customer_id]])</f>
        <v>6</v>
      </c>
      <c r="N1648" t="str">
        <f>IF(Table4[[#This Row],[customer_order_count]]=1,"New Customer","Repeat Customer")</f>
        <v>Repeat Customer</v>
      </c>
    </row>
    <row r="1649" spans="1:14">
      <c r="A1649" t="s">
        <v>600</v>
      </c>
      <c r="B1649" s="1">
        <v>44983</v>
      </c>
      <c r="C1649" t="s">
        <v>601</v>
      </c>
      <c r="D1649" t="s">
        <v>602</v>
      </c>
      <c r="E1649" t="s">
        <v>21</v>
      </c>
      <c r="F1649" t="s">
        <v>66</v>
      </c>
      <c r="G1649" t="s">
        <v>217</v>
      </c>
      <c r="H1649">
        <v>1</v>
      </c>
      <c r="I1649" s="3">
        <v>32.369999999999997</v>
      </c>
      <c r="J1649" t="s">
        <v>16</v>
      </c>
      <c r="K1649" t="s">
        <v>35</v>
      </c>
      <c r="L1649" s="4">
        <f>Table4[[#This Row],[quantity]]*Table4[[#This Row],[unit_price]]</f>
        <v>32.369999999999997</v>
      </c>
      <c r="M1649">
        <f>COUNTIFS($C$2:$C$3934,Table4[[#This Row],[customer_id]])</f>
        <v>2</v>
      </c>
      <c r="N1649" t="str">
        <f>IF(Table4[[#This Row],[customer_order_count]]=1,"New Customer","Repeat Customer")</f>
        <v>Repeat Customer</v>
      </c>
    </row>
    <row r="1650" spans="1:14">
      <c r="A1650" t="s">
        <v>1972</v>
      </c>
      <c r="B1650" s="1">
        <v>44993</v>
      </c>
      <c r="C1650" t="s">
        <v>1973</v>
      </c>
      <c r="D1650" t="s">
        <v>797</v>
      </c>
      <c r="E1650" t="s">
        <v>21</v>
      </c>
      <c r="F1650" t="s">
        <v>22</v>
      </c>
      <c r="G1650" t="s">
        <v>264</v>
      </c>
      <c r="H1650">
        <v>2</v>
      </c>
      <c r="I1650" s="3">
        <v>32.369999999999997</v>
      </c>
      <c r="J1650" t="s">
        <v>16</v>
      </c>
      <c r="K1650" t="s">
        <v>17</v>
      </c>
      <c r="L1650" s="4">
        <f>Table4[[#This Row],[quantity]]*Table4[[#This Row],[unit_price]]</f>
        <v>64.739999999999995</v>
      </c>
      <c r="M1650">
        <f>COUNTIFS($C$2:$C$3934,Table4[[#This Row],[customer_id]])</f>
        <v>5</v>
      </c>
      <c r="N1650" t="str">
        <f>IF(Table4[[#This Row],[customer_order_count]]=1,"New Customer","Repeat Customer")</f>
        <v>Repeat Customer</v>
      </c>
    </row>
    <row r="1651" spans="1:14">
      <c r="A1651" t="s">
        <v>4946</v>
      </c>
      <c r="B1651" s="1">
        <v>45419</v>
      </c>
      <c r="C1651" t="s">
        <v>1968</v>
      </c>
      <c r="D1651" t="s">
        <v>292</v>
      </c>
      <c r="E1651" t="s">
        <v>21</v>
      </c>
      <c r="F1651" t="s">
        <v>28</v>
      </c>
      <c r="G1651" t="s">
        <v>29</v>
      </c>
      <c r="H1651">
        <v>2</v>
      </c>
      <c r="I1651" s="3">
        <v>32.380000000000003</v>
      </c>
      <c r="J1651" t="s">
        <v>16</v>
      </c>
      <c r="K1651" t="s">
        <v>40</v>
      </c>
      <c r="L1651" s="4">
        <f>Table4[[#This Row],[quantity]]*Table4[[#This Row],[unit_price]]</f>
        <v>64.760000000000005</v>
      </c>
      <c r="M1651">
        <f>COUNTIFS($C$2:$C$3934,Table4[[#This Row],[customer_id]])</f>
        <v>6</v>
      </c>
      <c r="N1651" t="str">
        <f>IF(Table4[[#This Row],[customer_order_count]]=1,"New Customer","Repeat Customer")</f>
        <v>Repeat Customer</v>
      </c>
    </row>
    <row r="1652" spans="1:14">
      <c r="A1652" t="s">
        <v>4587</v>
      </c>
      <c r="B1652" s="1">
        <v>45206</v>
      </c>
      <c r="C1652" t="s">
        <v>368</v>
      </c>
      <c r="D1652" t="s">
        <v>369</v>
      </c>
      <c r="E1652" t="s">
        <v>21</v>
      </c>
      <c r="F1652" t="s">
        <v>66</v>
      </c>
      <c r="G1652" t="s">
        <v>238</v>
      </c>
      <c r="H1652">
        <v>1</v>
      </c>
      <c r="I1652" s="3">
        <v>32.4</v>
      </c>
      <c r="J1652" t="s">
        <v>85</v>
      </c>
      <c r="K1652" t="s">
        <v>35</v>
      </c>
      <c r="L1652" s="4">
        <f>Table4[[#This Row],[quantity]]*Table4[[#This Row],[unit_price]]</f>
        <v>32.4</v>
      </c>
      <c r="M1652">
        <f>COUNTIFS($C$2:$C$3934,Table4[[#This Row],[customer_id]])</f>
        <v>7</v>
      </c>
      <c r="N1652" t="str">
        <f>IF(Table4[[#This Row],[customer_order_count]]=1,"New Customer","Repeat Customer")</f>
        <v>Repeat Customer</v>
      </c>
    </row>
    <row r="1653" spans="1:14">
      <c r="A1653" t="s">
        <v>1638</v>
      </c>
      <c r="B1653" s="1">
        <v>45146</v>
      </c>
      <c r="C1653" t="s">
        <v>1639</v>
      </c>
      <c r="D1653" t="s">
        <v>324</v>
      </c>
      <c r="E1653" t="s">
        <v>21</v>
      </c>
      <c r="F1653" t="s">
        <v>66</v>
      </c>
      <c r="G1653" t="s">
        <v>128</v>
      </c>
      <c r="H1653">
        <v>1</v>
      </c>
      <c r="I1653" s="3">
        <v>32.4</v>
      </c>
      <c r="J1653" t="s">
        <v>16</v>
      </c>
      <c r="K1653" t="s">
        <v>30</v>
      </c>
      <c r="L1653" s="4">
        <f>Table4[[#This Row],[quantity]]*Table4[[#This Row],[unit_price]]</f>
        <v>32.4</v>
      </c>
      <c r="M1653">
        <f>COUNTIFS($C$2:$C$3934,Table4[[#This Row],[customer_id]])</f>
        <v>5</v>
      </c>
      <c r="N1653" t="str">
        <f>IF(Table4[[#This Row],[customer_order_count]]=1,"New Customer","Repeat Customer")</f>
        <v>Repeat Customer</v>
      </c>
    </row>
    <row r="1654" spans="1:14">
      <c r="A1654" t="s">
        <v>2725</v>
      </c>
      <c r="B1654" s="1">
        <v>45403</v>
      </c>
      <c r="C1654" t="s">
        <v>2726</v>
      </c>
      <c r="D1654" t="s">
        <v>1578</v>
      </c>
      <c r="E1654" t="s">
        <v>21</v>
      </c>
      <c r="F1654" t="s">
        <v>70</v>
      </c>
      <c r="G1654" t="s">
        <v>337</v>
      </c>
      <c r="H1654">
        <v>2</v>
      </c>
      <c r="I1654" s="3">
        <v>32.4</v>
      </c>
      <c r="J1654" t="s">
        <v>16</v>
      </c>
      <c r="K1654" t="s">
        <v>17</v>
      </c>
      <c r="L1654" s="4">
        <f>Table4[[#This Row],[quantity]]*Table4[[#This Row],[unit_price]]</f>
        <v>64.8</v>
      </c>
      <c r="M1654">
        <f>COUNTIFS($C$2:$C$3934,Table4[[#This Row],[customer_id]])</f>
        <v>5</v>
      </c>
      <c r="N1654" t="str">
        <f>IF(Table4[[#This Row],[customer_order_count]]=1,"New Customer","Repeat Customer")</f>
        <v>Repeat Customer</v>
      </c>
    </row>
    <row r="1655" spans="1:14">
      <c r="A1655" t="s">
        <v>2256</v>
      </c>
      <c r="B1655" s="1">
        <v>45332</v>
      </c>
      <c r="C1655" t="s">
        <v>2229</v>
      </c>
      <c r="D1655" t="s">
        <v>1211</v>
      </c>
      <c r="E1655" t="s">
        <v>21</v>
      </c>
      <c r="F1655" t="s">
        <v>14</v>
      </c>
      <c r="G1655" t="s">
        <v>62</v>
      </c>
      <c r="H1655">
        <v>2</v>
      </c>
      <c r="I1655" s="3">
        <v>32.43</v>
      </c>
      <c r="J1655" t="s">
        <v>16</v>
      </c>
      <c r="K1655" t="s">
        <v>35</v>
      </c>
      <c r="L1655" s="4">
        <f>Table4[[#This Row],[quantity]]*Table4[[#This Row],[unit_price]]</f>
        <v>64.86</v>
      </c>
      <c r="M1655">
        <f>COUNTIFS($C$2:$C$3934,Table4[[#This Row],[customer_id]])</f>
        <v>5</v>
      </c>
      <c r="N1655" t="str">
        <f>IF(Table4[[#This Row],[customer_order_count]]=1,"New Customer","Repeat Customer")</f>
        <v>Repeat Customer</v>
      </c>
    </row>
    <row r="1656" spans="1:14">
      <c r="A1656" t="s">
        <v>3042</v>
      </c>
      <c r="B1656" s="1">
        <v>44977</v>
      </c>
      <c r="C1656" t="s">
        <v>649</v>
      </c>
      <c r="D1656" t="s">
        <v>650</v>
      </c>
      <c r="E1656" t="s">
        <v>21</v>
      </c>
      <c r="F1656" t="s">
        <v>66</v>
      </c>
      <c r="G1656" t="s">
        <v>217</v>
      </c>
      <c r="H1656">
        <v>2</v>
      </c>
      <c r="I1656" s="3">
        <v>32.43</v>
      </c>
      <c r="J1656" t="s">
        <v>255</v>
      </c>
      <c r="K1656" t="s">
        <v>40</v>
      </c>
      <c r="L1656" s="4">
        <f>Table4[[#This Row],[quantity]]*Table4[[#This Row],[unit_price]]</f>
        <v>64.86</v>
      </c>
      <c r="M1656">
        <f>COUNTIFS($C$2:$C$3934,Table4[[#This Row],[customer_id]])</f>
        <v>7</v>
      </c>
      <c r="N1656" t="str">
        <f>IF(Table4[[#This Row],[customer_order_count]]=1,"New Customer","Repeat Customer")</f>
        <v>Repeat Customer</v>
      </c>
    </row>
    <row r="1657" spans="1:14">
      <c r="A1657" t="s">
        <v>4734</v>
      </c>
      <c r="B1657" s="1">
        <v>45420</v>
      </c>
      <c r="C1657" t="s">
        <v>649</v>
      </c>
      <c r="D1657" t="s">
        <v>650</v>
      </c>
      <c r="E1657" t="s">
        <v>21</v>
      </c>
      <c r="F1657" t="s">
        <v>28</v>
      </c>
      <c r="G1657" t="s">
        <v>139</v>
      </c>
      <c r="H1657">
        <v>3</v>
      </c>
      <c r="I1657" s="3">
        <v>32.43</v>
      </c>
      <c r="J1657" t="s">
        <v>16</v>
      </c>
      <c r="K1657" t="s">
        <v>40</v>
      </c>
      <c r="L1657" s="4">
        <f>Table4[[#This Row],[quantity]]*Table4[[#This Row],[unit_price]]</f>
        <v>97.289999999999992</v>
      </c>
      <c r="M1657">
        <f>COUNTIFS($C$2:$C$3934,Table4[[#This Row],[customer_id]])</f>
        <v>7</v>
      </c>
      <c r="N1657" t="str">
        <f>IF(Table4[[#This Row],[customer_order_count]]=1,"New Customer","Repeat Customer")</f>
        <v>Repeat Customer</v>
      </c>
    </row>
    <row r="1658" spans="1:14">
      <c r="A1658" t="s">
        <v>1356</v>
      </c>
      <c r="B1658" s="1">
        <v>45213</v>
      </c>
      <c r="C1658" t="s">
        <v>653</v>
      </c>
      <c r="D1658" t="s">
        <v>117</v>
      </c>
      <c r="E1658" t="s">
        <v>21</v>
      </c>
      <c r="F1658" t="s">
        <v>28</v>
      </c>
      <c r="G1658" t="s">
        <v>114</v>
      </c>
      <c r="H1658">
        <v>1</v>
      </c>
      <c r="I1658" s="3">
        <v>32.44</v>
      </c>
      <c r="J1658" t="s">
        <v>16</v>
      </c>
      <c r="K1658" t="s">
        <v>35</v>
      </c>
      <c r="L1658" s="4">
        <f>Table4[[#This Row],[quantity]]*Table4[[#This Row],[unit_price]]</f>
        <v>32.44</v>
      </c>
      <c r="M1658">
        <f>COUNTIFS($C$2:$C$3934,Table4[[#This Row],[customer_id]])</f>
        <v>6</v>
      </c>
      <c r="N1658" t="str">
        <f>IF(Table4[[#This Row],[customer_order_count]]=1,"New Customer","Repeat Customer")</f>
        <v>Repeat Customer</v>
      </c>
    </row>
    <row r="1659" spans="1:14">
      <c r="A1659" t="s">
        <v>5004</v>
      </c>
      <c r="B1659" s="1">
        <v>45020</v>
      </c>
      <c r="C1659" t="s">
        <v>4162</v>
      </c>
      <c r="D1659" t="s">
        <v>307</v>
      </c>
      <c r="E1659" t="s">
        <v>21</v>
      </c>
      <c r="F1659" t="s">
        <v>56</v>
      </c>
      <c r="G1659" t="s">
        <v>75</v>
      </c>
      <c r="H1659">
        <v>1</v>
      </c>
      <c r="I1659" s="3">
        <v>32.450000000000003</v>
      </c>
      <c r="J1659" t="s">
        <v>16</v>
      </c>
      <c r="K1659" s="2" t="s">
        <v>5256</v>
      </c>
      <c r="L1659" s="4">
        <f>Table4[[#This Row],[quantity]]*Table4[[#This Row],[unit_price]]</f>
        <v>32.450000000000003</v>
      </c>
      <c r="M1659">
        <f>COUNTIFS($C$2:$C$3934,Table4[[#This Row],[customer_id]])</f>
        <v>4</v>
      </c>
      <c r="N1659" t="str">
        <f>IF(Table4[[#This Row],[customer_order_count]]=1,"New Customer","Repeat Customer")</f>
        <v>Repeat Customer</v>
      </c>
    </row>
    <row r="1660" spans="1:14">
      <c r="A1660" t="s">
        <v>3625</v>
      </c>
      <c r="B1660" s="1">
        <v>45384</v>
      </c>
      <c r="C1660" t="s">
        <v>243</v>
      </c>
      <c r="D1660" t="s">
        <v>244</v>
      </c>
      <c r="E1660" t="s">
        <v>21</v>
      </c>
      <c r="F1660" t="s">
        <v>28</v>
      </c>
      <c r="G1660" t="s">
        <v>84</v>
      </c>
      <c r="H1660">
        <v>1</v>
      </c>
      <c r="I1660" s="3">
        <v>32.46</v>
      </c>
      <c r="J1660" t="s">
        <v>16</v>
      </c>
      <c r="K1660" s="5" t="s">
        <v>17</v>
      </c>
      <c r="L1660" s="4">
        <f>Table4[[#This Row],[quantity]]*Table4[[#This Row],[unit_price]]</f>
        <v>32.46</v>
      </c>
      <c r="M1660">
        <f>COUNTIFS($C$2:$C$3934,Table4[[#This Row],[customer_id]])</f>
        <v>8</v>
      </c>
      <c r="N1660" t="str">
        <f>IF(Table4[[#This Row],[customer_order_count]]=1,"New Customer","Repeat Customer")</f>
        <v>Repeat Customer</v>
      </c>
    </row>
    <row r="1661" spans="1:14">
      <c r="A1661" t="s">
        <v>1715</v>
      </c>
      <c r="B1661" s="1">
        <v>45523</v>
      </c>
      <c r="C1661" t="s">
        <v>471</v>
      </c>
      <c r="D1661" t="s">
        <v>472</v>
      </c>
      <c r="E1661" t="s">
        <v>21</v>
      </c>
      <c r="F1661" t="s">
        <v>28</v>
      </c>
      <c r="G1661" t="s">
        <v>45</v>
      </c>
      <c r="H1661">
        <v>1</v>
      </c>
      <c r="I1661" s="3">
        <v>32.479999999999997</v>
      </c>
      <c r="J1661" t="s">
        <v>16</v>
      </c>
      <c r="K1661" t="s">
        <v>30</v>
      </c>
      <c r="L1661" s="4">
        <f>Table4[[#This Row],[quantity]]*Table4[[#This Row],[unit_price]]</f>
        <v>32.479999999999997</v>
      </c>
      <c r="M1661">
        <f>COUNTIFS($C$2:$C$3934,Table4[[#This Row],[customer_id]])</f>
        <v>4</v>
      </c>
      <c r="N1661" t="str">
        <f>IF(Table4[[#This Row],[customer_order_count]]=1,"New Customer","Repeat Customer")</f>
        <v>Repeat Customer</v>
      </c>
    </row>
    <row r="1662" spans="1:14">
      <c r="A1662" t="s">
        <v>4429</v>
      </c>
      <c r="B1662" s="1">
        <v>45549</v>
      </c>
      <c r="C1662" t="s">
        <v>2297</v>
      </c>
      <c r="D1662" t="s">
        <v>560</v>
      </c>
      <c r="E1662" t="s">
        <v>21</v>
      </c>
      <c r="F1662" t="s">
        <v>14</v>
      </c>
      <c r="G1662" t="s">
        <v>34</v>
      </c>
      <c r="H1662">
        <v>2</v>
      </c>
      <c r="I1662" s="3">
        <v>32.49</v>
      </c>
      <c r="J1662" t="s">
        <v>16</v>
      </c>
      <c r="K1662" t="s">
        <v>30</v>
      </c>
      <c r="L1662" s="4">
        <f>Table4[[#This Row],[quantity]]*Table4[[#This Row],[unit_price]]</f>
        <v>64.98</v>
      </c>
      <c r="M1662">
        <f>COUNTIFS($C$2:$C$3934,Table4[[#This Row],[customer_id]])</f>
        <v>5</v>
      </c>
      <c r="N1662" t="str">
        <f>IF(Table4[[#This Row],[customer_order_count]]=1,"New Customer","Repeat Customer")</f>
        <v>Repeat Customer</v>
      </c>
    </row>
    <row r="1663" spans="1:14">
      <c r="A1663" t="s">
        <v>1854</v>
      </c>
      <c r="B1663" s="1">
        <v>45266</v>
      </c>
      <c r="C1663" t="s">
        <v>804</v>
      </c>
      <c r="D1663" t="s">
        <v>805</v>
      </c>
      <c r="E1663" t="s">
        <v>21</v>
      </c>
      <c r="F1663" t="s">
        <v>28</v>
      </c>
      <c r="G1663" t="s">
        <v>114</v>
      </c>
      <c r="H1663">
        <v>1</v>
      </c>
      <c r="I1663" s="3">
        <v>32.51</v>
      </c>
      <c r="J1663" t="s">
        <v>16</v>
      </c>
      <c r="K1663" s="2" t="s">
        <v>5256</v>
      </c>
      <c r="L1663" s="4">
        <f>Table4[[#This Row],[quantity]]*Table4[[#This Row],[unit_price]]</f>
        <v>32.51</v>
      </c>
      <c r="M1663">
        <f>COUNTIFS($C$2:$C$3934,Table4[[#This Row],[customer_id]])</f>
        <v>6</v>
      </c>
      <c r="N1663" t="str">
        <f>IF(Table4[[#This Row],[customer_order_count]]=1,"New Customer","Repeat Customer")</f>
        <v>Repeat Customer</v>
      </c>
    </row>
    <row r="1664" spans="1:14">
      <c r="A1664" t="s">
        <v>4414</v>
      </c>
      <c r="B1664" s="1">
        <v>45589</v>
      </c>
      <c r="C1664" t="s">
        <v>2301</v>
      </c>
      <c r="D1664" s="2" t="s">
        <v>5257</v>
      </c>
      <c r="E1664" t="s">
        <v>21</v>
      </c>
      <c r="F1664" t="s">
        <v>14</v>
      </c>
      <c r="G1664" t="s">
        <v>62</v>
      </c>
      <c r="H1664">
        <v>1</v>
      </c>
      <c r="I1664" s="3">
        <v>32.54</v>
      </c>
      <c r="J1664" t="s">
        <v>16</v>
      </c>
      <c r="K1664" s="5" t="s">
        <v>40</v>
      </c>
      <c r="L1664" s="4">
        <f>Table4[[#This Row],[quantity]]*Table4[[#This Row],[unit_price]]</f>
        <v>32.54</v>
      </c>
      <c r="M1664">
        <f>COUNTIFS($C$2:$C$3934,Table4[[#This Row],[customer_id]])</f>
        <v>6</v>
      </c>
      <c r="N1664" t="str">
        <f>IF(Table4[[#This Row],[customer_order_count]]=1,"New Customer","Repeat Customer")</f>
        <v>Repeat Customer</v>
      </c>
    </row>
    <row r="1665" spans="1:14">
      <c r="A1665" t="s">
        <v>2721</v>
      </c>
      <c r="B1665" s="1">
        <v>45148</v>
      </c>
      <c r="C1665" t="s">
        <v>1113</v>
      </c>
      <c r="D1665" s="5" t="s">
        <v>1114</v>
      </c>
      <c r="E1665" t="s">
        <v>21</v>
      </c>
      <c r="F1665" t="s">
        <v>22</v>
      </c>
      <c r="G1665" t="s">
        <v>264</v>
      </c>
      <c r="H1665">
        <v>1</v>
      </c>
      <c r="I1665" s="3">
        <v>32.549999999999997</v>
      </c>
      <c r="J1665" t="s">
        <v>16</v>
      </c>
      <c r="K1665" t="s">
        <v>30</v>
      </c>
      <c r="L1665" s="4">
        <f>Table4[[#This Row],[quantity]]*Table4[[#This Row],[unit_price]]</f>
        <v>32.549999999999997</v>
      </c>
      <c r="M1665">
        <f>COUNTIFS($C$2:$C$3934,Table4[[#This Row],[customer_id]])</f>
        <v>7</v>
      </c>
      <c r="N1665" t="str">
        <f>IF(Table4[[#This Row],[customer_order_count]]=1,"New Customer","Repeat Customer")</f>
        <v>Repeat Customer</v>
      </c>
    </row>
    <row r="1666" spans="1:14">
      <c r="A1666" t="s">
        <v>4666</v>
      </c>
      <c r="B1666" s="1">
        <v>45332</v>
      </c>
      <c r="C1666" t="s">
        <v>2952</v>
      </c>
      <c r="D1666" t="s">
        <v>2953</v>
      </c>
      <c r="E1666" t="s">
        <v>21</v>
      </c>
      <c r="F1666" t="s">
        <v>66</v>
      </c>
      <c r="G1666" t="s">
        <v>217</v>
      </c>
      <c r="H1666">
        <v>1</v>
      </c>
      <c r="I1666" s="3">
        <v>32.590000000000003</v>
      </c>
      <c r="J1666" t="s">
        <v>16</v>
      </c>
      <c r="K1666" t="s">
        <v>30</v>
      </c>
      <c r="L1666" s="4">
        <f>Table4[[#This Row],[quantity]]*Table4[[#This Row],[unit_price]]</f>
        <v>32.590000000000003</v>
      </c>
      <c r="M1666">
        <f>COUNTIFS($C$2:$C$3934,Table4[[#This Row],[customer_id]])</f>
        <v>4</v>
      </c>
      <c r="N1666" t="str">
        <f>IF(Table4[[#This Row],[customer_order_count]]=1,"New Customer","Repeat Customer")</f>
        <v>Repeat Customer</v>
      </c>
    </row>
    <row r="1667" spans="1:14">
      <c r="A1667" t="s">
        <v>1718</v>
      </c>
      <c r="B1667" s="1">
        <v>44946</v>
      </c>
      <c r="C1667" t="s">
        <v>1257</v>
      </c>
      <c r="D1667" t="s">
        <v>917</v>
      </c>
      <c r="E1667" t="s">
        <v>21</v>
      </c>
      <c r="F1667" t="s">
        <v>28</v>
      </c>
      <c r="G1667" t="s">
        <v>114</v>
      </c>
      <c r="H1667">
        <v>2</v>
      </c>
      <c r="I1667" s="3">
        <v>32.6</v>
      </c>
      <c r="J1667" t="s">
        <v>16</v>
      </c>
      <c r="K1667" t="s">
        <v>35</v>
      </c>
      <c r="L1667" s="4">
        <f>Table4[[#This Row],[quantity]]*Table4[[#This Row],[unit_price]]</f>
        <v>65.2</v>
      </c>
      <c r="M1667">
        <f>COUNTIFS($C$2:$C$3934,Table4[[#This Row],[customer_id]])</f>
        <v>6</v>
      </c>
      <c r="N1667" t="str">
        <f>IF(Table4[[#This Row],[customer_order_count]]=1,"New Customer","Repeat Customer")</f>
        <v>Repeat Customer</v>
      </c>
    </row>
    <row r="1668" spans="1:14">
      <c r="A1668" t="s">
        <v>1358</v>
      </c>
      <c r="B1668" s="1">
        <v>45509</v>
      </c>
      <c r="C1668" t="s">
        <v>1166</v>
      </c>
      <c r="D1668" t="s">
        <v>292</v>
      </c>
      <c r="E1668" t="s">
        <v>21</v>
      </c>
      <c r="F1668" t="s">
        <v>66</v>
      </c>
      <c r="G1668" t="s">
        <v>49</v>
      </c>
      <c r="H1668">
        <v>3</v>
      </c>
      <c r="I1668" s="3">
        <v>32.6</v>
      </c>
      <c r="J1668" t="s">
        <v>16</v>
      </c>
      <c r="K1668" t="s">
        <v>35</v>
      </c>
      <c r="L1668" s="4">
        <f>Table4[[#This Row],[quantity]]*Table4[[#This Row],[unit_price]]</f>
        <v>97.800000000000011</v>
      </c>
      <c r="M1668">
        <f>COUNTIFS($C$2:$C$3934,Table4[[#This Row],[customer_id]])</f>
        <v>6</v>
      </c>
      <c r="N1668" t="str">
        <f>IF(Table4[[#This Row],[customer_order_count]]=1,"New Customer","Repeat Customer")</f>
        <v>Repeat Customer</v>
      </c>
    </row>
    <row r="1669" spans="1:14">
      <c r="A1669" t="s">
        <v>3001</v>
      </c>
      <c r="B1669" s="1">
        <v>44993</v>
      </c>
      <c r="C1669" t="s">
        <v>2072</v>
      </c>
      <c r="D1669" t="s">
        <v>672</v>
      </c>
      <c r="E1669" t="s">
        <v>61</v>
      </c>
      <c r="F1669" t="s">
        <v>28</v>
      </c>
      <c r="G1669" t="s">
        <v>114</v>
      </c>
      <c r="H1669">
        <v>3</v>
      </c>
      <c r="I1669" s="3">
        <v>32.6</v>
      </c>
      <c r="J1669" t="s">
        <v>16</v>
      </c>
      <c r="K1669" t="s">
        <v>35</v>
      </c>
      <c r="L1669" s="4">
        <f>Table4[[#This Row],[quantity]]*Table4[[#This Row],[unit_price]]</f>
        <v>97.800000000000011</v>
      </c>
      <c r="M1669">
        <f>COUNTIFS($C$2:$C$3934,Table4[[#This Row],[customer_id]])</f>
        <v>3</v>
      </c>
      <c r="N1669" t="str">
        <f>IF(Table4[[#This Row],[customer_order_count]]=1,"New Customer","Repeat Customer")</f>
        <v>Repeat Customer</v>
      </c>
    </row>
    <row r="1670" spans="1:14">
      <c r="A1670" t="s">
        <v>3280</v>
      </c>
      <c r="B1670" s="1">
        <v>45557</v>
      </c>
      <c r="C1670" t="s">
        <v>1679</v>
      </c>
      <c r="D1670" t="s">
        <v>65</v>
      </c>
      <c r="E1670" t="s">
        <v>21</v>
      </c>
      <c r="F1670" t="s">
        <v>66</v>
      </c>
      <c r="G1670" t="s">
        <v>67</v>
      </c>
      <c r="H1670">
        <v>1</v>
      </c>
      <c r="I1670" s="3">
        <v>32.61</v>
      </c>
      <c r="J1670" t="s">
        <v>255</v>
      </c>
      <c r="K1670" t="s">
        <v>35</v>
      </c>
      <c r="L1670" s="4">
        <f>Table4[[#This Row],[quantity]]*Table4[[#This Row],[unit_price]]</f>
        <v>32.61</v>
      </c>
      <c r="M1670">
        <f>COUNTIFS($C$2:$C$3934,Table4[[#This Row],[customer_id]])</f>
        <v>8</v>
      </c>
      <c r="N1670" t="str">
        <f>IF(Table4[[#This Row],[customer_order_count]]=1,"New Customer","Repeat Customer")</f>
        <v>Repeat Customer</v>
      </c>
    </row>
    <row r="1671" spans="1:14">
      <c r="A1671" t="s">
        <v>4932</v>
      </c>
      <c r="B1671" s="1">
        <v>45216</v>
      </c>
      <c r="C1671" t="s">
        <v>1342</v>
      </c>
      <c r="D1671" t="s">
        <v>820</v>
      </c>
      <c r="E1671" t="s">
        <v>21</v>
      </c>
      <c r="F1671" t="s">
        <v>28</v>
      </c>
      <c r="G1671" t="s">
        <v>139</v>
      </c>
      <c r="H1671">
        <v>1</v>
      </c>
      <c r="I1671" s="3">
        <v>32.630000000000003</v>
      </c>
      <c r="J1671" t="s">
        <v>16</v>
      </c>
      <c r="K1671" t="s">
        <v>35</v>
      </c>
      <c r="L1671" s="4">
        <f>Table4[[#This Row],[quantity]]*Table4[[#This Row],[unit_price]]</f>
        <v>32.630000000000003</v>
      </c>
      <c r="M1671">
        <f>COUNTIFS($C$2:$C$3934,Table4[[#This Row],[customer_id]])</f>
        <v>5</v>
      </c>
      <c r="N1671" t="str">
        <f>IF(Table4[[#This Row],[customer_order_count]]=1,"New Customer","Repeat Customer")</f>
        <v>Repeat Customer</v>
      </c>
    </row>
    <row r="1672" spans="1:14">
      <c r="A1672" t="s">
        <v>5145</v>
      </c>
      <c r="B1672" s="1">
        <v>45508</v>
      </c>
      <c r="C1672" t="s">
        <v>59</v>
      </c>
      <c r="D1672" t="s">
        <v>60</v>
      </c>
      <c r="E1672" t="s">
        <v>21</v>
      </c>
      <c r="F1672" t="s">
        <v>28</v>
      </c>
      <c r="G1672" t="s">
        <v>114</v>
      </c>
      <c r="H1672">
        <v>2</v>
      </c>
      <c r="I1672" s="3">
        <v>32.630000000000003</v>
      </c>
      <c r="J1672" t="s">
        <v>16</v>
      </c>
      <c r="K1672" t="s">
        <v>30</v>
      </c>
      <c r="L1672" s="4">
        <f>Table4[[#This Row],[quantity]]*Table4[[#This Row],[unit_price]]</f>
        <v>65.260000000000005</v>
      </c>
      <c r="M1672">
        <f>COUNTIFS($C$2:$C$3934,Table4[[#This Row],[customer_id]])</f>
        <v>3</v>
      </c>
      <c r="N1672" t="str">
        <f>IF(Table4[[#This Row],[customer_order_count]]=1,"New Customer","Repeat Customer")</f>
        <v>Repeat Customer</v>
      </c>
    </row>
    <row r="1673" spans="1:14">
      <c r="A1673" t="s">
        <v>4240</v>
      </c>
      <c r="B1673" s="1">
        <v>45452</v>
      </c>
      <c r="C1673" t="s">
        <v>481</v>
      </c>
      <c r="D1673" t="s">
        <v>247</v>
      </c>
      <c r="E1673" t="s">
        <v>21</v>
      </c>
      <c r="F1673" t="s">
        <v>28</v>
      </c>
      <c r="G1673" t="s">
        <v>139</v>
      </c>
      <c r="H1673">
        <v>1</v>
      </c>
      <c r="I1673" s="3">
        <v>32.64</v>
      </c>
      <c r="J1673" t="s">
        <v>16</v>
      </c>
      <c r="K1673" t="s">
        <v>40</v>
      </c>
      <c r="L1673" s="4">
        <f>Table4[[#This Row],[quantity]]*Table4[[#This Row],[unit_price]]</f>
        <v>32.64</v>
      </c>
      <c r="M1673">
        <f>COUNTIFS($C$2:$C$3934,Table4[[#This Row],[customer_id]])</f>
        <v>7</v>
      </c>
      <c r="N1673" t="str">
        <f>IF(Table4[[#This Row],[customer_order_count]]=1,"New Customer","Repeat Customer")</f>
        <v>Repeat Customer</v>
      </c>
    </row>
    <row r="1674" spans="1:14">
      <c r="A1674" t="s">
        <v>2323</v>
      </c>
      <c r="B1674" s="1">
        <v>45114</v>
      </c>
      <c r="C1674" t="s">
        <v>1394</v>
      </c>
      <c r="D1674" t="s">
        <v>609</v>
      </c>
      <c r="E1674" t="s">
        <v>21</v>
      </c>
      <c r="F1674" t="s">
        <v>22</v>
      </c>
      <c r="G1674" t="s">
        <v>23</v>
      </c>
      <c r="H1674">
        <v>1</v>
      </c>
      <c r="I1674" s="3">
        <v>32.659999999999997</v>
      </c>
      <c r="J1674" t="s">
        <v>16</v>
      </c>
      <c r="K1674" t="s">
        <v>30</v>
      </c>
      <c r="L1674" s="4">
        <f>Table4[[#This Row],[quantity]]*Table4[[#This Row],[unit_price]]</f>
        <v>32.659999999999997</v>
      </c>
      <c r="M1674">
        <f>COUNTIFS($C$2:$C$3934,Table4[[#This Row],[customer_id]])</f>
        <v>5</v>
      </c>
      <c r="N1674" t="str">
        <f>IF(Table4[[#This Row],[customer_order_count]]=1,"New Customer","Repeat Customer")</f>
        <v>Repeat Customer</v>
      </c>
    </row>
    <row r="1675" spans="1:14">
      <c r="A1675" t="s">
        <v>2386</v>
      </c>
      <c r="B1675" s="1">
        <v>45026</v>
      </c>
      <c r="C1675" t="s">
        <v>780</v>
      </c>
      <c r="D1675" t="s">
        <v>237</v>
      </c>
      <c r="E1675" t="s">
        <v>44</v>
      </c>
      <c r="F1675" t="s">
        <v>66</v>
      </c>
      <c r="G1675" t="s">
        <v>49</v>
      </c>
      <c r="H1675">
        <v>1</v>
      </c>
      <c r="I1675" s="3">
        <v>32.68</v>
      </c>
      <c r="J1675" t="s">
        <v>24</v>
      </c>
      <c r="K1675" s="2" t="s">
        <v>5256</v>
      </c>
      <c r="L1675" s="4">
        <f>Table4[[#This Row],[quantity]]*Table4[[#This Row],[unit_price]]</f>
        <v>32.68</v>
      </c>
      <c r="M1675">
        <f>COUNTIFS($C$2:$C$3934,Table4[[#This Row],[customer_id]])</f>
        <v>6</v>
      </c>
      <c r="N1675" t="str">
        <f>IF(Table4[[#This Row],[customer_order_count]]=1,"New Customer","Repeat Customer")</f>
        <v>Repeat Customer</v>
      </c>
    </row>
    <row r="1676" spans="1:14">
      <c r="A1676" t="s">
        <v>5152</v>
      </c>
      <c r="B1676" s="1">
        <v>45193</v>
      </c>
      <c r="C1676" t="s">
        <v>1710</v>
      </c>
      <c r="D1676" t="s">
        <v>396</v>
      </c>
      <c r="E1676" t="s">
        <v>21</v>
      </c>
      <c r="F1676" t="s">
        <v>22</v>
      </c>
      <c r="G1676" t="s">
        <v>135</v>
      </c>
      <c r="H1676">
        <v>1</v>
      </c>
      <c r="I1676" s="3">
        <v>32.700000000000003</v>
      </c>
      <c r="J1676" t="s">
        <v>16</v>
      </c>
      <c r="K1676" s="5" t="s">
        <v>30</v>
      </c>
      <c r="L1676" s="4">
        <f>Table4[[#This Row],[quantity]]*Table4[[#This Row],[unit_price]]</f>
        <v>32.700000000000003</v>
      </c>
      <c r="M1676">
        <f>COUNTIFS($C$2:$C$3934,Table4[[#This Row],[customer_id]])</f>
        <v>10</v>
      </c>
      <c r="N1676" t="str">
        <f>IF(Table4[[#This Row],[customer_order_count]]=1,"New Customer","Repeat Customer")</f>
        <v>Repeat Customer</v>
      </c>
    </row>
    <row r="1677" spans="1:14">
      <c r="A1677" t="s">
        <v>3759</v>
      </c>
      <c r="B1677" s="1">
        <v>45381</v>
      </c>
      <c r="C1677" t="s">
        <v>731</v>
      </c>
      <c r="D1677" t="s">
        <v>1804</v>
      </c>
      <c r="E1677" t="s">
        <v>21</v>
      </c>
      <c r="F1677" t="s">
        <v>56</v>
      </c>
      <c r="G1677" t="s">
        <v>254</v>
      </c>
      <c r="H1677">
        <v>1</v>
      </c>
      <c r="I1677" s="3">
        <v>32.729999999999997</v>
      </c>
      <c r="J1677" t="s">
        <v>16</v>
      </c>
      <c r="K1677" t="s">
        <v>40</v>
      </c>
      <c r="L1677" s="4">
        <f>Table4[[#This Row],[quantity]]*Table4[[#This Row],[unit_price]]</f>
        <v>32.729999999999997</v>
      </c>
      <c r="M1677">
        <f>COUNTIFS($C$2:$C$3934,Table4[[#This Row],[customer_id]])</f>
        <v>5</v>
      </c>
      <c r="N1677" t="str">
        <f>IF(Table4[[#This Row],[customer_order_count]]=1,"New Customer","Repeat Customer")</f>
        <v>Repeat Customer</v>
      </c>
    </row>
    <row r="1678" spans="1:14">
      <c r="A1678" t="s">
        <v>3191</v>
      </c>
      <c r="B1678" s="1">
        <v>45432</v>
      </c>
      <c r="C1678" t="s">
        <v>3192</v>
      </c>
      <c r="D1678" t="s">
        <v>959</v>
      </c>
      <c r="E1678" t="s">
        <v>21</v>
      </c>
      <c r="F1678" t="s">
        <v>28</v>
      </c>
      <c r="G1678" t="s">
        <v>29</v>
      </c>
      <c r="H1678">
        <v>2</v>
      </c>
      <c r="I1678" s="3">
        <v>32.729999999999997</v>
      </c>
      <c r="J1678" t="s">
        <v>16</v>
      </c>
      <c r="K1678" t="s">
        <v>35</v>
      </c>
      <c r="L1678" s="4">
        <f>Table4[[#This Row],[quantity]]*Table4[[#This Row],[unit_price]]</f>
        <v>65.459999999999994</v>
      </c>
      <c r="M1678">
        <f>COUNTIFS($C$2:$C$3934,Table4[[#This Row],[customer_id]])</f>
        <v>1</v>
      </c>
      <c r="N1678" t="str">
        <f>IF(Table4[[#This Row],[customer_order_count]]=1,"New Customer","Repeat Customer")</f>
        <v>New Customer</v>
      </c>
    </row>
    <row r="1679" spans="1:14">
      <c r="A1679" t="s">
        <v>3843</v>
      </c>
      <c r="B1679" s="1">
        <v>45601</v>
      </c>
      <c r="C1679" t="s">
        <v>3793</v>
      </c>
      <c r="D1679" t="s">
        <v>743</v>
      </c>
      <c r="E1679" t="s">
        <v>44</v>
      </c>
      <c r="F1679" t="s">
        <v>66</v>
      </c>
      <c r="G1679" t="s">
        <v>217</v>
      </c>
      <c r="H1679">
        <v>1</v>
      </c>
      <c r="I1679" s="3">
        <v>32.74</v>
      </c>
      <c r="J1679" t="s">
        <v>24</v>
      </c>
      <c r="K1679" t="s">
        <v>17</v>
      </c>
      <c r="L1679" s="4">
        <f>Table4[[#This Row],[quantity]]*Table4[[#This Row],[unit_price]]</f>
        <v>32.74</v>
      </c>
      <c r="M1679">
        <f>COUNTIFS($C$2:$C$3934,Table4[[#This Row],[customer_id]])</f>
        <v>3</v>
      </c>
      <c r="N1679" t="str">
        <f>IF(Table4[[#This Row],[customer_order_count]]=1,"New Customer","Repeat Customer")</f>
        <v>Repeat Customer</v>
      </c>
    </row>
    <row r="1680" spans="1:14">
      <c r="A1680" t="s">
        <v>4627</v>
      </c>
      <c r="B1680" s="1">
        <v>45593</v>
      </c>
      <c r="C1680" t="s">
        <v>1210</v>
      </c>
      <c r="D1680" t="s">
        <v>1211</v>
      </c>
      <c r="E1680" t="s">
        <v>106</v>
      </c>
      <c r="F1680" t="s">
        <v>14</v>
      </c>
      <c r="G1680" t="s">
        <v>258</v>
      </c>
      <c r="H1680">
        <v>1</v>
      </c>
      <c r="I1680" s="3">
        <v>32.75</v>
      </c>
      <c r="J1680" t="s">
        <v>16</v>
      </c>
      <c r="K1680" t="s">
        <v>40</v>
      </c>
      <c r="L1680" s="4">
        <f>Table4[[#This Row],[quantity]]*Table4[[#This Row],[unit_price]]</f>
        <v>32.75</v>
      </c>
      <c r="M1680">
        <f>COUNTIFS($C$2:$C$3934,Table4[[#This Row],[customer_id]])</f>
        <v>3</v>
      </c>
      <c r="N1680" t="str">
        <f>IF(Table4[[#This Row],[customer_order_count]]=1,"New Customer","Repeat Customer")</f>
        <v>Repeat Customer</v>
      </c>
    </row>
    <row r="1681" spans="1:14">
      <c r="A1681" t="s">
        <v>1581</v>
      </c>
      <c r="B1681" s="1">
        <v>44931</v>
      </c>
      <c r="C1681" t="s">
        <v>1582</v>
      </c>
      <c r="D1681" t="s">
        <v>1583</v>
      </c>
      <c r="E1681" t="s">
        <v>21</v>
      </c>
      <c r="F1681" t="s">
        <v>28</v>
      </c>
      <c r="G1681" t="s">
        <v>84</v>
      </c>
      <c r="H1681">
        <v>2</v>
      </c>
      <c r="I1681" s="3">
        <v>32.75</v>
      </c>
      <c r="J1681" t="s">
        <v>16</v>
      </c>
      <c r="K1681" t="s">
        <v>40</v>
      </c>
      <c r="L1681" s="4">
        <f>Table4[[#This Row],[quantity]]*Table4[[#This Row],[unit_price]]</f>
        <v>65.5</v>
      </c>
      <c r="M1681">
        <f>COUNTIFS($C$2:$C$3934,Table4[[#This Row],[customer_id]])</f>
        <v>3</v>
      </c>
      <c r="N1681" t="str">
        <f>IF(Table4[[#This Row],[customer_order_count]]=1,"New Customer","Repeat Customer")</f>
        <v>Repeat Customer</v>
      </c>
    </row>
    <row r="1682" spans="1:14">
      <c r="A1682" t="s">
        <v>3860</v>
      </c>
      <c r="B1682" s="1">
        <v>45433</v>
      </c>
      <c r="C1682" t="s">
        <v>2239</v>
      </c>
      <c r="D1682" t="s">
        <v>95</v>
      </c>
      <c r="E1682" t="s">
        <v>21</v>
      </c>
      <c r="F1682" t="s">
        <v>28</v>
      </c>
      <c r="G1682" t="s">
        <v>139</v>
      </c>
      <c r="H1682">
        <v>3</v>
      </c>
      <c r="I1682" s="3">
        <v>32.78</v>
      </c>
      <c r="J1682" t="s">
        <v>16</v>
      </c>
      <c r="K1682" t="s">
        <v>17</v>
      </c>
      <c r="L1682" s="4">
        <f>Table4[[#This Row],[quantity]]*Table4[[#This Row],[unit_price]]</f>
        <v>98.34</v>
      </c>
      <c r="M1682">
        <f>COUNTIFS($C$2:$C$3934,Table4[[#This Row],[customer_id]])</f>
        <v>10</v>
      </c>
      <c r="N1682" t="str">
        <f>IF(Table4[[#This Row],[customer_order_count]]=1,"New Customer","Repeat Customer")</f>
        <v>Repeat Customer</v>
      </c>
    </row>
    <row r="1683" spans="1:14">
      <c r="A1683" t="s">
        <v>4896</v>
      </c>
      <c r="B1683" s="1">
        <v>45652</v>
      </c>
      <c r="C1683" t="s">
        <v>814</v>
      </c>
      <c r="D1683" t="s">
        <v>815</v>
      </c>
      <c r="E1683" t="s">
        <v>21</v>
      </c>
      <c r="F1683" t="s">
        <v>66</v>
      </c>
      <c r="G1683" t="s">
        <v>128</v>
      </c>
      <c r="H1683">
        <v>1</v>
      </c>
      <c r="I1683" s="3">
        <v>32.79</v>
      </c>
      <c r="J1683" t="s">
        <v>16</v>
      </c>
      <c r="K1683" t="s">
        <v>40</v>
      </c>
      <c r="L1683" s="4">
        <f>Table4[[#This Row],[quantity]]*Table4[[#This Row],[unit_price]]</f>
        <v>32.79</v>
      </c>
      <c r="M1683">
        <f>COUNTIFS($C$2:$C$3934,Table4[[#This Row],[customer_id]])</f>
        <v>5</v>
      </c>
      <c r="N1683" t="str">
        <f>IF(Table4[[#This Row],[customer_order_count]]=1,"New Customer","Repeat Customer")</f>
        <v>Repeat Customer</v>
      </c>
    </row>
    <row r="1684" spans="1:14">
      <c r="A1684" t="s">
        <v>4957</v>
      </c>
      <c r="B1684" s="1">
        <v>45608</v>
      </c>
      <c r="C1684" t="s">
        <v>4338</v>
      </c>
      <c r="D1684" t="s">
        <v>2594</v>
      </c>
      <c r="E1684" t="s">
        <v>44</v>
      </c>
      <c r="F1684" t="s">
        <v>79</v>
      </c>
      <c r="G1684" t="s">
        <v>230</v>
      </c>
      <c r="H1684">
        <v>1</v>
      </c>
      <c r="I1684" s="3">
        <v>32.799999999999997</v>
      </c>
      <c r="J1684" t="s">
        <v>16</v>
      </c>
      <c r="K1684" t="s">
        <v>35</v>
      </c>
      <c r="L1684" s="4">
        <f>Table4[[#This Row],[quantity]]*Table4[[#This Row],[unit_price]]</f>
        <v>32.799999999999997</v>
      </c>
      <c r="M1684">
        <f>COUNTIFS($C$2:$C$3934,Table4[[#This Row],[customer_id]])</f>
        <v>3</v>
      </c>
      <c r="N1684" t="str">
        <f>IF(Table4[[#This Row],[customer_order_count]]=1,"New Customer","Repeat Customer")</f>
        <v>Repeat Customer</v>
      </c>
    </row>
    <row r="1685" spans="1:14">
      <c r="A1685" t="s">
        <v>1234</v>
      </c>
      <c r="B1685" s="1">
        <v>45646</v>
      </c>
      <c r="C1685" t="s">
        <v>864</v>
      </c>
      <c r="D1685" t="s">
        <v>88</v>
      </c>
      <c r="E1685" t="s">
        <v>61</v>
      </c>
      <c r="F1685" t="s">
        <v>66</v>
      </c>
      <c r="G1685" t="s">
        <v>238</v>
      </c>
      <c r="H1685">
        <v>1</v>
      </c>
      <c r="I1685" s="3">
        <v>32.799999999999997</v>
      </c>
      <c r="J1685" t="s">
        <v>16</v>
      </c>
      <c r="K1685" t="s">
        <v>40</v>
      </c>
      <c r="L1685" s="4">
        <f>Table4[[#This Row],[quantity]]*Table4[[#This Row],[unit_price]]</f>
        <v>32.799999999999997</v>
      </c>
      <c r="M1685">
        <f>COUNTIFS($C$2:$C$3934,Table4[[#This Row],[customer_id]])</f>
        <v>5</v>
      </c>
      <c r="N1685" t="str">
        <f>IF(Table4[[#This Row],[customer_order_count]]=1,"New Customer","Repeat Customer")</f>
        <v>Repeat Customer</v>
      </c>
    </row>
    <row r="1686" spans="1:14">
      <c r="A1686" t="s">
        <v>3094</v>
      </c>
      <c r="B1686" s="1">
        <v>45057</v>
      </c>
      <c r="C1686" t="s">
        <v>711</v>
      </c>
      <c r="D1686" t="s">
        <v>505</v>
      </c>
      <c r="E1686" t="s">
        <v>21</v>
      </c>
      <c r="F1686" t="s">
        <v>14</v>
      </c>
      <c r="G1686" t="s">
        <v>100</v>
      </c>
      <c r="H1686">
        <v>5</v>
      </c>
      <c r="I1686" s="3">
        <v>32.799999999999997</v>
      </c>
      <c r="J1686" t="s">
        <v>16</v>
      </c>
      <c r="K1686" t="s">
        <v>40</v>
      </c>
      <c r="L1686" s="4">
        <f>Table4[[#This Row],[quantity]]*Table4[[#This Row],[unit_price]]</f>
        <v>164</v>
      </c>
      <c r="M1686">
        <f>COUNTIFS($C$2:$C$3934,Table4[[#This Row],[customer_id]])</f>
        <v>8</v>
      </c>
      <c r="N1686" t="str">
        <f>IF(Table4[[#This Row],[customer_order_count]]=1,"New Customer","Repeat Customer")</f>
        <v>Repeat Customer</v>
      </c>
    </row>
    <row r="1687" spans="1:14">
      <c r="A1687" t="s">
        <v>756</v>
      </c>
      <c r="B1687" s="1">
        <v>45583</v>
      </c>
      <c r="C1687" t="s">
        <v>757</v>
      </c>
      <c r="D1687" t="s">
        <v>758</v>
      </c>
      <c r="E1687" t="s">
        <v>21</v>
      </c>
      <c r="F1687" t="s">
        <v>22</v>
      </c>
      <c r="G1687" t="s">
        <v>142</v>
      </c>
      <c r="H1687">
        <v>1</v>
      </c>
      <c r="I1687" s="3">
        <v>32.83</v>
      </c>
      <c r="J1687" t="s">
        <v>16</v>
      </c>
      <c r="K1687" t="s">
        <v>30</v>
      </c>
      <c r="L1687" s="4">
        <f>Table4[[#This Row],[quantity]]*Table4[[#This Row],[unit_price]]</f>
        <v>32.83</v>
      </c>
      <c r="M1687">
        <f>COUNTIFS($C$2:$C$3934,Table4[[#This Row],[customer_id]])</f>
        <v>4</v>
      </c>
      <c r="N1687" t="str">
        <f>IF(Table4[[#This Row],[customer_order_count]]=1,"New Customer","Repeat Customer")</f>
        <v>Repeat Customer</v>
      </c>
    </row>
    <row r="1688" spans="1:14">
      <c r="A1688" t="s">
        <v>3483</v>
      </c>
      <c r="B1688" s="1">
        <v>45144</v>
      </c>
      <c r="C1688" t="s">
        <v>1631</v>
      </c>
      <c r="D1688" t="s">
        <v>403</v>
      </c>
      <c r="E1688" t="s">
        <v>21</v>
      </c>
      <c r="F1688" t="s">
        <v>28</v>
      </c>
      <c r="G1688" t="s">
        <v>45</v>
      </c>
      <c r="H1688">
        <v>1</v>
      </c>
      <c r="I1688" s="3">
        <v>32.85</v>
      </c>
      <c r="J1688" t="s">
        <v>24</v>
      </c>
      <c r="K1688" t="s">
        <v>30</v>
      </c>
      <c r="L1688" s="4">
        <f>Table4[[#This Row],[quantity]]*Table4[[#This Row],[unit_price]]</f>
        <v>32.85</v>
      </c>
      <c r="M1688">
        <f>COUNTIFS($C$2:$C$3934,Table4[[#This Row],[customer_id]])</f>
        <v>7</v>
      </c>
      <c r="N1688" t="str">
        <f>IF(Table4[[#This Row],[customer_order_count]]=1,"New Customer","Repeat Customer")</f>
        <v>Repeat Customer</v>
      </c>
    </row>
    <row r="1689" spans="1:14">
      <c r="A1689" t="s">
        <v>4803</v>
      </c>
      <c r="B1689" s="1">
        <v>45542</v>
      </c>
      <c r="C1689" t="s">
        <v>742</v>
      </c>
      <c r="D1689" t="s">
        <v>743</v>
      </c>
      <c r="E1689" t="s">
        <v>21</v>
      </c>
      <c r="F1689" t="s">
        <v>22</v>
      </c>
      <c r="G1689" t="s">
        <v>162</v>
      </c>
      <c r="H1689">
        <v>1</v>
      </c>
      <c r="I1689" s="3">
        <v>32.880000000000003</v>
      </c>
      <c r="J1689" t="s">
        <v>16</v>
      </c>
      <c r="K1689" t="s">
        <v>40</v>
      </c>
      <c r="L1689" s="4">
        <f>Table4[[#This Row],[quantity]]*Table4[[#This Row],[unit_price]]</f>
        <v>32.880000000000003</v>
      </c>
      <c r="M1689">
        <f>COUNTIFS($C$2:$C$3934,Table4[[#This Row],[customer_id]])</f>
        <v>8</v>
      </c>
      <c r="N1689" t="str">
        <f>IF(Table4[[#This Row],[customer_order_count]]=1,"New Customer","Repeat Customer")</f>
        <v>Repeat Customer</v>
      </c>
    </row>
    <row r="1690" spans="1:14">
      <c r="A1690" t="s">
        <v>1196</v>
      </c>
      <c r="B1690" s="1">
        <v>45503</v>
      </c>
      <c r="C1690" t="s">
        <v>1197</v>
      </c>
      <c r="D1690" t="s">
        <v>152</v>
      </c>
      <c r="E1690" t="s">
        <v>21</v>
      </c>
      <c r="F1690" t="s">
        <v>66</v>
      </c>
      <c r="G1690" t="s">
        <v>238</v>
      </c>
      <c r="H1690">
        <v>2</v>
      </c>
      <c r="I1690" s="3">
        <v>32.93</v>
      </c>
      <c r="J1690" t="s">
        <v>16</v>
      </c>
      <c r="K1690" t="s">
        <v>30</v>
      </c>
      <c r="L1690" s="4">
        <f>Table4[[#This Row],[quantity]]*Table4[[#This Row],[unit_price]]</f>
        <v>65.86</v>
      </c>
      <c r="M1690">
        <f>COUNTIFS($C$2:$C$3934,Table4[[#This Row],[customer_id]])</f>
        <v>3</v>
      </c>
      <c r="N1690" t="str">
        <f>IF(Table4[[#This Row],[customer_order_count]]=1,"New Customer","Repeat Customer")</f>
        <v>Repeat Customer</v>
      </c>
    </row>
    <row r="1691" spans="1:14">
      <c r="A1691" t="s">
        <v>2975</v>
      </c>
      <c r="B1691" s="1">
        <v>45277</v>
      </c>
      <c r="C1691" t="s">
        <v>2976</v>
      </c>
      <c r="D1691" t="s">
        <v>499</v>
      </c>
      <c r="E1691" t="s">
        <v>21</v>
      </c>
      <c r="F1691" t="s">
        <v>66</v>
      </c>
      <c r="G1691" t="s">
        <v>49</v>
      </c>
      <c r="H1691">
        <v>2</v>
      </c>
      <c r="I1691" s="3">
        <v>32.96</v>
      </c>
      <c r="J1691" t="s">
        <v>24</v>
      </c>
      <c r="K1691" t="s">
        <v>40</v>
      </c>
      <c r="L1691" s="4">
        <f>Table4[[#This Row],[quantity]]*Table4[[#This Row],[unit_price]]</f>
        <v>65.92</v>
      </c>
      <c r="M1691">
        <f>COUNTIFS($C$2:$C$3934,Table4[[#This Row],[customer_id]])</f>
        <v>4</v>
      </c>
      <c r="N1691" t="str">
        <f>IF(Table4[[#This Row],[customer_order_count]]=1,"New Customer","Repeat Customer")</f>
        <v>Repeat Customer</v>
      </c>
    </row>
    <row r="1692" spans="1:14">
      <c r="A1692" t="s">
        <v>966</v>
      </c>
      <c r="B1692" s="1">
        <v>45480</v>
      </c>
      <c r="C1692" t="s">
        <v>967</v>
      </c>
      <c r="D1692" t="s">
        <v>717</v>
      </c>
      <c r="E1692" t="s">
        <v>21</v>
      </c>
      <c r="F1692" t="s">
        <v>28</v>
      </c>
      <c r="G1692" t="s">
        <v>139</v>
      </c>
      <c r="H1692">
        <v>1</v>
      </c>
      <c r="I1692" s="3">
        <v>32.99</v>
      </c>
      <c r="J1692" t="s">
        <v>16</v>
      </c>
      <c r="K1692" t="s">
        <v>30</v>
      </c>
      <c r="L1692" s="4">
        <f>Table4[[#This Row],[quantity]]*Table4[[#This Row],[unit_price]]</f>
        <v>32.99</v>
      </c>
      <c r="M1692">
        <f>COUNTIFS($C$2:$C$3934,Table4[[#This Row],[customer_id]])</f>
        <v>3</v>
      </c>
      <c r="N1692" t="str">
        <f>IF(Table4[[#This Row],[customer_order_count]]=1,"New Customer","Repeat Customer")</f>
        <v>Repeat Customer</v>
      </c>
    </row>
    <row r="1693" spans="1:14">
      <c r="A1693" t="s">
        <v>3256</v>
      </c>
      <c r="B1693" s="1">
        <v>45199</v>
      </c>
      <c r="C1693" t="s">
        <v>844</v>
      </c>
      <c r="D1693" t="s">
        <v>20</v>
      </c>
      <c r="E1693" t="s">
        <v>61</v>
      </c>
      <c r="F1693" t="s">
        <v>56</v>
      </c>
      <c r="G1693" t="s">
        <v>153</v>
      </c>
      <c r="H1693">
        <v>1</v>
      </c>
      <c r="I1693" s="3">
        <v>33</v>
      </c>
      <c r="J1693" t="s">
        <v>16</v>
      </c>
      <c r="K1693" t="s">
        <v>35</v>
      </c>
      <c r="L1693" s="4">
        <f>Table4[[#This Row],[quantity]]*Table4[[#This Row],[unit_price]]</f>
        <v>33</v>
      </c>
      <c r="M1693">
        <f>COUNTIFS($C$2:$C$3934,Table4[[#This Row],[customer_id]])</f>
        <v>5</v>
      </c>
      <c r="N1693" t="str">
        <f>IF(Table4[[#This Row],[customer_order_count]]=1,"New Customer","Repeat Customer")</f>
        <v>Repeat Customer</v>
      </c>
    </row>
    <row r="1694" spans="1:14">
      <c r="A1694" t="s">
        <v>963</v>
      </c>
      <c r="B1694" s="1">
        <v>45524</v>
      </c>
      <c r="C1694" t="s">
        <v>964</v>
      </c>
      <c r="D1694" t="s">
        <v>965</v>
      </c>
      <c r="E1694" t="s">
        <v>21</v>
      </c>
      <c r="F1694" t="s">
        <v>56</v>
      </c>
      <c r="G1694" t="s">
        <v>75</v>
      </c>
      <c r="H1694">
        <v>1</v>
      </c>
      <c r="I1694" s="3">
        <v>33.04</v>
      </c>
      <c r="J1694" t="s">
        <v>16</v>
      </c>
      <c r="K1694" t="s">
        <v>30</v>
      </c>
      <c r="L1694" s="4">
        <f>Table4[[#This Row],[quantity]]*Table4[[#This Row],[unit_price]]</f>
        <v>33.04</v>
      </c>
      <c r="M1694">
        <f>COUNTIFS($C$2:$C$3934,Table4[[#This Row],[customer_id]])</f>
        <v>5</v>
      </c>
      <c r="N1694" t="str">
        <f>IF(Table4[[#This Row],[customer_order_count]]=1,"New Customer","Repeat Customer")</f>
        <v>Repeat Customer</v>
      </c>
    </row>
    <row r="1695" spans="1:14">
      <c r="A1695" t="s">
        <v>3252</v>
      </c>
      <c r="B1695" s="1">
        <v>45214</v>
      </c>
      <c r="C1695" t="s">
        <v>2225</v>
      </c>
      <c r="D1695" t="s">
        <v>438</v>
      </c>
      <c r="E1695" t="s">
        <v>44</v>
      </c>
      <c r="F1695" t="s">
        <v>66</v>
      </c>
      <c r="G1695" t="s">
        <v>49</v>
      </c>
      <c r="H1695">
        <v>2</v>
      </c>
      <c r="I1695" s="3">
        <v>33.049999999999997</v>
      </c>
      <c r="J1695" t="s">
        <v>16</v>
      </c>
      <c r="K1695" t="s">
        <v>30</v>
      </c>
      <c r="L1695" s="4">
        <f>Table4[[#This Row],[quantity]]*Table4[[#This Row],[unit_price]]</f>
        <v>66.099999999999994</v>
      </c>
      <c r="M1695">
        <f>COUNTIFS($C$2:$C$3934,Table4[[#This Row],[customer_id]])</f>
        <v>6</v>
      </c>
      <c r="N1695" t="str">
        <f>IF(Table4[[#This Row],[customer_order_count]]=1,"New Customer","Repeat Customer")</f>
        <v>Repeat Customer</v>
      </c>
    </row>
    <row r="1696" spans="1:14">
      <c r="A1696" t="s">
        <v>508</v>
      </c>
      <c r="B1696" s="1">
        <v>44929</v>
      </c>
      <c r="C1696" t="s">
        <v>509</v>
      </c>
      <c r="D1696" t="s">
        <v>510</v>
      </c>
      <c r="E1696" t="s">
        <v>21</v>
      </c>
      <c r="F1696" t="s">
        <v>28</v>
      </c>
      <c r="G1696" t="s">
        <v>139</v>
      </c>
      <c r="H1696">
        <v>1</v>
      </c>
      <c r="I1696" s="3">
        <v>33.1</v>
      </c>
      <c r="J1696" t="s">
        <v>16</v>
      </c>
      <c r="K1696" t="s">
        <v>17</v>
      </c>
      <c r="L1696" s="4">
        <f>Table4[[#This Row],[quantity]]*Table4[[#This Row],[unit_price]]</f>
        <v>33.1</v>
      </c>
      <c r="M1696">
        <f>COUNTIFS($C$2:$C$3934,Table4[[#This Row],[customer_id]])</f>
        <v>6</v>
      </c>
      <c r="N1696" t="str">
        <f>IF(Table4[[#This Row],[customer_order_count]]=1,"New Customer","Repeat Customer")</f>
        <v>Repeat Customer</v>
      </c>
    </row>
    <row r="1697" spans="1:14">
      <c r="A1697" t="s">
        <v>5101</v>
      </c>
      <c r="B1697" s="1">
        <v>45605</v>
      </c>
      <c r="C1697" t="s">
        <v>537</v>
      </c>
      <c r="D1697" t="s">
        <v>538</v>
      </c>
      <c r="E1697" t="s">
        <v>21</v>
      </c>
      <c r="F1697" t="s">
        <v>28</v>
      </c>
      <c r="G1697" t="s">
        <v>84</v>
      </c>
      <c r="H1697">
        <v>4</v>
      </c>
      <c r="I1697" s="3">
        <v>33.1</v>
      </c>
      <c r="J1697" t="s">
        <v>24</v>
      </c>
      <c r="K1697" t="s">
        <v>17</v>
      </c>
      <c r="L1697" s="4">
        <f>Table4[[#This Row],[quantity]]*Table4[[#This Row],[unit_price]]</f>
        <v>132.4</v>
      </c>
      <c r="M1697">
        <f>COUNTIFS($C$2:$C$3934,Table4[[#This Row],[customer_id]])</f>
        <v>9</v>
      </c>
      <c r="N1697" t="str">
        <f>IF(Table4[[#This Row],[customer_order_count]]=1,"New Customer","Repeat Customer")</f>
        <v>Repeat Customer</v>
      </c>
    </row>
    <row r="1698" spans="1:14">
      <c r="A1698" t="s">
        <v>4816</v>
      </c>
      <c r="B1698" s="1">
        <v>45624</v>
      </c>
      <c r="C1698" t="s">
        <v>1404</v>
      </c>
      <c r="D1698" t="s">
        <v>145</v>
      </c>
      <c r="E1698" t="s">
        <v>44</v>
      </c>
      <c r="F1698" t="s">
        <v>28</v>
      </c>
      <c r="G1698" t="s">
        <v>29</v>
      </c>
      <c r="H1698">
        <v>2</v>
      </c>
      <c r="I1698" s="3">
        <v>33.119999999999997</v>
      </c>
      <c r="J1698" t="s">
        <v>16</v>
      </c>
      <c r="K1698" t="s">
        <v>40</v>
      </c>
      <c r="L1698" s="4">
        <f>Table4[[#This Row],[quantity]]*Table4[[#This Row],[unit_price]]</f>
        <v>66.239999999999995</v>
      </c>
      <c r="M1698">
        <f>COUNTIFS($C$2:$C$3934,Table4[[#This Row],[customer_id]])</f>
        <v>6</v>
      </c>
      <c r="N1698" t="str">
        <f>IF(Table4[[#This Row],[customer_order_count]]=1,"New Customer","Repeat Customer")</f>
        <v>Repeat Customer</v>
      </c>
    </row>
    <row r="1699" spans="1:14">
      <c r="A1699" t="s">
        <v>2918</v>
      </c>
      <c r="B1699" s="1">
        <v>45185</v>
      </c>
      <c r="C1699" t="s">
        <v>490</v>
      </c>
      <c r="D1699" t="s">
        <v>491</v>
      </c>
      <c r="E1699" t="s">
        <v>21</v>
      </c>
      <c r="F1699" t="s">
        <v>79</v>
      </c>
      <c r="G1699" t="s">
        <v>200</v>
      </c>
      <c r="H1699">
        <v>2</v>
      </c>
      <c r="I1699" s="3">
        <v>33.15</v>
      </c>
      <c r="J1699" t="s">
        <v>16</v>
      </c>
      <c r="K1699" t="s">
        <v>35</v>
      </c>
      <c r="L1699" s="4">
        <f>Table4[[#This Row],[quantity]]*Table4[[#This Row],[unit_price]]</f>
        <v>66.3</v>
      </c>
      <c r="M1699">
        <f>COUNTIFS($C$2:$C$3934,Table4[[#This Row],[customer_id]])</f>
        <v>5</v>
      </c>
      <c r="N1699" t="str">
        <f>IF(Table4[[#This Row],[customer_order_count]]=1,"New Customer","Repeat Customer")</f>
        <v>Repeat Customer</v>
      </c>
    </row>
    <row r="1700" spans="1:14">
      <c r="A1700" t="s">
        <v>736</v>
      </c>
      <c r="B1700" s="1">
        <v>45195</v>
      </c>
      <c r="C1700" t="s">
        <v>737</v>
      </c>
      <c r="D1700" t="s">
        <v>612</v>
      </c>
      <c r="E1700" t="s">
        <v>21</v>
      </c>
      <c r="F1700" t="s">
        <v>79</v>
      </c>
      <c r="G1700" t="s">
        <v>166</v>
      </c>
      <c r="H1700">
        <v>2</v>
      </c>
      <c r="I1700" s="3">
        <v>33.15</v>
      </c>
      <c r="J1700" t="s">
        <v>16</v>
      </c>
      <c r="K1700" t="s">
        <v>17</v>
      </c>
      <c r="L1700" s="4">
        <f>Table4[[#This Row],[quantity]]*Table4[[#This Row],[unit_price]]</f>
        <v>66.3</v>
      </c>
      <c r="M1700">
        <f>COUNTIFS($C$2:$C$3934,Table4[[#This Row],[customer_id]])</f>
        <v>5</v>
      </c>
      <c r="N1700" t="str">
        <f>IF(Table4[[#This Row],[customer_order_count]]=1,"New Customer","Repeat Customer")</f>
        <v>Repeat Customer</v>
      </c>
    </row>
    <row r="1701" spans="1:14">
      <c r="A1701" t="s">
        <v>3900</v>
      </c>
      <c r="B1701" s="1">
        <v>45258</v>
      </c>
      <c r="C1701" t="s">
        <v>1484</v>
      </c>
      <c r="D1701" s="2" t="s">
        <v>5257</v>
      </c>
      <c r="E1701" t="s">
        <v>44</v>
      </c>
      <c r="F1701" t="s">
        <v>66</v>
      </c>
      <c r="G1701" t="s">
        <v>67</v>
      </c>
      <c r="H1701">
        <v>2</v>
      </c>
      <c r="I1701" s="3">
        <v>33.15</v>
      </c>
      <c r="J1701" t="s">
        <v>16</v>
      </c>
      <c r="K1701" t="s">
        <v>30</v>
      </c>
      <c r="L1701" s="4">
        <f>Table4[[#This Row],[quantity]]*Table4[[#This Row],[unit_price]]</f>
        <v>66.3</v>
      </c>
      <c r="M1701">
        <f>COUNTIFS($C$2:$C$3934,Table4[[#This Row],[customer_id]])</f>
        <v>2</v>
      </c>
      <c r="N1701" t="str">
        <f>IF(Table4[[#This Row],[customer_order_count]]=1,"New Customer","Repeat Customer")</f>
        <v>Repeat Customer</v>
      </c>
    </row>
    <row r="1702" spans="1:14">
      <c r="A1702" t="s">
        <v>4051</v>
      </c>
      <c r="B1702" s="1">
        <v>45192</v>
      </c>
      <c r="C1702" t="s">
        <v>202</v>
      </c>
      <c r="D1702" s="5" t="s">
        <v>203</v>
      </c>
      <c r="E1702" t="s">
        <v>21</v>
      </c>
      <c r="F1702" t="s">
        <v>70</v>
      </c>
      <c r="G1702" t="s">
        <v>71</v>
      </c>
      <c r="H1702">
        <v>4</v>
      </c>
      <c r="I1702" s="3">
        <v>33.200000000000003</v>
      </c>
      <c r="J1702" t="s">
        <v>16</v>
      </c>
      <c r="K1702" t="s">
        <v>17</v>
      </c>
      <c r="L1702" s="4">
        <f>Table4[[#This Row],[quantity]]*Table4[[#This Row],[unit_price]]</f>
        <v>132.80000000000001</v>
      </c>
      <c r="M1702">
        <f>COUNTIFS($C$2:$C$3934,Table4[[#This Row],[customer_id]])</f>
        <v>8</v>
      </c>
      <c r="N1702" t="str">
        <f>IF(Table4[[#This Row],[customer_order_count]]=1,"New Customer","Repeat Customer")</f>
        <v>Repeat Customer</v>
      </c>
    </row>
    <row r="1703" spans="1:14">
      <c r="A1703" t="s">
        <v>754</v>
      </c>
      <c r="B1703" s="1">
        <v>44967</v>
      </c>
      <c r="C1703" t="s">
        <v>755</v>
      </c>
      <c r="D1703" t="s">
        <v>452</v>
      </c>
      <c r="E1703" t="s">
        <v>21</v>
      </c>
      <c r="F1703" t="s">
        <v>28</v>
      </c>
      <c r="G1703" t="s">
        <v>29</v>
      </c>
      <c r="H1703">
        <v>1</v>
      </c>
      <c r="I1703" s="3">
        <v>33.21</v>
      </c>
      <c r="J1703" t="s">
        <v>16</v>
      </c>
      <c r="K1703" t="s">
        <v>35</v>
      </c>
      <c r="L1703" s="4">
        <f>Table4[[#This Row],[quantity]]*Table4[[#This Row],[unit_price]]</f>
        <v>33.21</v>
      </c>
      <c r="M1703">
        <f>COUNTIFS($C$2:$C$3934,Table4[[#This Row],[customer_id]])</f>
        <v>5</v>
      </c>
      <c r="N1703" t="str">
        <f>IF(Table4[[#This Row],[customer_order_count]]=1,"New Customer","Repeat Customer")</f>
        <v>Repeat Customer</v>
      </c>
    </row>
    <row r="1704" spans="1:14">
      <c r="A1704" t="s">
        <v>3624</v>
      </c>
      <c r="B1704" s="1">
        <v>45006</v>
      </c>
      <c r="C1704" t="s">
        <v>871</v>
      </c>
      <c r="D1704" t="s">
        <v>872</v>
      </c>
      <c r="E1704" t="s">
        <v>21</v>
      </c>
      <c r="F1704" t="s">
        <v>22</v>
      </c>
      <c r="G1704" t="s">
        <v>135</v>
      </c>
      <c r="H1704">
        <v>2</v>
      </c>
      <c r="I1704" s="3">
        <v>33.229999999999997</v>
      </c>
      <c r="J1704" t="s">
        <v>16</v>
      </c>
      <c r="K1704" t="s">
        <v>40</v>
      </c>
      <c r="L1704" s="4">
        <f>Table4[[#This Row],[quantity]]*Table4[[#This Row],[unit_price]]</f>
        <v>66.459999999999994</v>
      </c>
      <c r="M1704">
        <f>COUNTIFS($C$2:$C$3934,Table4[[#This Row],[customer_id]])</f>
        <v>5</v>
      </c>
      <c r="N1704" t="str">
        <f>IF(Table4[[#This Row],[customer_order_count]]=1,"New Customer","Repeat Customer")</f>
        <v>Repeat Customer</v>
      </c>
    </row>
    <row r="1705" spans="1:14">
      <c r="A1705" t="s">
        <v>4654</v>
      </c>
      <c r="B1705" s="1">
        <v>45583</v>
      </c>
      <c r="C1705" t="s">
        <v>914</v>
      </c>
      <c r="D1705" t="s">
        <v>95</v>
      </c>
      <c r="E1705" t="s">
        <v>21</v>
      </c>
      <c r="F1705" t="s">
        <v>66</v>
      </c>
      <c r="G1705" t="s">
        <v>217</v>
      </c>
      <c r="H1705">
        <v>1</v>
      </c>
      <c r="I1705" s="3">
        <v>33.24</v>
      </c>
      <c r="J1705" t="s">
        <v>16</v>
      </c>
      <c r="K1705" t="s">
        <v>30</v>
      </c>
      <c r="L1705" s="4">
        <f>Table4[[#This Row],[quantity]]*Table4[[#This Row],[unit_price]]</f>
        <v>33.24</v>
      </c>
      <c r="M1705">
        <f>COUNTIFS($C$2:$C$3934,Table4[[#This Row],[customer_id]])</f>
        <v>10</v>
      </c>
      <c r="N1705" t="str">
        <f>IF(Table4[[#This Row],[customer_order_count]]=1,"New Customer","Repeat Customer")</f>
        <v>Repeat Customer</v>
      </c>
    </row>
    <row r="1706" spans="1:14">
      <c r="A1706" t="s">
        <v>1446</v>
      </c>
      <c r="B1706" s="1">
        <v>45655</v>
      </c>
      <c r="C1706" t="s">
        <v>1447</v>
      </c>
      <c r="D1706" t="s">
        <v>55</v>
      </c>
      <c r="E1706" t="s">
        <v>21</v>
      </c>
      <c r="F1706" t="s">
        <v>79</v>
      </c>
      <c r="G1706" t="s">
        <v>80</v>
      </c>
      <c r="H1706">
        <v>1</v>
      </c>
      <c r="I1706" s="3">
        <v>33.25</v>
      </c>
      <c r="J1706" t="s">
        <v>255</v>
      </c>
      <c r="K1706" t="s">
        <v>17</v>
      </c>
      <c r="L1706" s="4">
        <f>Table4[[#This Row],[quantity]]*Table4[[#This Row],[unit_price]]</f>
        <v>33.25</v>
      </c>
      <c r="M1706">
        <f>COUNTIFS($C$2:$C$3934,Table4[[#This Row],[customer_id]])</f>
        <v>7</v>
      </c>
      <c r="N1706" t="str">
        <f>IF(Table4[[#This Row],[customer_order_count]]=1,"New Customer","Repeat Customer")</f>
        <v>Repeat Customer</v>
      </c>
    </row>
    <row r="1707" spans="1:14">
      <c r="A1707" t="s">
        <v>1997</v>
      </c>
      <c r="B1707" s="1">
        <v>45616</v>
      </c>
      <c r="C1707" t="s">
        <v>32</v>
      </c>
      <c r="D1707" t="s">
        <v>33</v>
      </c>
      <c r="E1707" t="s">
        <v>21</v>
      </c>
      <c r="F1707" t="s">
        <v>66</v>
      </c>
      <c r="G1707" t="s">
        <v>49</v>
      </c>
      <c r="H1707">
        <v>2</v>
      </c>
      <c r="I1707" s="3">
        <v>33.26</v>
      </c>
      <c r="J1707" t="s">
        <v>16</v>
      </c>
      <c r="K1707" t="s">
        <v>35</v>
      </c>
      <c r="L1707" s="4">
        <f>Table4[[#This Row],[quantity]]*Table4[[#This Row],[unit_price]]</f>
        <v>66.52</v>
      </c>
      <c r="M1707">
        <f>COUNTIFS($C$2:$C$3934,Table4[[#This Row],[customer_id]])</f>
        <v>5</v>
      </c>
      <c r="N1707" t="str">
        <f>IF(Table4[[#This Row],[customer_order_count]]=1,"New Customer","Repeat Customer")</f>
        <v>Repeat Customer</v>
      </c>
    </row>
    <row r="1708" spans="1:14">
      <c r="A1708" t="s">
        <v>4032</v>
      </c>
      <c r="B1708" s="1">
        <v>45544</v>
      </c>
      <c r="C1708" t="s">
        <v>2424</v>
      </c>
      <c r="D1708" t="s">
        <v>646</v>
      </c>
      <c r="E1708" t="s">
        <v>21</v>
      </c>
      <c r="F1708" t="s">
        <v>66</v>
      </c>
      <c r="G1708" t="s">
        <v>49</v>
      </c>
      <c r="H1708">
        <v>1</v>
      </c>
      <c r="I1708" s="3">
        <v>33.29</v>
      </c>
      <c r="J1708" t="s">
        <v>16</v>
      </c>
      <c r="K1708" t="s">
        <v>40</v>
      </c>
      <c r="L1708" s="4">
        <f>Table4[[#This Row],[quantity]]*Table4[[#This Row],[unit_price]]</f>
        <v>33.29</v>
      </c>
      <c r="M1708">
        <f>COUNTIFS($C$2:$C$3934,Table4[[#This Row],[customer_id]])</f>
        <v>6</v>
      </c>
      <c r="N1708" t="str">
        <f>IF(Table4[[#This Row],[customer_order_count]]=1,"New Customer","Repeat Customer")</f>
        <v>Repeat Customer</v>
      </c>
    </row>
    <row r="1709" spans="1:14">
      <c r="A1709" t="s">
        <v>2402</v>
      </c>
      <c r="B1709" s="1">
        <v>45321</v>
      </c>
      <c r="C1709" t="s">
        <v>692</v>
      </c>
      <c r="D1709" t="s">
        <v>693</v>
      </c>
      <c r="E1709" t="s">
        <v>21</v>
      </c>
      <c r="F1709" t="s">
        <v>66</v>
      </c>
      <c r="G1709" t="s">
        <v>128</v>
      </c>
      <c r="H1709">
        <v>4</v>
      </c>
      <c r="I1709" s="3">
        <v>33.29</v>
      </c>
      <c r="J1709" t="s">
        <v>16</v>
      </c>
      <c r="K1709" t="s">
        <v>30</v>
      </c>
      <c r="L1709" s="4">
        <f>Table4[[#This Row],[quantity]]*Table4[[#This Row],[unit_price]]</f>
        <v>133.16</v>
      </c>
      <c r="M1709">
        <f>COUNTIFS($C$2:$C$3934,Table4[[#This Row],[customer_id]])</f>
        <v>3</v>
      </c>
      <c r="N1709" t="str">
        <f>IF(Table4[[#This Row],[customer_order_count]]=1,"New Customer","Repeat Customer")</f>
        <v>Repeat Customer</v>
      </c>
    </row>
    <row r="1710" spans="1:14">
      <c r="A1710" t="s">
        <v>2415</v>
      </c>
      <c r="B1710" s="1">
        <v>45641</v>
      </c>
      <c r="C1710" t="s">
        <v>2416</v>
      </c>
      <c r="D1710" t="s">
        <v>1706</v>
      </c>
      <c r="E1710" t="s">
        <v>44</v>
      </c>
      <c r="F1710" t="s">
        <v>79</v>
      </c>
      <c r="G1710" t="s">
        <v>230</v>
      </c>
      <c r="H1710">
        <v>5</v>
      </c>
      <c r="I1710" s="3">
        <v>33.29</v>
      </c>
      <c r="J1710" t="s">
        <v>16</v>
      </c>
      <c r="K1710" t="s">
        <v>30</v>
      </c>
      <c r="L1710" s="4">
        <f>Table4[[#This Row],[quantity]]*Table4[[#This Row],[unit_price]]</f>
        <v>166.45</v>
      </c>
      <c r="M1710">
        <f>COUNTIFS($C$2:$C$3934,Table4[[#This Row],[customer_id]])</f>
        <v>4</v>
      </c>
      <c r="N1710" t="str">
        <f>IF(Table4[[#This Row],[customer_order_count]]=1,"New Customer","Repeat Customer")</f>
        <v>Repeat Customer</v>
      </c>
    </row>
    <row r="1711" spans="1:14">
      <c r="A1711" t="s">
        <v>3537</v>
      </c>
      <c r="B1711" s="1">
        <v>45572</v>
      </c>
      <c r="C1711" t="s">
        <v>850</v>
      </c>
      <c r="D1711" t="s">
        <v>851</v>
      </c>
      <c r="E1711" t="s">
        <v>21</v>
      </c>
      <c r="F1711" t="s">
        <v>28</v>
      </c>
      <c r="G1711" t="s">
        <v>139</v>
      </c>
      <c r="H1711">
        <v>1</v>
      </c>
      <c r="I1711" s="3">
        <v>33.31</v>
      </c>
      <c r="J1711" t="s">
        <v>16</v>
      </c>
      <c r="K1711" t="s">
        <v>40</v>
      </c>
      <c r="L1711" s="4">
        <f>Table4[[#This Row],[quantity]]*Table4[[#This Row],[unit_price]]</f>
        <v>33.31</v>
      </c>
      <c r="M1711">
        <f>COUNTIFS($C$2:$C$3934,Table4[[#This Row],[customer_id]])</f>
        <v>9</v>
      </c>
      <c r="N1711" t="str">
        <f>IF(Table4[[#This Row],[customer_order_count]]=1,"New Customer","Repeat Customer")</f>
        <v>Repeat Customer</v>
      </c>
    </row>
    <row r="1712" spans="1:14">
      <c r="A1712" t="s">
        <v>5017</v>
      </c>
      <c r="B1712" s="1">
        <v>45025</v>
      </c>
      <c r="C1712" t="s">
        <v>589</v>
      </c>
      <c r="D1712" t="s">
        <v>406</v>
      </c>
      <c r="E1712" t="s">
        <v>21</v>
      </c>
      <c r="F1712" t="s">
        <v>56</v>
      </c>
      <c r="G1712" t="s">
        <v>57</v>
      </c>
      <c r="H1712">
        <v>2</v>
      </c>
      <c r="I1712" s="3">
        <v>33.33</v>
      </c>
      <c r="J1712" t="s">
        <v>16</v>
      </c>
      <c r="K1712" t="s">
        <v>40</v>
      </c>
      <c r="L1712" s="4">
        <f>Table4[[#This Row],[quantity]]*Table4[[#This Row],[unit_price]]</f>
        <v>66.66</v>
      </c>
      <c r="M1712">
        <f>COUNTIFS($C$2:$C$3934,Table4[[#This Row],[customer_id]])</f>
        <v>9</v>
      </c>
      <c r="N1712" t="str">
        <f>IF(Table4[[#This Row],[customer_order_count]]=1,"New Customer","Repeat Customer")</f>
        <v>Repeat Customer</v>
      </c>
    </row>
    <row r="1713" spans="1:14">
      <c r="A1713" t="s">
        <v>2596</v>
      </c>
      <c r="B1713" s="1">
        <v>45175</v>
      </c>
      <c r="C1713" t="s">
        <v>2597</v>
      </c>
      <c r="D1713" t="s">
        <v>535</v>
      </c>
      <c r="E1713" t="s">
        <v>44</v>
      </c>
      <c r="F1713" t="s">
        <v>66</v>
      </c>
      <c r="G1713" t="s">
        <v>49</v>
      </c>
      <c r="H1713">
        <v>1</v>
      </c>
      <c r="I1713" s="3">
        <v>33.33</v>
      </c>
      <c r="J1713" t="s">
        <v>16</v>
      </c>
      <c r="K1713" t="s">
        <v>17</v>
      </c>
      <c r="L1713" s="4">
        <f>Table4[[#This Row],[quantity]]*Table4[[#This Row],[unit_price]]</f>
        <v>33.33</v>
      </c>
      <c r="M1713">
        <f>COUNTIFS($C$2:$C$3934,Table4[[#This Row],[customer_id]])</f>
        <v>3</v>
      </c>
      <c r="N1713" t="str">
        <f>IF(Table4[[#This Row],[customer_order_count]]=1,"New Customer","Repeat Customer")</f>
        <v>Repeat Customer</v>
      </c>
    </row>
    <row r="1714" spans="1:14">
      <c r="A1714" t="s">
        <v>3549</v>
      </c>
      <c r="B1714" s="1">
        <v>45008</v>
      </c>
      <c r="C1714" t="s">
        <v>696</v>
      </c>
      <c r="D1714" t="s">
        <v>582</v>
      </c>
      <c r="E1714" t="s">
        <v>21</v>
      </c>
      <c r="F1714" t="s">
        <v>28</v>
      </c>
      <c r="G1714" t="s">
        <v>45</v>
      </c>
      <c r="H1714">
        <v>1</v>
      </c>
      <c r="I1714" s="3">
        <v>33.369999999999997</v>
      </c>
      <c r="J1714" t="s">
        <v>16</v>
      </c>
      <c r="K1714" t="s">
        <v>30</v>
      </c>
      <c r="L1714" s="4">
        <f>Table4[[#This Row],[quantity]]*Table4[[#This Row],[unit_price]]</f>
        <v>33.369999999999997</v>
      </c>
      <c r="M1714">
        <f>COUNTIFS($C$2:$C$3934,Table4[[#This Row],[customer_id]])</f>
        <v>12</v>
      </c>
      <c r="N1714" t="str">
        <f>IF(Table4[[#This Row],[customer_order_count]]=1,"New Customer","Repeat Customer")</f>
        <v>Repeat Customer</v>
      </c>
    </row>
    <row r="1715" spans="1:14">
      <c r="A1715" t="s">
        <v>4821</v>
      </c>
      <c r="B1715" s="1">
        <v>45407</v>
      </c>
      <c r="C1715" t="s">
        <v>543</v>
      </c>
      <c r="D1715" t="s">
        <v>544</v>
      </c>
      <c r="E1715" t="s">
        <v>21</v>
      </c>
      <c r="F1715" t="s">
        <v>28</v>
      </c>
      <c r="G1715" t="s">
        <v>45</v>
      </c>
      <c r="H1715">
        <v>1</v>
      </c>
      <c r="I1715" s="3">
        <v>33.380000000000003</v>
      </c>
      <c r="J1715" t="s">
        <v>16</v>
      </c>
      <c r="K1715" t="s">
        <v>30</v>
      </c>
      <c r="L1715" s="4">
        <f>Table4[[#This Row],[quantity]]*Table4[[#This Row],[unit_price]]</f>
        <v>33.380000000000003</v>
      </c>
      <c r="M1715">
        <f>COUNTIFS($C$2:$C$3934,Table4[[#This Row],[customer_id]])</f>
        <v>6</v>
      </c>
      <c r="N1715" t="str">
        <f>IF(Table4[[#This Row],[customer_order_count]]=1,"New Customer","Repeat Customer")</f>
        <v>Repeat Customer</v>
      </c>
    </row>
    <row r="1716" spans="1:14">
      <c r="A1716" t="s">
        <v>3180</v>
      </c>
      <c r="B1716" s="1">
        <v>45090</v>
      </c>
      <c r="C1716" t="s">
        <v>1788</v>
      </c>
      <c r="D1716" t="s">
        <v>121</v>
      </c>
      <c r="E1716" t="s">
        <v>21</v>
      </c>
      <c r="F1716" t="s">
        <v>28</v>
      </c>
      <c r="G1716" t="s">
        <v>29</v>
      </c>
      <c r="H1716">
        <v>3</v>
      </c>
      <c r="I1716" s="3">
        <v>33.380000000000003</v>
      </c>
      <c r="J1716" t="s">
        <v>16</v>
      </c>
      <c r="K1716" t="s">
        <v>35</v>
      </c>
      <c r="L1716" s="4">
        <f>Table4[[#This Row],[quantity]]*Table4[[#This Row],[unit_price]]</f>
        <v>100.14000000000001</v>
      </c>
      <c r="M1716">
        <f>COUNTIFS($C$2:$C$3934,Table4[[#This Row],[customer_id]])</f>
        <v>7</v>
      </c>
      <c r="N1716" t="str">
        <f>IF(Table4[[#This Row],[customer_order_count]]=1,"New Customer","Repeat Customer")</f>
        <v>Repeat Customer</v>
      </c>
    </row>
    <row r="1717" spans="1:14">
      <c r="A1717" t="s">
        <v>4383</v>
      </c>
      <c r="B1717" s="1">
        <v>45111</v>
      </c>
      <c r="C1717" t="s">
        <v>1168</v>
      </c>
      <c r="D1717" t="s">
        <v>452</v>
      </c>
      <c r="E1717" t="s">
        <v>21</v>
      </c>
      <c r="F1717" t="s">
        <v>70</v>
      </c>
      <c r="G1717" t="s">
        <v>337</v>
      </c>
      <c r="H1717">
        <v>1</v>
      </c>
      <c r="I1717" s="3">
        <v>33.39</v>
      </c>
      <c r="J1717" t="s">
        <v>16</v>
      </c>
      <c r="K1717" t="s">
        <v>40</v>
      </c>
      <c r="L1717" s="4">
        <f>Table4[[#This Row],[quantity]]*Table4[[#This Row],[unit_price]]</f>
        <v>33.39</v>
      </c>
      <c r="M1717">
        <f>COUNTIFS($C$2:$C$3934,Table4[[#This Row],[customer_id]])</f>
        <v>5</v>
      </c>
      <c r="N1717" t="str">
        <f>IF(Table4[[#This Row],[customer_order_count]]=1,"New Customer","Repeat Customer")</f>
        <v>Repeat Customer</v>
      </c>
    </row>
    <row r="1718" spans="1:14">
      <c r="A1718" t="s">
        <v>4526</v>
      </c>
      <c r="B1718" s="1">
        <v>45324</v>
      </c>
      <c r="C1718" t="s">
        <v>771</v>
      </c>
      <c r="D1718" t="s">
        <v>772</v>
      </c>
      <c r="E1718" t="s">
        <v>21</v>
      </c>
      <c r="F1718" t="s">
        <v>66</v>
      </c>
      <c r="G1718" t="s">
        <v>238</v>
      </c>
      <c r="H1718">
        <v>1</v>
      </c>
      <c r="I1718" s="3">
        <v>33.409999999999997</v>
      </c>
      <c r="J1718" t="s">
        <v>16</v>
      </c>
      <c r="K1718" t="s">
        <v>17</v>
      </c>
      <c r="L1718" s="4">
        <f>Table4[[#This Row],[quantity]]*Table4[[#This Row],[unit_price]]</f>
        <v>33.409999999999997</v>
      </c>
      <c r="M1718">
        <f>COUNTIFS($C$2:$C$3934,Table4[[#This Row],[customer_id]])</f>
        <v>5</v>
      </c>
      <c r="N1718" t="str">
        <f>IF(Table4[[#This Row],[customer_order_count]]=1,"New Customer","Repeat Customer")</f>
        <v>Repeat Customer</v>
      </c>
    </row>
    <row r="1719" spans="1:14">
      <c r="A1719" t="s">
        <v>3540</v>
      </c>
      <c r="B1719" s="1">
        <v>45587</v>
      </c>
      <c r="C1719" t="s">
        <v>1411</v>
      </c>
      <c r="D1719" t="s">
        <v>1412</v>
      </c>
      <c r="E1719" t="s">
        <v>21</v>
      </c>
      <c r="F1719" t="s">
        <v>28</v>
      </c>
      <c r="G1719" t="s">
        <v>84</v>
      </c>
      <c r="H1719">
        <v>1</v>
      </c>
      <c r="I1719" s="3">
        <v>33.44</v>
      </c>
      <c r="J1719" t="s">
        <v>16</v>
      </c>
      <c r="K1719" t="s">
        <v>40</v>
      </c>
      <c r="L1719" s="4">
        <f>Table4[[#This Row],[quantity]]*Table4[[#This Row],[unit_price]]</f>
        <v>33.44</v>
      </c>
      <c r="M1719">
        <f>COUNTIFS($C$2:$C$3934,Table4[[#This Row],[customer_id]])</f>
        <v>4</v>
      </c>
      <c r="N1719" t="str">
        <f>IF(Table4[[#This Row],[customer_order_count]]=1,"New Customer","Repeat Customer")</f>
        <v>Repeat Customer</v>
      </c>
    </row>
    <row r="1720" spans="1:14">
      <c r="A1720" t="s">
        <v>2798</v>
      </c>
      <c r="B1720" s="1">
        <v>45619</v>
      </c>
      <c r="C1720" t="s">
        <v>2560</v>
      </c>
      <c r="D1720" t="s">
        <v>828</v>
      </c>
      <c r="E1720" t="s">
        <v>44</v>
      </c>
      <c r="F1720" t="s">
        <v>66</v>
      </c>
      <c r="G1720" t="s">
        <v>238</v>
      </c>
      <c r="H1720">
        <v>2</v>
      </c>
      <c r="I1720" s="3">
        <v>33.46</v>
      </c>
      <c r="J1720" t="s">
        <v>16</v>
      </c>
      <c r="K1720" t="s">
        <v>35</v>
      </c>
      <c r="L1720" s="4">
        <f>Table4[[#This Row],[quantity]]*Table4[[#This Row],[unit_price]]</f>
        <v>66.92</v>
      </c>
      <c r="M1720">
        <f>COUNTIFS($C$2:$C$3934,Table4[[#This Row],[customer_id]])</f>
        <v>5</v>
      </c>
      <c r="N1720" t="str">
        <f>IF(Table4[[#This Row],[customer_order_count]]=1,"New Customer","Repeat Customer")</f>
        <v>Repeat Customer</v>
      </c>
    </row>
    <row r="1721" spans="1:14">
      <c r="A1721" t="s">
        <v>3132</v>
      </c>
      <c r="B1721" s="1">
        <v>45235</v>
      </c>
      <c r="C1721" t="s">
        <v>804</v>
      </c>
      <c r="D1721" t="s">
        <v>805</v>
      </c>
      <c r="E1721" t="s">
        <v>21</v>
      </c>
      <c r="F1721" t="s">
        <v>66</v>
      </c>
      <c r="G1721" t="s">
        <v>49</v>
      </c>
      <c r="H1721">
        <v>1</v>
      </c>
      <c r="I1721" s="3">
        <v>33.47</v>
      </c>
      <c r="J1721" t="s">
        <v>255</v>
      </c>
      <c r="K1721" t="s">
        <v>17</v>
      </c>
      <c r="L1721" s="4">
        <f>Table4[[#This Row],[quantity]]*Table4[[#This Row],[unit_price]]</f>
        <v>33.47</v>
      </c>
      <c r="M1721">
        <f>COUNTIFS($C$2:$C$3934,Table4[[#This Row],[customer_id]])</f>
        <v>6</v>
      </c>
      <c r="N1721" t="str">
        <f>IF(Table4[[#This Row],[customer_order_count]]=1,"New Customer","Repeat Customer")</f>
        <v>Repeat Customer</v>
      </c>
    </row>
    <row r="1722" spans="1:14">
      <c r="A1722" t="s">
        <v>1536</v>
      </c>
      <c r="B1722" s="1">
        <v>45398</v>
      </c>
      <c r="C1722" t="s">
        <v>1537</v>
      </c>
      <c r="D1722" t="s">
        <v>1179</v>
      </c>
      <c r="E1722" t="s">
        <v>21</v>
      </c>
      <c r="F1722" t="s">
        <v>70</v>
      </c>
      <c r="G1722" t="s">
        <v>526</v>
      </c>
      <c r="H1722">
        <v>1</v>
      </c>
      <c r="I1722" s="3">
        <v>33.49</v>
      </c>
      <c r="J1722" t="s">
        <v>24</v>
      </c>
      <c r="K1722" t="s">
        <v>17</v>
      </c>
      <c r="L1722" s="4">
        <f>Table4[[#This Row],[quantity]]*Table4[[#This Row],[unit_price]]</f>
        <v>33.49</v>
      </c>
      <c r="M1722">
        <f>COUNTIFS($C$2:$C$3934,Table4[[#This Row],[customer_id]])</f>
        <v>4</v>
      </c>
      <c r="N1722" t="str">
        <f>IF(Table4[[#This Row],[customer_order_count]]=1,"New Customer","Repeat Customer")</f>
        <v>Repeat Customer</v>
      </c>
    </row>
    <row r="1723" spans="1:14">
      <c r="A1723" t="s">
        <v>818</v>
      </c>
      <c r="B1723" s="1">
        <v>45306</v>
      </c>
      <c r="C1723" t="s">
        <v>188</v>
      </c>
      <c r="D1723" t="s">
        <v>189</v>
      </c>
      <c r="E1723" t="s">
        <v>21</v>
      </c>
      <c r="F1723" t="s">
        <v>28</v>
      </c>
      <c r="G1723" t="s">
        <v>84</v>
      </c>
      <c r="H1723">
        <v>2</v>
      </c>
      <c r="I1723" s="3">
        <v>33.49</v>
      </c>
      <c r="J1723" t="s">
        <v>16</v>
      </c>
      <c r="K1723" t="s">
        <v>30</v>
      </c>
      <c r="L1723" s="4">
        <f>Table4[[#This Row],[quantity]]*Table4[[#This Row],[unit_price]]</f>
        <v>66.98</v>
      </c>
      <c r="M1723">
        <f>COUNTIFS($C$2:$C$3934,Table4[[#This Row],[customer_id]])</f>
        <v>6</v>
      </c>
      <c r="N1723" t="str">
        <f>IF(Table4[[#This Row],[customer_order_count]]=1,"New Customer","Repeat Customer")</f>
        <v>Repeat Customer</v>
      </c>
    </row>
    <row r="1724" spans="1:14">
      <c r="A1724" t="s">
        <v>4172</v>
      </c>
      <c r="B1724" s="1">
        <v>45259</v>
      </c>
      <c r="C1724" t="s">
        <v>1218</v>
      </c>
      <c r="D1724" t="s">
        <v>869</v>
      </c>
      <c r="E1724" t="s">
        <v>21</v>
      </c>
      <c r="F1724" t="s">
        <v>66</v>
      </c>
      <c r="G1724" t="s">
        <v>217</v>
      </c>
      <c r="H1724">
        <v>1</v>
      </c>
      <c r="I1724" s="3">
        <v>33.53</v>
      </c>
      <c r="J1724" t="s">
        <v>16</v>
      </c>
      <c r="K1724" t="s">
        <v>40</v>
      </c>
      <c r="L1724" s="4">
        <f>Table4[[#This Row],[quantity]]*Table4[[#This Row],[unit_price]]</f>
        <v>33.53</v>
      </c>
      <c r="M1724">
        <f>COUNTIFS($C$2:$C$3934,Table4[[#This Row],[customer_id]])</f>
        <v>4</v>
      </c>
      <c r="N1724" t="str">
        <f>IF(Table4[[#This Row],[customer_order_count]]=1,"New Customer","Repeat Customer")</f>
        <v>Repeat Customer</v>
      </c>
    </row>
    <row r="1725" spans="1:14">
      <c r="A1725" t="s">
        <v>695</v>
      </c>
      <c r="B1725" s="1">
        <v>45001</v>
      </c>
      <c r="C1725" t="s">
        <v>696</v>
      </c>
      <c r="D1725" t="s">
        <v>582</v>
      </c>
      <c r="E1725" t="s">
        <v>21</v>
      </c>
      <c r="F1725" t="s">
        <v>28</v>
      </c>
      <c r="G1725" t="s">
        <v>29</v>
      </c>
      <c r="H1725">
        <v>1</v>
      </c>
      <c r="I1725" s="3">
        <v>33.54</v>
      </c>
      <c r="J1725" t="s">
        <v>255</v>
      </c>
      <c r="K1725" t="s">
        <v>35</v>
      </c>
      <c r="L1725" s="4">
        <f>Table4[[#This Row],[quantity]]*Table4[[#This Row],[unit_price]]</f>
        <v>33.54</v>
      </c>
      <c r="M1725">
        <f>COUNTIFS($C$2:$C$3934,Table4[[#This Row],[customer_id]])</f>
        <v>12</v>
      </c>
      <c r="N1725" t="str">
        <f>IF(Table4[[#This Row],[customer_order_count]]=1,"New Customer","Repeat Customer")</f>
        <v>Repeat Customer</v>
      </c>
    </row>
    <row r="1726" spans="1:14">
      <c r="A1726" t="s">
        <v>3930</v>
      </c>
      <c r="B1726" s="1">
        <v>45330</v>
      </c>
      <c r="C1726" t="s">
        <v>2817</v>
      </c>
      <c r="D1726" t="s">
        <v>1390</v>
      </c>
      <c r="E1726" t="s">
        <v>21</v>
      </c>
      <c r="F1726" t="s">
        <v>28</v>
      </c>
      <c r="G1726" t="s">
        <v>114</v>
      </c>
      <c r="H1726">
        <v>1</v>
      </c>
      <c r="I1726" s="3">
        <v>33.54</v>
      </c>
      <c r="J1726" t="s">
        <v>85</v>
      </c>
      <c r="K1726" t="s">
        <v>40</v>
      </c>
      <c r="L1726" s="4">
        <f>Table4[[#This Row],[quantity]]*Table4[[#This Row],[unit_price]]</f>
        <v>33.54</v>
      </c>
      <c r="M1726">
        <f>COUNTIFS($C$2:$C$3934,Table4[[#This Row],[customer_id]])</f>
        <v>4</v>
      </c>
      <c r="N1726" t="str">
        <f>IF(Table4[[#This Row],[customer_order_count]]=1,"New Customer","Repeat Customer")</f>
        <v>Repeat Customer</v>
      </c>
    </row>
    <row r="1727" spans="1:14">
      <c r="A1727" t="s">
        <v>3150</v>
      </c>
      <c r="B1727" s="1">
        <v>45171</v>
      </c>
      <c r="C1727" t="s">
        <v>59</v>
      </c>
      <c r="D1727" t="s">
        <v>60</v>
      </c>
      <c r="E1727" t="s">
        <v>21</v>
      </c>
      <c r="F1727" t="s">
        <v>66</v>
      </c>
      <c r="G1727" t="s">
        <v>217</v>
      </c>
      <c r="H1727">
        <v>1</v>
      </c>
      <c r="I1727" s="3">
        <v>33.549999999999997</v>
      </c>
      <c r="J1727" t="s">
        <v>16</v>
      </c>
      <c r="K1727" t="s">
        <v>40</v>
      </c>
      <c r="L1727" s="4">
        <f>Table4[[#This Row],[quantity]]*Table4[[#This Row],[unit_price]]</f>
        <v>33.549999999999997</v>
      </c>
      <c r="M1727">
        <f>COUNTIFS($C$2:$C$3934,Table4[[#This Row],[customer_id]])</f>
        <v>3</v>
      </c>
      <c r="N1727" t="str">
        <f>IF(Table4[[#This Row],[customer_order_count]]=1,"New Customer","Repeat Customer")</f>
        <v>Repeat Customer</v>
      </c>
    </row>
    <row r="1728" spans="1:14">
      <c r="A1728" t="s">
        <v>294</v>
      </c>
      <c r="B1728" s="1">
        <v>45117</v>
      </c>
      <c r="C1728" t="s">
        <v>295</v>
      </c>
      <c r="D1728" t="s">
        <v>296</v>
      </c>
      <c r="E1728" t="s">
        <v>21</v>
      </c>
      <c r="F1728" t="s">
        <v>79</v>
      </c>
      <c r="G1728" t="s">
        <v>166</v>
      </c>
      <c r="H1728">
        <v>4</v>
      </c>
      <c r="I1728" s="3">
        <v>33.56</v>
      </c>
      <c r="J1728" t="s">
        <v>16</v>
      </c>
      <c r="K1728" t="s">
        <v>40</v>
      </c>
      <c r="L1728" s="4">
        <f>Table4[[#This Row],[quantity]]*Table4[[#This Row],[unit_price]]</f>
        <v>134.24</v>
      </c>
      <c r="M1728">
        <f>COUNTIFS($C$2:$C$3934,Table4[[#This Row],[customer_id]])</f>
        <v>3</v>
      </c>
      <c r="N1728" t="str">
        <f>IF(Table4[[#This Row],[customer_order_count]]=1,"New Customer","Repeat Customer")</f>
        <v>Repeat Customer</v>
      </c>
    </row>
    <row r="1729" spans="1:14">
      <c r="A1729" t="s">
        <v>5196</v>
      </c>
      <c r="B1729" s="1">
        <v>45012</v>
      </c>
      <c r="C1729" t="s">
        <v>3324</v>
      </c>
      <c r="D1729" t="s">
        <v>213</v>
      </c>
      <c r="E1729" t="s">
        <v>21</v>
      </c>
      <c r="F1729" t="s">
        <v>14</v>
      </c>
      <c r="G1729" t="s">
        <v>34</v>
      </c>
      <c r="H1729">
        <v>1</v>
      </c>
      <c r="I1729" s="3">
        <v>33.590000000000003</v>
      </c>
      <c r="J1729" t="s">
        <v>16</v>
      </c>
      <c r="K1729" t="s">
        <v>17</v>
      </c>
      <c r="L1729" s="4">
        <f>Table4[[#This Row],[quantity]]*Table4[[#This Row],[unit_price]]</f>
        <v>33.590000000000003</v>
      </c>
      <c r="M1729">
        <f>COUNTIFS($C$2:$C$3934,Table4[[#This Row],[customer_id]])</f>
        <v>5</v>
      </c>
      <c r="N1729" t="str">
        <f>IF(Table4[[#This Row],[customer_order_count]]=1,"New Customer","Repeat Customer")</f>
        <v>Repeat Customer</v>
      </c>
    </row>
    <row r="1730" spans="1:14">
      <c r="A1730" t="s">
        <v>2057</v>
      </c>
      <c r="B1730" s="1">
        <v>45521</v>
      </c>
      <c r="C1730" t="s">
        <v>431</v>
      </c>
      <c r="D1730" t="s">
        <v>432</v>
      </c>
      <c r="E1730" t="s">
        <v>21</v>
      </c>
      <c r="F1730" t="s">
        <v>28</v>
      </c>
      <c r="G1730" t="s">
        <v>84</v>
      </c>
      <c r="H1730">
        <v>2</v>
      </c>
      <c r="I1730" s="3">
        <v>33.6</v>
      </c>
      <c r="J1730" t="s">
        <v>16</v>
      </c>
      <c r="K1730" t="s">
        <v>40</v>
      </c>
      <c r="L1730" s="4">
        <f>Table4[[#This Row],[quantity]]*Table4[[#This Row],[unit_price]]</f>
        <v>67.2</v>
      </c>
      <c r="M1730">
        <f>COUNTIFS($C$2:$C$3934,Table4[[#This Row],[customer_id]])</f>
        <v>7</v>
      </c>
      <c r="N1730" t="str">
        <f>IF(Table4[[#This Row],[customer_order_count]]=1,"New Customer","Repeat Customer")</f>
        <v>Repeat Customer</v>
      </c>
    </row>
    <row r="1731" spans="1:14">
      <c r="A1731" t="s">
        <v>4761</v>
      </c>
      <c r="B1731" s="1">
        <v>45397</v>
      </c>
      <c r="C1731" t="s">
        <v>2239</v>
      </c>
      <c r="D1731" t="s">
        <v>95</v>
      </c>
      <c r="E1731" t="s">
        <v>21</v>
      </c>
      <c r="F1731" t="s">
        <v>79</v>
      </c>
      <c r="G1731" t="s">
        <v>230</v>
      </c>
      <c r="H1731">
        <v>2</v>
      </c>
      <c r="I1731" s="3">
        <v>33.6</v>
      </c>
      <c r="J1731" t="s">
        <v>255</v>
      </c>
      <c r="K1731" t="s">
        <v>40</v>
      </c>
      <c r="L1731" s="4">
        <f>Table4[[#This Row],[quantity]]*Table4[[#This Row],[unit_price]]</f>
        <v>67.2</v>
      </c>
      <c r="M1731">
        <f>COUNTIFS($C$2:$C$3934,Table4[[#This Row],[customer_id]])</f>
        <v>10</v>
      </c>
      <c r="N1731" t="str">
        <f>IF(Table4[[#This Row],[customer_order_count]]=1,"New Customer","Repeat Customer")</f>
        <v>Repeat Customer</v>
      </c>
    </row>
    <row r="1732" spans="1:14">
      <c r="A1732" t="s">
        <v>1256</v>
      </c>
      <c r="B1732" s="1">
        <v>45213</v>
      </c>
      <c r="C1732" t="s">
        <v>1257</v>
      </c>
      <c r="D1732" t="s">
        <v>917</v>
      </c>
      <c r="E1732" t="s">
        <v>21</v>
      </c>
      <c r="F1732" t="s">
        <v>66</v>
      </c>
      <c r="G1732" t="s">
        <v>217</v>
      </c>
      <c r="H1732">
        <v>2</v>
      </c>
      <c r="I1732" s="3">
        <v>33.61</v>
      </c>
      <c r="J1732" t="s">
        <v>16</v>
      </c>
      <c r="K1732" t="s">
        <v>30</v>
      </c>
      <c r="L1732" s="4">
        <f>Table4[[#This Row],[quantity]]*Table4[[#This Row],[unit_price]]</f>
        <v>67.22</v>
      </c>
      <c r="M1732">
        <f>COUNTIFS($C$2:$C$3934,Table4[[#This Row],[customer_id]])</f>
        <v>6</v>
      </c>
      <c r="N1732" t="str">
        <f>IF(Table4[[#This Row],[customer_order_count]]=1,"New Customer","Repeat Customer")</f>
        <v>Repeat Customer</v>
      </c>
    </row>
    <row r="1733" spans="1:14">
      <c r="A1733" t="s">
        <v>4548</v>
      </c>
      <c r="B1733" s="1">
        <v>45491</v>
      </c>
      <c r="C1733" t="s">
        <v>971</v>
      </c>
      <c r="D1733" t="s">
        <v>569</v>
      </c>
      <c r="E1733" t="s">
        <v>21</v>
      </c>
      <c r="F1733" t="s">
        <v>56</v>
      </c>
      <c r="G1733" t="s">
        <v>57</v>
      </c>
      <c r="H1733">
        <v>2</v>
      </c>
      <c r="I1733" s="3">
        <v>33.659999999999997</v>
      </c>
      <c r="J1733" t="s">
        <v>16</v>
      </c>
      <c r="K1733" t="s">
        <v>17</v>
      </c>
      <c r="L1733" s="4">
        <f>Table4[[#This Row],[quantity]]*Table4[[#This Row],[unit_price]]</f>
        <v>67.319999999999993</v>
      </c>
      <c r="M1733">
        <f>COUNTIFS($C$2:$C$3934,Table4[[#This Row],[customer_id]])</f>
        <v>7</v>
      </c>
      <c r="N1733" t="str">
        <f>IF(Table4[[#This Row],[customer_order_count]]=1,"New Customer","Repeat Customer")</f>
        <v>Repeat Customer</v>
      </c>
    </row>
    <row r="1734" spans="1:14">
      <c r="A1734" t="s">
        <v>3147</v>
      </c>
      <c r="B1734" s="1">
        <v>45401</v>
      </c>
      <c r="C1734" t="s">
        <v>1713</v>
      </c>
      <c r="D1734" t="s">
        <v>1714</v>
      </c>
      <c r="E1734" t="s">
        <v>21</v>
      </c>
      <c r="F1734" t="s">
        <v>28</v>
      </c>
      <c r="G1734" t="s">
        <v>139</v>
      </c>
      <c r="H1734">
        <v>3</v>
      </c>
      <c r="I1734" s="3">
        <v>33.659999999999997</v>
      </c>
      <c r="J1734" t="s">
        <v>16</v>
      </c>
      <c r="K1734" t="s">
        <v>17</v>
      </c>
      <c r="L1734" s="4">
        <f>Table4[[#This Row],[quantity]]*Table4[[#This Row],[unit_price]]</f>
        <v>100.97999999999999</v>
      </c>
      <c r="M1734">
        <f>COUNTIFS($C$2:$C$3934,Table4[[#This Row],[customer_id]])</f>
        <v>4</v>
      </c>
      <c r="N1734" t="str">
        <f>IF(Table4[[#This Row],[customer_order_count]]=1,"New Customer","Repeat Customer")</f>
        <v>Repeat Customer</v>
      </c>
    </row>
    <row r="1735" spans="1:14">
      <c r="A1735" t="s">
        <v>3489</v>
      </c>
      <c r="B1735" s="1">
        <v>45411</v>
      </c>
      <c r="C1735" t="s">
        <v>1926</v>
      </c>
      <c r="D1735" t="s">
        <v>1017</v>
      </c>
      <c r="E1735" t="s">
        <v>21</v>
      </c>
      <c r="F1735" t="s">
        <v>66</v>
      </c>
      <c r="G1735" t="s">
        <v>217</v>
      </c>
      <c r="H1735">
        <v>5</v>
      </c>
      <c r="I1735" s="3">
        <v>33.69</v>
      </c>
      <c r="J1735" t="s">
        <v>16</v>
      </c>
      <c r="K1735" t="s">
        <v>17</v>
      </c>
      <c r="L1735" s="4">
        <f>Table4[[#This Row],[quantity]]*Table4[[#This Row],[unit_price]]</f>
        <v>168.45</v>
      </c>
      <c r="M1735">
        <f>COUNTIFS($C$2:$C$3934,Table4[[#This Row],[customer_id]])</f>
        <v>4</v>
      </c>
      <c r="N1735" t="str">
        <f>IF(Table4[[#This Row],[customer_order_count]]=1,"New Customer","Repeat Customer")</f>
        <v>Repeat Customer</v>
      </c>
    </row>
    <row r="1736" spans="1:14">
      <c r="A1736" t="s">
        <v>2276</v>
      </c>
      <c r="B1736" s="1">
        <v>45571</v>
      </c>
      <c r="C1736" t="s">
        <v>2277</v>
      </c>
      <c r="D1736" t="s">
        <v>1440</v>
      </c>
      <c r="E1736" t="s">
        <v>44</v>
      </c>
      <c r="F1736" t="s">
        <v>70</v>
      </c>
      <c r="G1736" t="s">
        <v>89</v>
      </c>
      <c r="H1736">
        <v>2</v>
      </c>
      <c r="I1736" s="3">
        <v>33.71</v>
      </c>
      <c r="J1736" t="s">
        <v>85</v>
      </c>
      <c r="K1736" t="s">
        <v>40</v>
      </c>
      <c r="L1736" s="4">
        <f>Table4[[#This Row],[quantity]]*Table4[[#This Row],[unit_price]]</f>
        <v>67.42</v>
      </c>
      <c r="M1736">
        <f>COUNTIFS($C$2:$C$3934,Table4[[#This Row],[customer_id]])</f>
        <v>4</v>
      </c>
      <c r="N1736" t="str">
        <f>IF(Table4[[#This Row],[customer_order_count]]=1,"New Customer","Repeat Customer")</f>
        <v>Repeat Customer</v>
      </c>
    </row>
    <row r="1737" spans="1:14">
      <c r="A1737" t="s">
        <v>2218</v>
      </c>
      <c r="B1737" s="1">
        <v>45366</v>
      </c>
      <c r="C1737" t="s">
        <v>2219</v>
      </c>
      <c r="D1737" t="s">
        <v>414</v>
      </c>
      <c r="E1737" t="s">
        <v>44</v>
      </c>
      <c r="F1737" t="s">
        <v>66</v>
      </c>
      <c r="G1737" t="s">
        <v>128</v>
      </c>
      <c r="H1737">
        <v>1</v>
      </c>
      <c r="I1737" s="3">
        <v>33.78</v>
      </c>
      <c r="J1737" t="s">
        <v>85</v>
      </c>
      <c r="K1737" t="s">
        <v>40</v>
      </c>
      <c r="L1737" s="4">
        <f>Table4[[#This Row],[quantity]]*Table4[[#This Row],[unit_price]]</f>
        <v>33.78</v>
      </c>
      <c r="M1737">
        <f>COUNTIFS($C$2:$C$3934,Table4[[#This Row],[customer_id]])</f>
        <v>4</v>
      </c>
      <c r="N1737" t="str">
        <f>IF(Table4[[#This Row],[customer_order_count]]=1,"New Customer","Repeat Customer")</f>
        <v>Repeat Customer</v>
      </c>
    </row>
    <row r="1738" spans="1:14">
      <c r="A1738" t="s">
        <v>4317</v>
      </c>
      <c r="B1738" s="1">
        <v>45365</v>
      </c>
      <c r="C1738" t="s">
        <v>1537</v>
      </c>
      <c r="D1738" t="s">
        <v>1179</v>
      </c>
      <c r="E1738" t="s">
        <v>21</v>
      </c>
      <c r="F1738" t="s">
        <v>22</v>
      </c>
      <c r="G1738" t="s">
        <v>264</v>
      </c>
      <c r="H1738">
        <v>4</v>
      </c>
      <c r="I1738" s="3">
        <v>33.78</v>
      </c>
      <c r="J1738" t="s">
        <v>16</v>
      </c>
      <c r="K1738" t="s">
        <v>30</v>
      </c>
      <c r="L1738" s="4">
        <f>Table4[[#This Row],[quantity]]*Table4[[#This Row],[unit_price]]</f>
        <v>135.12</v>
      </c>
      <c r="M1738">
        <f>COUNTIFS($C$2:$C$3934,Table4[[#This Row],[customer_id]])</f>
        <v>4</v>
      </c>
      <c r="N1738" t="str">
        <f>IF(Table4[[#This Row],[customer_order_count]]=1,"New Customer","Repeat Customer")</f>
        <v>Repeat Customer</v>
      </c>
    </row>
    <row r="1739" spans="1:14">
      <c r="A1739" t="s">
        <v>4122</v>
      </c>
      <c r="B1739" s="1">
        <v>45393</v>
      </c>
      <c r="C1739" t="s">
        <v>2041</v>
      </c>
      <c r="D1739" t="s">
        <v>1203</v>
      </c>
      <c r="E1739" t="s">
        <v>44</v>
      </c>
      <c r="F1739" t="s">
        <v>66</v>
      </c>
      <c r="G1739" t="s">
        <v>217</v>
      </c>
      <c r="H1739">
        <v>1</v>
      </c>
      <c r="I1739" s="3">
        <v>33.799999999999997</v>
      </c>
      <c r="J1739" t="s">
        <v>255</v>
      </c>
      <c r="K1739" t="s">
        <v>40</v>
      </c>
      <c r="L1739" s="4">
        <f>Table4[[#This Row],[quantity]]*Table4[[#This Row],[unit_price]]</f>
        <v>33.799999999999997</v>
      </c>
      <c r="M1739">
        <f>COUNTIFS($C$2:$C$3934,Table4[[#This Row],[customer_id]])</f>
        <v>3</v>
      </c>
      <c r="N1739" t="str">
        <f>IF(Table4[[#This Row],[customer_order_count]]=1,"New Customer","Repeat Customer")</f>
        <v>Repeat Customer</v>
      </c>
    </row>
    <row r="1740" spans="1:14">
      <c r="A1740" t="s">
        <v>557</v>
      </c>
      <c r="B1740" s="1">
        <v>45575</v>
      </c>
      <c r="C1740" t="s">
        <v>488</v>
      </c>
      <c r="D1740" t="s">
        <v>52</v>
      </c>
      <c r="E1740" t="s">
        <v>21</v>
      </c>
      <c r="F1740" t="s">
        <v>14</v>
      </c>
      <c r="G1740" t="s">
        <v>62</v>
      </c>
      <c r="H1740">
        <v>4</v>
      </c>
      <c r="I1740" s="3">
        <v>33.83</v>
      </c>
      <c r="J1740" t="s">
        <v>16</v>
      </c>
      <c r="K1740" t="s">
        <v>35</v>
      </c>
      <c r="L1740" s="4">
        <f>Table4[[#This Row],[quantity]]*Table4[[#This Row],[unit_price]]</f>
        <v>135.32</v>
      </c>
      <c r="M1740">
        <f>COUNTIFS($C$2:$C$3934,Table4[[#This Row],[customer_id]])</f>
        <v>4</v>
      </c>
      <c r="N1740" t="str">
        <f>IF(Table4[[#This Row],[customer_order_count]]=1,"New Customer","Repeat Customer")</f>
        <v>Repeat Customer</v>
      </c>
    </row>
    <row r="1741" spans="1:14">
      <c r="A1741" t="s">
        <v>1668</v>
      </c>
      <c r="B1741" s="1">
        <v>45541</v>
      </c>
      <c r="C1741" t="s">
        <v>498</v>
      </c>
      <c r="D1741" t="s">
        <v>499</v>
      </c>
      <c r="E1741" t="s">
        <v>21</v>
      </c>
      <c r="F1741" t="s">
        <v>22</v>
      </c>
      <c r="G1741" t="s">
        <v>264</v>
      </c>
      <c r="H1741">
        <v>1</v>
      </c>
      <c r="I1741" s="3">
        <v>33.840000000000003</v>
      </c>
      <c r="J1741" t="s">
        <v>16</v>
      </c>
      <c r="K1741" t="s">
        <v>40</v>
      </c>
      <c r="L1741" s="4">
        <f>Table4[[#This Row],[quantity]]*Table4[[#This Row],[unit_price]]</f>
        <v>33.840000000000003</v>
      </c>
      <c r="M1741">
        <f>COUNTIFS($C$2:$C$3934,Table4[[#This Row],[customer_id]])</f>
        <v>4</v>
      </c>
      <c r="N1741" t="str">
        <f>IF(Table4[[#This Row],[customer_order_count]]=1,"New Customer","Repeat Customer")</f>
        <v>Repeat Customer</v>
      </c>
    </row>
    <row r="1742" spans="1:14">
      <c r="A1742" t="s">
        <v>1373</v>
      </c>
      <c r="B1742" s="1">
        <v>45466</v>
      </c>
      <c r="C1742" t="s">
        <v>1374</v>
      </c>
      <c r="D1742" t="s">
        <v>1000</v>
      </c>
      <c r="E1742" t="s">
        <v>21</v>
      </c>
      <c r="F1742" t="s">
        <v>56</v>
      </c>
      <c r="G1742" t="s">
        <v>57</v>
      </c>
      <c r="H1742">
        <v>2</v>
      </c>
      <c r="I1742" s="3">
        <v>33.840000000000003</v>
      </c>
      <c r="J1742" t="s">
        <v>16</v>
      </c>
      <c r="K1742" t="s">
        <v>30</v>
      </c>
      <c r="L1742" s="4">
        <f>Table4[[#This Row],[quantity]]*Table4[[#This Row],[unit_price]]</f>
        <v>67.680000000000007</v>
      </c>
      <c r="M1742">
        <f>COUNTIFS($C$2:$C$3934,Table4[[#This Row],[customer_id]])</f>
        <v>6</v>
      </c>
      <c r="N1742" t="str">
        <f>IF(Table4[[#This Row],[customer_order_count]]=1,"New Customer","Repeat Customer")</f>
        <v>Repeat Customer</v>
      </c>
    </row>
    <row r="1743" spans="1:14">
      <c r="A1743" t="s">
        <v>3562</v>
      </c>
      <c r="B1743" s="1">
        <v>45580</v>
      </c>
      <c r="C1743" t="s">
        <v>3432</v>
      </c>
      <c r="D1743" t="s">
        <v>582</v>
      </c>
      <c r="E1743" t="s">
        <v>44</v>
      </c>
      <c r="F1743" t="s">
        <v>22</v>
      </c>
      <c r="G1743" t="s">
        <v>135</v>
      </c>
      <c r="H1743">
        <v>1</v>
      </c>
      <c r="I1743" s="3">
        <v>33.86</v>
      </c>
      <c r="J1743" t="s">
        <v>16</v>
      </c>
      <c r="K1743" t="s">
        <v>30</v>
      </c>
      <c r="L1743" s="4">
        <f>Table4[[#This Row],[quantity]]*Table4[[#This Row],[unit_price]]</f>
        <v>33.86</v>
      </c>
      <c r="M1743">
        <f>COUNTIFS($C$2:$C$3934,Table4[[#This Row],[customer_id]])</f>
        <v>4</v>
      </c>
      <c r="N1743" t="str">
        <f>IF(Table4[[#This Row],[customer_order_count]]=1,"New Customer","Repeat Customer")</f>
        <v>Repeat Customer</v>
      </c>
    </row>
    <row r="1744" spans="1:14">
      <c r="A1744" t="s">
        <v>41</v>
      </c>
      <c r="B1744" s="1">
        <v>45522</v>
      </c>
      <c r="C1744" t="s">
        <v>42</v>
      </c>
      <c r="D1744" t="s">
        <v>43</v>
      </c>
      <c r="E1744" t="s">
        <v>21</v>
      </c>
      <c r="F1744" t="s">
        <v>28</v>
      </c>
      <c r="G1744" t="s">
        <v>45</v>
      </c>
      <c r="H1744">
        <v>1</v>
      </c>
      <c r="I1744" s="3">
        <v>33.880000000000003</v>
      </c>
      <c r="J1744" t="s">
        <v>16</v>
      </c>
      <c r="K1744" t="s">
        <v>30</v>
      </c>
      <c r="L1744" s="4">
        <f>Table4[[#This Row],[quantity]]*Table4[[#This Row],[unit_price]]</f>
        <v>33.880000000000003</v>
      </c>
      <c r="M1744">
        <f>COUNTIFS($C$2:$C$3934,Table4[[#This Row],[customer_id]])</f>
        <v>8</v>
      </c>
      <c r="N1744" t="str">
        <f>IF(Table4[[#This Row],[customer_order_count]]=1,"New Customer","Repeat Customer")</f>
        <v>Repeat Customer</v>
      </c>
    </row>
    <row r="1745" spans="1:14">
      <c r="A1745" t="s">
        <v>1009</v>
      </c>
      <c r="B1745" s="1">
        <v>45258</v>
      </c>
      <c r="C1745" t="s">
        <v>1010</v>
      </c>
      <c r="D1745" t="s">
        <v>566</v>
      </c>
      <c r="E1745" t="s">
        <v>44</v>
      </c>
      <c r="F1745" t="s">
        <v>22</v>
      </c>
      <c r="G1745" t="s">
        <v>135</v>
      </c>
      <c r="H1745">
        <v>2</v>
      </c>
      <c r="I1745" s="3">
        <v>33.880000000000003</v>
      </c>
      <c r="J1745" t="s">
        <v>16</v>
      </c>
      <c r="K1745" t="s">
        <v>17</v>
      </c>
      <c r="L1745" s="4">
        <f>Table4[[#This Row],[quantity]]*Table4[[#This Row],[unit_price]]</f>
        <v>67.760000000000005</v>
      </c>
      <c r="M1745">
        <f>COUNTIFS($C$2:$C$3934,Table4[[#This Row],[customer_id]])</f>
        <v>5</v>
      </c>
      <c r="N1745" t="str">
        <f>IF(Table4[[#This Row],[customer_order_count]]=1,"New Customer","Repeat Customer")</f>
        <v>Repeat Customer</v>
      </c>
    </row>
    <row r="1746" spans="1:14">
      <c r="A1746" t="s">
        <v>923</v>
      </c>
      <c r="B1746" s="1">
        <v>45076</v>
      </c>
      <c r="C1746" t="s">
        <v>663</v>
      </c>
      <c r="D1746" t="s">
        <v>48</v>
      </c>
      <c r="E1746" t="s">
        <v>21</v>
      </c>
      <c r="F1746" t="s">
        <v>79</v>
      </c>
      <c r="G1746" t="s">
        <v>230</v>
      </c>
      <c r="H1746">
        <v>2</v>
      </c>
      <c r="I1746" s="3">
        <v>33.9</v>
      </c>
      <c r="J1746" t="s">
        <v>85</v>
      </c>
      <c r="K1746" t="s">
        <v>40</v>
      </c>
      <c r="L1746" s="4">
        <f>Table4[[#This Row],[quantity]]*Table4[[#This Row],[unit_price]]</f>
        <v>67.8</v>
      </c>
      <c r="M1746">
        <f>COUNTIFS($C$2:$C$3934,Table4[[#This Row],[customer_id]])</f>
        <v>9</v>
      </c>
      <c r="N1746" t="str">
        <f>IF(Table4[[#This Row],[customer_order_count]]=1,"New Customer","Repeat Customer")</f>
        <v>Repeat Customer</v>
      </c>
    </row>
    <row r="1747" spans="1:14">
      <c r="A1747" t="s">
        <v>4961</v>
      </c>
      <c r="B1747" s="1">
        <v>45474</v>
      </c>
      <c r="C1747" t="s">
        <v>1624</v>
      </c>
      <c r="D1747" t="s">
        <v>1625</v>
      </c>
      <c r="E1747" t="s">
        <v>21</v>
      </c>
      <c r="F1747" t="s">
        <v>14</v>
      </c>
      <c r="G1747" t="s">
        <v>100</v>
      </c>
      <c r="H1747">
        <v>1</v>
      </c>
      <c r="I1747" s="3">
        <v>33.909999999999997</v>
      </c>
      <c r="J1747" t="s">
        <v>16</v>
      </c>
      <c r="K1747" t="s">
        <v>17</v>
      </c>
      <c r="L1747" s="4">
        <f>Table4[[#This Row],[quantity]]*Table4[[#This Row],[unit_price]]</f>
        <v>33.909999999999997</v>
      </c>
      <c r="M1747">
        <f>COUNTIFS($C$2:$C$3934,Table4[[#This Row],[customer_id]])</f>
        <v>8</v>
      </c>
      <c r="N1747" t="str">
        <f>IF(Table4[[#This Row],[customer_order_count]]=1,"New Customer","Repeat Customer")</f>
        <v>Repeat Customer</v>
      </c>
    </row>
    <row r="1748" spans="1:14">
      <c r="A1748" t="s">
        <v>4703</v>
      </c>
      <c r="B1748" s="1">
        <v>45053</v>
      </c>
      <c r="C1748" t="s">
        <v>19</v>
      </c>
      <c r="D1748" t="s">
        <v>20</v>
      </c>
      <c r="E1748" t="s">
        <v>21</v>
      </c>
      <c r="F1748" t="s">
        <v>66</v>
      </c>
      <c r="G1748" t="s">
        <v>49</v>
      </c>
      <c r="H1748">
        <v>2</v>
      </c>
      <c r="I1748" s="3">
        <v>33.92</v>
      </c>
      <c r="J1748" t="s">
        <v>16</v>
      </c>
      <c r="K1748" t="s">
        <v>17</v>
      </c>
      <c r="L1748" s="4">
        <f>Table4[[#This Row],[quantity]]*Table4[[#This Row],[unit_price]]</f>
        <v>67.84</v>
      </c>
      <c r="M1748">
        <f>COUNTIFS($C$2:$C$3934,Table4[[#This Row],[customer_id]])</f>
        <v>3</v>
      </c>
      <c r="N1748" t="str">
        <f>IF(Table4[[#This Row],[customer_order_count]]=1,"New Customer","Repeat Customer")</f>
        <v>Repeat Customer</v>
      </c>
    </row>
    <row r="1749" spans="1:14">
      <c r="A1749" t="s">
        <v>748</v>
      </c>
      <c r="B1749" s="1">
        <v>45552</v>
      </c>
      <c r="C1749" t="s">
        <v>749</v>
      </c>
      <c r="D1749" t="s">
        <v>750</v>
      </c>
      <c r="E1749" t="s">
        <v>21</v>
      </c>
      <c r="F1749" t="s">
        <v>28</v>
      </c>
      <c r="G1749" t="s">
        <v>139</v>
      </c>
      <c r="H1749">
        <v>3</v>
      </c>
      <c r="I1749" s="3">
        <v>33.92</v>
      </c>
      <c r="J1749" t="s">
        <v>16</v>
      </c>
      <c r="K1749" t="s">
        <v>17</v>
      </c>
      <c r="L1749" s="4">
        <f>Table4[[#This Row],[quantity]]*Table4[[#This Row],[unit_price]]</f>
        <v>101.76</v>
      </c>
      <c r="M1749">
        <f>COUNTIFS($C$2:$C$3934,Table4[[#This Row],[customer_id]])</f>
        <v>2</v>
      </c>
      <c r="N1749" t="str">
        <f>IF(Table4[[#This Row],[customer_order_count]]=1,"New Customer","Repeat Customer")</f>
        <v>Repeat Customer</v>
      </c>
    </row>
    <row r="1750" spans="1:14">
      <c r="A1750" t="s">
        <v>4248</v>
      </c>
      <c r="B1750" s="1">
        <v>45197</v>
      </c>
      <c r="C1750" t="s">
        <v>1996</v>
      </c>
      <c r="D1750" t="s">
        <v>714</v>
      </c>
      <c r="E1750" t="s">
        <v>44</v>
      </c>
      <c r="F1750" t="s">
        <v>79</v>
      </c>
      <c r="G1750" t="s">
        <v>230</v>
      </c>
      <c r="H1750">
        <v>1</v>
      </c>
      <c r="I1750" s="3">
        <v>33.94</v>
      </c>
      <c r="J1750" t="s">
        <v>16</v>
      </c>
      <c r="K1750" t="s">
        <v>17</v>
      </c>
      <c r="L1750" s="4">
        <f>Table4[[#This Row],[quantity]]*Table4[[#This Row],[unit_price]]</f>
        <v>33.94</v>
      </c>
      <c r="M1750">
        <f>COUNTIFS($C$2:$C$3934,Table4[[#This Row],[customer_id]])</f>
        <v>3</v>
      </c>
      <c r="N1750" t="str">
        <f>IF(Table4[[#This Row],[customer_order_count]]=1,"New Customer","Repeat Customer")</f>
        <v>Repeat Customer</v>
      </c>
    </row>
    <row r="1751" spans="1:14">
      <c r="A1751" t="s">
        <v>2519</v>
      </c>
      <c r="B1751" s="1">
        <v>45195</v>
      </c>
      <c r="C1751" t="s">
        <v>1384</v>
      </c>
      <c r="D1751" t="s">
        <v>828</v>
      </c>
      <c r="E1751" t="s">
        <v>21</v>
      </c>
      <c r="F1751" t="s">
        <v>22</v>
      </c>
      <c r="G1751" t="s">
        <v>23</v>
      </c>
      <c r="H1751">
        <v>1</v>
      </c>
      <c r="I1751" s="3">
        <v>33.97</v>
      </c>
      <c r="J1751" t="s">
        <v>16</v>
      </c>
      <c r="K1751" t="s">
        <v>30</v>
      </c>
      <c r="L1751" s="4">
        <f>Table4[[#This Row],[quantity]]*Table4[[#This Row],[unit_price]]</f>
        <v>33.97</v>
      </c>
      <c r="M1751">
        <f>COUNTIFS($C$2:$C$3934,Table4[[#This Row],[customer_id]])</f>
        <v>4</v>
      </c>
      <c r="N1751" t="str">
        <f>IF(Table4[[#This Row],[customer_order_count]]=1,"New Customer","Repeat Customer")</f>
        <v>Repeat Customer</v>
      </c>
    </row>
    <row r="1752" spans="1:14">
      <c r="A1752" t="s">
        <v>1654</v>
      </c>
      <c r="B1752" s="1">
        <v>45351</v>
      </c>
      <c r="C1752" t="s">
        <v>19</v>
      </c>
      <c r="D1752" t="s">
        <v>20</v>
      </c>
      <c r="E1752" t="s">
        <v>21</v>
      </c>
      <c r="F1752" t="s">
        <v>14</v>
      </c>
      <c r="G1752" t="s">
        <v>15</v>
      </c>
      <c r="H1752">
        <v>1</v>
      </c>
      <c r="I1752" s="3">
        <v>34</v>
      </c>
      <c r="J1752" t="s">
        <v>85</v>
      </c>
      <c r="K1752" t="s">
        <v>17</v>
      </c>
      <c r="L1752" s="4">
        <f>Table4[[#This Row],[quantity]]*Table4[[#This Row],[unit_price]]</f>
        <v>34</v>
      </c>
      <c r="M1752">
        <f>COUNTIFS($C$2:$C$3934,Table4[[#This Row],[customer_id]])</f>
        <v>3</v>
      </c>
      <c r="N1752" t="str">
        <f>IF(Table4[[#This Row],[customer_order_count]]=1,"New Customer","Repeat Customer")</f>
        <v>Repeat Customer</v>
      </c>
    </row>
    <row r="1753" spans="1:14">
      <c r="A1753" t="s">
        <v>4067</v>
      </c>
      <c r="B1753" s="1">
        <v>45156</v>
      </c>
      <c r="C1753" t="s">
        <v>687</v>
      </c>
      <c r="D1753" t="s">
        <v>612</v>
      </c>
      <c r="E1753" t="s">
        <v>21</v>
      </c>
      <c r="F1753" t="s">
        <v>22</v>
      </c>
      <c r="G1753" t="s">
        <v>135</v>
      </c>
      <c r="H1753">
        <v>1</v>
      </c>
      <c r="I1753" s="3">
        <v>34.013539823008841</v>
      </c>
      <c r="J1753" t="s">
        <v>16</v>
      </c>
      <c r="K1753" t="s">
        <v>40</v>
      </c>
      <c r="L1753" s="4">
        <f>Table4[[#This Row],[quantity]]*Table4[[#This Row],[unit_price]]</f>
        <v>34.013539823008841</v>
      </c>
      <c r="M1753">
        <f>COUNTIFS($C$2:$C$3934,Table4[[#This Row],[customer_id]])</f>
        <v>4</v>
      </c>
      <c r="N1753" t="str">
        <f>IF(Table4[[#This Row],[customer_order_count]]=1,"New Customer","Repeat Customer")</f>
        <v>Repeat Customer</v>
      </c>
    </row>
    <row r="1754" spans="1:14">
      <c r="A1754" t="s">
        <v>3105</v>
      </c>
      <c r="B1754" s="1">
        <v>45518</v>
      </c>
      <c r="C1754" t="s">
        <v>1631</v>
      </c>
      <c r="D1754" t="s">
        <v>403</v>
      </c>
      <c r="E1754" t="s">
        <v>21</v>
      </c>
      <c r="F1754" t="s">
        <v>22</v>
      </c>
      <c r="G1754" t="s">
        <v>135</v>
      </c>
      <c r="H1754">
        <v>1</v>
      </c>
      <c r="I1754" s="3">
        <v>34.013539823008841</v>
      </c>
      <c r="J1754" t="s">
        <v>16</v>
      </c>
      <c r="K1754" t="s">
        <v>30</v>
      </c>
      <c r="L1754" s="4">
        <f>Table4[[#This Row],[quantity]]*Table4[[#This Row],[unit_price]]</f>
        <v>34.013539823008841</v>
      </c>
      <c r="M1754">
        <f>COUNTIFS($C$2:$C$3934,Table4[[#This Row],[customer_id]])</f>
        <v>7</v>
      </c>
      <c r="N1754" t="str">
        <f>IF(Table4[[#This Row],[customer_order_count]]=1,"New Customer","Repeat Customer")</f>
        <v>Repeat Customer</v>
      </c>
    </row>
    <row r="1755" spans="1:14">
      <c r="A1755" t="s">
        <v>4551</v>
      </c>
      <c r="B1755" s="1">
        <v>45226</v>
      </c>
      <c r="C1755" t="s">
        <v>616</v>
      </c>
      <c r="D1755" t="s">
        <v>617</v>
      </c>
      <c r="E1755" t="s">
        <v>21</v>
      </c>
      <c r="F1755" t="s">
        <v>28</v>
      </c>
      <c r="G1755" t="s">
        <v>114</v>
      </c>
      <c r="H1755">
        <v>3</v>
      </c>
      <c r="I1755" s="3">
        <v>34.049999999999997</v>
      </c>
      <c r="J1755" t="s">
        <v>85</v>
      </c>
      <c r="K1755" t="s">
        <v>30</v>
      </c>
      <c r="L1755" s="4">
        <f>Table4[[#This Row],[quantity]]*Table4[[#This Row],[unit_price]]</f>
        <v>102.14999999999999</v>
      </c>
      <c r="M1755">
        <f>COUNTIFS($C$2:$C$3934,Table4[[#This Row],[customer_id]])</f>
        <v>5</v>
      </c>
      <c r="N1755" t="str">
        <f>IF(Table4[[#This Row],[customer_order_count]]=1,"New Customer","Repeat Customer")</f>
        <v>Repeat Customer</v>
      </c>
    </row>
    <row r="1756" spans="1:14">
      <c r="A1756" t="s">
        <v>2692</v>
      </c>
      <c r="B1756" s="1">
        <v>45137</v>
      </c>
      <c r="C1756" t="s">
        <v>2376</v>
      </c>
      <c r="D1756" t="s">
        <v>1818</v>
      </c>
      <c r="E1756" t="s">
        <v>44</v>
      </c>
      <c r="F1756" t="s">
        <v>66</v>
      </c>
      <c r="G1756" t="s">
        <v>67</v>
      </c>
      <c r="H1756">
        <v>1</v>
      </c>
      <c r="I1756" s="3">
        <v>34.090000000000003</v>
      </c>
      <c r="J1756" t="s">
        <v>24</v>
      </c>
      <c r="K1756" t="s">
        <v>30</v>
      </c>
      <c r="L1756" s="4">
        <f>Table4[[#This Row],[quantity]]*Table4[[#This Row],[unit_price]]</f>
        <v>34.090000000000003</v>
      </c>
      <c r="M1756">
        <f>COUNTIFS($C$2:$C$3934,Table4[[#This Row],[customer_id]])</f>
        <v>4</v>
      </c>
      <c r="N1756" t="str">
        <f>IF(Table4[[#This Row],[customer_order_count]]=1,"New Customer","Repeat Customer")</f>
        <v>Repeat Customer</v>
      </c>
    </row>
    <row r="1757" spans="1:14">
      <c r="A1757" t="s">
        <v>4605</v>
      </c>
      <c r="B1757" s="1">
        <v>45235</v>
      </c>
      <c r="C1757" t="s">
        <v>633</v>
      </c>
      <c r="D1757" t="s">
        <v>634</v>
      </c>
      <c r="E1757" t="s">
        <v>21</v>
      </c>
      <c r="F1757" t="s">
        <v>22</v>
      </c>
      <c r="G1757" t="s">
        <v>162</v>
      </c>
      <c r="H1757">
        <v>1</v>
      </c>
      <c r="I1757" s="3">
        <v>34.130000000000003</v>
      </c>
      <c r="J1757" t="s">
        <v>16</v>
      </c>
      <c r="K1757" t="s">
        <v>30</v>
      </c>
      <c r="L1757" s="4">
        <f>Table4[[#This Row],[quantity]]*Table4[[#This Row],[unit_price]]</f>
        <v>34.130000000000003</v>
      </c>
      <c r="M1757">
        <f>COUNTIFS($C$2:$C$3934,Table4[[#This Row],[customer_id]])</f>
        <v>4</v>
      </c>
      <c r="N1757" t="str">
        <f>IF(Table4[[#This Row],[customer_order_count]]=1,"New Customer","Repeat Customer")</f>
        <v>Repeat Customer</v>
      </c>
    </row>
    <row r="1758" spans="1:14">
      <c r="A1758" t="s">
        <v>4148</v>
      </c>
      <c r="B1758" s="1">
        <v>45094</v>
      </c>
      <c r="C1758" t="s">
        <v>501</v>
      </c>
      <c r="D1758" t="s">
        <v>502</v>
      </c>
      <c r="E1758" t="s">
        <v>21</v>
      </c>
      <c r="F1758" t="s">
        <v>79</v>
      </c>
      <c r="G1758" t="s">
        <v>200</v>
      </c>
      <c r="H1758">
        <v>2</v>
      </c>
      <c r="I1758" s="3">
        <v>34.14</v>
      </c>
      <c r="J1758" t="s">
        <v>16</v>
      </c>
      <c r="K1758" t="s">
        <v>30</v>
      </c>
      <c r="L1758" s="4">
        <f>Table4[[#This Row],[quantity]]*Table4[[#This Row],[unit_price]]</f>
        <v>68.28</v>
      </c>
      <c r="M1758">
        <f>COUNTIFS($C$2:$C$3934,Table4[[#This Row],[customer_id]])</f>
        <v>6</v>
      </c>
      <c r="N1758" t="str">
        <f>IF(Table4[[#This Row],[customer_order_count]]=1,"New Customer","Repeat Customer")</f>
        <v>Repeat Customer</v>
      </c>
    </row>
    <row r="1759" spans="1:14">
      <c r="A1759" t="s">
        <v>3205</v>
      </c>
      <c r="B1759" s="1">
        <v>45436</v>
      </c>
      <c r="C1759" t="s">
        <v>1585</v>
      </c>
      <c r="D1759" t="s">
        <v>48</v>
      </c>
      <c r="E1759" t="s">
        <v>44</v>
      </c>
      <c r="F1759" t="s">
        <v>22</v>
      </c>
      <c r="G1759" t="s">
        <v>264</v>
      </c>
      <c r="H1759">
        <v>1</v>
      </c>
      <c r="I1759" s="3">
        <v>34.17</v>
      </c>
      <c r="J1759" t="s">
        <v>16</v>
      </c>
      <c r="K1759" t="s">
        <v>35</v>
      </c>
      <c r="L1759" s="4">
        <f>Table4[[#This Row],[quantity]]*Table4[[#This Row],[unit_price]]</f>
        <v>34.17</v>
      </c>
      <c r="M1759">
        <f>COUNTIFS($C$2:$C$3934,Table4[[#This Row],[customer_id]])</f>
        <v>4</v>
      </c>
      <c r="N1759" t="str">
        <f>IF(Table4[[#This Row],[customer_order_count]]=1,"New Customer","Repeat Customer")</f>
        <v>Repeat Customer</v>
      </c>
    </row>
    <row r="1760" spans="1:14">
      <c r="A1760" t="s">
        <v>2879</v>
      </c>
      <c r="B1760" s="1">
        <v>45620</v>
      </c>
      <c r="C1760" t="s">
        <v>1120</v>
      </c>
      <c r="D1760" t="s">
        <v>1121</v>
      </c>
      <c r="E1760" t="s">
        <v>21</v>
      </c>
      <c r="F1760" t="s">
        <v>66</v>
      </c>
      <c r="G1760" t="s">
        <v>217</v>
      </c>
      <c r="H1760">
        <v>1</v>
      </c>
      <c r="I1760" s="3">
        <v>34.18</v>
      </c>
      <c r="J1760" t="s">
        <v>16</v>
      </c>
      <c r="K1760" t="s">
        <v>17</v>
      </c>
      <c r="L1760" s="4">
        <f>Table4[[#This Row],[quantity]]*Table4[[#This Row],[unit_price]]</f>
        <v>34.18</v>
      </c>
      <c r="M1760">
        <f>COUNTIFS($C$2:$C$3934,Table4[[#This Row],[customer_id]])</f>
        <v>4</v>
      </c>
      <c r="N1760" t="str">
        <f>IF(Table4[[#This Row],[customer_order_count]]=1,"New Customer","Repeat Customer")</f>
        <v>Repeat Customer</v>
      </c>
    </row>
    <row r="1761" spans="1:14">
      <c r="A1761" t="s">
        <v>2525</v>
      </c>
      <c r="B1761" s="1">
        <v>45259</v>
      </c>
      <c r="C1761" t="s">
        <v>861</v>
      </c>
      <c r="D1761" t="s">
        <v>787</v>
      </c>
      <c r="E1761" t="s">
        <v>21</v>
      </c>
      <c r="F1761" t="s">
        <v>28</v>
      </c>
      <c r="G1761" t="s">
        <v>29</v>
      </c>
      <c r="H1761">
        <v>1</v>
      </c>
      <c r="I1761" s="3">
        <v>34.18</v>
      </c>
      <c r="J1761" t="s">
        <v>16</v>
      </c>
      <c r="K1761" t="s">
        <v>40</v>
      </c>
      <c r="L1761" s="4">
        <f>Table4[[#This Row],[quantity]]*Table4[[#This Row],[unit_price]]</f>
        <v>34.18</v>
      </c>
      <c r="M1761">
        <f>COUNTIFS($C$2:$C$3934,Table4[[#This Row],[customer_id]])</f>
        <v>9</v>
      </c>
      <c r="N1761" t="str">
        <f>IF(Table4[[#This Row],[customer_order_count]]=1,"New Customer","Repeat Customer")</f>
        <v>Repeat Customer</v>
      </c>
    </row>
    <row r="1762" spans="1:14">
      <c r="A1762" t="s">
        <v>4411</v>
      </c>
      <c r="B1762" s="1">
        <v>45140</v>
      </c>
      <c r="C1762" t="s">
        <v>1047</v>
      </c>
      <c r="D1762" t="s">
        <v>627</v>
      </c>
      <c r="E1762" t="s">
        <v>21</v>
      </c>
      <c r="F1762" t="s">
        <v>22</v>
      </c>
      <c r="G1762" t="s">
        <v>23</v>
      </c>
      <c r="H1762">
        <v>1</v>
      </c>
      <c r="I1762" s="3">
        <v>34.21</v>
      </c>
      <c r="J1762" t="s">
        <v>24</v>
      </c>
      <c r="K1762" t="s">
        <v>17</v>
      </c>
      <c r="L1762" s="4">
        <f>Table4[[#This Row],[quantity]]*Table4[[#This Row],[unit_price]]</f>
        <v>34.21</v>
      </c>
      <c r="M1762">
        <f>COUNTIFS($C$2:$C$3934,Table4[[#This Row],[customer_id]])</f>
        <v>4</v>
      </c>
      <c r="N1762" t="str">
        <f>IF(Table4[[#This Row],[customer_order_count]]=1,"New Customer","Repeat Customer")</f>
        <v>Repeat Customer</v>
      </c>
    </row>
    <row r="1763" spans="1:14">
      <c r="A1763" t="s">
        <v>4785</v>
      </c>
      <c r="B1763" s="1">
        <v>45067</v>
      </c>
      <c r="C1763" t="s">
        <v>1757</v>
      </c>
      <c r="D1763" t="s">
        <v>1758</v>
      </c>
      <c r="E1763" t="s">
        <v>21</v>
      </c>
      <c r="F1763" t="s">
        <v>22</v>
      </c>
      <c r="G1763" t="s">
        <v>23</v>
      </c>
      <c r="H1763">
        <v>1</v>
      </c>
      <c r="I1763" s="3">
        <v>34.22</v>
      </c>
      <c r="J1763" t="s">
        <v>85</v>
      </c>
      <c r="K1763" t="s">
        <v>40</v>
      </c>
      <c r="L1763" s="4">
        <f>Table4[[#This Row],[quantity]]*Table4[[#This Row],[unit_price]]</f>
        <v>34.22</v>
      </c>
      <c r="M1763">
        <f>COUNTIFS($C$2:$C$3934,Table4[[#This Row],[customer_id]])</f>
        <v>9</v>
      </c>
      <c r="N1763" t="str">
        <f>IF(Table4[[#This Row],[customer_order_count]]=1,"New Customer","Repeat Customer")</f>
        <v>Repeat Customer</v>
      </c>
    </row>
    <row r="1764" spans="1:14">
      <c r="A1764" t="s">
        <v>3606</v>
      </c>
      <c r="B1764" s="1">
        <v>45384</v>
      </c>
      <c r="C1764" t="s">
        <v>1042</v>
      </c>
      <c r="D1764" t="s">
        <v>1043</v>
      </c>
      <c r="E1764" t="s">
        <v>21</v>
      </c>
      <c r="F1764" t="s">
        <v>28</v>
      </c>
      <c r="G1764" t="s">
        <v>139</v>
      </c>
      <c r="H1764">
        <v>1</v>
      </c>
      <c r="I1764" s="3">
        <v>34.229999999999997</v>
      </c>
      <c r="J1764" t="s">
        <v>16</v>
      </c>
      <c r="K1764" t="s">
        <v>40</v>
      </c>
      <c r="L1764" s="4">
        <f>Table4[[#This Row],[quantity]]*Table4[[#This Row],[unit_price]]</f>
        <v>34.229999999999997</v>
      </c>
      <c r="M1764">
        <f>COUNTIFS($C$2:$C$3934,Table4[[#This Row],[customer_id]])</f>
        <v>4</v>
      </c>
      <c r="N1764" t="str">
        <f>IF(Table4[[#This Row],[customer_order_count]]=1,"New Customer","Repeat Customer")</f>
        <v>Repeat Customer</v>
      </c>
    </row>
    <row r="1765" spans="1:14">
      <c r="A1765" t="s">
        <v>4572</v>
      </c>
      <c r="B1765" s="1">
        <v>45299</v>
      </c>
      <c r="C1765" t="s">
        <v>1338</v>
      </c>
      <c r="D1765" t="s">
        <v>152</v>
      </c>
      <c r="E1765" t="s">
        <v>21</v>
      </c>
      <c r="F1765" t="s">
        <v>28</v>
      </c>
      <c r="G1765" t="s">
        <v>114</v>
      </c>
      <c r="H1765">
        <v>1</v>
      </c>
      <c r="I1765" s="3">
        <v>34.229999999999997</v>
      </c>
      <c r="J1765" t="s">
        <v>16</v>
      </c>
      <c r="K1765" t="s">
        <v>30</v>
      </c>
      <c r="L1765" s="4">
        <f>Table4[[#This Row],[quantity]]*Table4[[#This Row],[unit_price]]</f>
        <v>34.229999999999997</v>
      </c>
      <c r="M1765">
        <f>COUNTIFS($C$2:$C$3934,Table4[[#This Row],[customer_id]])</f>
        <v>7</v>
      </c>
      <c r="N1765" t="str">
        <f>IF(Table4[[#This Row],[customer_order_count]]=1,"New Customer","Repeat Customer")</f>
        <v>Repeat Customer</v>
      </c>
    </row>
    <row r="1766" spans="1:14">
      <c r="A1766" t="s">
        <v>511</v>
      </c>
      <c r="B1766" s="1">
        <v>44929</v>
      </c>
      <c r="C1766" t="s">
        <v>512</v>
      </c>
      <c r="D1766" t="s">
        <v>513</v>
      </c>
      <c r="E1766" t="s">
        <v>21</v>
      </c>
      <c r="F1766" t="s">
        <v>22</v>
      </c>
      <c r="G1766" t="s">
        <v>142</v>
      </c>
      <c r="H1766">
        <v>1</v>
      </c>
      <c r="I1766" s="3">
        <v>34.25425925925925</v>
      </c>
      <c r="J1766" t="s">
        <v>16</v>
      </c>
      <c r="K1766" t="s">
        <v>40</v>
      </c>
      <c r="L1766" s="4">
        <f>Table4[[#This Row],[quantity]]*Table4[[#This Row],[unit_price]]</f>
        <v>34.25425925925925</v>
      </c>
      <c r="M1766">
        <f>COUNTIFS($C$2:$C$3934,Table4[[#This Row],[customer_id]])</f>
        <v>5</v>
      </c>
      <c r="N1766" t="str">
        <f>IF(Table4[[#This Row],[customer_order_count]]=1,"New Customer","Repeat Customer")</f>
        <v>Repeat Customer</v>
      </c>
    </row>
    <row r="1767" spans="1:14">
      <c r="A1767" t="s">
        <v>2949</v>
      </c>
      <c r="B1767" s="1">
        <v>45064</v>
      </c>
      <c r="C1767" t="s">
        <v>1148</v>
      </c>
      <c r="D1767" t="s">
        <v>857</v>
      </c>
      <c r="E1767" t="s">
        <v>21</v>
      </c>
      <c r="F1767" t="s">
        <v>22</v>
      </c>
      <c r="G1767" t="s">
        <v>264</v>
      </c>
      <c r="H1767">
        <v>1</v>
      </c>
      <c r="I1767" s="3">
        <v>34.35</v>
      </c>
      <c r="J1767" t="s">
        <v>16</v>
      </c>
      <c r="K1767" t="s">
        <v>40</v>
      </c>
      <c r="L1767" s="4">
        <f>Table4[[#This Row],[quantity]]*Table4[[#This Row],[unit_price]]</f>
        <v>34.35</v>
      </c>
      <c r="M1767">
        <f>COUNTIFS($C$2:$C$3934,Table4[[#This Row],[customer_id]])</f>
        <v>8</v>
      </c>
      <c r="N1767" t="str">
        <f>IF(Table4[[#This Row],[customer_order_count]]=1,"New Customer","Repeat Customer")</f>
        <v>Repeat Customer</v>
      </c>
    </row>
    <row r="1768" spans="1:14">
      <c r="A1768" t="s">
        <v>1013</v>
      </c>
      <c r="B1768" s="1">
        <v>45390</v>
      </c>
      <c r="C1768" t="s">
        <v>1014</v>
      </c>
      <c r="D1768" t="s">
        <v>491</v>
      </c>
      <c r="E1768" t="s">
        <v>44</v>
      </c>
      <c r="F1768" t="s">
        <v>14</v>
      </c>
      <c r="G1768" t="s">
        <v>39</v>
      </c>
      <c r="H1768">
        <v>1</v>
      </c>
      <c r="I1768" s="3">
        <v>34.35</v>
      </c>
      <c r="J1768" t="s">
        <v>16</v>
      </c>
      <c r="K1768" t="s">
        <v>17</v>
      </c>
      <c r="L1768" s="4">
        <f>Table4[[#This Row],[quantity]]*Table4[[#This Row],[unit_price]]</f>
        <v>34.35</v>
      </c>
      <c r="M1768">
        <f>COUNTIFS($C$2:$C$3934,Table4[[#This Row],[customer_id]])</f>
        <v>5</v>
      </c>
      <c r="N1768" t="str">
        <f>IF(Table4[[#This Row],[customer_order_count]]=1,"New Customer","Repeat Customer")</f>
        <v>Repeat Customer</v>
      </c>
    </row>
    <row r="1769" spans="1:14">
      <c r="A1769" t="s">
        <v>4306</v>
      </c>
      <c r="B1769" s="1">
        <v>45466</v>
      </c>
      <c r="C1769" t="s">
        <v>3127</v>
      </c>
      <c r="D1769" t="s">
        <v>3128</v>
      </c>
      <c r="E1769" t="s">
        <v>21</v>
      </c>
      <c r="F1769" t="s">
        <v>22</v>
      </c>
      <c r="G1769" t="s">
        <v>135</v>
      </c>
      <c r="H1769">
        <v>1</v>
      </c>
      <c r="I1769" s="3">
        <v>34.409999999999997</v>
      </c>
      <c r="J1769" t="s">
        <v>16</v>
      </c>
      <c r="K1769" t="s">
        <v>35</v>
      </c>
      <c r="L1769" s="4">
        <f>Table4[[#This Row],[quantity]]*Table4[[#This Row],[unit_price]]</f>
        <v>34.409999999999997</v>
      </c>
      <c r="M1769">
        <f>COUNTIFS($C$2:$C$3934,Table4[[#This Row],[customer_id]])</f>
        <v>5</v>
      </c>
      <c r="N1769" t="str">
        <f>IF(Table4[[#This Row],[customer_order_count]]=1,"New Customer","Repeat Customer")</f>
        <v>Repeat Customer</v>
      </c>
    </row>
    <row r="1770" spans="1:14">
      <c r="A1770" t="s">
        <v>3386</v>
      </c>
      <c r="B1770" s="1">
        <v>45643</v>
      </c>
      <c r="C1770" t="s">
        <v>1786</v>
      </c>
      <c r="D1770" t="s">
        <v>1736</v>
      </c>
      <c r="E1770" t="s">
        <v>44</v>
      </c>
      <c r="F1770" t="s">
        <v>70</v>
      </c>
      <c r="G1770" t="s">
        <v>146</v>
      </c>
      <c r="H1770">
        <v>1</v>
      </c>
      <c r="I1770" s="3">
        <v>34.42</v>
      </c>
      <c r="J1770" t="s">
        <v>16</v>
      </c>
      <c r="K1770" t="s">
        <v>30</v>
      </c>
      <c r="L1770" s="4">
        <f>Table4[[#This Row],[quantity]]*Table4[[#This Row],[unit_price]]</f>
        <v>34.42</v>
      </c>
      <c r="M1770">
        <f>COUNTIFS($C$2:$C$3934,Table4[[#This Row],[customer_id]])</f>
        <v>6</v>
      </c>
      <c r="N1770" t="str">
        <f>IF(Table4[[#This Row],[customer_order_count]]=1,"New Customer","Repeat Customer")</f>
        <v>Repeat Customer</v>
      </c>
    </row>
    <row r="1771" spans="1:14">
      <c r="A1771" t="s">
        <v>3497</v>
      </c>
      <c r="B1771" s="1">
        <v>45002</v>
      </c>
      <c r="C1771" t="s">
        <v>1788</v>
      </c>
      <c r="D1771" t="s">
        <v>121</v>
      </c>
      <c r="E1771" t="s">
        <v>21</v>
      </c>
      <c r="F1771" t="s">
        <v>28</v>
      </c>
      <c r="G1771" t="s">
        <v>139</v>
      </c>
      <c r="H1771">
        <v>2</v>
      </c>
      <c r="I1771" s="3">
        <v>34.43</v>
      </c>
      <c r="J1771" t="s">
        <v>16</v>
      </c>
      <c r="K1771" t="s">
        <v>30</v>
      </c>
      <c r="L1771" s="4">
        <f>Table4[[#This Row],[quantity]]*Table4[[#This Row],[unit_price]]</f>
        <v>68.86</v>
      </c>
      <c r="M1771">
        <f>COUNTIFS($C$2:$C$3934,Table4[[#This Row],[customer_id]])</f>
        <v>7</v>
      </c>
      <c r="N1771" t="str">
        <f>IF(Table4[[#This Row],[customer_order_count]]=1,"New Customer","Repeat Customer")</f>
        <v>Repeat Customer</v>
      </c>
    </row>
    <row r="1772" spans="1:14">
      <c r="A1772" t="s">
        <v>2446</v>
      </c>
      <c r="B1772" s="1">
        <v>45409</v>
      </c>
      <c r="C1772" t="s">
        <v>608</v>
      </c>
      <c r="D1772" t="s">
        <v>609</v>
      </c>
      <c r="E1772" t="s">
        <v>44</v>
      </c>
      <c r="F1772" t="s">
        <v>70</v>
      </c>
      <c r="G1772" t="s">
        <v>170</v>
      </c>
      <c r="H1772">
        <v>1</v>
      </c>
      <c r="I1772" s="3">
        <v>34.47</v>
      </c>
      <c r="J1772" t="s">
        <v>85</v>
      </c>
      <c r="K1772" t="s">
        <v>40</v>
      </c>
      <c r="L1772" s="4">
        <f>Table4[[#This Row],[quantity]]*Table4[[#This Row],[unit_price]]</f>
        <v>34.47</v>
      </c>
      <c r="M1772">
        <f>COUNTIFS($C$2:$C$3934,Table4[[#This Row],[customer_id]])</f>
        <v>3</v>
      </c>
      <c r="N1772" t="str">
        <f>IF(Table4[[#This Row],[customer_order_count]]=1,"New Customer","Repeat Customer")</f>
        <v>Repeat Customer</v>
      </c>
    </row>
    <row r="1773" spans="1:14">
      <c r="A1773" t="s">
        <v>4184</v>
      </c>
      <c r="B1773" s="1">
        <v>45013</v>
      </c>
      <c r="C1773" t="s">
        <v>655</v>
      </c>
      <c r="D1773" t="s">
        <v>597</v>
      </c>
      <c r="E1773" t="s">
        <v>21</v>
      </c>
      <c r="F1773" t="s">
        <v>66</v>
      </c>
      <c r="G1773" t="s">
        <v>238</v>
      </c>
      <c r="H1773">
        <v>1</v>
      </c>
      <c r="I1773" s="3">
        <v>34.47</v>
      </c>
      <c r="J1773" t="s">
        <v>16</v>
      </c>
      <c r="K1773" t="s">
        <v>17</v>
      </c>
      <c r="L1773" s="4">
        <f>Table4[[#This Row],[quantity]]*Table4[[#This Row],[unit_price]]</f>
        <v>34.47</v>
      </c>
      <c r="M1773">
        <f>COUNTIFS($C$2:$C$3934,Table4[[#This Row],[customer_id]])</f>
        <v>12</v>
      </c>
      <c r="N1773" t="str">
        <f>IF(Table4[[#This Row],[customer_order_count]]=1,"New Customer","Repeat Customer")</f>
        <v>Repeat Customer</v>
      </c>
    </row>
    <row r="1774" spans="1:14">
      <c r="A1774" t="s">
        <v>4947</v>
      </c>
      <c r="B1774" s="1">
        <v>45288</v>
      </c>
      <c r="C1774" t="s">
        <v>434</v>
      </c>
      <c r="D1774" t="s">
        <v>435</v>
      </c>
      <c r="E1774" t="s">
        <v>21</v>
      </c>
      <c r="F1774" t="s">
        <v>79</v>
      </c>
      <c r="G1774" t="s">
        <v>80</v>
      </c>
      <c r="H1774">
        <v>1</v>
      </c>
      <c r="I1774" s="3">
        <v>34.479999999999997</v>
      </c>
      <c r="J1774" t="s">
        <v>16</v>
      </c>
      <c r="K1774" t="s">
        <v>17</v>
      </c>
      <c r="L1774" s="4">
        <f>Table4[[#This Row],[quantity]]*Table4[[#This Row],[unit_price]]</f>
        <v>34.479999999999997</v>
      </c>
      <c r="M1774">
        <f>COUNTIFS($C$2:$C$3934,Table4[[#This Row],[customer_id]])</f>
        <v>5</v>
      </c>
      <c r="N1774" t="str">
        <f>IF(Table4[[#This Row],[customer_order_count]]=1,"New Customer","Repeat Customer")</f>
        <v>Repeat Customer</v>
      </c>
    </row>
    <row r="1775" spans="1:14">
      <c r="A1775" t="s">
        <v>2505</v>
      </c>
      <c r="B1775" s="1">
        <v>45194</v>
      </c>
      <c r="C1775" t="s">
        <v>2459</v>
      </c>
      <c r="D1775" t="s">
        <v>1507</v>
      </c>
      <c r="E1775" t="s">
        <v>21</v>
      </c>
      <c r="F1775" t="s">
        <v>70</v>
      </c>
      <c r="G1775" t="s">
        <v>110</v>
      </c>
      <c r="H1775">
        <v>1</v>
      </c>
      <c r="I1775" s="3">
        <v>34.479999999999997</v>
      </c>
      <c r="J1775" t="s">
        <v>16</v>
      </c>
      <c r="K1775" t="s">
        <v>30</v>
      </c>
      <c r="L1775" s="4">
        <f>Table4[[#This Row],[quantity]]*Table4[[#This Row],[unit_price]]</f>
        <v>34.479999999999997</v>
      </c>
      <c r="M1775">
        <f>COUNTIFS($C$2:$C$3934,Table4[[#This Row],[customer_id]])</f>
        <v>4</v>
      </c>
      <c r="N1775" t="str">
        <f>IF(Table4[[#This Row],[customer_order_count]]=1,"New Customer","Repeat Customer")</f>
        <v>Repeat Customer</v>
      </c>
    </row>
    <row r="1776" spans="1:14">
      <c r="A1776" t="s">
        <v>5030</v>
      </c>
      <c r="B1776" s="1">
        <v>45053</v>
      </c>
      <c r="C1776" t="s">
        <v>202</v>
      </c>
      <c r="D1776" t="s">
        <v>203</v>
      </c>
      <c r="E1776" t="s">
        <v>21</v>
      </c>
      <c r="F1776" t="s">
        <v>28</v>
      </c>
      <c r="G1776" t="s">
        <v>29</v>
      </c>
      <c r="H1776">
        <v>1</v>
      </c>
      <c r="I1776" s="3">
        <v>34.5</v>
      </c>
      <c r="J1776" t="s">
        <v>16</v>
      </c>
      <c r="K1776" t="s">
        <v>35</v>
      </c>
      <c r="L1776" s="4">
        <f>Table4[[#This Row],[quantity]]*Table4[[#This Row],[unit_price]]</f>
        <v>34.5</v>
      </c>
      <c r="M1776">
        <f>COUNTIFS($C$2:$C$3934,Table4[[#This Row],[customer_id]])</f>
        <v>8</v>
      </c>
      <c r="N1776" t="str">
        <f>IF(Table4[[#This Row],[customer_order_count]]=1,"New Customer","Repeat Customer")</f>
        <v>Repeat Customer</v>
      </c>
    </row>
    <row r="1777" spans="1:14">
      <c r="A1777" t="s">
        <v>3615</v>
      </c>
      <c r="B1777" s="1">
        <v>45375</v>
      </c>
      <c r="C1777" t="s">
        <v>1888</v>
      </c>
      <c r="D1777" t="s">
        <v>1889</v>
      </c>
      <c r="E1777" t="s">
        <v>21</v>
      </c>
      <c r="F1777" t="s">
        <v>66</v>
      </c>
      <c r="G1777" t="s">
        <v>217</v>
      </c>
      <c r="H1777">
        <v>1</v>
      </c>
      <c r="I1777" s="3">
        <v>34.520000000000003</v>
      </c>
      <c r="J1777" t="s">
        <v>85</v>
      </c>
      <c r="K1777" t="s">
        <v>30</v>
      </c>
      <c r="L1777" s="4">
        <f>Table4[[#This Row],[quantity]]*Table4[[#This Row],[unit_price]]</f>
        <v>34.520000000000003</v>
      </c>
      <c r="M1777">
        <f>COUNTIFS($C$2:$C$3934,Table4[[#This Row],[customer_id]])</f>
        <v>6</v>
      </c>
      <c r="N1777" t="str">
        <f>IF(Table4[[#This Row],[customer_order_count]]=1,"New Customer","Repeat Customer")</f>
        <v>Repeat Customer</v>
      </c>
    </row>
    <row r="1778" spans="1:14">
      <c r="A1778" t="s">
        <v>334</v>
      </c>
      <c r="B1778" s="1">
        <v>45459</v>
      </c>
      <c r="C1778" t="s">
        <v>335</v>
      </c>
      <c r="D1778" t="s">
        <v>213</v>
      </c>
      <c r="E1778" t="s">
        <v>21</v>
      </c>
      <c r="F1778" t="s">
        <v>22</v>
      </c>
      <c r="G1778" t="s">
        <v>135</v>
      </c>
      <c r="H1778">
        <v>1</v>
      </c>
      <c r="I1778" s="3">
        <v>34.54</v>
      </c>
      <c r="J1778" t="s">
        <v>16</v>
      </c>
      <c r="K1778" t="s">
        <v>17</v>
      </c>
      <c r="L1778" s="4">
        <f>Table4[[#This Row],[quantity]]*Table4[[#This Row],[unit_price]]</f>
        <v>34.54</v>
      </c>
      <c r="M1778">
        <f>COUNTIFS($C$2:$C$3934,Table4[[#This Row],[customer_id]])</f>
        <v>4</v>
      </c>
      <c r="N1778" t="str">
        <f>IF(Table4[[#This Row],[customer_order_count]]=1,"New Customer","Repeat Customer")</f>
        <v>Repeat Customer</v>
      </c>
    </row>
    <row r="1779" spans="1:14">
      <c r="A1779" t="s">
        <v>5171</v>
      </c>
      <c r="B1779" s="1">
        <v>45483</v>
      </c>
      <c r="C1779" t="s">
        <v>3584</v>
      </c>
      <c r="D1779" t="s">
        <v>3585</v>
      </c>
      <c r="E1779" t="s">
        <v>44</v>
      </c>
      <c r="F1779" t="s">
        <v>22</v>
      </c>
      <c r="G1779" t="s">
        <v>264</v>
      </c>
      <c r="H1779">
        <v>1</v>
      </c>
      <c r="I1779" s="3">
        <v>34.545436893203885</v>
      </c>
      <c r="J1779" t="s">
        <v>16</v>
      </c>
      <c r="K1779" t="s">
        <v>35</v>
      </c>
      <c r="L1779" s="4">
        <f>Table4[[#This Row],[quantity]]*Table4[[#This Row],[unit_price]]</f>
        <v>34.545436893203885</v>
      </c>
      <c r="M1779">
        <f>COUNTIFS($C$2:$C$3934,Table4[[#This Row],[customer_id]])</f>
        <v>2</v>
      </c>
      <c r="N1779" t="str">
        <f>IF(Table4[[#This Row],[customer_order_count]]=1,"New Customer","Repeat Customer")</f>
        <v>Repeat Customer</v>
      </c>
    </row>
    <row r="1780" spans="1:14">
      <c r="A1780" t="s">
        <v>3066</v>
      </c>
      <c r="B1780" s="1">
        <v>45159</v>
      </c>
      <c r="C1780" t="s">
        <v>657</v>
      </c>
      <c r="D1780" t="s">
        <v>609</v>
      </c>
      <c r="E1780" t="s">
        <v>21</v>
      </c>
      <c r="F1780" t="s">
        <v>22</v>
      </c>
      <c r="G1780" t="s">
        <v>264</v>
      </c>
      <c r="H1780">
        <v>1</v>
      </c>
      <c r="I1780" s="3">
        <v>34.545436893203885</v>
      </c>
      <c r="J1780" t="s">
        <v>16</v>
      </c>
      <c r="K1780" t="s">
        <v>17</v>
      </c>
      <c r="L1780" s="4">
        <f>Table4[[#This Row],[quantity]]*Table4[[#This Row],[unit_price]]</f>
        <v>34.545436893203885</v>
      </c>
      <c r="M1780">
        <f>COUNTIFS($C$2:$C$3934,Table4[[#This Row],[customer_id]])</f>
        <v>5</v>
      </c>
      <c r="N1780" t="str">
        <f>IF(Table4[[#This Row],[customer_order_count]]=1,"New Customer","Repeat Customer")</f>
        <v>Repeat Customer</v>
      </c>
    </row>
    <row r="1781" spans="1:14">
      <c r="A1781" t="s">
        <v>806</v>
      </c>
      <c r="B1781" s="1">
        <v>45229</v>
      </c>
      <c r="C1781" t="s">
        <v>807</v>
      </c>
      <c r="D1781" t="s">
        <v>808</v>
      </c>
      <c r="E1781" t="s">
        <v>21</v>
      </c>
      <c r="F1781" t="s">
        <v>22</v>
      </c>
      <c r="G1781" t="s">
        <v>264</v>
      </c>
      <c r="H1781">
        <v>2</v>
      </c>
      <c r="I1781" s="3">
        <v>34.545436893203885</v>
      </c>
      <c r="J1781" t="s">
        <v>16</v>
      </c>
      <c r="K1781" t="s">
        <v>40</v>
      </c>
      <c r="L1781" s="4">
        <f>Table4[[#This Row],[quantity]]*Table4[[#This Row],[unit_price]]</f>
        <v>69.090873786407769</v>
      </c>
      <c r="M1781">
        <f>COUNTIFS($C$2:$C$3934,Table4[[#This Row],[customer_id]])</f>
        <v>6</v>
      </c>
      <c r="N1781" t="str">
        <f>IF(Table4[[#This Row],[customer_order_count]]=1,"New Customer","Repeat Customer")</f>
        <v>Repeat Customer</v>
      </c>
    </row>
    <row r="1782" spans="1:14">
      <c r="A1782" t="s">
        <v>3321</v>
      </c>
      <c r="B1782" s="1">
        <v>45149</v>
      </c>
      <c r="C1782" t="s">
        <v>1530</v>
      </c>
      <c r="D1782" t="s">
        <v>834</v>
      </c>
      <c r="E1782" t="s">
        <v>21</v>
      </c>
      <c r="F1782" t="s">
        <v>22</v>
      </c>
      <c r="G1782" t="s">
        <v>264</v>
      </c>
      <c r="H1782">
        <v>2</v>
      </c>
      <c r="I1782" s="3">
        <v>34.545436893203885</v>
      </c>
      <c r="J1782" t="s">
        <v>16</v>
      </c>
      <c r="K1782" t="s">
        <v>30</v>
      </c>
      <c r="L1782" s="4">
        <f>Table4[[#This Row],[quantity]]*Table4[[#This Row],[unit_price]]</f>
        <v>69.090873786407769</v>
      </c>
      <c r="M1782">
        <f>COUNTIFS($C$2:$C$3934,Table4[[#This Row],[customer_id]])</f>
        <v>8</v>
      </c>
      <c r="N1782" t="str">
        <f>IF(Table4[[#This Row],[customer_order_count]]=1,"New Customer","Repeat Customer")</f>
        <v>Repeat Customer</v>
      </c>
    </row>
    <row r="1783" spans="1:14">
      <c r="A1783" t="s">
        <v>3618</v>
      </c>
      <c r="B1783" s="1">
        <v>44930</v>
      </c>
      <c r="C1783" t="s">
        <v>1624</v>
      </c>
      <c r="D1783" t="s">
        <v>1625</v>
      </c>
      <c r="E1783" t="s">
        <v>21</v>
      </c>
      <c r="F1783" t="s">
        <v>14</v>
      </c>
      <c r="G1783" t="s">
        <v>62</v>
      </c>
      <c r="H1783">
        <v>1</v>
      </c>
      <c r="I1783" s="3">
        <v>34.549999999999997</v>
      </c>
      <c r="J1783" t="s">
        <v>16</v>
      </c>
      <c r="K1783" t="s">
        <v>17</v>
      </c>
      <c r="L1783" s="4">
        <f>Table4[[#This Row],[quantity]]*Table4[[#This Row],[unit_price]]</f>
        <v>34.549999999999997</v>
      </c>
      <c r="M1783">
        <f>COUNTIFS($C$2:$C$3934,Table4[[#This Row],[customer_id]])</f>
        <v>8</v>
      </c>
      <c r="N1783" t="str">
        <f>IF(Table4[[#This Row],[customer_order_count]]=1,"New Customer","Repeat Customer")</f>
        <v>Repeat Customer</v>
      </c>
    </row>
    <row r="1784" spans="1:14">
      <c r="A1784" t="s">
        <v>4882</v>
      </c>
      <c r="B1784" s="1">
        <v>45030</v>
      </c>
      <c r="C1784" t="s">
        <v>4505</v>
      </c>
      <c r="D1784" t="s">
        <v>1103</v>
      </c>
      <c r="E1784" t="s">
        <v>21</v>
      </c>
      <c r="F1784" t="s">
        <v>66</v>
      </c>
      <c r="G1784" t="s">
        <v>217</v>
      </c>
      <c r="H1784">
        <v>1</v>
      </c>
      <c r="I1784" s="3">
        <v>34.56</v>
      </c>
      <c r="J1784" t="s">
        <v>85</v>
      </c>
      <c r="K1784" t="s">
        <v>35</v>
      </c>
      <c r="L1784" s="4">
        <f>Table4[[#This Row],[quantity]]*Table4[[#This Row],[unit_price]]</f>
        <v>34.56</v>
      </c>
      <c r="M1784">
        <f>COUNTIFS($C$2:$C$3934,Table4[[#This Row],[customer_id]])</f>
        <v>3</v>
      </c>
      <c r="N1784" t="str">
        <f>IF(Table4[[#This Row],[customer_order_count]]=1,"New Customer","Repeat Customer")</f>
        <v>Repeat Customer</v>
      </c>
    </row>
    <row r="1785" spans="1:14">
      <c r="A1785" t="s">
        <v>4387</v>
      </c>
      <c r="B1785" s="1">
        <v>45214</v>
      </c>
      <c r="C1785" t="s">
        <v>556</v>
      </c>
      <c r="D1785" t="s">
        <v>327</v>
      </c>
      <c r="E1785" t="s">
        <v>21</v>
      </c>
      <c r="F1785" t="s">
        <v>22</v>
      </c>
      <c r="G1785" t="s">
        <v>142</v>
      </c>
      <c r="H1785">
        <v>2</v>
      </c>
      <c r="I1785" s="3">
        <v>34.56</v>
      </c>
      <c r="J1785" t="s">
        <v>16</v>
      </c>
      <c r="K1785" t="s">
        <v>17</v>
      </c>
      <c r="L1785" s="4">
        <f>Table4[[#This Row],[quantity]]*Table4[[#This Row],[unit_price]]</f>
        <v>69.12</v>
      </c>
      <c r="M1785">
        <f>COUNTIFS($C$2:$C$3934,Table4[[#This Row],[customer_id]])</f>
        <v>7</v>
      </c>
      <c r="N1785" t="str">
        <f>IF(Table4[[#This Row],[customer_order_count]]=1,"New Customer","Repeat Customer")</f>
        <v>Repeat Customer</v>
      </c>
    </row>
    <row r="1786" spans="1:14">
      <c r="A1786" t="s">
        <v>2188</v>
      </c>
      <c r="B1786" s="1">
        <v>45425</v>
      </c>
      <c r="C1786" t="s">
        <v>416</v>
      </c>
      <c r="D1786" t="s">
        <v>417</v>
      </c>
      <c r="E1786" t="s">
        <v>21</v>
      </c>
      <c r="F1786" t="s">
        <v>14</v>
      </c>
      <c r="G1786" t="s">
        <v>34</v>
      </c>
      <c r="H1786">
        <v>1</v>
      </c>
      <c r="I1786" s="3">
        <v>34.58</v>
      </c>
      <c r="J1786" t="s">
        <v>16</v>
      </c>
      <c r="K1786" t="s">
        <v>17</v>
      </c>
      <c r="L1786" s="4">
        <f>Table4[[#This Row],[quantity]]*Table4[[#This Row],[unit_price]]</f>
        <v>34.58</v>
      </c>
      <c r="M1786">
        <f>COUNTIFS($C$2:$C$3934,Table4[[#This Row],[customer_id]])</f>
        <v>6</v>
      </c>
      <c r="N1786" t="str">
        <f>IF(Table4[[#This Row],[customer_order_count]]=1,"New Customer","Repeat Customer")</f>
        <v>Repeat Customer</v>
      </c>
    </row>
    <row r="1787" spans="1:14">
      <c r="A1787" t="s">
        <v>1661</v>
      </c>
      <c r="B1787" s="1">
        <v>45601</v>
      </c>
      <c r="C1787" t="s">
        <v>853</v>
      </c>
      <c r="D1787" t="s">
        <v>854</v>
      </c>
      <c r="E1787" t="s">
        <v>21</v>
      </c>
      <c r="F1787" t="s">
        <v>66</v>
      </c>
      <c r="G1787" t="s">
        <v>49</v>
      </c>
      <c r="H1787">
        <v>3</v>
      </c>
      <c r="I1787" s="3">
        <v>34.61</v>
      </c>
      <c r="J1787" t="s">
        <v>16</v>
      </c>
      <c r="K1787" s="2" t="s">
        <v>5256</v>
      </c>
      <c r="L1787" s="4">
        <f>Table4[[#This Row],[quantity]]*Table4[[#This Row],[unit_price]]</f>
        <v>103.83</v>
      </c>
      <c r="M1787">
        <f>COUNTIFS($C$2:$C$3934,Table4[[#This Row],[customer_id]])</f>
        <v>9</v>
      </c>
      <c r="N1787" t="str">
        <f>IF(Table4[[#This Row],[customer_order_count]]=1,"New Customer","Repeat Customer")</f>
        <v>Repeat Customer</v>
      </c>
    </row>
    <row r="1788" spans="1:14">
      <c r="A1788" t="s">
        <v>2433</v>
      </c>
      <c r="B1788" s="1">
        <v>45270</v>
      </c>
      <c r="C1788" t="s">
        <v>312</v>
      </c>
      <c r="D1788" t="s">
        <v>313</v>
      </c>
      <c r="E1788" t="s">
        <v>21</v>
      </c>
      <c r="F1788" t="s">
        <v>56</v>
      </c>
      <c r="G1788" t="s">
        <v>210</v>
      </c>
      <c r="H1788">
        <v>2</v>
      </c>
      <c r="I1788" s="3">
        <v>34.619999999999997</v>
      </c>
      <c r="J1788" t="s">
        <v>16</v>
      </c>
      <c r="K1788" s="5" t="s">
        <v>35</v>
      </c>
      <c r="L1788" s="4">
        <f>Table4[[#This Row],[quantity]]*Table4[[#This Row],[unit_price]]</f>
        <v>69.239999999999995</v>
      </c>
      <c r="M1788">
        <f>COUNTIFS($C$2:$C$3934,Table4[[#This Row],[customer_id]])</f>
        <v>7</v>
      </c>
      <c r="N1788" t="str">
        <f>IF(Table4[[#This Row],[customer_order_count]]=1,"New Customer","Repeat Customer")</f>
        <v>Repeat Customer</v>
      </c>
    </row>
    <row r="1789" spans="1:14">
      <c r="A1789" t="s">
        <v>3780</v>
      </c>
      <c r="B1789" s="1">
        <v>45212</v>
      </c>
      <c r="C1789" t="s">
        <v>2457</v>
      </c>
      <c r="D1789" t="s">
        <v>1065</v>
      </c>
      <c r="E1789" t="s">
        <v>21</v>
      </c>
      <c r="F1789" t="s">
        <v>66</v>
      </c>
      <c r="G1789" t="s">
        <v>49</v>
      </c>
      <c r="H1789">
        <v>1</v>
      </c>
      <c r="I1789" s="3">
        <v>34.630000000000003</v>
      </c>
      <c r="J1789" t="s">
        <v>16</v>
      </c>
      <c r="K1789" t="s">
        <v>40</v>
      </c>
      <c r="L1789" s="4">
        <f>Table4[[#This Row],[quantity]]*Table4[[#This Row],[unit_price]]</f>
        <v>34.630000000000003</v>
      </c>
      <c r="M1789">
        <f>COUNTIFS($C$2:$C$3934,Table4[[#This Row],[customer_id]])</f>
        <v>3</v>
      </c>
      <c r="N1789" t="str">
        <f>IF(Table4[[#This Row],[customer_order_count]]=1,"New Customer","Repeat Customer")</f>
        <v>Repeat Customer</v>
      </c>
    </row>
    <row r="1790" spans="1:14">
      <c r="A1790" t="s">
        <v>3460</v>
      </c>
      <c r="B1790" s="1">
        <v>45501</v>
      </c>
      <c r="C1790" t="s">
        <v>1801</v>
      </c>
      <c r="D1790" t="s">
        <v>569</v>
      </c>
      <c r="E1790" t="s">
        <v>21</v>
      </c>
      <c r="F1790" t="s">
        <v>66</v>
      </c>
      <c r="G1790" t="s">
        <v>217</v>
      </c>
      <c r="H1790">
        <v>3</v>
      </c>
      <c r="I1790" s="3">
        <v>34.659999999999997</v>
      </c>
      <c r="J1790" t="s">
        <v>16</v>
      </c>
      <c r="K1790" t="s">
        <v>35</v>
      </c>
      <c r="L1790" s="4">
        <f>Table4[[#This Row],[quantity]]*Table4[[#This Row],[unit_price]]</f>
        <v>103.97999999999999</v>
      </c>
      <c r="M1790">
        <f>COUNTIFS($C$2:$C$3934,Table4[[#This Row],[customer_id]])</f>
        <v>6</v>
      </c>
      <c r="N1790" t="str">
        <f>IF(Table4[[#This Row],[customer_order_count]]=1,"New Customer","Repeat Customer")</f>
        <v>Repeat Customer</v>
      </c>
    </row>
    <row r="1791" spans="1:14">
      <c r="A1791" t="s">
        <v>5231</v>
      </c>
      <c r="B1791" s="1">
        <v>45386</v>
      </c>
      <c r="C1791" t="s">
        <v>1049</v>
      </c>
      <c r="D1791" t="s">
        <v>1050</v>
      </c>
      <c r="E1791" t="s">
        <v>44</v>
      </c>
      <c r="F1791" t="s">
        <v>70</v>
      </c>
      <c r="G1791" t="s">
        <v>170</v>
      </c>
      <c r="H1791">
        <v>2</v>
      </c>
      <c r="I1791" s="3">
        <v>34.67</v>
      </c>
      <c r="J1791" t="s">
        <v>16</v>
      </c>
      <c r="K1791" t="s">
        <v>40</v>
      </c>
      <c r="L1791" s="4">
        <f>Table4[[#This Row],[quantity]]*Table4[[#This Row],[unit_price]]</f>
        <v>69.34</v>
      </c>
      <c r="M1791">
        <f>COUNTIFS($C$2:$C$3934,Table4[[#This Row],[customer_id]])</f>
        <v>5</v>
      </c>
      <c r="N1791" t="str">
        <f>IF(Table4[[#This Row],[customer_order_count]]=1,"New Customer","Repeat Customer")</f>
        <v>Repeat Customer</v>
      </c>
    </row>
    <row r="1792" spans="1:14">
      <c r="A1792" t="s">
        <v>3703</v>
      </c>
      <c r="B1792" s="1">
        <v>45441</v>
      </c>
      <c r="C1792" t="s">
        <v>952</v>
      </c>
      <c r="D1792" t="s">
        <v>953</v>
      </c>
      <c r="E1792" t="s">
        <v>21</v>
      </c>
      <c r="F1792" t="s">
        <v>28</v>
      </c>
      <c r="G1792" t="s">
        <v>29</v>
      </c>
      <c r="H1792">
        <v>1</v>
      </c>
      <c r="I1792" s="3">
        <v>34.69</v>
      </c>
      <c r="J1792" t="s">
        <v>16</v>
      </c>
      <c r="K1792" t="s">
        <v>30</v>
      </c>
      <c r="L1792" s="4">
        <f>Table4[[#This Row],[quantity]]*Table4[[#This Row],[unit_price]]</f>
        <v>34.69</v>
      </c>
      <c r="M1792">
        <f>COUNTIFS($C$2:$C$3934,Table4[[#This Row],[customer_id]])</f>
        <v>3</v>
      </c>
      <c r="N1792" t="str">
        <f>IF(Table4[[#This Row],[customer_order_count]]=1,"New Customer","Repeat Customer")</f>
        <v>Repeat Customer</v>
      </c>
    </row>
    <row r="1793" spans="1:14">
      <c r="A1793" t="s">
        <v>2666</v>
      </c>
      <c r="B1793" s="1">
        <v>45209</v>
      </c>
      <c r="C1793" t="s">
        <v>1851</v>
      </c>
      <c r="D1793" t="s">
        <v>1000</v>
      </c>
      <c r="E1793" t="s">
        <v>21</v>
      </c>
      <c r="F1793" t="s">
        <v>79</v>
      </c>
      <c r="G1793" t="s">
        <v>230</v>
      </c>
      <c r="H1793">
        <v>2</v>
      </c>
      <c r="I1793" s="3">
        <v>34.72</v>
      </c>
      <c r="J1793" t="s">
        <v>16</v>
      </c>
      <c r="K1793" t="s">
        <v>17</v>
      </c>
      <c r="L1793" s="4">
        <f>Table4[[#This Row],[quantity]]*Table4[[#This Row],[unit_price]]</f>
        <v>69.44</v>
      </c>
      <c r="M1793">
        <f>COUNTIFS($C$2:$C$3934,Table4[[#This Row],[customer_id]])</f>
        <v>6</v>
      </c>
      <c r="N1793" t="str">
        <f>IF(Table4[[#This Row],[customer_order_count]]=1,"New Customer","Repeat Customer")</f>
        <v>Repeat Customer</v>
      </c>
    </row>
    <row r="1794" spans="1:14">
      <c r="A1794" t="s">
        <v>1220</v>
      </c>
      <c r="B1794" s="1">
        <v>45572</v>
      </c>
      <c r="C1794" t="s">
        <v>212</v>
      </c>
      <c r="D1794" t="s">
        <v>213</v>
      </c>
      <c r="E1794" t="s">
        <v>44</v>
      </c>
      <c r="F1794" t="s">
        <v>70</v>
      </c>
      <c r="G1794" t="s">
        <v>170</v>
      </c>
      <c r="H1794">
        <v>4</v>
      </c>
      <c r="I1794" s="3">
        <v>34.729999999999997</v>
      </c>
      <c r="J1794" t="s">
        <v>16</v>
      </c>
      <c r="K1794" t="s">
        <v>35</v>
      </c>
      <c r="L1794" s="4">
        <f>Table4[[#This Row],[quantity]]*Table4[[#This Row],[unit_price]]</f>
        <v>138.91999999999999</v>
      </c>
      <c r="M1794">
        <f>COUNTIFS($C$2:$C$3934,Table4[[#This Row],[customer_id]])</f>
        <v>4</v>
      </c>
      <c r="N1794" t="str">
        <f>IF(Table4[[#This Row],[customer_order_count]]=1,"New Customer","Repeat Customer")</f>
        <v>Repeat Customer</v>
      </c>
    </row>
    <row r="1795" spans="1:14">
      <c r="A1795" t="s">
        <v>2483</v>
      </c>
      <c r="B1795" s="1">
        <v>45587</v>
      </c>
      <c r="C1795" t="s">
        <v>2088</v>
      </c>
      <c r="D1795" t="s">
        <v>435</v>
      </c>
      <c r="E1795" t="s">
        <v>21</v>
      </c>
      <c r="F1795" t="s">
        <v>28</v>
      </c>
      <c r="G1795" t="s">
        <v>114</v>
      </c>
      <c r="H1795">
        <v>1</v>
      </c>
      <c r="I1795" s="3">
        <v>34.76</v>
      </c>
      <c r="J1795" t="s">
        <v>16</v>
      </c>
      <c r="K1795" t="s">
        <v>35</v>
      </c>
      <c r="L1795" s="4">
        <f>Table4[[#This Row],[quantity]]*Table4[[#This Row],[unit_price]]</f>
        <v>34.76</v>
      </c>
      <c r="M1795">
        <f>COUNTIFS($C$2:$C$3934,Table4[[#This Row],[customer_id]])</f>
        <v>9</v>
      </c>
      <c r="N1795" t="str">
        <f>IF(Table4[[#This Row],[customer_order_count]]=1,"New Customer","Repeat Customer")</f>
        <v>Repeat Customer</v>
      </c>
    </row>
    <row r="1796" spans="1:14">
      <c r="A1796" t="s">
        <v>2117</v>
      </c>
      <c r="B1796" s="1">
        <v>45066</v>
      </c>
      <c r="C1796" t="s">
        <v>144</v>
      </c>
      <c r="D1796" t="s">
        <v>145</v>
      </c>
      <c r="E1796" t="s">
        <v>21</v>
      </c>
      <c r="F1796" t="s">
        <v>66</v>
      </c>
      <c r="G1796" t="s">
        <v>238</v>
      </c>
      <c r="H1796">
        <v>2</v>
      </c>
      <c r="I1796" s="3">
        <v>34.770000000000003</v>
      </c>
      <c r="J1796" t="s">
        <v>16</v>
      </c>
      <c r="K1796" t="s">
        <v>17</v>
      </c>
      <c r="L1796" s="4">
        <f>Table4[[#This Row],[quantity]]*Table4[[#This Row],[unit_price]]</f>
        <v>69.540000000000006</v>
      </c>
      <c r="M1796">
        <f>COUNTIFS($C$2:$C$3934,Table4[[#This Row],[customer_id]])</f>
        <v>4</v>
      </c>
      <c r="N1796" t="str">
        <f>IF(Table4[[#This Row],[customer_order_count]]=1,"New Customer","Repeat Customer")</f>
        <v>Repeat Customer</v>
      </c>
    </row>
    <row r="1797" spans="1:14">
      <c r="A1797" t="s">
        <v>4133</v>
      </c>
      <c r="B1797" s="1">
        <v>45228</v>
      </c>
      <c r="C1797" t="s">
        <v>2110</v>
      </c>
      <c r="D1797" t="s">
        <v>2111</v>
      </c>
      <c r="E1797" t="s">
        <v>21</v>
      </c>
      <c r="F1797" t="s">
        <v>79</v>
      </c>
      <c r="G1797" t="s">
        <v>200</v>
      </c>
      <c r="H1797">
        <v>1</v>
      </c>
      <c r="I1797" s="3">
        <v>34.79</v>
      </c>
      <c r="J1797" t="s">
        <v>16</v>
      </c>
      <c r="K1797" t="s">
        <v>40</v>
      </c>
      <c r="L1797" s="4">
        <f>Table4[[#This Row],[quantity]]*Table4[[#This Row],[unit_price]]</f>
        <v>34.79</v>
      </c>
      <c r="M1797">
        <f>COUNTIFS($C$2:$C$3934,Table4[[#This Row],[customer_id]])</f>
        <v>5</v>
      </c>
      <c r="N1797" t="str">
        <f>IF(Table4[[#This Row],[customer_order_count]]=1,"New Customer","Repeat Customer")</f>
        <v>Repeat Customer</v>
      </c>
    </row>
    <row r="1798" spans="1:14">
      <c r="A1798" t="s">
        <v>5070</v>
      </c>
      <c r="B1798" s="1">
        <v>45253</v>
      </c>
      <c r="C1798" t="s">
        <v>853</v>
      </c>
      <c r="D1798" t="s">
        <v>854</v>
      </c>
      <c r="E1798" t="s">
        <v>21</v>
      </c>
      <c r="F1798" t="s">
        <v>56</v>
      </c>
      <c r="G1798" t="s">
        <v>153</v>
      </c>
      <c r="H1798">
        <v>1</v>
      </c>
      <c r="I1798" s="3">
        <v>34.81</v>
      </c>
      <c r="J1798" t="s">
        <v>16</v>
      </c>
      <c r="K1798" t="s">
        <v>17</v>
      </c>
      <c r="L1798" s="4">
        <f>Table4[[#This Row],[quantity]]*Table4[[#This Row],[unit_price]]</f>
        <v>34.81</v>
      </c>
      <c r="M1798">
        <f>COUNTIFS($C$2:$C$3934,Table4[[#This Row],[customer_id]])</f>
        <v>9</v>
      </c>
      <c r="N1798" t="str">
        <f>IF(Table4[[#This Row],[customer_order_count]]=1,"New Customer","Repeat Customer")</f>
        <v>Repeat Customer</v>
      </c>
    </row>
    <row r="1799" spans="1:14">
      <c r="A1799" t="s">
        <v>3925</v>
      </c>
      <c r="B1799" s="1">
        <v>45615</v>
      </c>
      <c r="C1799" t="s">
        <v>3464</v>
      </c>
      <c r="D1799" t="s">
        <v>281</v>
      </c>
      <c r="E1799" t="s">
        <v>21</v>
      </c>
      <c r="F1799" t="s">
        <v>70</v>
      </c>
      <c r="G1799" t="s">
        <v>146</v>
      </c>
      <c r="H1799">
        <v>2</v>
      </c>
      <c r="I1799" s="3">
        <v>34.82</v>
      </c>
      <c r="J1799" t="s">
        <v>16</v>
      </c>
      <c r="K1799" t="s">
        <v>17</v>
      </c>
      <c r="L1799" s="4">
        <f>Table4[[#This Row],[quantity]]*Table4[[#This Row],[unit_price]]</f>
        <v>69.64</v>
      </c>
      <c r="M1799">
        <f>COUNTIFS($C$2:$C$3934,Table4[[#This Row],[customer_id]])</f>
        <v>4</v>
      </c>
      <c r="N1799" t="str">
        <f>IF(Table4[[#This Row],[customer_order_count]]=1,"New Customer","Repeat Customer")</f>
        <v>Repeat Customer</v>
      </c>
    </row>
    <row r="1800" spans="1:14">
      <c r="A1800" t="s">
        <v>4698</v>
      </c>
      <c r="B1800" s="1">
        <v>45479</v>
      </c>
      <c r="C1800" t="s">
        <v>440</v>
      </c>
      <c r="D1800" t="s">
        <v>441</v>
      </c>
      <c r="E1800" t="s">
        <v>21</v>
      </c>
      <c r="F1800" t="s">
        <v>14</v>
      </c>
      <c r="G1800" t="s">
        <v>39</v>
      </c>
      <c r="H1800">
        <v>2</v>
      </c>
      <c r="I1800" s="3">
        <v>34.85</v>
      </c>
      <c r="J1800" t="s">
        <v>16</v>
      </c>
      <c r="K1800" t="s">
        <v>35</v>
      </c>
      <c r="L1800" s="4">
        <f>Table4[[#This Row],[quantity]]*Table4[[#This Row],[unit_price]]</f>
        <v>69.7</v>
      </c>
      <c r="M1800">
        <f>COUNTIFS($C$2:$C$3934,Table4[[#This Row],[customer_id]])</f>
        <v>5</v>
      </c>
      <c r="N1800" t="str">
        <f>IF(Table4[[#This Row],[customer_order_count]]=1,"New Customer","Repeat Customer")</f>
        <v>Repeat Customer</v>
      </c>
    </row>
    <row r="1801" spans="1:14">
      <c r="A1801" t="s">
        <v>4151</v>
      </c>
      <c r="B1801" s="1">
        <v>45393</v>
      </c>
      <c r="C1801" t="s">
        <v>871</v>
      </c>
      <c r="D1801" t="s">
        <v>872</v>
      </c>
      <c r="E1801" t="s">
        <v>21</v>
      </c>
      <c r="F1801" t="s">
        <v>56</v>
      </c>
      <c r="G1801" t="s">
        <v>254</v>
      </c>
      <c r="H1801">
        <v>1</v>
      </c>
      <c r="I1801" s="3">
        <v>34.869999999999997</v>
      </c>
      <c r="J1801" t="s">
        <v>16</v>
      </c>
      <c r="K1801" t="s">
        <v>17</v>
      </c>
      <c r="L1801" s="4">
        <f>Table4[[#This Row],[quantity]]*Table4[[#This Row],[unit_price]]</f>
        <v>34.869999999999997</v>
      </c>
      <c r="M1801">
        <f>COUNTIFS($C$2:$C$3934,Table4[[#This Row],[customer_id]])</f>
        <v>5</v>
      </c>
      <c r="N1801" t="str">
        <f>IF(Table4[[#This Row],[customer_order_count]]=1,"New Customer","Repeat Customer")</f>
        <v>Repeat Customer</v>
      </c>
    </row>
    <row r="1802" spans="1:14">
      <c r="A1802" t="s">
        <v>3871</v>
      </c>
      <c r="B1802" s="1">
        <v>44939</v>
      </c>
      <c r="C1802" t="s">
        <v>3872</v>
      </c>
      <c r="D1802" t="s">
        <v>650</v>
      </c>
      <c r="E1802" t="s">
        <v>106</v>
      </c>
      <c r="F1802" t="s">
        <v>22</v>
      </c>
      <c r="G1802" t="s">
        <v>23</v>
      </c>
      <c r="H1802">
        <v>1</v>
      </c>
      <c r="I1802" s="3">
        <v>34.869999999999997</v>
      </c>
      <c r="J1802" t="s">
        <v>16</v>
      </c>
      <c r="K1802" t="s">
        <v>35</v>
      </c>
      <c r="L1802" s="4">
        <f>Table4[[#This Row],[quantity]]*Table4[[#This Row],[unit_price]]</f>
        <v>34.869999999999997</v>
      </c>
      <c r="M1802">
        <f>COUNTIFS($C$2:$C$3934,Table4[[#This Row],[customer_id]])</f>
        <v>1</v>
      </c>
      <c r="N1802" t="str">
        <f>IF(Table4[[#This Row],[customer_order_count]]=1,"New Customer","Repeat Customer")</f>
        <v>New Customer</v>
      </c>
    </row>
    <row r="1803" spans="1:14">
      <c r="A1803" t="s">
        <v>2244</v>
      </c>
      <c r="B1803" s="1">
        <v>45167</v>
      </c>
      <c r="C1803" t="s">
        <v>1263</v>
      </c>
      <c r="D1803" t="s">
        <v>1264</v>
      </c>
      <c r="E1803" t="s">
        <v>21</v>
      </c>
      <c r="F1803" t="s">
        <v>66</v>
      </c>
      <c r="G1803" t="s">
        <v>238</v>
      </c>
      <c r="H1803">
        <v>2</v>
      </c>
      <c r="I1803" s="3">
        <v>34.9</v>
      </c>
      <c r="J1803" t="s">
        <v>16</v>
      </c>
      <c r="K1803" t="s">
        <v>30</v>
      </c>
      <c r="L1803" s="4">
        <f>Table4[[#This Row],[quantity]]*Table4[[#This Row],[unit_price]]</f>
        <v>69.8</v>
      </c>
      <c r="M1803">
        <f>COUNTIFS($C$2:$C$3934,Table4[[#This Row],[customer_id]])</f>
        <v>5</v>
      </c>
      <c r="N1803" t="str">
        <f>IF(Table4[[#This Row],[customer_order_count]]=1,"New Customer","Repeat Customer")</f>
        <v>Repeat Customer</v>
      </c>
    </row>
    <row r="1804" spans="1:14">
      <c r="A1804" t="s">
        <v>270</v>
      </c>
      <c r="B1804" s="1">
        <v>45251</v>
      </c>
      <c r="C1804" t="s">
        <v>271</v>
      </c>
      <c r="D1804" t="s">
        <v>272</v>
      </c>
      <c r="E1804" t="s">
        <v>61</v>
      </c>
      <c r="F1804" t="s">
        <v>28</v>
      </c>
      <c r="G1804" t="s">
        <v>84</v>
      </c>
      <c r="H1804">
        <v>2</v>
      </c>
      <c r="I1804" s="3">
        <v>34.909999999999997</v>
      </c>
      <c r="J1804" t="s">
        <v>16</v>
      </c>
      <c r="K1804" t="s">
        <v>17</v>
      </c>
      <c r="L1804" s="4">
        <f>Table4[[#This Row],[quantity]]*Table4[[#This Row],[unit_price]]</f>
        <v>69.819999999999993</v>
      </c>
      <c r="M1804">
        <f>COUNTIFS($C$2:$C$3934,Table4[[#This Row],[customer_id]])</f>
        <v>5</v>
      </c>
      <c r="N1804" t="str">
        <f>IF(Table4[[#This Row],[customer_order_count]]=1,"New Customer","Repeat Customer")</f>
        <v>Repeat Customer</v>
      </c>
    </row>
    <row r="1805" spans="1:14">
      <c r="A1805" t="s">
        <v>3958</v>
      </c>
      <c r="B1805" s="1">
        <v>45335</v>
      </c>
      <c r="C1805" t="s">
        <v>1535</v>
      </c>
      <c r="D1805" t="s">
        <v>1264</v>
      </c>
      <c r="E1805" t="s">
        <v>21</v>
      </c>
      <c r="F1805" t="s">
        <v>28</v>
      </c>
      <c r="G1805" t="s">
        <v>45</v>
      </c>
      <c r="H1805">
        <v>2</v>
      </c>
      <c r="I1805" s="3">
        <v>34.909999999999997</v>
      </c>
      <c r="J1805" t="s">
        <v>16</v>
      </c>
      <c r="K1805" t="s">
        <v>40</v>
      </c>
      <c r="L1805" s="4">
        <f>Table4[[#This Row],[quantity]]*Table4[[#This Row],[unit_price]]</f>
        <v>69.819999999999993</v>
      </c>
      <c r="M1805">
        <f>COUNTIFS($C$2:$C$3934,Table4[[#This Row],[customer_id]])</f>
        <v>3</v>
      </c>
      <c r="N1805" t="str">
        <f>IF(Table4[[#This Row],[customer_order_count]]=1,"New Customer","Repeat Customer")</f>
        <v>Repeat Customer</v>
      </c>
    </row>
    <row r="1806" spans="1:14">
      <c r="A1806" t="s">
        <v>4393</v>
      </c>
      <c r="B1806" s="1">
        <v>45267</v>
      </c>
      <c r="C1806" t="s">
        <v>2130</v>
      </c>
      <c r="D1806" t="s">
        <v>953</v>
      </c>
      <c r="E1806" t="s">
        <v>21</v>
      </c>
      <c r="F1806" t="s">
        <v>66</v>
      </c>
      <c r="G1806" t="s">
        <v>217</v>
      </c>
      <c r="H1806">
        <v>2</v>
      </c>
      <c r="I1806" s="3">
        <v>34.92</v>
      </c>
      <c r="J1806" t="s">
        <v>85</v>
      </c>
      <c r="K1806" t="s">
        <v>40</v>
      </c>
      <c r="L1806" s="4">
        <f>Table4[[#This Row],[quantity]]*Table4[[#This Row],[unit_price]]</f>
        <v>69.84</v>
      </c>
      <c r="M1806">
        <f>COUNTIFS($C$2:$C$3934,Table4[[#This Row],[customer_id]])</f>
        <v>5</v>
      </c>
      <c r="N1806" t="str">
        <f>IF(Table4[[#This Row],[customer_order_count]]=1,"New Customer","Repeat Customer")</f>
        <v>Repeat Customer</v>
      </c>
    </row>
    <row r="1807" spans="1:14">
      <c r="A1807" t="s">
        <v>1765</v>
      </c>
      <c r="B1807" s="1">
        <v>45058</v>
      </c>
      <c r="C1807" t="s">
        <v>1766</v>
      </c>
      <c r="D1807" t="s">
        <v>1767</v>
      </c>
      <c r="E1807" t="s">
        <v>21</v>
      </c>
      <c r="F1807" t="s">
        <v>70</v>
      </c>
      <c r="G1807" t="s">
        <v>526</v>
      </c>
      <c r="H1807">
        <v>1</v>
      </c>
      <c r="I1807" s="3">
        <v>34.93</v>
      </c>
      <c r="J1807" t="s">
        <v>16</v>
      </c>
      <c r="K1807" t="s">
        <v>40</v>
      </c>
      <c r="L1807" s="4">
        <f>Table4[[#This Row],[quantity]]*Table4[[#This Row],[unit_price]]</f>
        <v>34.93</v>
      </c>
      <c r="M1807">
        <f>COUNTIFS($C$2:$C$3934,Table4[[#This Row],[customer_id]])</f>
        <v>7</v>
      </c>
      <c r="N1807" t="str">
        <f>IF(Table4[[#This Row],[customer_order_count]]=1,"New Customer","Repeat Customer")</f>
        <v>Repeat Customer</v>
      </c>
    </row>
    <row r="1808" spans="1:14">
      <c r="A1808" t="s">
        <v>4304</v>
      </c>
      <c r="B1808" s="1">
        <v>45068</v>
      </c>
      <c r="C1808" t="s">
        <v>2088</v>
      </c>
      <c r="D1808" t="s">
        <v>435</v>
      </c>
      <c r="E1808" t="s">
        <v>21</v>
      </c>
      <c r="F1808" t="s">
        <v>70</v>
      </c>
      <c r="G1808" t="s">
        <v>110</v>
      </c>
      <c r="H1808">
        <v>1</v>
      </c>
      <c r="I1808" s="3">
        <v>34.97</v>
      </c>
      <c r="J1808" t="s">
        <v>16</v>
      </c>
      <c r="K1808" t="s">
        <v>35</v>
      </c>
      <c r="L1808" s="4">
        <f>Table4[[#This Row],[quantity]]*Table4[[#This Row],[unit_price]]</f>
        <v>34.97</v>
      </c>
      <c r="M1808">
        <f>COUNTIFS($C$2:$C$3934,Table4[[#This Row],[customer_id]])</f>
        <v>9</v>
      </c>
      <c r="N1808" t="str">
        <f>IF(Table4[[#This Row],[customer_order_count]]=1,"New Customer","Repeat Customer")</f>
        <v>Repeat Customer</v>
      </c>
    </row>
    <row r="1809" spans="1:14">
      <c r="A1809" t="s">
        <v>2314</v>
      </c>
      <c r="B1809" s="1">
        <v>45470</v>
      </c>
      <c r="C1809" t="s">
        <v>2032</v>
      </c>
      <c r="D1809" t="s">
        <v>2033</v>
      </c>
      <c r="E1809" t="s">
        <v>106</v>
      </c>
      <c r="F1809" t="s">
        <v>66</v>
      </c>
      <c r="G1809" t="s">
        <v>217</v>
      </c>
      <c r="H1809">
        <v>2</v>
      </c>
      <c r="I1809" s="3">
        <v>34.97</v>
      </c>
      <c r="J1809" t="s">
        <v>16</v>
      </c>
      <c r="K1809" t="s">
        <v>40</v>
      </c>
      <c r="L1809" s="4">
        <f>Table4[[#This Row],[quantity]]*Table4[[#This Row],[unit_price]]</f>
        <v>69.94</v>
      </c>
      <c r="M1809">
        <f>COUNTIFS($C$2:$C$3934,Table4[[#This Row],[customer_id]])</f>
        <v>2</v>
      </c>
      <c r="N1809" t="str">
        <f>IF(Table4[[#This Row],[customer_order_count]]=1,"New Customer","Repeat Customer")</f>
        <v>Repeat Customer</v>
      </c>
    </row>
    <row r="1810" spans="1:14">
      <c r="A1810" t="s">
        <v>1861</v>
      </c>
      <c r="B1810" s="1">
        <v>45620</v>
      </c>
      <c r="C1810" t="s">
        <v>257</v>
      </c>
      <c r="D1810" t="s">
        <v>131</v>
      </c>
      <c r="E1810" t="s">
        <v>44</v>
      </c>
      <c r="F1810" t="s">
        <v>28</v>
      </c>
      <c r="G1810" t="s">
        <v>114</v>
      </c>
      <c r="H1810">
        <v>1</v>
      </c>
      <c r="I1810" s="3">
        <v>35</v>
      </c>
      <c r="J1810" t="s">
        <v>16</v>
      </c>
      <c r="K1810" t="s">
        <v>30</v>
      </c>
      <c r="L1810" s="4">
        <f>Table4[[#This Row],[quantity]]*Table4[[#This Row],[unit_price]]</f>
        <v>35</v>
      </c>
      <c r="M1810">
        <f>COUNTIFS($C$2:$C$3934,Table4[[#This Row],[customer_id]])</f>
        <v>5</v>
      </c>
      <c r="N1810" t="str">
        <f>IF(Table4[[#This Row],[customer_order_count]]=1,"New Customer","Repeat Customer")</f>
        <v>Repeat Customer</v>
      </c>
    </row>
    <row r="1811" spans="1:14">
      <c r="A1811" t="s">
        <v>4218</v>
      </c>
      <c r="B1811" s="1">
        <v>45326</v>
      </c>
      <c r="C1811" t="s">
        <v>964</v>
      </c>
      <c r="D1811" t="s">
        <v>965</v>
      </c>
      <c r="E1811" t="s">
        <v>21</v>
      </c>
      <c r="F1811" t="s">
        <v>14</v>
      </c>
      <c r="G1811" t="s">
        <v>258</v>
      </c>
      <c r="H1811">
        <v>2</v>
      </c>
      <c r="I1811" s="3">
        <v>35.049999999999997</v>
      </c>
      <c r="J1811" t="s">
        <v>16</v>
      </c>
      <c r="K1811" t="s">
        <v>30</v>
      </c>
      <c r="L1811" s="4">
        <f>Table4[[#This Row],[quantity]]*Table4[[#This Row],[unit_price]]</f>
        <v>70.099999999999994</v>
      </c>
      <c r="M1811">
        <f>COUNTIFS($C$2:$C$3934,Table4[[#This Row],[customer_id]])</f>
        <v>5</v>
      </c>
      <c r="N1811" t="str">
        <f>IF(Table4[[#This Row],[customer_order_count]]=1,"New Customer","Repeat Customer")</f>
        <v>Repeat Customer</v>
      </c>
    </row>
    <row r="1812" spans="1:14">
      <c r="A1812" t="s">
        <v>2493</v>
      </c>
      <c r="B1812" s="1">
        <v>45015</v>
      </c>
      <c r="C1812" t="s">
        <v>2229</v>
      </c>
      <c r="D1812" t="s">
        <v>1211</v>
      </c>
      <c r="E1812" t="s">
        <v>21</v>
      </c>
      <c r="F1812" t="s">
        <v>70</v>
      </c>
      <c r="G1812" t="s">
        <v>71</v>
      </c>
      <c r="H1812">
        <v>5</v>
      </c>
      <c r="I1812" s="3">
        <v>35.049999999999997</v>
      </c>
      <c r="J1812" t="s">
        <v>85</v>
      </c>
      <c r="K1812" t="s">
        <v>40</v>
      </c>
      <c r="L1812" s="4">
        <f>Table4[[#This Row],[quantity]]*Table4[[#This Row],[unit_price]]</f>
        <v>175.25</v>
      </c>
      <c r="M1812">
        <f>COUNTIFS($C$2:$C$3934,Table4[[#This Row],[customer_id]])</f>
        <v>5</v>
      </c>
      <c r="N1812" t="str">
        <f>IF(Table4[[#This Row],[customer_order_count]]=1,"New Customer","Repeat Customer")</f>
        <v>Repeat Customer</v>
      </c>
    </row>
    <row r="1813" spans="1:14">
      <c r="A1813" t="s">
        <v>354</v>
      </c>
      <c r="B1813" s="1">
        <v>45383</v>
      </c>
      <c r="C1813" t="s">
        <v>54</v>
      </c>
      <c r="D1813" t="s">
        <v>55</v>
      </c>
      <c r="E1813" t="s">
        <v>21</v>
      </c>
      <c r="F1813" t="s">
        <v>56</v>
      </c>
      <c r="G1813" t="s">
        <v>118</v>
      </c>
      <c r="H1813">
        <v>1</v>
      </c>
      <c r="I1813" s="3">
        <v>35.06</v>
      </c>
      <c r="J1813" t="s">
        <v>16</v>
      </c>
      <c r="K1813" t="s">
        <v>35</v>
      </c>
      <c r="L1813" s="4">
        <f>Table4[[#This Row],[quantity]]*Table4[[#This Row],[unit_price]]</f>
        <v>35.06</v>
      </c>
      <c r="M1813">
        <f>COUNTIFS($C$2:$C$3934,Table4[[#This Row],[customer_id]])</f>
        <v>6</v>
      </c>
      <c r="N1813" t="str">
        <f>IF(Table4[[#This Row],[customer_order_count]]=1,"New Customer","Repeat Customer")</f>
        <v>Repeat Customer</v>
      </c>
    </row>
    <row r="1814" spans="1:14">
      <c r="A1814" t="s">
        <v>4437</v>
      </c>
      <c r="B1814" s="1">
        <v>45150</v>
      </c>
      <c r="C1814" t="s">
        <v>191</v>
      </c>
      <c r="D1814" t="s">
        <v>78</v>
      </c>
      <c r="E1814" t="s">
        <v>21</v>
      </c>
      <c r="F1814" t="s">
        <v>22</v>
      </c>
      <c r="G1814" t="s">
        <v>142</v>
      </c>
      <c r="H1814">
        <v>1</v>
      </c>
      <c r="I1814" s="3">
        <v>35.08</v>
      </c>
      <c r="J1814" t="s">
        <v>16</v>
      </c>
      <c r="K1814" t="s">
        <v>30</v>
      </c>
      <c r="L1814" s="4">
        <f>Table4[[#This Row],[quantity]]*Table4[[#This Row],[unit_price]]</f>
        <v>35.08</v>
      </c>
      <c r="M1814">
        <f>COUNTIFS($C$2:$C$3934,Table4[[#This Row],[customer_id]])</f>
        <v>6</v>
      </c>
      <c r="N1814" t="str">
        <f>IF(Table4[[#This Row],[customer_order_count]]=1,"New Customer","Repeat Customer")</f>
        <v>Repeat Customer</v>
      </c>
    </row>
    <row r="1815" spans="1:14">
      <c r="A1815" t="s">
        <v>25</v>
      </c>
      <c r="B1815" s="1">
        <v>45392</v>
      </c>
      <c r="C1815" t="s">
        <v>26</v>
      </c>
      <c r="D1815" t="s">
        <v>27</v>
      </c>
      <c r="E1815" t="s">
        <v>44</v>
      </c>
      <c r="F1815" t="s">
        <v>28</v>
      </c>
      <c r="G1815" t="s">
        <v>29</v>
      </c>
      <c r="H1815">
        <v>1</v>
      </c>
      <c r="I1815" s="3">
        <v>35.090000000000003</v>
      </c>
      <c r="J1815" t="s">
        <v>16</v>
      </c>
      <c r="K1815" t="s">
        <v>30</v>
      </c>
      <c r="L1815" s="4">
        <f>Table4[[#This Row],[quantity]]*Table4[[#This Row],[unit_price]]</f>
        <v>35.090000000000003</v>
      </c>
      <c r="M1815">
        <f>COUNTIFS($C$2:$C$3934,Table4[[#This Row],[customer_id]])</f>
        <v>3</v>
      </c>
      <c r="N1815" t="str">
        <f>IF(Table4[[#This Row],[customer_order_count]]=1,"New Customer","Repeat Customer")</f>
        <v>Repeat Customer</v>
      </c>
    </row>
    <row r="1816" spans="1:14">
      <c r="A1816" t="s">
        <v>3566</v>
      </c>
      <c r="B1816" s="1">
        <v>44974</v>
      </c>
      <c r="C1816" t="s">
        <v>591</v>
      </c>
      <c r="D1816" t="s">
        <v>592</v>
      </c>
      <c r="E1816" t="s">
        <v>21</v>
      </c>
      <c r="F1816" t="s">
        <v>28</v>
      </c>
      <c r="G1816" t="s">
        <v>45</v>
      </c>
      <c r="H1816">
        <v>1</v>
      </c>
      <c r="I1816" s="3">
        <v>35.1</v>
      </c>
      <c r="J1816" t="s">
        <v>24</v>
      </c>
      <c r="K1816" t="s">
        <v>35</v>
      </c>
      <c r="L1816" s="4">
        <f>Table4[[#This Row],[quantity]]*Table4[[#This Row],[unit_price]]</f>
        <v>35.1</v>
      </c>
      <c r="M1816">
        <f>COUNTIFS($C$2:$C$3934,Table4[[#This Row],[customer_id]])</f>
        <v>6</v>
      </c>
      <c r="N1816" t="str">
        <f>IF(Table4[[#This Row],[customer_order_count]]=1,"New Customer","Repeat Customer")</f>
        <v>Repeat Customer</v>
      </c>
    </row>
    <row r="1817" spans="1:14">
      <c r="A1817" t="s">
        <v>2851</v>
      </c>
      <c r="B1817" s="1">
        <v>45234</v>
      </c>
      <c r="C1817" t="s">
        <v>2459</v>
      </c>
      <c r="D1817" t="s">
        <v>1507</v>
      </c>
      <c r="E1817" t="s">
        <v>21</v>
      </c>
      <c r="F1817" t="s">
        <v>70</v>
      </c>
      <c r="G1817" t="s">
        <v>170</v>
      </c>
      <c r="H1817">
        <v>2</v>
      </c>
      <c r="I1817" s="3">
        <v>35.1</v>
      </c>
      <c r="J1817" t="s">
        <v>85</v>
      </c>
      <c r="K1817" t="s">
        <v>30</v>
      </c>
      <c r="L1817" s="4">
        <f>Table4[[#This Row],[quantity]]*Table4[[#This Row],[unit_price]]</f>
        <v>70.2</v>
      </c>
      <c r="M1817">
        <f>COUNTIFS($C$2:$C$3934,Table4[[#This Row],[customer_id]])</f>
        <v>4</v>
      </c>
      <c r="N1817" t="str">
        <f>IF(Table4[[#This Row],[customer_order_count]]=1,"New Customer","Repeat Customer")</f>
        <v>Repeat Customer</v>
      </c>
    </row>
    <row r="1818" spans="1:14">
      <c r="A1818" t="s">
        <v>2765</v>
      </c>
      <c r="B1818" s="1">
        <v>45574</v>
      </c>
      <c r="C1818" t="s">
        <v>2766</v>
      </c>
      <c r="D1818" t="s">
        <v>181</v>
      </c>
      <c r="E1818" t="s">
        <v>21</v>
      </c>
      <c r="F1818" t="s">
        <v>22</v>
      </c>
      <c r="G1818" t="s">
        <v>264</v>
      </c>
      <c r="H1818">
        <v>4</v>
      </c>
      <c r="I1818" s="3">
        <v>35.130000000000003</v>
      </c>
      <c r="J1818" t="s">
        <v>16</v>
      </c>
      <c r="K1818" t="s">
        <v>35</v>
      </c>
      <c r="L1818" s="4">
        <f>Table4[[#This Row],[quantity]]*Table4[[#This Row],[unit_price]]</f>
        <v>140.52000000000001</v>
      </c>
      <c r="M1818">
        <f>COUNTIFS($C$2:$C$3934,Table4[[#This Row],[customer_id]])</f>
        <v>4</v>
      </c>
      <c r="N1818" t="str">
        <f>IF(Table4[[#This Row],[customer_order_count]]=1,"New Customer","Repeat Customer")</f>
        <v>Repeat Customer</v>
      </c>
    </row>
    <row r="1819" spans="1:14">
      <c r="A1819" t="s">
        <v>3936</v>
      </c>
      <c r="B1819" s="1">
        <v>45500</v>
      </c>
      <c r="C1819" t="s">
        <v>1397</v>
      </c>
      <c r="D1819" t="s">
        <v>383</v>
      </c>
      <c r="E1819" t="s">
        <v>44</v>
      </c>
      <c r="F1819" t="s">
        <v>28</v>
      </c>
      <c r="G1819" t="s">
        <v>84</v>
      </c>
      <c r="H1819">
        <v>4</v>
      </c>
      <c r="I1819" s="3">
        <v>35.14</v>
      </c>
      <c r="J1819" t="s">
        <v>16</v>
      </c>
      <c r="K1819" t="s">
        <v>40</v>
      </c>
      <c r="L1819" s="4">
        <f>Table4[[#This Row],[quantity]]*Table4[[#This Row],[unit_price]]</f>
        <v>140.56</v>
      </c>
      <c r="M1819">
        <f>COUNTIFS($C$2:$C$3934,Table4[[#This Row],[customer_id]])</f>
        <v>9</v>
      </c>
      <c r="N1819" t="str">
        <f>IF(Table4[[#This Row],[customer_order_count]]=1,"New Customer","Repeat Customer")</f>
        <v>Repeat Customer</v>
      </c>
    </row>
    <row r="1820" spans="1:14">
      <c r="A1820" t="s">
        <v>2487</v>
      </c>
      <c r="B1820" s="1">
        <v>45149</v>
      </c>
      <c r="C1820" t="s">
        <v>1770</v>
      </c>
      <c r="D1820" t="s">
        <v>113</v>
      </c>
      <c r="E1820" t="s">
        <v>44</v>
      </c>
      <c r="F1820" t="s">
        <v>28</v>
      </c>
      <c r="G1820" t="s">
        <v>84</v>
      </c>
      <c r="H1820">
        <v>1</v>
      </c>
      <c r="I1820" s="3">
        <v>35.159999999999997</v>
      </c>
      <c r="J1820" t="s">
        <v>16</v>
      </c>
      <c r="K1820" t="s">
        <v>17</v>
      </c>
      <c r="L1820" s="4">
        <f>Table4[[#This Row],[quantity]]*Table4[[#This Row],[unit_price]]</f>
        <v>35.159999999999997</v>
      </c>
      <c r="M1820">
        <f>COUNTIFS($C$2:$C$3934,Table4[[#This Row],[customer_id]])</f>
        <v>5</v>
      </c>
      <c r="N1820" t="str">
        <f>IF(Table4[[#This Row],[customer_order_count]]=1,"New Customer","Repeat Customer")</f>
        <v>Repeat Customer</v>
      </c>
    </row>
    <row r="1821" spans="1:14">
      <c r="A1821" t="s">
        <v>3598</v>
      </c>
      <c r="B1821" s="1">
        <v>45083</v>
      </c>
      <c r="C1821" t="s">
        <v>130</v>
      </c>
      <c r="D1821" t="s">
        <v>131</v>
      </c>
      <c r="E1821" t="s">
        <v>21</v>
      </c>
      <c r="F1821" t="s">
        <v>70</v>
      </c>
      <c r="G1821" t="s">
        <v>337</v>
      </c>
      <c r="H1821">
        <v>1</v>
      </c>
      <c r="I1821" s="3">
        <v>35.17</v>
      </c>
      <c r="J1821" t="s">
        <v>16</v>
      </c>
      <c r="K1821" t="s">
        <v>30</v>
      </c>
      <c r="L1821" s="4">
        <f>Table4[[#This Row],[quantity]]*Table4[[#This Row],[unit_price]]</f>
        <v>35.17</v>
      </c>
      <c r="M1821">
        <f>COUNTIFS($C$2:$C$3934,Table4[[#This Row],[customer_id]])</f>
        <v>4</v>
      </c>
      <c r="N1821" t="str">
        <f>IF(Table4[[#This Row],[customer_order_count]]=1,"New Customer","Repeat Customer")</f>
        <v>Repeat Customer</v>
      </c>
    </row>
    <row r="1822" spans="1:14">
      <c r="A1822" t="s">
        <v>4871</v>
      </c>
      <c r="B1822" s="1">
        <v>45250</v>
      </c>
      <c r="C1822" t="s">
        <v>2277</v>
      </c>
      <c r="D1822" t="s">
        <v>1440</v>
      </c>
      <c r="E1822" t="s">
        <v>44</v>
      </c>
      <c r="F1822" t="s">
        <v>22</v>
      </c>
      <c r="G1822" t="s">
        <v>135</v>
      </c>
      <c r="H1822">
        <v>2</v>
      </c>
      <c r="I1822" s="3">
        <v>35.17</v>
      </c>
      <c r="J1822" t="s">
        <v>16</v>
      </c>
      <c r="K1822" t="s">
        <v>17</v>
      </c>
      <c r="L1822" s="4">
        <f>Table4[[#This Row],[quantity]]*Table4[[#This Row],[unit_price]]</f>
        <v>70.34</v>
      </c>
      <c r="M1822">
        <f>COUNTIFS($C$2:$C$3934,Table4[[#This Row],[customer_id]])</f>
        <v>4</v>
      </c>
      <c r="N1822" t="str">
        <f>IF(Table4[[#This Row],[customer_order_count]]=1,"New Customer","Repeat Customer")</f>
        <v>Repeat Customer</v>
      </c>
    </row>
    <row r="1823" spans="1:14">
      <c r="A1823" t="s">
        <v>3604</v>
      </c>
      <c r="B1823" s="1">
        <v>45358</v>
      </c>
      <c r="C1823" t="s">
        <v>501</v>
      </c>
      <c r="D1823" t="s">
        <v>502</v>
      </c>
      <c r="E1823" t="s">
        <v>21</v>
      </c>
      <c r="F1823" t="s">
        <v>22</v>
      </c>
      <c r="G1823" t="s">
        <v>162</v>
      </c>
      <c r="H1823">
        <v>1</v>
      </c>
      <c r="I1823" s="3">
        <v>35.21</v>
      </c>
      <c r="J1823" t="s">
        <v>16</v>
      </c>
      <c r="K1823" t="s">
        <v>17</v>
      </c>
      <c r="L1823" s="4">
        <f>Table4[[#This Row],[quantity]]*Table4[[#This Row],[unit_price]]</f>
        <v>35.21</v>
      </c>
      <c r="M1823">
        <f>COUNTIFS($C$2:$C$3934,Table4[[#This Row],[customer_id]])</f>
        <v>6</v>
      </c>
      <c r="N1823" t="str">
        <f>IF(Table4[[#This Row],[customer_order_count]]=1,"New Customer","Repeat Customer")</f>
        <v>Repeat Customer</v>
      </c>
    </row>
    <row r="1824" spans="1:14">
      <c r="A1824" t="s">
        <v>2540</v>
      </c>
      <c r="B1824" s="1">
        <v>45495</v>
      </c>
      <c r="C1824" t="s">
        <v>1338</v>
      </c>
      <c r="D1824" t="s">
        <v>152</v>
      </c>
      <c r="E1824" t="s">
        <v>21</v>
      </c>
      <c r="F1824" t="s">
        <v>79</v>
      </c>
      <c r="G1824" t="s">
        <v>200</v>
      </c>
      <c r="H1824">
        <v>3</v>
      </c>
      <c r="I1824" s="3">
        <v>35.229999999999997</v>
      </c>
      <c r="J1824" t="s">
        <v>16</v>
      </c>
      <c r="K1824" t="s">
        <v>35</v>
      </c>
      <c r="L1824" s="4">
        <f>Table4[[#This Row],[quantity]]*Table4[[#This Row],[unit_price]]</f>
        <v>105.69</v>
      </c>
      <c r="M1824">
        <f>COUNTIFS($C$2:$C$3934,Table4[[#This Row],[customer_id]])</f>
        <v>7</v>
      </c>
      <c r="N1824" t="str">
        <f>IF(Table4[[#This Row],[customer_order_count]]=1,"New Customer","Repeat Customer")</f>
        <v>Repeat Customer</v>
      </c>
    </row>
    <row r="1825" spans="1:14">
      <c r="A1825" t="s">
        <v>3642</v>
      </c>
      <c r="B1825" s="1">
        <v>45015</v>
      </c>
      <c r="C1825" t="s">
        <v>1575</v>
      </c>
      <c r="D1825" t="s">
        <v>449</v>
      </c>
      <c r="E1825" t="s">
        <v>44</v>
      </c>
      <c r="F1825" t="s">
        <v>56</v>
      </c>
      <c r="G1825" t="s">
        <v>153</v>
      </c>
      <c r="H1825">
        <v>1</v>
      </c>
      <c r="I1825" s="3">
        <v>35.26</v>
      </c>
      <c r="J1825" t="s">
        <v>16</v>
      </c>
      <c r="K1825" t="s">
        <v>40</v>
      </c>
      <c r="L1825" s="4">
        <f>Table4[[#This Row],[quantity]]*Table4[[#This Row],[unit_price]]</f>
        <v>35.26</v>
      </c>
      <c r="M1825">
        <f>COUNTIFS($C$2:$C$3934,Table4[[#This Row],[customer_id]])</f>
        <v>5</v>
      </c>
      <c r="N1825" t="str">
        <f>IF(Table4[[#This Row],[customer_order_count]]=1,"New Customer","Repeat Customer")</f>
        <v>Repeat Customer</v>
      </c>
    </row>
    <row r="1826" spans="1:14">
      <c r="A1826" t="s">
        <v>407</v>
      </c>
      <c r="B1826" s="1">
        <v>45343</v>
      </c>
      <c r="C1826" t="s">
        <v>408</v>
      </c>
      <c r="D1826" t="s">
        <v>409</v>
      </c>
      <c r="E1826" t="s">
        <v>21</v>
      </c>
      <c r="F1826" t="s">
        <v>56</v>
      </c>
      <c r="G1826" t="s">
        <v>57</v>
      </c>
      <c r="H1826">
        <v>1</v>
      </c>
      <c r="I1826" s="3">
        <v>35.340000000000003</v>
      </c>
      <c r="J1826" t="s">
        <v>255</v>
      </c>
      <c r="K1826" t="s">
        <v>40</v>
      </c>
      <c r="L1826" s="4">
        <f>Table4[[#This Row],[quantity]]*Table4[[#This Row],[unit_price]]</f>
        <v>35.340000000000003</v>
      </c>
      <c r="M1826">
        <f>COUNTIFS($C$2:$C$3934,Table4[[#This Row],[customer_id]])</f>
        <v>5</v>
      </c>
      <c r="N1826" t="str">
        <f>IF(Table4[[#This Row],[customer_order_count]]=1,"New Customer","Repeat Customer")</f>
        <v>Repeat Customer</v>
      </c>
    </row>
    <row r="1827" spans="1:14">
      <c r="A1827" t="s">
        <v>4777</v>
      </c>
      <c r="B1827" s="1">
        <v>45439</v>
      </c>
      <c r="C1827" t="s">
        <v>1240</v>
      </c>
      <c r="D1827" t="s">
        <v>1241</v>
      </c>
      <c r="E1827" t="s">
        <v>21</v>
      </c>
      <c r="F1827" t="s">
        <v>14</v>
      </c>
      <c r="G1827" t="s">
        <v>258</v>
      </c>
      <c r="H1827">
        <v>1</v>
      </c>
      <c r="I1827" s="3">
        <v>35.35</v>
      </c>
      <c r="J1827" t="s">
        <v>16</v>
      </c>
      <c r="K1827" t="s">
        <v>40</v>
      </c>
      <c r="L1827" s="4">
        <f>Table4[[#This Row],[quantity]]*Table4[[#This Row],[unit_price]]</f>
        <v>35.35</v>
      </c>
      <c r="M1827">
        <f>COUNTIFS($C$2:$C$3934,Table4[[#This Row],[customer_id]])</f>
        <v>12</v>
      </c>
      <c r="N1827" t="str">
        <f>IF(Table4[[#This Row],[customer_order_count]]=1,"New Customer","Repeat Customer")</f>
        <v>Repeat Customer</v>
      </c>
    </row>
    <row r="1828" spans="1:14">
      <c r="A1828" t="s">
        <v>4257</v>
      </c>
      <c r="B1828" s="1">
        <v>45389</v>
      </c>
      <c r="C1828" t="s">
        <v>961</v>
      </c>
      <c r="D1828" s="2" t="s">
        <v>5257</v>
      </c>
      <c r="E1828" t="s">
        <v>21</v>
      </c>
      <c r="F1828" t="s">
        <v>22</v>
      </c>
      <c r="G1828" t="s">
        <v>142</v>
      </c>
      <c r="H1828">
        <v>1</v>
      </c>
      <c r="I1828" s="3">
        <v>35.369999999999997</v>
      </c>
      <c r="J1828" t="s">
        <v>16</v>
      </c>
      <c r="K1828" t="s">
        <v>40</v>
      </c>
      <c r="L1828" s="4">
        <f>Table4[[#This Row],[quantity]]*Table4[[#This Row],[unit_price]]</f>
        <v>35.369999999999997</v>
      </c>
      <c r="M1828">
        <f>COUNTIFS($C$2:$C$3934,Table4[[#This Row],[customer_id]])</f>
        <v>6</v>
      </c>
      <c r="N1828" t="str">
        <f>IF(Table4[[#This Row],[customer_order_count]]=1,"New Customer","Repeat Customer")</f>
        <v>Repeat Customer</v>
      </c>
    </row>
    <row r="1829" spans="1:14">
      <c r="A1829" t="s">
        <v>3929</v>
      </c>
      <c r="B1829" s="1">
        <v>45546</v>
      </c>
      <c r="C1829" t="s">
        <v>2872</v>
      </c>
      <c r="D1829" s="5" t="s">
        <v>2873</v>
      </c>
      <c r="E1829" t="s">
        <v>21</v>
      </c>
      <c r="F1829" t="s">
        <v>28</v>
      </c>
      <c r="G1829" t="s">
        <v>29</v>
      </c>
      <c r="H1829">
        <v>1</v>
      </c>
      <c r="I1829" s="3">
        <v>35.39</v>
      </c>
      <c r="J1829" t="s">
        <v>16</v>
      </c>
      <c r="K1829" t="s">
        <v>40</v>
      </c>
      <c r="L1829" s="4">
        <f>Table4[[#This Row],[quantity]]*Table4[[#This Row],[unit_price]]</f>
        <v>35.39</v>
      </c>
      <c r="M1829">
        <f>COUNTIFS($C$2:$C$3934,Table4[[#This Row],[customer_id]])</f>
        <v>3</v>
      </c>
      <c r="N1829" t="str">
        <f>IF(Table4[[#This Row],[customer_order_count]]=1,"New Customer","Repeat Customer")</f>
        <v>Repeat Customer</v>
      </c>
    </row>
    <row r="1830" spans="1:14">
      <c r="A1830" t="s">
        <v>4223</v>
      </c>
      <c r="B1830" s="1">
        <v>44930</v>
      </c>
      <c r="C1830" t="s">
        <v>1053</v>
      </c>
      <c r="D1830" t="s">
        <v>1054</v>
      </c>
      <c r="E1830" t="s">
        <v>106</v>
      </c>
      <c r="F1830" t="s">
        <v>28</v>
      </c>
      <c r="G1830" t="s">
        <v>45</v>
      </c>
      <c r="H1830">
        <v>1</v>
      </c>
      <c r="I1830" s="3">
        <v>35.39</v>
      </c>
      <c r="J1830" t="s">
        <v>16</v>
      </c>
      <c r="K1830" t="s">
        <v>30</v>
      </c>
      <c r="L1830" s="4">
        <f>Table4[[#This Row],[quantity]]*Table4[[#This Row],[unit_price]]</f>
        <v>35.39</v>
      </c>
      <c r="M1830">
        <f>COUNTIFS($C$2:$C$3934,Table4[[#This Row],[customer_id]])</f>
        <v>3</v>
      </c>
      <c r="N1830" t="str">
        <f>IF(Table4[[#This Row],[customer_order_count]]=1,"New Customer","Repeat Customer")</f>
        <v>Repeat Customer</v>
      </c>
    </row>
    <row r="1831" spans="1:14">
      <c r="A1831" t="s">
        <v>4408</v>
      </c>
      <c r="B1831" s="1">
        <v>45169</v>
      </c>
      <c r="C1831" t="s">
        <v>1884</v>
      </c>
      <c r="D1831" t="s">
        <v>478</v>
      </c>
      <c r="E1831" t="s">
        <v>21</v>
      </c>
      <c r="F1831" t="s">
        <v>22</v>
      </c>
      <c r="G1831" t="s">
        <v>162</v>
      </c>
      <c r="H1831">
        <v>1</v>
      </c>
      <c r="I1831" s="3">
        <v>35.421481481481472</v>
      </c>
      <c r="J1831" t="s">
        <v>16</v>
      </c>
      <c r="K1831" t="s">
        <v>40</v>
      </c>
      <c r="L1831" s="4">
        <f>Table4[[#This Row],[quantity]]*Table4[[#This Row],[unit_price]]</f>
        <v>35.421481481481472</v>
      </c>
      <c r="M1831">
        <f>COUNTIFS($C$2:$C$3934,Table4[[#This Row],[customer_id]])</f>
        <v>6</v>
      </c>
      <c r="N1831" t="str">
        <f>IF(Table4[[#This Row],[customer_order_count]]=1,"New Customer","Repeat Customer")</f>
        <v>Repeat Customer</v>
      </c>
    </row>
    <row r="1832" spans="1:14">
      <c r="A1832" t="s">
        <v>1723</v>
      </c>
      <c r="B1832" s="1">
        <v>45552</v>
      </c>
      <c r="C1832" t="s">
        <v>1008</v>
      </c>
      <c r="D1832" t="s">
        <v>425</v>
      </c>
      <c r="E1832" t="s">
        <v>21</v>
      </c>
      <c r="F1832" t="s">
        <v>22</v>
      </c>
      <c r="G1832" t="s">
        <v>142</v>
      </c>
      <c r="H1832">
        <v>4</v>
      </c>
      <c r="I1832" s="3">
        <v>35.43</v>
      </c>
      <c r="J1832" t="s">
        <v>85</v>
      </c>
      <c r="K1832" t="s">
        <v>30</v>
      </c>
      <c r="L1832" s="4">
        <f>Table4[[#This Row],[quantity]]*Table4[[#This Row],[unit_price]]</f>
        <v>141.72</v>
      </c>
      <c r="M1832">
        <f>COUNTIFS($C$2:$C$3934,Table4[[#This Row],[customer_id]])</f>
        <v>7</v>
      </c>
      <c r="N1832" t="str">
        <f>IF(Table4[[#This Row],[customer_order_count]]=1,"New Customer","Repeat Customer")</f>
        <v>Repeat Customer</v>
      </c>
    </row>
    <row r="1833" spans="1:14">
      <c r="A1833" t="s">
        <v>3582</v>
      </c>
      <c r="B1833" s="1">
        <v>45471</v>
      </c>
      <c r="C1833" t="s">
        <v>2002</v>
      </c>
      <c r="D1833" t="s">
        <v>612</v>
      </c>
      <c r="E1833" t="s">
        <v>21</v>
      </c>
      <c r="F1833" t="s">
        <v>28</v>
      </c>
      <c r="G1833" t="s">
        <v>29</v>
      </c>
      <c r="H1833">
        <v>1</v>
      </c>
      <c r="I1833" s="3">
        <v>35.44</v>
      </c>
      <c r="J1833" t="s">
        <v>16</v>
      </c>
      <c r="K1833" t="s">
        <v>17</v>
      </c>
      <c r="L1833" s="4">
        <f>Table4[[#This Row],[quantity]]*Table4[[#This Row],[unit_price]]</f>
        <v>35.44</v>
      </c>
      <c r="M1833">
        <f>COUNTIFS($C$2:$C$3934,Table4[[#This Row],[customer_id]])</f>
        <v>5</v>
      </c>
      <c r="N1833" t="str">
        <f>IF(Table4[[#This Row],[customer_order_count]]=1,"New Customer","Repeat Customer")</f>
        <v>Repeat Customer</v>
      </c>
    </row>
    <row r="1834" spans="1:14">
      <c r="A1834" t="s">
        <v>2866</v>
      </c>
      <c r="B1834" s="1">
        <v>45614</v>
      </c>
      <c r="C1834" t="s">
        <v>2342</v>
      </c>
      <c r="D1834" t="s">
        <v>2343</v>
      </c>
      <c r="E1834" t="s">
        <v>21</v>
      </c>
      <c r="F1834" t="s">
        <v>28</v>
      </c>
      <c r="G1834" t="s">
        <v>114</v>
      </c>
      <c r="H1834">
        <v>1</v>
      </c>
      <c r="I1834" s="3">
        <v>35.44</v>
      </c>
      <c r="J1834" t="s">
        <v>24</v>
      </c>
      <c r="K1834" t="s">
        <v>35</v>
      </c>
      <c r="L1834" s="4">
        <f>Table4[[#This Row],[quantity]]*Table4[[#This Row],[unit_price]]</f>
        <v>35.44</v>
      </c>
      <c r="M1834">
        <f>COUNTIFS($C$2:$C$3934,Table4[[#This Row],[customer_id]])</f>
        <v>7</v>
      </c>
      <c r="N1834" t="str">
        <f>IF(Table4[[#This Row],[customer_order_count]]=1,"New Customer","Repeat Customer")</f>
        <v>Repeat Customer</v>
      </c>
    </row>
    <row r="1835" spans="1:14">
      <c r="A1835" t="s">
        <v>2259</v>
      </c>
      <c r="B1835" s="1">
        <v>45156</v>
      </c>
      <c r="C1835" t="s">
        <v>971</v>
      </c>
      <c r="D1835" t="s">
        <v>569</v>
      </c>
      <c r="E1835" t="s">
        <v>21</v>
      </c>
      <c r="F1835" t="s">
        <v>28</v>
      </c>
      <c r="G1835" t="s">
        <v>139</v>
      </c>
      <c r="H1835">
        <v>1</v>
      </c>
      <c r="I1835" s="3">
        <v>35.450000000000003</v>
      </c>
      <c r="J1835" t="s">
        <v>24</v>
      </c>
      <c r="K1835" t="s">
        <v>17</v>
      </c>
      <c r="L1835" s="4">
        <f>Table4[[#This Row],[quantity]]*Table4[[#This Row],[unit_price]]</f>
        <v>35.450000000000003</v>
      </c>
      <c r="M1835">
        <f>COUNTIFS($C$2:$C$3934,Table4[[#This Row],[customer_id]])</f>
        <v>7</v>
      </c>
      <c r="N1835" t="str">
        <f>IF(Table4[[#This Row],[customer_order_count]]=1,"New Customer","Repeat Customer")</f>
        <v>Repeat Customer</v>
      </c>
    </row>
    <row r="1836" spans="1:14">
      <c r="A1836" t="s">
        <v>4819</v>
      </c>
      <c r="B1836" s="1">
        <v>44978</v>
      </c>
      <c r="C1836" t="s">
        <v>1763</v>
      </c>
      <c r="D1836" t="s">
        <v>1103</v>
      </c>
      <c r="E1836" t="s">
        <v>21</v>
      </c>
      <c r="F1836" t="s">
        <v>70</v>
      </c>
      <c r="G1836" t="s">
        <v>110</v>
      </c>
      <c r="H1836">
        <v>1</v>
      </c>
      <c r="I1836" s="3">
        <v>35.450000000000003</v>
      </c>
      <c r="J1836" t="s">
        <v>16</v>
      </c>
      <c r="K1836" t="s">
        <v>30</v>
      </c>
      <c r="L1836" s="4">
        <f>Table4[[#This Row],[quantity]]*Table4[[#This Row],[unit_price]]</f>
        <v>35.450000000000003</v>
      </c>
      <c r="M1836">
        <f>COUNTIFS($C$2:$C$3934,Table4[[#This Row],[customer_id]])</f>
        <v>8</v>
      </c>
      <c r="N1836" t="str">
        <f>IF(Table4[[#This Row],[customer_order_count]]=1,"New Customer","Repeat Customer")</f>
        <v>Repeat Customer</v>
      </c>
    </row>
    <row r="1837" spans="1:14">
      <c r="A1837" t="s">
        <v>2261</v>
      </c>
      <c r="B1837" s="1">
        <v>44975</v>
      </c>
      <c r="C1837" t="s">
        <v>1038</v>
      </c>
      <c r="D1837" t="s">
        <v>560</v>
      </c>
      <c r="E1837" t="s">
        <v>21</v>
      </c>
      <c r="F1837" t="s">
        <v>22</v>
      </c>
      <c r="G1837" t="s">
        <v>142</v>
      </c>
      <c r="H1837">
        <v>1</v>
      </c>
      <c r="I1837" s="3">
        <v>35.46</v>
      </c>
      <c r="J1837" t="s">
        <v>16</v>
      </c>
      <c r="K1837" t="s">
        <v>35</v>
      </c>
      <c r="L1837" s="4">
        <f>Table4[[#This Row],[quantity]]*Table4[[#This Row],[unit_price]]</f>
        <v>35.46</v>
      </c>
      <c r="M1837">
        <f>COUNTIFS($C$2:$C$3934,Table4[[#This Row],[customer_id]])</f>
        <v>6</v>
      </c>
      <c r="N1837" t="str">
        <f>IF(Table4[[#This Row],[customer_order_count]]=1,"New Customer","Repeat Customer")</f>
        <v>Repeat Customer</v>
      </c>
    </row>
    <row r="1838" spans="1:14">
      <c r="A1838" t="s">
        <v>2954</v>
      </c>
      <c r="B1838" s="1">
        <v>45239</v>
      </c>
      <c r="C1838" t="s">
        <v>1140</v>
      </c>
      <c r="D1838" t="s">
        <v>684</v>
      </c>
      <c r="E1838" t="s">
        <v>44</v>
      </c>
      <c r="F1838" t="s">
        <v>70</v>
      </c>
      <c r="G1838" t="s">
        <v>110</v>
      </c>
      <c r="H1838">
        <v>1</v>
      </c>
      <c r="I1838" s="3">
        <v>35.479999999999997</v>
      </c>
      <c r="J1838" t="s">
        <v>16</v>
      </c>
      <c r="K1838" t="s">
        <v>40</v>
      </c>
      <c r="L1838" s="4">
        <f>Table4[[#This Row],[quantity]]*Table4[[#This Row],[unit_price]]</f>
        <v>35.479999999999997</v>
      </c>
      <c r="M1838">
        <f>COUNTIFS($C$2:$C$3934,Table4[[#This Row],[customer_id]])</f>
        <v>4</v>
      </c>
      <c r="N1838" t="str">
        <f>IF(Table4[[#This Row],[customer_order_count]]=1,"New Customer","Repeat Customer")</f>
        <v>Repeat Customer</v>
      </c>
    </row>
    <row r="1839" spans="1:14">
      <c r="A1839" t="s">
        <v>865</v>
      </c>
      <c r="B1839" s="1">
        <v>44982</v>
      </c>
      <c r="C1839" t="s">
        <v>866</v>
      </c>
      <c r="D1839" t="s">
        <v>484</v>
      </c>
      <c r="E1839" t="s">
        <v>21</v>
      </c>
      <c r="F1839" t="s">
        <v>22</v>
      </c>
      <c r="G1839" t="s">
        <v>264</v>
      </c>
      <c r="H1839">
        <v>1</v>
      </c>
      <c r="I1839" s="3">
        <v>35.49</v>
      </c>
      <c r="J1839" t="s">
        <v>16</v>
      </c>
      <c r="K1839" t="s">
        <v>17</v>
      </c>
      <c r="L1839" s="4">
        <f>Table4[[#This Row],[quantity]]*Table4[[#This Row],[unit_price]]</f>
        <v>35.49</v>
      </c>
      <c r="M1839">
        <f>COUNTIFS($C$2:$C$3934,Table4[[#This Row],[customer_id]])</f>
        <v>4</v>
      </c>
      <c r="N1839" t="str">
        <f>IF(Table4[[#This Row],[customer_order_count]]=1,"New Customer","Repeat Customer")</f>
        <v>Repeat Customer</v>
      </c>
    </row>
    <row r="1840" spans="1:14">
      <c r="A1840" t="s">
        <v>2494</v>
      </c>
      <c r="B1840" s="1">
        <v>45558</v>
      </c>
      <c r="C1840" t="s">
        <v>883</v>
      </c>
      <c r="D1840" t="s">
        <v>181</v>
      </c>
      <c r="E1840" t="s">
        <v>21</v>
      </c>
      <c r="F1840" t="s">
        <v>28</v>
      </c>
      <c r="G1840" t="s">
        <v>139</v>
      </c>
      <c r="H1840">
        <v>1</v>
      </c>
      <c r="I1840" s="3">
        <v>35.51</v>
      </c>
      <c r="J1840" t="s">
        <v>16</v>
      </c>
      <c r="K1840" t="s">
        <v>17</v>
      </c>
      <c r="L1840" s="4">
        <f>Table4[[#This Row],[quantity]]*Table4[[#This Row],[unit_price]]</f>
        <v>35.51</v>
      </c>
      <c r="M1840">
        <f>COUNTIFS($C$2:$C$3934,Table4[[#This Row],[customer_id]])</f>
        <v>11</v>
      </c>
      <c r="N1840" t="str">
        <f>IF(Table4[[#This Row],[customer_order_count]]=1,"New Customer","Repeat Customer")</f>
        <v>Repeat Customer</v>
      </c>
    </row>
    <row r="1841" spans="1:14">
      <c r="A1841" t="s">
        <v>2882</v>
      </c>
      <c r="B1841" s="1">
        <v>45141</v>
      </c>
      <c r="C1841" t="s">
        <v>1705</v>
      </c>
      <c r="D1841" t="s">
        <v>1706</v>
      </c>
      <c r="E1841" t="s">
        <v>44</v>
      </c>
      <c r="F1841" t="s">
        <v>22</v>
      </c>
      <c r="G1841" t="s">
        <v>162</v>
      </c>
      <c r="H1841">
        <v>2</v>
      </c>
      <c r="I1841" s="3">
        <v>35.549999999999997</v>
      </c>
      <c r="J1841" t="s">
        <v>16</v>
      </c>
      <c r="K1841" t="s">
        <v>30</v>
      </c>
      <c r="L1841" s="4">
        <f>Table4[[#This Row],[quantity]]*Table4[[#This Row],[unit_price]]</f>
        <v>71.099999999999994</v>
      </c>
      <c r="M1841">
        <f>COUNTIFS($C$2:$C$3934,Table4[[#This Row],[customer_id]])</f>
        <v>7</v>
      </c>
      <c r="N1841" t="str">
        <f>IF(Table4[[#This Row],[customer_order_count]]=1,"New Customer","Repeat Customer")</f>
        <v>Repeat Customer</v>
      </c>
    </row>
    <row r="1842" spans="1:14">
      <c r="A1842" t="s">
        <v>2199</v>
      </c>
      <c r="B1842" s="1">
        <v>45110</v>
      </c>
      <c r="C1842" t="s">
        <v>563</v>
      </c>
      <c r="D1842" t="s">
        <v>203</v>
      </c>
      <c r="E1842" t="s">
        <v>21</v>
      </c>
      <c r="F1842" t="s">
        <v>70</v>
      </c>
      <c r="G1842" t="s">
        <v>526</v>
      </c>
      <c r="H1842">
        <v>5</v>
      </c>
      <c r="I1842" s="3">
        <v>35.58</v>
      </c>
      <c r="J1842" t="s">
        <v>16</v>
      </c>
      <c r="K1842" t="s">
        <v>35</v>
      </c>
      <c r="L1842" s="4">
        <f>Table4[[#This Row],[quantity]]*Table4[[#This Row],[unit_price]]</f>
        <v>177.89999999999998</v>
      </c>
      <c r="M1842">
        <f>COUNTIFS($C$2:$C$3934,Table4[[#This Row],[customer_id]])</f>
        <v>6</v>
      </c>
      <c r="N1842" t="str">
        <f>IF(Table4[[#This Row],[customer_order_count]]=1,"New Customer","Repeat Customer")</f>
        <v>Repeat Customer</v>
      </c>
    </row>
    <row r="1843" spans="1:14">
      <c r="A1843" t="s">
        <v>2382</v>
      </c>
      <c r="B1843" s="1">
        <v>44943</v>
      </c>
      <c r="C1843" t="s">
        <v>2383</v>
      </c>
      <c r="D1843" t="s">
        <v>2384</v>
      </c>
      <c r="E1843" t="s">
        <v>21</v>
      </c>
      <c r="F1843" t="s">
        <v>22</v>
      </c>
      <c r="G1843" t="s">
        <v>23</v>
      </c>
      <c r="H1843">
        <v>1</v>
      </c>
      <c r="I1843" s="3">
        <v>35.61</v>
      </c>
      <c r="J1843" t="s">
        <v>16</v>
      </c>
      <c r="K1843" t="s">
        <v>17</v>
      </c>
      <c r="L1843" s="4">
        <f>Table4[[#This Row],[quantity]]*Table4[[#This Row],[unit_price]]</f>
        <v>35.61</v>
      </c>
      <c r="M1843">
        <f>COUNTIFS($C$2:$C$3934,Table4[[#This Row],[customer_id]])</f>
        <v>4</v>
      </c>
      <c r="N1843" t="str">
        <f>IF(Table4[[#This Row],[customer_order_count]]=1,"New Customer","Repeat Customer")</f>
        <v>Repeat Customer</v>
      </c>
    </row>
    <row r="1844" spans="1:14">
      <c r="A1844" t="s">
        <v>2911</v>
      </c>
      <c r="B1844" s="1">
        <v>45034</v>
      </c>
      <c r="C1844" t="s">
        <v>1294</v>
      </c>
      <c r="D1844" t="s">
        <v>1241</v>
      </c>
      <c r="E1844" t="s">
        <v>21</v>
      </c>
      <c r="F1844" t="s">
        <v>28</v>
      </c>
      <c r="G1844" t="s">
        <v>45</v>
      </c>
      <c r="H1844">
        <v>1</v>
      </c>
      <c r="I1844" s="3">
        <v>35.630000000000003</v>
      </c>
      <c r="J1844" t="s">
        <v>16</v>
      </c>
      <c r="K1844" t="s">
        <v>40</v>
      </c>
      <c r="L1844" s="4">
        <f>Table4[[#This Row],[quantity]]*Table4[[#This Row],[unit_price]]</f>
        <v>35.630000000000003</v>
      </c>
      <c r="M1844">
        <f>COUNTIFS($C$2:$C$3934,Table4[[#This Row],[customer_id]])</f>
        <v>6</v>
      </c>
      <c r="N1844" t="str">
        <f>IF(Table4[[#This Row],[customer_order_count]]=1,"New Customer","Repeat Customer")</f>
        <v>Repeat Customer</v>
      </c>
    </row>
    <row r="1845" spans="1:14">
      <c r="A1845" t="s">
        <v>4284</v>
      </c>
      <c r="B1845" s="1">
        <v>45255</v>
      </c>
      <c r="C1845" t="s">
        <v>2693</v>
      </c>
      <c r="D1845" t="s">
        <v>1835</v>
      </c>
      <c r="E1845" t="s">
        <v>21</v>
      </c>
      <c r="F1845" t="s">
        <v>28</v>
      </c>
      <c r="G1845" t="s">
        <v>45</v>
      </c>
      <c r="H1845">
        <v>2</v>
      </c>
      <c r="I1845" s="3">
        <v>35.68</v>
      </c>
      <c r="J1845" t="s">
        <v>16</v>
      </c>
      <c r="K1845" t="s">
        <v>17</v>
      </c>
      <c r="L1845" s="4">
        <f>Table4[[#This Row],[quantity]]*Table4[[#This Row],[unit_price]]</f>
        <v>71.36</v>
      </c>
      <c r="M1845">
        <f>COUNTIFS($C$2:$C$3934,Table4[[#This Row],[customer_id]])</f>
        <v>3</v>
      </c>
      <c r="N1845" t="str">
        <f>IF(Table4[[#This Row],[customer_order_count]]=1,"New Customer","Repeat Customer")</f>
        <v>Repeat Customer</v>
      </c>
    </row>
    <row r="1846" spans="1:14">
      <c r="A1846" t="s">
        <v>68</v>
      </c>
      <c r="B1846" s="1">
        <v>45366</v>
      </c>
      <c r="C1846" t="s">
        <v>69</v>
      </c>
      <c r="D1846" s="2" t="s">
        <v>5257</v>
      </c>
      <c r="E1846" t="s">
        <v>21</v>
      </c>
      <c r="F1846" t="s">
        <v>70</v>
      </c>
      <c r="G1846" t="s">
        <v>71</v>
      </c>
      <c r="H1846">
        <v>2</v>
      </c>
      <c r="I1846" s="3">
        <v>35.68</v>
      </c>
      <c r="J1846" t="s">
        <v>16</v>
      </c>
      <c r="K1846" t="s">
        <v>30</v>
      </c>
      <c r="L1846" s="4">
        <f>Table4[[#This Row],[quantity]]*Table4[[#This Row],[unit_price]]</f>
        <v>71.36</v>
      </c>
      <c r="M1846">
        <f>COUNTIFS($C$2:$C$3934,Table4[[#This Row],[customer_id]])</f>
        <v>8</v>
      </c>
      <c r="N1846" t="str">
        <f>IF(Table4[[#This Row],[customer_order_count]]=1,"New Customer","Repeat Customer")</f>
        <v>Repeat Customer</v>
      </c>
    </row>
    <row r="1847" spans="1:14">
      <c r="A1847" t="s">
        <v>348</v>
      </c>
      <c r="B1847" s="1">
        <v>45265</v>
      </c>
      <c r="C1847" t="s">
        <v>349</v>
      </c>
      <c r="D1847" s="5" t="s">
        <v>350</v>
      </c>
      <c r="E1847" t="s">
        <v>44</v>
      </c>
      <c r="F1847" t="s">
        <v>14</v>
      </c>
      <c r="G1847" t="s">
        <v>62</v>
      </c>
      <c r="H1847">
        <v>1</v>
      </c>
      <c r="I1847" s="3">
        <v>35.69</v>
      </c>
      <c r="J1847" t="s">
        <v>16</v>
      </c>
      <c r="K1847" t="s">
        <v>40</v>
      </c>
      <c r="L1847" s="4">
        <f>Table4[[#This Row],[quantity]]*Table4[[#This Row],[unit_price]]</f>
        <v>35.69</v>
      </c>
      <c r="M1847">
        <f>COUNTIFS($C$2:$C$3934,Table4[[#This Row],[customer_id]])</f>
        <v>1</v>
      </c>
      <c r="N1847" t="str">
        <f>IF(Table4[[#This Row],[customer_order_count]]=1,"New Customer","Repeat Customer")</f>
        <v>New Customer</v>
      </c>
    </row>
    <row r="1848" spans="1:14">
      <c r="A1848" t="s">
        <v>1618</v>
      </c>
      <c r="B1848" s="1">
        <v>45235</v>
      </c>
      <c r="C1848" t="s">
        <v>1511</v>
      </c>
      <c r="D1848" t="s">
        <v>1080</v>
      </c>
      <c r="E1848" t="s">
        <v>44</v>
      </c>
      <c r="F1848" t="s">
        <v>70</v>
      </c>
      <c r="G1848" t="s">
        <v>526</v>
      </c>
      <c r="H1848">
        <v>1</v>
      </c>
      <c r="I1848" s="3">
        <v>35.700000000000003</v>
      </c>
      <c r="J1848" t="s">
        <v>16</v>
      </c>
      <c r="K1848" t="s">
        <v>40</v>
      </c>
      <c r="L1848" s="4">
        <f>Table4[[#This Row],[quantity]]*Table4[[#This Row],[unit_price]]</f>
        <v>35.700000000000003</v>
      </c>
      <c r="M1848">
        <f>COUNTIFS($C$2:$C$3934,Table4[[#This Row],[customer_id]])</f>
        <v>4</v>
      </c>
      <c r="N1848" t="str">
        <f>IF(Table4[[#This Row],[customer_order_count]]=1,"New Customer","Repeat Customer")</f>
        <v>Repeat Customer</v>
      </c>
    </row>
    <row r="1849" spans="1:14">
      <c r="A1849" t="s">
        <v>1963</v>
      </c>
      <c r="B1849" s="1">
        <v>45609</v>
      </c>
      <c r="C1849" t="s">
        <v>309</v>
      </c>
      <c r="D1849" t="s">
        <v>310</v>
      </c>
      <c r="E1849" t="s">
        <v>44</v>
      </c>
      <c r="F1849" t="s">
        <v>22</v>
      </c>
      <c r="G1849" t="s">
        <v>135</v>
      </c>
      <c r="H1849">
        <v>2</v>
      </c>
      <c r="I1849" s="3">
        <v>35.729999999999997</v>
      </c>
      <c r="J1849" t="s">
        <v>16</v>
      </c>
      <c r="K1849" s="2" t="s">
        <v>5256</v>
      </c>
      <c r="L1849" s="4">
        <f>Table4[[#This Row],[quantity]]*Table4[[#This Row],[unit_price]]</f>
        <v>71.459999999999994</v>
      </c>
      <c r="M1849">
        <f>COUNTIFS($C$2:$C$3934,Table4[[#This Row],[customer_id]])</f>
        <v>8</v>
      </c>
      <c r="N1849" t="str">
        <f>IF(Table4[[#This Row],[customer_order_count]]=1,"New Customer","Repeat Customer")</f>
        <v>Repeat Customer</v>
      </c>
    </row>
    <row r="1850" spans="1:14">
      <c r="A1850" t="s">
        <v>4659</v>
      </c>
      <c r="B1850" s="1">
        <v>45012</v>
      </c>
      <c r="C1850" t="s">
        <v>2266</v>
      </c>
      <c r="D1850" t="s">
        <v>464</v>
      </c>
      <c r="E1850" t="s">
        <v>44</v>
      </c>
      <c r="F1850" t="s">
        <v>56</v>
      </c>
      <c r="G1850" t="s">
        <v>254</v>
      </c>
      <c r="H1850">
        <v>1</v>
      </c>
      <c r="I1850" s="3">
        <v>35.74</v>
      </c>
      <c r="J1850" t="s">
        <v>16</v>
      </c>
      <c r="K1850" s="5" t="s">
        <v>30</v>
      </c>
      <c r="L1850" s="4">
        <f>Table4[[#This Row],[quantity]]*Table4[[#This Row],[unit_price]]</f>
        <v>35.74</v>
      </c>
      <c r="M1850">
        <f>COUNTIFS($C$2:$C$3934,Table4[[#This Row],[customer_id]])</f>
        <v>5</v>
      </c>
      <c r="N1850" t="str">
        <f>IF(Table4[[#This Row],[customer_order_count]]=1,"New Customer","Repeat Customer")</f>
        <v>Repeat Customer</v>
      </c>
    </row>
    <row r="1851" spans="1:14">
      <c r="A1851" t="s">
        <v>3949</v>
      </c>
      <c r="B1851" s="1">
        <v>45402</v>
      </c>
      <c r="C1851" t="s">
        <v>1056</v>
      </c>
      <c r="D1851" t="s">
        <v>1057</v>
      </c>
      <c r="E1851" t="s">
        <v>44</v>
      </c>
      <c r="F1851" t="s">
        <v>28</v>
      </c>
      <c r="G1851" t="s">
        <v>84</v>
      </c>
      <c r="H1851">
        <v>1</v>
      </c>
      <c r="I1851" s="3">
        <v>35.770000000000003</v>
      </c>
      <c r="J1851" t="s">
        <v>16</v>
      </c>
      <c r="K1851" t="s">
        <v>30</v>
      </c>
      <c r="L1851" s="4">
        <f>Table4[[#This Row],[quantity]]*Table4[[#This Row],[unit_price]]</f>
        <v>35.770000000000003</v>
      </c>
      <c r="M1851">
        <f>COUNTIFS($C$2:$C$3934,Table4[[#This Row],[customer_id]])</f>
        <v>4</v>
      </c>
      <c r="N1851" t="str">
        <f>IF(Table4[[#This Row],[customer_order_count]]=1,"New Customer","Repeat Customer")</f>
        <v>Repeat Customer</v>
      </c>
    </row>
    <row r="1852" spans="1:14">
      <c r="A1852" t="s">
        <v>3727</v>
      </c>
      <c r="B1852" s="1">
        <v>45479</v>
      </c>
      <c r="C1852" t="s">
        <v>2435</v>
      </c>
      <c r="D1852" t="s">
        <v>758</v>
      </c>
      <c r="E1852" t="s">
        <v>21</v>
      </c>
      <c r="F1852" t="s">
        <v>28</v>
      </c>
      <c r="G1852" t="s">
        <v>84</v>
      </c>
      <c r="H1852">
        <v>2</v>
      </c>
      <c r="I1852" s="3">
        <v>35.770000000000003</v>
      </c>
      <c r="J1852" t="s">
        <v>16</v>
      </c>
      <c r="K1852" t="s">
        <v>35</v>
      </c>
      <c r="L1852" s="4">
        <f>Table4[[#This Row],[quantity]]*Table4[[#This Row],[unit_price]]</f>
        <v>71.540000000000006</v>
      </c>
      <c r="M1852">
        <f>COUNTIFS($C$2:$C$3934,Table4[[#This Row],[customer_id]])</f>
        <v>5</v>
      </c>
      <c r="N1852" t="str">
        <f>IF(Table4[[#This Row],[customer_order_count]]=1,"New Customer","Repeat Customer")</f>
        <v>Repeat Customer</v>
      </c>
    </row>
    <row r="1853" spans="1:14">
      <c r="A1853" t="s">
        <v>3389</v>
      </c>
      <c r="B1853" s="1">
        <v>45050</v>
      </c>
      <c r="C1853" t="s">
        <v>1666</v>
      </c>
      <c r="D1853" t="s">
        <v>1179</v>
      </c>
      <c r="E1853" t="s">
        <v>61</v>
      </c>
      <c r="F1853" t="s">
        <v>79</v>
      </c>
      <c r="G1853" t="s">
        <v>200</v>
      </c>
      <c r="H1853">
        <v>2</v>
      </c>
      <c r="I1853" s="3">
        <v>35.79</v>
      </c>
      <c r="J1853" t="s">
        <v>16</v>
      </c>
      <c r="K1853" t="s">
        <v>40</v>
      </c>
      <c r="L1853" s="4">
        <f>Table4[[#This Row],[quantity]]*Table4[[#This Row],[unit_price]]</f>
        <v>71.58</v>
      </c>
      <c r="M1853">
        <f>COUNTIFS($C$2:$C$3934,Table4[[#This Row],[customer_id]])</f>
        <v>3</v>
      </c>
      <c r="N1853" t="str">
        <f>IF(Table4[[#This Row],[customer_order_count]]=1,"New Customer","Repeat Customer")</f>
        <v>Repeat Customer</v>
      </c>
    </row>
    <row r="1854" spans="1:14">
      <c r="A1854" t="s">
        <v>4212</v>
      </c>
      <c r="B1854" s="1">
        <v>45073</v>
      </c>
      <c r="C1854" t="s">
        <v>4213</v>
      </c>
      <c r="D1854" t="s">
        <v>105</v>
      </c>
      <c r="E1854" t="s">
        <v>21</v>
      </c>
      <c r="F1854" t="s">
        <v>28</v>
      </c>
      <c r="G1854" t="s">
        <v>29</v>
      </c>
      <c r="H1854">
        <v>1</v>
      </c>
      <c r="I1854" s="3">
        <v>35.83</v>
      </c>
      <c r="J1854" t="s">
        <v>16</v>
      </c>
      <c r="K1854" t="s">
        <v>30</v>
      </c>
      <c r="L1854" s="4">
        <f>Table4[[#This Row],[quantity]]*Table4[[#This Row],[unit_price]]</f>
        <v>35.83</v>
      </c>
      <c r="M1854">
        <f>COUNTIFS($C$2:$C$3934,Table4[[#This Row],[customer_id]])</f>
        <v>1</v>
      </c>
      <c r="N1854" t="str">
        <f>IF(Table4[[#This Row],[customer_order_count]]=1,"New Customer","Repeat Customer")</f>
        <v>New Customer</v>
      </c>
    </row>
    <row r="1855" spans="1:14">
      <c r="A1855" t="s">
        <v>4265</v>
      </c>
      <c r="B1855" s="1">
        <v>45365</v>
      </c>
      <c r="C1855" t="s">
        <v>1288</v>
      </c>
      <c r="D1855" t="s">
        <v>1050</v>
      </c>
      <c r="E1855" t="s">
        <v>44</v>
      </c>
      <c r="F1855" t="s">
        <v>28</v>
      </c>
      <c r="G1855" t="s">
        <v>84</v>
      </c>
      <c r="H1855">
        <v>3</v>
      </c>
      <c r="I1855" s="3">
        <v>35.85</v>
      </c>
      <c r="J1855" t="s">
        <v>16</v>
      </c>
      <c r="K1855" t="s">
        <v>30</v>
      </c>
      <c r="L1855" s="4">
        <f>Table4[[#This Row],[quantity]]*Table4[[#This Row],[unit_price]]</f>
        <v>107.55000000000001</v>
      </c>
      <c r="M1855">
        <f>COUNTIFS($C$2:$C$3934,Table4[[#This Row],[customer_id]])</f>
        <v>2</v>
      </c>
      <c r="N1855" t="str">
        <f>IF(Table4[[#This Row],[customer_order_count]]=1,"New Customer","Repeat Customer")</f>
        <v>Repeat Customer</v>
      </c>
    </row>
    <row r="1856" spans="1:14">
      <c r="A1856" t="s">
        <v>2936</v>
      </c>
      <c r="B1856" s="1">
        <v>45070</v>
      </c>
      <c r="C1856" t="s">
        <v>2023</v>
      </c>
      <c r="D1856" t="s">
        <v>2024</v>
      </c>
      <c r="E1856" t="s">
        <v>106</v>
      </c>
      <c r="F1856" t="s">
        <v>28</v>
      </c>
      <c r="G1856" t="s">
        <v>29</v>
      </c>
      <c r="H1856">
        <v>1</v>
      </c>
      <c r="I1856" s="3">
        <v>35.880000000000003</v>
      </c>
      <c r="J1856" t="s">
        <v>85</v>
      </c>
      <c r="K1856" t="s">
        <v>35</v>
      </c>
      <c r="L1856" s="4">
        <f>Table4[[#This Row],[quantity]]*Table4[[#This Row],[unit_price]]</f>
        <v>35.880000000000003</v>
      </c>
      <c r="M1856">
        <f>COUNTIFS($C$2:$C$3934,Table4[[#This Row],[customer_id]])</f>
        <v>3</v>
      </c>
      <c r="N1856" t="str">
        <f>IF(Table4[[#This Row],[customer_order_count]]=1,"New Customer","Repeat Customer")</f>
        <v>Repeat Customer</v>
      </c>
    </row>
    <row r="1857" spans="1:14">
      <c r="A1857" t="s">
        <v>1914</v>
      </c>
      <c r="B1857" s="1">
        <v>45112</v>
      </c>
      <c r="C1857" t="s">
        <v>1404</v>
      </c>
      <c r="D1857" t="s">
        <v>145</v>
      </c>
      <c r="E1857" t="s">
        <v>44</v>
      </c>
      <c r="F1857" t="s">
        <v>70</v>
      </c>
      <c r="G1857" t="s">
        <v>337</v>
      </c>
      <c r="H1857">
        <v>4</v>
      </c>
      <c r="I1857" s="3">
        <v>35.96</v>
      </c>
      <c r="J1857" t="s">
        <v>16</v>
      </c>
      <c r="K1857" t="s">
        <v>17</v>
      </c>
      <c r="L1857" s="4">
        <f>Table4[[#This Row],[quantity]]*Table4[[#This Row],[unit_price]]</f>
        <v>143.84</v>
      </c>
      <c r="M1857">
        <f>COUNTIFS($C$2:$C$3934,Table4[[#This Row],[customer_id]])</f>
        <v>6</v>
      </c>
      <c r="N1857" t="str">
        <f>IF(Table4[[#This Row],[customer_order_count]]=1,"New Customer","Repeat Customer")</f>
        <v>Repeat Customer</v>
      </c>
    </row>
    <row r="1858" spans="1:14">
      <c r="A1858" t="s">
        <v>2777</v>
      </c>
      <c r="B1858" s="1">
        <v>45352</v>
      </c>
      <c r="C1858" t="s">
        <v>395</v>
      </c>
      <c r="D1858" t="s">
        <v>396</v>
      </c>
      <c r="E1858" t="s">
        <v>21</v>
      </c>
      <c r="F1858" t="s">
        <v>28</v>
      </c>
      <c r="G1858" t="s">
        <v>84</v>
      </c>
      <c r="H1858">
        <v>1</v>
      </c>
      <c r="I1858" s="3">
        <v>35.97</v>
      </c>
      <c r="J1858" t="s">
        <v>16</v>
      </c>
      <c r="K1858" t="s">
        <v>35</v>
      </c>
      <c r="L1858" s="4">
        <f>Table4[[#This Row],[quantity]]*Table4[[#This Row],[unit_price]]</f>
        <v>35.97</v>
      </c>
      <c r="M1858">
        <f>COUNTIFS($C$2:$C$3934,Table4[[#This Row],[customer_id]])</f>
        <v>6</v>
      </c>
      <c r="N1858" t="str">
        <f>IF(Table4[[#This Row],[customer_order_count]]=1,"New Customer","Repeat Customer")</f>
        <v>Repeat Customer</v>
      </c>
    </row>
    <row r="1859" spans="1:14">
      <c r="A1859" t="s">
        <v>3335</v>
      </c>
      <c r="B1859" s="1">
        <v>45463</v>
      </c>
      <c r="C1859" t="s">
        <v>317</v>
      </c>
      <c r="D1859" t="s">
        <v>318</v>
      </c>
      <c r="E1859" t="s">
        <v>44</v>
      </c>
      <c r="F1859" t="s">
        <v>28</v>
      </c>
      <c r="G1859" t="s">
        <v>139</v>
      </c>
      <c r="H1859">
        <v>3</v>
      </c>
      <c r="I1859" s="3">
        <v>36.06</v>
      </c>
      <c r="J1859" t="s">
        <v>16</v>
      </c>
      <c r="K1859" t="s">
        <v>30</v>
      </c>
      <c r="L1859" s="4">
        <f>Table4[[#This Row],[quantity]]*Table4[[#This Row],[unit_price]]</f>
        <v>108.18</v>
      </c>
      <c r="M1859">
        <f>COUNTIFS($C$2:$C$3934,Table4[[#This Row],[customer_id]])</f>
        <v>5</v>
      </c>
      <c r="N1859" t="str">
        <f>IF(Table4[[#This Row],[customer_order_count]]=1,"New Customer","Repeat Customer")</f>
        <v>Repeat Customer</v>
      </c>
    </row>
    <row r="1860" spans="1:14">
      <c r="A1860" t="s">
        <v>3675</v>
      </c>
      <c r="B1860" s="1">
        <v>45051</v>
      </c>
      <c r="C1860" t="s">
        <v>47</v>
      </c>
      <c r="D1860" t="s">
        <v>48</v>
      </c>
      <c r="E1860" t="s">
        <v>21</v>
      </c>
      <c r="F1860" t="s">
        <v>28</v>
      </c>
      <c r="G1860" t="s">
        <v>84</v>
      </c>
      <c r="H1860">
        <v>1</v>
      </c>
      <c r="I1860" s="3">
        <v>36.119999999999997</v>
      </c>
      <c r="J1860" t="s">
        <v>255</v>
      </c>
      <c r="K1860" t="s">
        <v>40</v>
      </c>
      <c r="L1860" s="4">
        <f>Table4[[#This Row],[quantity]]*Table4[[#This Row],[unit_price]]</f>
        <v>36.119999999999997</v>
      </c>
      <c r="M1860">
        <f>COUNTIFS($C$2:$C$3934,Table4[[#This Row],[customer_id]])</f>
        <v>8</v>
      </c>
      <c r="N1860" t="str">
        <f>IF(Table4[[#This Row],[customer_order_count]]=1,"New Customer","Repeat Customer")</f>
        <v>Repeat Customer</v>
      </c>
    </row>
    <row r="1861" spans="1:14">
      <c r="A1861" t="s">
        <v>5228</v>
      </c>
      <c r="B1861" s="1">
        <v>45208</v>
      </c>
      <c r="C1861" t="s">
        <v>1851</v>
      </c>
      <c r="D1861" t="s">
        <v>1000</v>
      </c>
      <c r="E1861" t="s">
        <v>21</v>
      </c>
      <c r="F1861" t="s">
        <v>70</v>
      </c>
      <c r="G1861" t="s">
        <v>337</v>
      </c>
      <c r="H1861">
        <v>1</v>
      </c>
      <c r="I1861" s="3">
        <v>36.130000000000003</v>
      </c>
      <c r="J1861" t="s">
        <v>16</v>
      </c>
      <c r="K1861" t="s">
        <v>30</v>
      </c>
      <c r="L1861" s="4">
        <f>Table4[[#This Row],[quantity]]*Table4[[#This Row],[unit_price]]</f>
        <v>36.130000000000003</v>
      </c>
      <c r="M1861">
        <f>COUNTIFS($C$2:$C$3934,Table4[[#This Row],[customer_id]])</f>
        <v>6</v>
      </c>
      <c r="N1861" t="str">
        <f>IF(Table4[[#This Row],[customer_order_count]]=1,"New Customer","Repeat Customer")</f>
        <v>Repeat Customer</v>
      </c>
    </row>
    <row r="1862" spans="1:14">
      <c r="A1862" t="s">
        <v>1579</v>
      </c>
      <c r="B1862" s="1">
        <v>45184</v>
      </c>
      <c r="C1862" t="s">
        <v>1580</v>
      </c>
      <c r="D1862" t="s">
        <v>525</v>
      </c>
      <c r="E1862" t="s">
        <v>44</v>
      </c>
      <c r="F1862" t="s">
        <v>70</v>
      </c>
      <c r="G1862" t="s">
        <v>110</v>
      </c>
      <c r="H1862">
        <v>1</v>
      </c>
      <c r="I1862" s="3">
        <v>36.14</v>
      </c>
      <c r="J1862" t="s">
        <v>16</v>
      </c>
      <c r="K1862" t="s">
        <v>17</v>
      </c>
      <c r="L1862" s="4">
        <f>Table4[[#This Row],[quantity]]*Table4[[#This Row],[unit_price]]</f>
        <v>36.14</v>
      </c>
      <c r="M1862">
        <f>COUNTIFS($C$2:$C$3934,Table4[[#This Row],[customer_id]])</f>
        <v>7</v>
      </c>
      <c r="N1862" t="str">
        <f>IF(Table4[[#This Row],[customer_order_count]]=1,"New Customer","Repeat Customer")</f>
        <v>Repeat Customer</v>
      </c>
    </row>
    <row r="1863" spans="1:14">
      <c r="A1863" t="s">
        <v>3937</v>
      </c>
      <c r="B1863" s="1">
        <v>45488</v>
      </c>
      <c r="C1863" t="s">
        <v>3504</v>
      </c>
      <c r="D1863" t="s">
        <v>173</v>
      </c>
      <c r="E1863" t="s">
        <v>21</v>
      </c>
      <c r="F1863" t="s">
        <v>28</v>
      </c>
      <c r="G1863" t="s">
        <v>45</v>
      </c>
      <c r="H1863">
        <v>3</v>
      </c>
      <c r="I1863" s="3">
        <v>36.21</v>
      </c>
      <c r="J1863" t="s">
        <v>85</v>
      </c>
      <c r="K1863" t="s">
        <v>30</v>
      </c>
      <c r="L1863" s="4">
        <f>Table4[[#This Row],[quantity]]*Table4[[#This Row],[unit_price]]</f>
        <v>108.63</v>
      </c>
      <c r="M1863">
        <f>COUNTIFS($C$2:$C$3934,Table4[[#This Row],[customer_id]])</f>
        <v>4</v>
      </c>
      <c r="N1863" t="str">
        <f>IF(Table4[[#This Row],[customer_order_count]]=1,"New Customer","Repeat Customer")</f>
        <v>Repeat Customer</v>
      </c>
    </row>
    <row r="1864" spans="1:14">
      <c r="A1864" t="s">
        <v>2807</v>
      </c>
      <c r="B1864" s="1">
        <v>45042</v>
      </c>
      <c r="C1864" t="s">
        <v>2347</v>
      </c>
      <c r="D1864" t="s">
        <v>1036</v>
      </c>
      <c r="E1864" t="s">
        <v>21</v>
      </c>
      <c r="F1864" t="s">
        <v>14</v>
      </c>
      <c r="G1864" t="s">
        <v>15</v>
      </c>
      <c r="H1864">
        <v>2</v>
      </c>
      <c r="I1864" s="3">
        <v>36.22</v>
      </c>
      <c r="J1864" t="s">
        <v>16</v>
      </c>
      <c r="K1864" t="s">
        <v>35</v>
      </c>
      <c r="L1864" s="4">
        <f>Table4[[#This Row],[quantity]]*Table4[[#This Row],[unit_price]]</f>
        <v>72.44</v>
      </c>
      <c r="M1864">
        <f>COUNTIFS($C$2:$C$3934,Table4[[#This Row],[customer_id]])</f>
        <v>7</v>
      </c>
      <c r="N1864" t="str">
        <f>IF(Table4[[#This Row],[customer_order_count]]=1,"New Customer","Repeat Customer")</f>
        <v>Repeat Customer</v>
      </c>
    </row>
    <row r="1865" spans="1:14">
      <c r="A1865" t="s">
        <v>1644</v>
      </c>
      <c r="B1865" s="1">
        <v>45182</v>
      </c>
      <c r="C1865" t="s">
        <v>799</v>
      </c>
      <c r="D1865" t="s">
        <v>43</v>
      </c>
      <c r="E1865" t="s">
        <v>21</v>
      </c>
      <c r="F1865" t="s">
        <v>28</v>
      </c>
      <c r="G1865" t="s">
        <v>29</v>
      </c>
      <c r="H1865">
        <v>1</v>
      </c>
      <c r="I1865" s="3">
        <v>36.229999999999997</v>
      </c>
      <c r="J1865" t="s">
        <v>24</v>
      </c>
      <c r="K1865" t="s">
        <v>17</v>
      </c>
      <c r="L1865" s="4">
        <f>Table4[[#This Row],[quantity]]*Table4[[#This Row],[unit_price]]</f>
        <v>36.229999999999997</v>
      </c>
      <c r="M1865">
        <f>COUNTIFS($C$2:$C$3934,Table4[[#This Row],[customer_id]])</f>
        <v>8</v>
      </c>
      <c r="N1865" t="str">
        <f>IF(Table4[[#This Row],[customer_order_count]]=1,"New Customer","Repeat Customer")</f>
        <v>Repeat Customer</v>
      </c>
    </row>
    <row r="1866" spans="1:14">
      <c r="A1866" t="s">
        <v>1784</v>
      </c>
      <c r="B1866" s="1">
        <v>45507</v>
      </c>
      <c r="C1866" t="s">
        <v>320</v>
      </c>
      <c r="D1866" t="s">
        <v>321</v>
      </c>
      <c r="E1866" t="s">
        <v>21</v>
      </c>
      <c r="F1866" t="s">
        <v>22</v>
      </c>
      <c r="G1866" t="s">
        <v>264</v>
      </c>
      <c r="H1866">
        <v>2</v>
      </c>
      <c r="I1866" s="3">
        <v>36.24</v>
      </c>
      <c r="J1866" t="s">
        <v>24</v>
      </c>
      <c r="K1866" t="s">
        <v>35</v>
      </c>
      <c r="L1866" s="4">
        <f>Table4[[#This Row],[quantity]]*Table4[[#This Row],[unit_price]]</f>
        <v>72.48</v>
      </c>
      <c r="M1866">
        <f>COUNTIFS($C$2:$C$3934,Table4[[#This Row],[customer_id]])</f>
        <v>3</v>
      </c>
      <c r="N1866" t="str">
        <f>IF(Table4[[#This Row],[customer_order_count]]=1,"New Customer","Repeat Customer")</f>
        <v>Repeat Customer</v>
      </c>
    </row>
    <row r="1867" spans="1:14">
      <c r="A1867" t="s">
        <v>3589</v>
      </c>
      <c r="B1867" s="1">
        <v>45406</v>
      </c>
      <c r="C1867" t="s">
        <v>955</v>
      </c>
      <c r="D1867" t="s">
        <v>956</v>
      </c>
      <c r="E1867" t="s">
        <v>21</v>
      </c>
      <c r="F1867" t="s">
        <v>70</v>
      </c>
      <c r="G1867" t="s">
        <v>71</v>
      </c>
      <c r="H1867">
        <v>2</v>
      </c>
      <c r="I1867" s="3">
        <v>36.28</v>
      </c>
      <c r="J1867" t="s">
        <v>16</v>
      </c>
      <c r="K1867" t="s">
        <v>35</v>
      </c>
      <c r="L1867" s="4">
        <f>Table4[[#This Row],[quantity]]*Table4[[#This Row],[unit_price]]</f>
        <v>72.56</v>
      </c>
      <c r="M1867">
        <f>COUNTIFS($C$2:$C$3934,Table4[[#This Row],[customer_id]])</f>
        <v>5</v>
      </c>
      <c r="N1867" t="str">
        <f>IF(Table4[[#This Row],[customer_order_count]]=1,"New Customer","Repeat Customer")</f>
        <v>Repeat Customer</v>
      </c>
    </row>
    <row r="1868" spans="1:14">
      <c r="A1868" t="s">
        <v>4220</v>
      </c>
      <c r="B1868" s="1">
        <v>45645</v>
      </c>
      <c r="C1868" t="s">
        <v>4221</v>
      </c>
      <c r="D1868" t="s">
        <v>428</v>
      </c>
      <c r="E1868" t="s">
        <v>44</v>
      </c>
      <c r="F1868" t="s">
        <v>70</v>
      </c>
      <c r="G1868" t="s">
        <v>170</v>
      </c>
      <c r="H1868">
        <v>3</v>
      </c>
      <c r="I1868" s="3">
        <v>36.29</v>
      </c>
      <c r="J1868" t="s">
        <v>16</v>
      </c>
      <c r="K1868" t="s">
        <v>30</v>
      </c>
      <c r="L1868" s="4">
        <f>Table4[[#This Row],[quantity]]*Table4[[#This Row],[unit_price]]</f>
        <v>108.87</v>
      </c>
      <c r="M1868">
        <f>COUNTIFS($C$2:$C$3934,Table4[[#This Row],[customer_id]])</f>
        <v>1</v>
      </c>
      <c r="N1868" t="str">
        <f>IF(Table4[[#This Row],[customer_order_count]]=1,"New Customer","Repeat Customer")</f>
        <v>New Customer</v>
      </c>
    </row>
    <row r="1869" spans="1:14">
      <c r="A1869" t="s">
        <v>5249</v>
      </c>
      <c r="B1869" s="1">
        <v>45034</v>
      </c>
      <c r="C1869" t="s">
        <v>2130</v>
      </c>
      <c r="D1869" t="s">
        <v>953</v>
      </c>
      <c r="E1869" t="s">
        <v>21</v>
      </c>
      <c r="F1869" t="s">
        <v>56</v>
      </c>
      <c r="G1869" t="s">
        <v>422</v>
      </c>
      <c r="H1869">
        <v>1</v>
      </c>
      <c r="I1869" s="3">
        <v>36.299999999999997</v>
      </c>
      <c r="J1869" t="s">
        <v>16</v>
      </c>
      <c r="K1869" t="s">
        <v>35</v>
      </c>
      <c r="L1869" s="4">
        <f>Table4[[#This Row],[quantity]]*Table4[[#This Row],[unit_price]]</f>
        <v>36.299999999999997</v>
      </c>
      <c r="M1869">
        <f>COUNTIFS($C$2:$C$3934,Table4[[#This Row],[customer_id]])</f>
        <v>5</v>
      </c>
      <c r="N1869" t="str">
        <f>IF(Table4[[#This Row],[customer_order_count]]=1,"New Customer","Repeat Customer")</f>
        <v>Repeat Customer</v>
      </c>
    </row>
    <row r="1870" spans="1:14">
      <c r="A1870" t="s">
        <v>4724</v>
      </c>
      <c r="B1870" s="1">
        <v>45359</v>
      </c>
      <c r="C1870" t="s">
        <v>2108</v>
      </c>
      <c r="D1870" t="s">
        <v>350</v>
      </c>
      <c r="E1870" t="s">
        <v>21</v>
      </c>
      <c r="F1870" t="s">
        <v>14</v>
      </c>
      <c r="G1870" t="s">
        <v>15</v>
      </c>
      <c r="H1870">
        <v>1</v>
      </c>
      <c r="I1870" s="3">
        <v>36.31</v>
      </c>
      <c r="J1870" t="s">
        <v>16</v>
      </c>
      <c r="K1870" t="s">
        <v>40</v>
      </c>
      <c r="L1870" s="4">
        <f>Table4[[#This Row],[quantity]]*Table4[[#This Row],[unit_price]]</f>
        <v>36.31</v>
      </c>
      <c r="M1870">
        <f>COUNTIFS($C$2:$C$3934,Table4[[#This Row],[customer_id]])</f>
        <v>3</v>
      </c>
      <c r="N1870" t="str">
        <f>IF(Table4[[#This Row],[customer_order_count]]=1,"New Customer","Repeat Customer")</f>
        <v>Repeat Customer</v>
      </c>
    </row>
    <row r="1871" spans="1:14">
      <c r="A1871" t="s">
        <v>3854</v>
      </c>
      <c r="B1871" s="1">
        <v>45516</v>
      </c>
      <c r="C1871" t="s">
        <v>1777</v>
      </c>
      <c r="D1871" t="s">
        <v>1778</v>
      </c>
      <c r="E1871" t="s">
        <v>21</v>
      </c>
      <c r="F1871" t="s">
        <v>70</v>
      </c>
      <c r="G1871" t="s">
        <v>89</v>
      </c>
      <c r="H1871">
        <v>1</v>
      </c>
      <c r="I1871" s="3">
        <v>36.32</v>
      </c>
      <c r="J1871" t="s">
        <v>16</v>
      </c>
      <c r="K1871" t="s">
        <v>40</v>
      </c>
      <c r="L1871" s="4">
        <f>Table4[[#This Row],[quantity]]*Table4[[#This Row],[unit_price]]</f>
        <v>36.32</v>
      </c>
      <c r="M1871">
        <f>COUNTIFS($C$2:$C$3934,Table4[[#This Row],[customer_id]])</f>
        <v>3</v>
      </c>
      <c r="N1871" t="str">
        <f>IF(Table4[[#This Row],[customer_order_count]]=1,"New Customer","Repeat Customer")</f>
        <v>Repeat Customer</v>
      </c>
    </row>
    <row r="1872" spans="1:14">
      <c r="A1872" t="s">
        <v>3022</v>
      </c>
      <c r="B1872" s="1">
        <v>45095</v>
      </c>
      <c r="C1872" t="s">
        <v>427</v>
      </c>
      <c r="D1872" t="s">
        <v>428</v>
      </c>
      <c r="E1872" t="s">
        <v>21</v>
      </c>
      <c r="F1872" t="s">
        <v>28</v>
      </c>
      <c r="G1872" t="s">
        <v>139</v>
      </c>
      <c r="H1872">
        <v>2</v>
      </c>
      <c r="I1872" s="3">
        <v>36.340000000000003</v>
      </c>
      <c r="J1872" t="s">
        <v>16</v>
      </c>
      <c r="K1872" t="s">
        <v>17</v>
      </c>
      <c r="L1872" s="4">
        <f>Table4[[#This Row],[quantity]]*Table4[[#This Row],[unit_price]]</f>
        <v>72.680000000000007</v>
      </c>
      <c r="M1872">
        <f>COUNTIFS($C$2:$C$3934,Table4[[#This Row],[customer_id]])</f>
        <v>6</v>
      </c>
      <c r="N1872" t="str">
        <f>IF(Table4[[#This Row],[customer_order_count]]=1,"New Customer","Repeat Customer")</f>
        <v>Repeat Customer</v>
      </c>
    </row>
    <row r="1873" spans="1:14">
      <c r="A1873" t="s">
        <v>819</v>
      </c>
      <c r="B1873" s="1">
        <v>45516</v>
      </c>
      <c r="C1873" t="s">
        <v>69</v>
      </c>
      <c r="D1873" t="s">
        <v>820</v>
      </c>
      <c r="E1873" t="s">
        <v>21</v>
      </c>
      <c r="F1873" t="s">
        <v>28</v>
      </c>
      <c r="G1873" t="s">
        <v>114</v>
      </c>
      <c r="H1873">
        <v>1</v>
      </c>
      <c r="I1873" s="3">
        <v>36.39</v>
      </c>
      <c r="J1873" t="s">
        <v>85</v>
      </c>
      <c r="K1873" t="s">
        <v>40</v>
      </c>
      <c r="L1873" s="4">
        <f>Table4[[#This Row],[quantity]]*Table4[[#This Row],[unit_price]]</f>
        <v>36.39</v>
      </c>
      <c r="M1873">
        <f>COUNTIFS($C$2:$C$3934,Table4[[#This Row],[customer_id]])</f>
        <v>8</v>
      </c>
      <c r="N1873" t="str">
        <f>IF(Table4[[#This Row],[customer_order_count]]=1,"New Customer","Repeat Customer")</f>
        <v>Repeat Customer</v>
      </c>
    </row>
    <row r="1874" spans="1:14">
      <c r="A1874" t="s">
        <v>4867</v>
      </c>
      <c r="B1874" s="1">
        <v>45409</v>
      </c>
      <c r="C1874" t="s">
        <v>2968</v>
      </c>
      <c r="D1874" t="s">
        <v>597</v>
      </c>
      <c r="E1874" t="s">
        <v>44</v>
      </c>
      <c r="F1874" t="s">
        <v>28</v>
      </c>
      <c r="G1874" t="s">
        <v>29</v>
      </c>
      <c r="H1874">
        <v>3</v>
      </c>
      <c r="I1874" s="3">
        <v>36.46</v>
      </c>
      <c r="J1874" t="s">
        <v>16</v>
      </c>
      <c r="K1874" t="s">
        <v>30</v>
      </c>
      <c r="L1874" s="4">
        <f>Table4[[#This Row],[quantity]]*Table4[[#This Row],[unit_price]]</f>
        <v>109.38</v>
      </c>
      <c r="M1874">
        <f>COUNTIFS($C$2:$C$3934,Table4[[#This Row],[customer_id]])</f>
        <v>4</v>
      </c>
      <c r="N1874" t="str">
        <f>IF(Table4[[#This Row],[customer_order_count]]=1,"New Customer","Repeat Customer")</f>
        <v>Repeat Customer</v>
      </c>
    </row>
    <row r="1875" spans="1:14">
      <c r="A1875" t="s">
        <v>1349</v>
      </c>
      <c r="B1875" s="1">
        <v>45034</v>
      </c>
      <c r="C1875" t="s">
        <v>1350</v>
      </c>
      <c r="D1875" t="s">
        <v>48</v>
      </c>
      <c r="E1875" t="s">
        <v>21</v>
      </c>
      <c r="F1875" t="s">
        <v>79</v>
      </c>
      <c r="G1875" t="s">
        <v>166</v>
      </c>
      <c r="H1875">
        <v>2</v>
      </c>
      <c r="I1875" s="3">
        <v>36.47</v>
      </c>
      <c r="J1875" t="s">
        <v>16</v>
      </c>
      <c r="K1875" t="s">
        <v>17</v>
      </c>
      <c r="L1875" s="4">
        <f>Table4[[#This Row],[quantity]]*Table4[[#This Row],[unit_price]]</f>
        <v>72.94</v>
      </c>
      <c r="M1875">
        <f>COUNTIFS($C$2:$C$3934,Table4[[#This Row],[customer_id]])</f>
        <v>5</v>
      </c>
      <c r="N1875" t="str">
        <f>IF(Table4[[#This Row],[customer_order_count]]=1,"New Customer","Repeat Customer")</f>
        <v>Repeat Customer</v>
      </c>
    </row>
    <row r="1876" spans="1:14">
      <c r="A1876" t="s">
        <v>4710</v>
      </c>
      <c r="B1876" s="1">
        <v>45324</v>
      </c>
      <c r="C1876" t="s">
        <v>1725</v>
      </c>
      <c r="D1876" t="s">
        <v>650</v>
      </c>
      <c r="E1876" t="s">
        <v>44</v>
      </c>
      <c r="F1876" t="s">
        <v>28</v>
      </c>
      <c r="G1876" t="s">
        <v>45</v>
      </c>
      <c r="H1876">
        <v>1</v>
      </c>
      <c r="I1876" s="3">
        <v>36.479999999999997</v>
      </c>
      <c r="J1876" t="s">
        <v>16</v>
      </c>
      <c r="K1876" t="s">
        <v>35</v>
      </c>
      <c r="L1876" s="4">
        <f>Table4[[#This Row],[quantity]]*Table4[[#This Row],[unit_price]]</f>
        <v>36.479999999999997</v>
      </c>
      <c r="M1876">
        <f>COUNTIFS($C$2:$C$3934,Table4[[#This Row],[customer_id]])</f>
        <v>4</v>
      </c>
      <c r="N1876" t="str">
        <f>IF(Table4[[#This Row],[customer_order_count]]=1,"New Customer","Repeat Customer")</f>
        <v>Repeat Customer</v>
      </c>
    </row>
    <row r="1877" spans="1:14">
      <c r="A1877" t="s">
        <v>4382</v>
      </c>
      <c r="B1877" s="1">
        <v>45595</v>
      </c>
      <c r="C1877" t="s">
        <v>897</v>
      </c>
      <c r="D1877" t="s">
        <v>831</v>
      </c>
      <c r="E1877" t="s">
        <v>21</v>
      </c>
      <c r="F1877" t="s">
        <v>56</v>
      </c>
      <c r="G1877" t="s">
        <v>153</v>
      </c>
      <c r="H1877">
        <v>1</v>
      </c>
      <c r="I1877" s="3">
        <v>36.5</v>
      </c>
      <c r="J1877" t="s">
        <v>16</v>
      </c>
      <c r="K1877" t="s">
        <v>35</v>
      </c>
      <c r="L1877" s="4">
        <f>Table4[[#This Row],[quantity]]*Table4[[#This Row],[unit_price]]</f>
        <v>36.5</v>
      </c>
      <c r="M1877">
        <f>COUNTIFS($C$2:$C$3934,Table4[[#This Row],[customer_id]])</f>
        <v>6</v>
      </c>
      <c r="N1877" t="str">
        <f>IF(Table4[[#This Row],[customer_order_count]]=1,"New Customer","Repeat Customer")</f>
        <v>Repeat Customer</v>
      </c>
    </row>
    <row r="1878" spans="1:14">
      <c r="A1878" t="s">
        <v>1029</v>
      </c>
      <c r="B1878" s="1">
        <v>45370</v>
      </c>
      <c r="C1878" t="s">
        <v>1030</v>
      </c>
      <c r="D1878" t="s">
        <v>269</v>
      </c>
      <c r="E1878" t="s">
        <v>21</v>
      </c>
      <c r="F1878" t="s">
        <v>70</v>
      </c>
      <c r="G1878" t="s">
        <v>337</v>
      </c>
      <c r="H1878">
        <v>1</v>
      </c>
      <c r="I1878" s="3">
        <v>36.51</v>
      </c>
      <c r="J1878" t="s">
        <v>255</v>
      </c>
      <c r="K1878" t="s">
        <v>40</v>
      </c>
      <c r="L1878" s="4">
        <f>Table4[[#This Row],[quantity]]*Table4[[#This Row],[unit_price]]</f>
        <v>36.51</v>
      </c>
      <c r="M1878">
        <f>COUNTIFS($C$2:$C$3934,Table4[[#This Row],[customer_id]])</f>
        <v>2</v>
      </c>
      <c r="N1878" t="str">
        <f>IF(Table4[[#This Row],[customer_order_count]]=1,"New Customer","Repeat Customer")</f>
        <v>Repeat Customer</v>
      </c>
    </row>
    <row r="1879" spans="1:14">
      <c r="A1879" t="s">
        <v>2651</v>
      </c>
      <c r="B1879" s="1">
        <v>45369</v>
      </c>
      <c r="C1879" t="s">
        <v>2444</v>
      </c>
      <c r="D1879" t="s">
        <v>1057</v>
      </c>
      <c r="E1879" t="s">
        <v>21</v>
      </c>
      <c r="F1879" t="s">
        <v>28</v>
      </c>
      <c r="G1879" t="s">
        <v>84</v>
      </c>
      <c r="H1879">
        <v>1</v>
      </c>
      <c r="I1879" s="3">
        <v>36.57</v>
      </c>
      <c r="J1879" t="s">
        <v>16</v>
      </c>
      <c r="K1879" t="s">
        <v>30</v>
      </c>
      <c r="L1879" s="4">
        <f>Table4[[#This Row],[quantity]]*Table4[[#This Row],[unit_price]]</f>
        <v>36.57</v>
      </c>
      <c r="M1879">
        <f>COUNTIFS($C$2:$C$3934,Table4[[#This Row],[customer_id]])</f>
        <v>4</v>
      </c>
      <c r="N1879" t="str">
        <f>IF(Table4[[#This Row],[customer_order_count]]=1,"New Customer","Repeat Customer")</f>
        <v>Repeat Customer</v>
      </c>
    </row>
    <row r="1880" spans="1:14">
      <c r="A1880" t="s">
        <v>1409</v>
      </c>
      <c r="B1880" s="1">
        <v>45082</v>
      </c>
      <c r="C1880" t="s">
        <v>12</v>
      </c>
      <c r="D1880" t="s">
        <v>13</v>
      </c>
      <c r="E1880" t="s">
        <v>21</v>
      </c>
      <c r="F1880" t="s">
        <v>28</v>
      </c>
      <c r="G1880" t="s">
        <v>114</v>
      </c>
      <c r="H1880">
        <v>1</v>
      </c>
      <c r="I1880" s="3">
        <v>36.58</v>
      </c>
      <c r="J1880" t="s">
        <v>16</v>
      </c>
      <c r="K1880" t="s">
        <v>17</v>
      </c>
      <c r="L1880" s="4">
        <f>Table4[[#This Row],[quantity]]*Table4[[#This Row],[unit_price]]</f>
        <v>36.58</v>
      </c>
      <c r="M1880">
        <f>COUNTIFS($C$2:$C$3934,Table4[[#This Row],[customer_id]])</f>
        <v>10</v>
      </c>
      <c r="N1880" t="str">
        <f>IF(Table4[[#This Row],[customer_order_count]]=1,"New Customer","Repeat Customer")</f>
        <v>Repeat Customer</v>
      </c>
    </row>
    <row r="1881" spans="1:14">
      <c r="A1881" t="s">
        <v>4434</v>
      </c>
      <c r="B1881" s="1">
        <v>45349</v>
      </c>
      <c r="C1881" t="s">
        <v>3808</v>
      </c>
      <c r="D1881" t="s">
        <v>525</v>
      </c>
      <c r="E1881" t="s">
        <v>21</v>
      </c>
      <c r="F1881" t="s">
        <v>79</v>
      </c>
      <c r="G1881" t="s">
        <v>398</v>
      </c>
      <c r="H1881">
        <v>2</v>
      </c>
      <c r="I1881" s="3">
        <v>36.590000000000003</v>
      </c>
      <c r="J1881" t="s">
        <v>16</v>
      </c>
      <c r="K1881" t="s">
        <v>40</v>
      </c>
      <c r="L1881" s="4">
        <f>Table4[[#This Row],[quantity]]*Table4[[#This Row],[unit_price]]</f>
        <v>73.180000000000007</v>
      </c>
      <c r="M1881">
        <f>COUNTIFS($C$2:$C$3934,Table4[[#This Row],[customer_id]])</f>
        <v>2</v>
      </c>
      <c r="N1881" t="str">
        <f>IF(Table4[[#This Row],[customer_order_count]]=1,"New Customer","Repeat Customer")</f>
        <v>Repeat Customer</v>
      </c>
    </row>
    <row r="1882" spans="1:14">
      <c r="A1882" t="s">
        <v>2217</v>
      </c>
      <c r="B1882" s="1">
        <v>45491</v>
      </c>
      <c r="C1882" t="s">
        <v>1837</v>
      </c>
      <c r="D1882" t="s">
        <v>1838</v>
      </c>
      <c r="E1882" t="s">
        <v>21</v>
      </c>
      <c r="F1882" t="s">
        <v>14</v>
      </c>
      <c r="G1882" t="s">
        <v>258</v>
      </c>
      <c r="H1882">
        <v>3</v>
      </c>
      <c r="I1882" s="3">
        <v>36.61</v>
      </c>
      <c r="J1882" t="s">
        <v>16</v>
      </c>
      <c r="K1882" t="s">
        <v>40</v>
      </c>
      <c r="L1882" s="4">
        <f>Table4[[#This Row],[quantity]]*Table4[[#This Row],[unit_price]]</f>
        <v>109.83</v>
      </c>
      <c r="M1882">
        <f>COUNTIFS($C$2:$C$3934,Table4[[#This Row],[customer_id]])</f>
        <v>9</v>
      </c>
      <c r="N1882" t="str">
        <f>IF(Table4[[#This Row],[customer_order_count]]=1,"New Customer","Repeat Customer")</f>
        <v>Repeat Customer</v>
      </c>
    </row>
    <row r="1883" spans="1:14">
      <c r="A1883" t="s">
        <v>5244</v>
      </c>
      <c r="B1883" s="1">
        <v>45279</v>
      </c>
      <c r="C1883" t="s">
        <v>481</v>
      </c>
      <c r="D1883" t="s">
        <v>247</v>
      </c>
      <c r="E1883" t="s">
        <v>21</v>
      </c>
      <c r="F1883" t="s">
        <v>22</v>
      </c>
      <c r="G1883" t="s">
        <v>142</v>
      </c>
      <c r="H1883">
        <v>3</v>
      </c>
      <c r="I1883" s="3">
        <v>36.619999999999997</v>
      </c>
      <c r="J1883" t="s">
        <v>24</v>
      </c>
      <c r="K1883" t="s">
        <v>35</v>
      </c>
      <c r="L1883" s="4">
        <f>Table4[[#This Row],[quantity]]*Table4[[#This Row],[unit_price]]</f>
        <v>109.85999999999999</v>
      </c>
      <c r="M1883">
        <f>COUNTIFS($C$2:$C$3934,Table4[[#This Row],[customer_id]])</f>
        <v>7</v>
      </c>
      <c r="N1883" t="str">
        <f>IF(Table4[[#This Row],[customer_order_count]]=1,"New Customer","Repeat Customer")</f>
        <v>Repeat Customer</v>
      </c>
    </row>
    <row r="1884" spans="1:14">
      <c r="A1884" t="s">
        <v>1940</v>
      </c>
      <c r="B1884" s="1">
        <v>45238</v>
      </c>
      <c r="C1884" t="s">
        <v>1941</v>
      </c>
      <c r="D1884" t="s">
        <v>1942</v>
      </c>
      <c r="E1884" t="s">
        <v>61</v>
      </c>
      <c r="F1884" t="s">
        <v>28</v>
      </c>
      <c r="G1884" t="s">
        <v>114</v>
      </c>
      <c r="H1884">
        <v>1</v>
      </c>
      <c r="I1884" s="3">
        <v>36.630000000000003</v>
      </c>
      <c r="J1884" t="s">
        <v>16</v>
      </c>
      <c r="K1884" t="s">
        <v>40</v>
      </c>
      <c r="L1884" s="4">
        <f>Table4[[#This Row],[quantity]]*Table4[[#This Row],[unit_price]]</f>
        <v>36.630000000000003</v>
      </c>
      <c r="M1884">
        <f>COUNTIFS($C$2:$C$3934,Table4[[#This Row],[customer_id]])</f>
        <v>4</v>
      </c>
      <c r="N1884" t="str">
        <f>IF(Table4[[#This Row],[customer_order_count]]=1,"New Customer","Repeat Customer")</f>
        <v>Repeat Customer</v>
      </c>
    </row>
    <row r="1885" spans="1:14">
      <c r="A1885" t="s">
        <v>2758</v>
      </c>
      <c r="B1885" s="1">
        <v>45432</v>
      </c>
      <c r="C1885" t="s">
        <v>2759</v>
      </c>
      <c r="D1885" t="s">
        <v>643</v>
      </c>
      <c r="E1885" t="s">
        <v>21</v>
      </c>
      <c r="F1885" t="s">
        <v>70</v>
      </c>
      <c r="G1885" t="s">
        <v>337</v>
      </c>
      <c r="H1885">
        <v>2</v>
      </c>
      <c r="I1885" s="3">
        <v>36.659999999999997</v>
      </c>
      <c r="J1885" t="s">
        <v>85</v>
      </c>
      <c r="K1885" s="2" t="s">
        <v>5256</v>
      </c>
      <c r="L1885" s="4">
        <f>Table4[[#This Row],[quantity]]*Table4[[#This Row],[unit_price]]</f>
        <v>73.319999999999993</v>
      </c>
      <c r="M1885">
        <f>COUNTIFS($C$2:$C$3934,Table4[[#This Row],[customer_id]])</f>
        <v>2</v>
      </c>
      <c r="N1885" t="str">
        <f>IF(Table4[[#This Row],[customer_order_count]]=1,"New Customer","Repeat Customer")</f>
        <v>Repeat Customer</v>
      </c>
    </row>
    <row r="1886" spans="1:14">
      <c r="A1886" t="s">
        <v>4783</v>
      </c>
      <c r="B1886" s="1">
        <v>45118</v>
      </c>
      <c r="C1886" t="s">
        <v>2964</v>
      </c>
      <c r="D1886" t="s">
        <v>1828</v>
      </c>
      <c r="E1886" t="s">
        <v>44</v>
      </c>
      <c r="F1886" t="s">
        <v>22</v>
      </c>
      <c r="G1886" t="s">
        <v>264</v>
      </c>
      <c r="H1886">
        <v>1</v>
      </c>
      <c r="I1886" s="3">
        <v>36.68</v>
      </c>
      <c r="J1886" t="s">
        <v>16</v>
      </c>
      <c r="K1886" s="5" t="s">
        <v>40</v>
      </c>
      <c r="L1886" s="4">
        <f>Table4[[#This Row],[quantity]]*Table4[[#This Row],[unit_price]]</f>
        <v>36.68</v>
      </c>
      <c r="M1886">
        <f>COUNTIFS($C$2:$C$3934,Table4[[#This Row],[customer_id]])</f>
        <v>3</v>
      </c>
      <c r="N1886" t="str">
        <f>IF(Table4[[#This Row],[customer_order_count]]=1,"New Customer","Repeat Customer")</f>
        <v>Repeat Customer</v>
      </c>
    </row>
    <row r="1887" spans="1:14">
      <c r="A1887" t="s">
        <v>2988</v>
      </c>
      <c r="B1887" s="1">
        <v>45389</v>
      </c>
      <c r="C1887" t="s">
        <v>1269</v>
      </c>
      <c r="D1887" t="s">
        <v>359</v>
      </c>
      <c r="E1887" t="s">
        <v>21</v>
      </c>
      <c r="F1887" t="s">
        <v>56</v>
      </c>
      <c r="G1887" t="s">
        <v>210</v>
      </c>
      <c r="H1887">
        <v>1</v>
      </c>
      <c r="I1887" s="3">
        <v>36.700000000000003</v>
      </c>
      <c r="J1887" t="s">
        <v>16</v>
      </c>
      <c r="K1887" t="s">
        <v>35</v>
      </c>
      <c r="L1887" s="4">
        <f>Table4[[#This Row],[quantity]]*Table4[[#This Row],[unit_price]]</f>
        <v>36.700000000000003</v>
      </c>
      <c r="M1887">
        <f>COUNTIFS($C$2:$C$3934,Table4[[#This Row],[customer_id]])</f>
        <v>6</v>
      </c>
      <c r="N1887" t="str">
        <f>IF(Table4[[#This Row],[customer_order_count]]=1,"New Customer","Repeat Customer")</f>
        <v>Repeat Customer</v>
      </c>
    </row>
    <row r="1888" spans="1:14">
      <c r="A1888" t="s">
        <v>1865</v>
      </c>
      <c r="B1888" s="1">
        <v>45207</v>
      </c>
      <c r="C1888" t="s">
        <v>249</v>
      </c>
      <c r="D1888" t="s">
        <v>250</v>
      </c>
      <c r="E1888" t="s">
        <v>21</v>
      </c>
      <c r="F1888" t="s">
        <v>14</v>
      </c>
      <c r="G1888" t="s">
        <v>15</v>
      </c>
      <c r="H1888">
        <v>3</v>
      </c>
      <c r="I1888" s="3">
        <v>36.729999999999997</v>
      </c>
      <c r="J1888" t="s">
        <v>16</v>
      </c>
      <c r="K1888" t="s">
        <v>30</v>
      </c>
      <c r="L1888" s="4">
        <f>Table4[[#This Row],[quantity]]*Table4[[#This Row],[unit_price]]</f>
        <v>110.19</v>
      </c>
      <c r="M1888">
        <f>COUNTIFS($C$2:$C$3934,Table4[[#This Row],[customer_id]])</f>
        <v>12</v>
      </c>
      <c r="N1888" t="str">
        <f>IF(Table4[[#This Row],[customer_order_count]]=1,"New Customer","Repeat Customer")</f>
        <v>Repeat Customer</v>
      </c>
    </row>
    <row r="1889" spans="1:14">
      <c r="A1889" t="s">
        <v>1247</v>
      </c>
      <c r="B1889" s="1">
        <v>45139</v>
      </c>
      <c r="C1889" t="s">
        <v>1248</v>
      </c>
      <c r="D1889" t="s">
        <v>787</v>
      </c>
      <c r="E1889" t="s">
        <v>21</v>
      </c>
      <c r="F1889" t="s">
        <v>28</v>
      </c>
      <c r="G1889" t="s">
        <v>84</v>
      </c>
      <c r="H1889">
        <v>1</v>
      </c>
      <c r="I1889" s="3">
        <v>36.74</v>
      </c>
      <c r="J1889" t="s">
        <v>16</v>
      </c>
      <c r="K1889" t="s">
        <v>40</v>
      </c>
      <c r="L1889" s="4">
        <f>Table4[[#This Row],[quantity]]*Table4[[#This Row],[unit_price]]</f>
        <v>36.74</v>
      </c>
      <c r="M1889">
        <f>COUNTIFS($C$2:$C$3934,Table4[[#This Row],[customer_id]])</f>
        <v>6</v>
      </c>
      <c r="N1889" t="str">
        <f>IF(Table4[[#This Row],[customer_order_count]]=1,"New Customer","Repeat Customer")</f>
        <v>Repeat Customer</v>
      </c>
    </row>
    <row r="1890" spans="1:14">
      <c r="A1890" t="s">
        <v>5223</v>
      </c>
      <c r="B1890" s="1">
        <v>45035</v>
      </c>
      <c r="C1890" t="s">
        <v>698</v>
      </c>
      <c r="D1890" t="s">
        <v>307</v>
      </c>
      <c r="E1890" t="s">
        <v>21</v>
      </c>
      <c r="F1890" t="s">
        <v>22</v>
      </c>
      <c r="G1890" t="s">
        <v>135</v>
      </c>
      <c r="H1890">
        <v>2</v>
      </c>
      <c r="I1890" s="3">
        <v>36.74</v>
      </c>
      <c r="J1890" t="s">
        <v>16</v>
      </c>
      <c r="K1890" t="s">
        <v>40</v>
      </c>
      <c r="L1890" s="4">
        <f>Table4[[#This Row],[quantity]]*Table4[[#This Row],[unit_price]]</f>
        <v>73.48</v>
      </c>
      <c r="M1890">
        <f>COUNTIFS($C$2:$C$3934,Table4[[#This Row],[customer_id]])</f>
        <v>5</v>
      </c>
      <c r="N1890" t="str">
        <f>IF(Table4[[#This Row],[customer_order_count]]=1,"New Customer","Repeat Customer")</f>
        <v>Repeat Customer</v>
      </c>
    </row>
    <row r="1891" spans="1:14">
      <c r="A1891" t="s">
        <v>516</v>
      </c>
      <c r="B1891" s="1">
        <v>45394</v>
      </c>
      <c r="C1891" t="s">
        <v>82</v>
      </c>
      <c r="D1891" t="s">
        <v>83</v>
      </c>
      <c r="E1891" t="s">
        <v>21</v>
      </c>
      <c r="F1891" t="s">
        <v>28</v>
      </c>
      <c r="G1891" t="s">
        <v>45</v>
      </c>
      <c r="H1891">
        <v>1</v>
      </c>
      <c r="I1891" s="3">
        <v>36.75</v>
      </c>
      <c r="J1891" t="s">
        <v>16</v>
      </c>
      <c r="K1891" t="s">
        <v>30</v>
      </c>
      <c r="L1891" s="4">
        <f>Table4[[#This Row],[quantity]]*Table4[[#This Row],[unit_price]]</f>
        <v>36.75</v>
      </c>
      <c r="M1891">
        <f>COUNTIFS($C$2:$C$3934,Table4[[#This Row],[customer_id]])</f>
        <v>7</v>
      </c>
      <c r="N1891" t="str">
        <f>IF(Table4[[#This Row],[customer_order_count]]=1,"New Customer","Repeat Customer")</f>
        <v>Repeat Customer</v>
      </c>
    </row>
    <row r="1892" spans="1:14">
      <c r="A1892" t="s">
        <v>4042</v>
      </c>
      <c r="B1892" s="1">
        <v>44947</v>
      </c>
      <c r="C1892" t="s">
        <v>1315</v>
      </c>
      <c r="D1892" t="s">
        <v>887</v>
      </c>
      <c r="E1892" t="s">
        <v>44</v>
      </c>
      <c r="F1892" t="s">
        <v>70</v>
      </c>
      <c r="G1892" t="s">
        <v>89</v>
      </c>
      <c r="H1892">
        <v>2</v>
      </c>
      <c r="I1892" s="3">
        <v>36.76</v>
      </c>
      <c r="J1892" t="s">
        <v>16</v>
      </c>
      <c r="K1892" t="s">
        <v>17</v>
      </c>
      <c r="L1892" s="4">
        <f>Table4[[#This Row],[quantity]]*Table4[[#This Row],[unit_price]]</f>
        <v>73.52</v>
      </c>
      <c r="M1892">
        <f>COUNTIFS($C$2:$C$3934,Table4[[#This Row],[customer_id]])</f>
        <v>4</v>
      </c>
      <c r="N1892" t="str">
        <f>IF(Table4[[#This Row],[customer_order_count]]=1,"New Customer","Repeat Customer")</f>
        <v>Repeat Customer</v>
      </c>
    </row>
    <row r="1893" spans="1:14">
      <c r="A1893" t="s">
        <v>3045</v>
      </c>
      <c r="B1893" s="1">
        <v>45318</v>
      </c>
      <c r="C1893" t="s">
        <v>1084</v>
      </c>
      <c r="D1893" t="s">
        <v>953</v>
      </c>
      <c r="E1893" t="s">
        <v>21</v>
      </c>
      <c r="F1893" t="s">
        <v>70</v>
      </c>
      <c r="G1893" t="s">
        <v>170</v>
      </c>
      <c r="H1893">
        <v>1</v>
      </c>
      <c r="I1893" s="3">
        <v>36.78</v>
      </c>
      <c r="J1893" t="s">
        <v>16</v>
      </c>
      <c r="K1893" t="s">
        <v>40</v>
      </c>
      <c r="L1893" s="4">
        <f>Table4[[#This Row],[quantity]]*Table4[[#This Row],[unit_price]]</f>
        <v>36.78</v>
      </c>
      <c r="M1893">
        <f>COUNTIFS($C$2:$C$3934,Table4[[#This Row],[customer_id]])</f>
        <v>6</v>
      </c>
      <c r="N1893" t="str">
        <f>IF(Table4[[#This Row],[customer_order_count]]=1,"New Customer","Repeat Customer")</f>
        <v>Repeat Customer</v>
      </c>
    </row>
    <row r="1894" spans="1:14">
      <c r="A1894" t="s">
        <v>4342</v>
      </c>
      <c r="B1894" s="1">
        <v>44985</v>
      </c>
      <c r="C1894" t="s">
        <v>1713</v>
      </c>
      <c r="D1894" t="s">
        <v>1714</v>
      </c>
      <c r="E1894" t="s">
        <v>21</v>
      </c>
      <c r="F1894" t="s">
        <v>28</v>
      </c>
      <c r="G1894" t="s">
        <v>84</v>
      </c>
      <c r="H1894">
        <v>1</v>
      </c>
      <c r="I1894" s="3">
        <v>36.799999999999997</v>
      </c>
      <c r="J1894" t="s">
        <v>16</v>
      </c>
      <c r="K1894" t="s">
        <v>30</v>
      </c>
      <c r="L1894" s="4">
        <f>Table4[[#This Row],[quantity]]*Table4[[#This Row],[unit_price]]</f>
        <v>36.799999999999997</v>
      </c>
      <c r="M1894">
        <f>COUNTIFS($C$2:$C$3934,Table4[[#This Row],[customer_id]])</f>
        <v>4</v>
      </c>
      <c r="N1894" t="str">
        <f>IF(Table4[[#This Row],[customer_order_count]]=1,"New Customer","Repeat Customer")</f>
        <v>Repeat Customer</v>
      </c>
    </row>
    <row r="1895" spans="1:14">
      <c r="A1895" t="s">
        <v>3899</v>
      </c>
      <c r="B1895" s="1">
        <v>45381</v>
      </c>
      <c r="C1895" t="s">
        <v>1710</v>
      </c>
      <c r="D1895" t="s">
        <v>396</v>
      </c>
      <c r="E1895" t="s">
        <v>21</v>
      </c>
      <c r="F1895" t="s">
        <v>22</v>
      </c>
      <c r="G1895" t="s">
        <v>23</v>
      </c>
      <c r="H1895">
        <v>1</v>
      </c>
      <c r="I1895" s="3">
        <v>36.807019230769228</v>
      </c>
      <c r="J1895" t="s">
        <v>16</v>
      </c>
      <c r="K1895" t="s">
        <v>30</v>
      </c>
      <c r="L1895" s="4">
        <f>Table4[[#This Row],[quantity]]*Table4[[#This Row],[unit_price]]</f>
        <v>36.807019230769228</v>
      </c>
      <c r="M1895">
        <f>COUNTIFS($C$2:$C$3934,Table4[[#This Row],[customer_id]])</f>
        <v>10</v>
      </c>
      <c r="N1895" t="str">
        <f>IF(Table4[[#This Row],[customer_order_count]]=1,"New Customer","Repeat Customer")</f>
        <v>Repeat Customer</v>
      </c>
    </row>
    <row r="1896" spans="1:14">
      <c r="A1896" t="s">
        <v>1007</v>
      </c>
      <c r="B1896" s="1">
        <v>45143</v>
      </c>
      <c r="C1896" t="s">
        <v>1008</v>
      </c>
      <c r="D1896" t="s">
        <v>425</v>
      </c>
      <c r="E1896" t="s">
        <v>21</v>
      </c>
      <c r="F1896" t="s">
        <v>22</v>
      </c>
      <c r="G1896" t="s">
        <v>23</v>
      </c>
      <c r="H1896">
        <v>1</v>
      </c>
      <c r="I1896" s="3">
        <v>36.807019230769228</v>
      </c>
      <c r="J1896" t="s">
        <v>16</v>
      </c>
      <c r="K1896" t="s">
        <v>30</v>
      </c>
      <c r="L1896" s="4">
        <f>Table4[[#This Row],[quantity]]*Table4[[#This Row],[unit_price]]</f>
        <v>36.807019230769228</v>
      </c>
      <c r="M1896">
        <f>COUNTIFS($C$2:$C$3934,Table4[[#This Row],[customer_id]])</f>
        <v>7</v>
      </c>
      <c r="N1896" t="str">
        <f>IF(Table4[[#This Row],[customer_order_count]]=1,"New Customer","Repeat Customer")</f>
        <v>Repeat Customer</v>
      </c>
    </row>
    <row r="1897" spans="1:14">
      <c r="A1897" t="s">
        <v>1182</v>
      </c>
      <c r="B1897" s="1">
        <v>45548</v>
      </c>
      <c r="C1897" t="s">
        <v>883</v>
      </c>
      <c r="D1897" t="s">
        <v>181</v>
      </c>
      <c r="E1897" t="s">
        <v>21</v>
      </c>
      <c r="F1897" t="s">
        <v>22</v>
      </c>
      <c r="G1897" t="s">
        <v>23</v>
      </c>
      <c r="H1897">
        <v>1</v>
      </c>
      <c r="I1897" s="3">
        <v>36.807019230769228</v>
      </c>
      <c r="J1897" t="s">
        <v>16</v>
      </c>
      <c r="K1897" t="s">
        <v>40</v>
      </c>
      <c r="L1897" s="4">
        <f>Table4[[#This Row],[quantity]]*Table4[[#This Row],[unit_price]]</f>
        <v>36.807019230769228</v>
      </c>
      <c r="M1897">
        <f>COUNTIFS($C$2:$C$3934,Table4[[#This Row],[customer_id]])</f>
        <v>11</v>
      </c>
      <c r="N1897" t="str">
        <f>IF(Table4[[#This Row],[customer_order_count]]=1,"New Customer","Repeat Customer")</f>
        <v>Repeat Customer</v>
      </c>
    </row>
    <row r="1898" spans="1:14">
      <c r="A1898" t="s">
        <v>4981</v>
      </c>
      <c r="B1898" s="1">
        <v>45589</v>
      </c>
      <c r="C1898" t="s">
        <v>824</v>
      </c>
      <c r="D1898" t="s">
        <v>825</v>
      </c>
      <c r="E1898" t="s">
        <v>44</v>
      </c>
      <c r="F1898" t="s">
        <v>22</v>
      </c>
      <c r="G1898" t="s">
        <v>23</v>
      </c>
      <c r="H1898">
        <v>1</v>
      </c>
      <c r="I1898" s="3">
        <v>36.807019230769228</v>
      </c>
      <c r="J1898" t="s">
        <v>16</v>
      </c>
      <c r="K1898" t="s">
        <v>17</v>
      </c>
      <c r="L1898" s="4">
        <f>Table4[[#This Row],[quantity]]*Table4[[#This Row],[unit_price]]</f>
        <v>36.807019230769228</v>
      </c>
      <c r="M1898">
        <f>COUNTIFS($C$2:$C$3934,Table4[[#This Row],[customer_id]])</f>
        <v>7</v>
      </c>
      <c r="N1898" t="str">
        <f>IF(Table4[[#This Row],[customer_order_count]]=1,"New Customer","Repeat Customer")</f>
        <v>Repeat Customer</v>
      </c>
    </row>
    <row r="1899" spans="1:14">
      <c r="A1899" t="s">
        <v>3715</v>
      </c>
      <c r="B1899" s="1">
        <v>45181</v>
      </c>
      <c r="C1899" t="s">
        <v>2416</v>
      </c>
      <c r="D1899" t="s">
        <v>1706</v>
      </c>
      <c r="E1899" t="s">
        <v>44</v>
      </c>
      <c r="F1899" t="s">
        <v>70</v>
      </c>
      <c r="G1899" t="s">
        <v>110</v>
      </c>
      <c r="H1899">
        <v>1</v>
      </c>
      <c r="I1899" s="3">
        <v>36.869999999999997</v>
      </c>
      <c r="J1899" t="s">
        <v>16</v>
      </c>
      <c r="K1899" t="s">
        <v>35</v>
      </c>
      <c r="L1899" s="4">
        <f>Table4[[#This Row],[quantity]]*Table4[[#This Row],[unit_price]]</f>
        <v>36.869999999999997</v>
      </c>
      <c r="M1899">
        <f>COUNTIFS($C$2:$C$3934,Table4[[#This Row],[customer_id]])</f>
        <v>4</v>
      </c>
      <c r="N1899" t="str">
        <f>IF(Table4[[#This Row],[customer_order_count]]=1,"New Customer","Repeat Customer")</f>
        <v>Repeat Customer</v>
      </c>
    </row>
    <row r="1900" spans="1:14">
      <c r="A1900" t="s">
        <v>4468</v>
      </c>
      <c r="B1900" s="1">
        <v>45637</v>
      </c>
      <c r="C1900" t="s">
        <v>1743</v>
      </c>
      <c r="D1900" t="s">
        <v>20</v>
      </c>
      <c r="E1900" t="s">
        <v>21</v>
      </c>
      <c r="F1900" t="s">
        <v>14</v>
      </c>
      <c r="G1900" t="s">
        <v>100</v>
      </c>
      <c r="H1900">
        <v>1</v>
      </c>
      <c r="I1900" s="3">
        <v>36.880000000000003</v>
      </c>
      <c r="J1900" t="s">
        <v>16</v>
      </c>
      <c r="K1900" t="s">
        <v>30</v>
      </c>
      <c r="L1900" s="4">
        <f>Table4[[#This Row],[quantity]]*Table4[[#This Row],[unit_price]]</f>
        <v>36.880000000000003</v>
      </c>
      <c r="M1900">
        <f>COUNTIFS($C$2:$C$3934,Table4[[#This Row],[customer_id]])</f>
        <v>8</v>
      </c>
      <c r="N1900" t="str">
        <f>IF(Table4[[#This Row],[customer_order_count]]=1,"New Customer","Repeat Customer")</f>
        <v>Repeat Customer</v>
      </c>
    </row>
    <row r="1901" spans="1:14">
      <c r="A1901" t="s">
        <v>3905</v>
      </c>
      <c r="B1901" s="1">
        <v>45060</v>
      </c>
      <c r="C1901" t="s">
        <v>2211</v>
      </c>
      <c r="D1901" t="s">
        <v>1412</v>
      </c>
      <c r="E1901" t="s">
        <v>21</v>
      </c>
      <c r="F1901" t="s">
        <v>28</v>
      </c>
      <c r="G1901" t="s">
        <v>29</v>
      </c>
      <c r="H1901">
        <v>1</v>
      </c>
      <c r="I1901" s="3">
        <v>36.909999999999997</v>
      </c>
      <c r="J1901" t="s">
        <v>16</v>
      </c>
      <c r="K1901" t="s">
        <v>17</v>
      </c>
      <c r="L1901" s="4">
        <f>Table4[[#This Row],[quantity]]*Table4[[#This Row],[unit_price]]</f>
        <v>36.909999999999997</v>
      </c>
      <c r="M1901">
        <f>COUNTIFS($C$2:$C$3934,Table4[[#This Row],[customer_id]])</f>
        <v>6</v>
      </c>
      <c r="N1901" t="str">
        <f>IF(Table4[[#This Row],[customer_order_count]]=1,"New Customer","Repeat Customer")</f>
        <v>Repeat Customer</v>
      </c>
    </row>
    <row r="1902" spans="1:14">
      <c r="A1902" t="s">
        <v>1028</v>
      </c>
      <c r="B1902" s="1">
        <v>45183</v>
      </c>
      <c r="C1902" t="s">
        <v>969</v>
      </c>
      <c r="D1902" s="2" t="s">
        <v>5257</v>
      </c>
      <c r="E1902" t="s">
        <v>21</v>
      </c>
      <c r="F1902" t="s">
        <v>28</v>
      </c>
      <c r="G1902" t="s">
        <v>84</v>
      </c>
      <c r="H1902">
        <v>2</v>
      </c>
      <c r="I1902" s="3">
        <v>36.909999999999997</v>
      </c>
      <c r="J1902" t="s">
        <v>16</v>
      </c>
      <c r="K1902" t="s">
        <v>17</v>
      </c>
      <c r="L1902" s="4">
        <f>Table4[[#This Row],[quantity]]*Table4[[#This Row],[unit_price]]</f>
        <v>73.819999999999993</v>
      </c>
      <c r="M1902">
        <f>COUNTIFS($C$2:$C$3934,Table4[[#This Row],[customer_id]])</f>
        <v>5</v>
      </c>
      <c r="N1902" t="str">
        <f>IF(Table4[[#This Row],[customer_order_count]]=1,"New Customer","Repeat Customer")</f>
        <v>Repeat Customer</v>
      </c>
    </row>
    <row r="1903" spans="1:14">
      <c r="A1903" t="s">
        <v>4554</v>
      </c>
      <c r="B1903" s="1">
        <v>45601</v>
      </c>
      <c r="C1903" t="s">
        <v>3199</v>
      </c>
      <c r="D1903" s="5" t="s">
        <v>3200</v>
      </c>
      <c r="E1903" t="s">
        <v>21</v>
      </c>
      <c r="F1903" t="s">
        <v>28</v>
      </c>
      <c r="G1903" t="s">
        <v>114</v>
      </c>
      <c r="H1903">
        <v>1</v>
      </c>
      <c r="I1903" s="3">
        <v>36.94</v>
      </c>
      <c r="J1903" t="s">
        <v>16</v>
      </c>
      <c r="K1903" t="s">
        <v>35</v>
      </c>
      <c r="L1903" s="4">
        <f>Table4[[#This Row],[quantity]]*Table4[[#This Row],[unit_price]]</f>
        <v>36.94</v>
      </c>
      <c r="M1903">
        <f>COUNTIFS($C$2:$C$3934,Table4[[#This Row],[customer_id]])</f>
        <v>4</v>
      </c>
      <c r="N1903" t="str">
        <f>IF(Table4[[#This Row],[customer_order_count]]=1,"New Customer","Repeat Customer")</f>
        <v>Repeat Customer</v>
      </c>
    </row>
    <row r="1904" spans="1:14">
      <c r="A1904" t="s">
        <v>4456</v>
      </c>
      <c r="B1904" s="1">
        <v>45134</v>
      </c>
      <c r="C1904" t="s">
        <v>240</v>
      </c>
      <c r="D1904" t="s">
        <v>241</v>
      </c>
      <c r="E1904" t="s">
        <v>21</v>
      </c>
      <c r="F1904" t="s">
        <v>28</v>
      </c>
      <c r="G1904" t="s">
        <v>45</v>
      </c>
      <c r="H1904">
        <v>1</v>
      </c>
      <c r="I1904" s="3">
        <v>36.96</v>
      </c>
      <c r="J1904" t="s">
        <v>16</v>
      </c>
      <c r="K1904" t="s">
        <v>17</v>
      </c>
      <c r="L1904" s="4">
        <f>Table4[[#This Row],[quantity]]*Table4[[#This Row],[unit_price]]</f>
        <v>36.96</v>
      </c>
      <c r="M1904">
        <f>COUNTIFS($C$2:$C$3934,Table4[[#This Row],[customer_id]])</f>
        <v>5</v>
      </c>
      <c r="N1904" t="str">
        <f>IF(Table4[[#This Row],[customer_order_count]]=1,"New Customer","Repeat Customer")</f>
        <v>Repeat Customer</v>
      </c>
    </row>
    <row r="1905" spans="1:14">
      <c r="A1905" t="s">
        <v>3241</v>
      </c>
      <c r="B1905" s="1">
        <v>45512</v>
      </c>
      <c r="C1905" t="s">
        <v>1437</v>
      </c>
      <c r="D1905" t="s">
        <v>1054</v>
      </c>
      <c r="E1905" t="s">
        <v>21</v>
      </c>
      <c r="F1905" t="s">
        <v>70</v>
      </c>
      <c r="G1905" t="s">
        <v>89</v>
      </c>
      <c r="H1905">
        <v>1</v>
      </c>
      <c r="I1905" s="3">
        <v>37.020000000000003</v>
      </c>
      <c r="J1905" t="s">
        <v>85</v>
      </c>
      <c r="K1905" t="s">
        <v>40</v>
      </c>
      <c r="L1905" s="4">
        <f>Table4[[#This Row],[quantity]]*Table4[[#This Row],[unit_price]]</f>
        <v>37.020000000000003</v>
      </c>
      <c r="M1905">
        <f>COUNTIFS($C$2:$C$3934,Table4[[#This Row],[customer_id]])</f>
        <v>5</v>
      </c>
      <c r="N1905" t="str">
        <f>IF(Table4[[#This Row],[customer_order_count]]=1,"New Customer","Repeat Customer")</f>
        <v>Repeat Customer</v>
      </c>
    </row>
    <row r="1906" spans="1:14">
      <c r="A1906" t="s">
        <v>2508</v>
      </c>
      <c r="B1906" s="1">
        <v>45050</v>
      </c>
      <c r="C1906" t="s">
        <v>2509</v>
      </c>
      <c r="D1906" t="s">
        <v>330</v>
      </c>
      <c r="E1906" t="s">
        <v>61</v>
      </c>
      <c r="F1906" t="s">
        <v>28</v>
      </c>
      <c r="G1906" t="s">
        <v>139</v>
      </c>
      <c r="H1906">
        <v>1</v>
      </c>
      <c r="I1906" s="3">
        <v>37.090000000000003</v>
      </c>
      <c r="J1906" t="s">
        <v>16</v>
      </c>
      <c r="K1906" t="s">
        <v>30</v>
      </c>
      <c r="L1906" s="4">
        <f>Table4[[#This Row],[quantity]]*Table4[[#This Row],[unit_price]]</f>
        <v>37.090000000000003</v>
      </c>
      <c r="M1906">
        <f>COUNTIFS($C$2:$C$3934,Table4[[#This Row],[customer_id]])</f>
        <v>1</v>
      </c>
      <c r="N1906" t="str">
        <f>IF(Table4[[#This Row],[customer_order_count]]=1,"New Customer","Repeat Customer")</f>
        <v>New Customer</v>
      </c>
    </row>
    <row r="1907" spans="1:14">
      <c r="A1907" t="s">
        <v>4170</v>
      </c>
      <c r="B1907" s="1">
        <v>45030</v>
      </c>
      <c r="C1907" t="s">
        <v>87</v>
      </c>
      <c r="D1907" t="s">
        <v>88</v>
      </c>
      <c r="E1907" t="s">
        <v>21</v>
      </c>
      <c r="F1907" t="s">
        <v>56</v>
      </c>
      <c r="G1907" t="s">
        <v>75</v>
      </c>
      <c r="H1907">
        <v>2</v>
      </c>
      <c r="I1907" s="3">
        <v>37.15</v>
      </c>
      <c r="J1907" t="s">
        <v>16</v>
      </c>
      <c r="K1907" t="s">
        <v>35</v>
      </c>
      <c r="L1907" s="4">
        <f>Table4[[#This Row],[quantity]]*Table4[[#This Row],[unit_price]]</f>
        <v>74.3</v>
      </c>
      <c r="M1907">
        <f>COUNTIFS($C$2:$C$3934,Table4[[#This Row],[customer_id]])</f>
        <v>4</v>
      </c>
      <c r="N1907" t="str">
        <f>IF(Table4[[#This Row],[customer_order_count]]=1,"New Customer","Repeat Customer")</f>
        <v>Repeat Customer</v>
      </c>
    </row>
    <row r="1908" spans="1:14">
      <c r="A1908" t="s">
        <v>1041</v>
      </c>
      <c r="B1908" s="1">
        <v>45165</v>
      </c>
      <c r="C1908" t="s">
        <v>1042</v>
      </c>
      <c r="D1908" t="s">
        <v>1043</v>
      </c>
      <c r="E1908" t="s">
        <v>21</v>
      </c>
      <c r="F1908" t="s">
        <v>70</v>
      </c>
      <c r="G1908" t="s">
        <v>110</v>
      </c>
      <c r="H1908">
        <v>5</v>
      </c>
      <c r="I1908" s="3">
        <v>37.159999999999997</v>
      </c>
      <c r="J1908" t="s">
        <v>16</v>
      </c>
      <c r="K1908" t="s">
        <v>35</v>
      </c>
      <c r="L1908" s="4">
        <f>Table4[[#This Row],[quantity]]*Table4[[#This Row],[unit_price]]</f>
        <v>185.79999999999998</v>
      </c>
      <c r="M1908">
        <f>COUNTIFS($C$2:$C$3934,Table4[[#This Row],[customer_id]])</f>
        <v>4</v>
      </c>
      <c r="N1908" t="str">
        <f>IF(Table4[[#This Row],[customer_order_count]]=1,"New Customer","Repeat Customer")</f>
        <v>Repeat Customer</v>
      </c>
    </row>
    <row r="1909" spans="1:14">
      <c r="A1909" t="s">
        <v>476</v>
      </c>
      <c r="B1909" s="1">
        <v>45273</v>
      </c>
      <c r="C1909" t="s">
        <v>477</v>
      </c>
      <c r="D1909" t="s">
        <v>478</v>
      </c>
      <c r="E1909" t="s">
        <v>21</v>
      </c>
      <c r="F1909" t="s">
        <v>56</v>
      </c>
      <c r="G1909" t="s">
        <v>422</v>
      </c>
      <c r="H1909">
        <v>3</v>
      </c>
      <c r="I1909" s="3">
        <v>37.229999999999997</v>
      </c>
      <c r="J1909" t="s">
        <v>16</v>
      </c>
      <c r="K1909" t="s">
        <v>30</v>
      </c>
      <c r="L1909" s="4">
        <f>Table4[[#This Row],[quantity]]*Table4[[#This Row],[unit_price]]</f>
        <v>111.69</v>
      </c>
      <c r="M1909">
        <f>COUNTIFS($C$2:$C$3934,Table4[[#This Row],[customer_id]])</f>
        <v>6</v>
      </c>
      <c r="N1909" t="str">
        <f>IF(Table4[[#This Row],[customer_order_count]]=1,"New Customer","Repeat Customer")</f>
        <v>Repeat Customer</v>
      </c>
    </row>
    <row r="1910" spans="1:14">
      <c r="A1910" t="s">
        <v>4251</v>
      </c>
      <c r="B1910" s="1">
        <v>45433</v>
      </c>
      <c r="C1910" t="s">
        <v>534</v>
      </c>
      <c r="D1910" t="s">
        <v>535</v>
      </c>
      <c r="E1910" t="s">
        <v>21</v>
      </c>
      <c r="F1910" t="s">
        <v>28</v>
      </c>
      <c r="G1910" t="s">
        <v>84</v>
      </c>
      <c r="H1910">
        <v>1</v>
      </c>
      <c r="I1910" s="3">
        <v>37.270000000000003</v>
      </c>
      <c r="J1910" t="s">
        <v>16</v>
      </c>
      <c r="K1910" t="s">
        <v>17</v>
      </c>
      <c r="L1910" s="4">
        <f>Table4[[#This Row],[quantity]]*Table4[[#This Row],[unit_price]]</f>
        <v>37.270000000000003</v>
      </c>
      <c r="M1910">
        <f>COUNTIFS($C$2:$C$3934,Table4[[#This Row],[customer_id]])</f>
        <v>6</v>
      </c>
      <c r="N1910" t="str">
        <f>IF(Table4[[#This Row],[customer_order_count]]=1,"New Customer","Repeat Customer")</f>
        <v>Repeat Customer</v>
      </c>
    </row>
    <row r="1911" spans="1:14">
      <c r="A1911" t="s">
        <v>3852</v>
      </c>
      <c r="B1911" s="1">
        <v>45583</v>
      </c>
      <c r="C1911" t="s">
        <v>680</v>
      </c>
      <c r="D1911" t="s">
        <v>681</v>
      </c>
      <c r="E1911" t="s">
        <v>21</v>
      </c>
      <c r="F1911" t="s">
        <v>56</v>
      </c>
      <c r="G1911" t="s">
        <v>57</v>
      </c>
      <c r="H1911">
        <v>1</v>
      </c>
      <c r="I1911" s="3">
        <v>37.29</v>
      </c>
      <c r="J1911" t="s">
        <v>16</v>
      </c>
      <c r="K1911" t="s">
        <v>30</v>
      </c>
      <c r="L1911" s="4">
        <f>Table4[[#This Row],[quantity]]*Table4[[#This Row],[unit_price]]</f>
        <v>37.29</v>
      </c>
      <c r="M1911">
        <f>COUNTIFS($C$2:$C$3934,Table4[[#This Row],[customer_id]])</f>
        <v>11</v>
      </c>
      <c r="N1911" t="str">
        <f>IF(Table4[[#This Row],[customer_order_count]]=1,"New Customer","Repeat Customer")</f>
        <v>Repeat Customer</v>
      </c>
    </row>
    <row r="1912" spans="1:14">
      <c r="A1912" t="s">
        <v>4697</v>
      </c>
      <c r="B1912" s="1">
        <v>45058</v>
      </c>
      <c r="C1912" t="s">
        <v>893</v>
      </c>
      <c r="D1912" t="s">
        <v>659</v>
      </c>
      <c r="E1912" t="s">
        <v>21</v>
      </c>
      <c r="F1912" t="s">
        <v>22</v>
      </c>
      <c r="G1912" t="s">
        <v>23</v>
      </c>
      <c r="H1912">
        <v>1</v>
      </c>
      <c r="I1912" s="3">
        <v>37.35</v>
      </c>
      <c r="J1912" t="s">
        <v>24</v>
      </c>
      <c r="K1912" t="s">
        <v>35</v>
      </c>
      <c r="L1912" s="4">
        <f>Table4[[#This Row],[quantity]]*Table4[[#This Row],[unit_price]]</f>
        <v>37.35</v>
      </c>
      <c r="M1912">
        <f>COUNTIFS($C$2:$C$3934,Table4[[#This Row],[customer_id]])</f>
        <v>12</v>
      </c>
      <c r="N1912" t="str">
        <f>IF(Table4[[#This Row],[customer_order_count]]=1,"New Customer","Repeat Customer")</f>
        <v>Repeat Customer</v>
      </c>
    </row>
    <row r="1913" spans="1:14">
      <c r="A1913" t="s">
        <v>2820</v>
      </c>
      <c r="B1913" s="1">
        <v>45484</v>
      </c>
      <c r="C1913" t="s">
        <v>431</v>
      </c>
      <c r="D1913" t="s">
        <v>432</v>
      </c>
      <c r="E1913" t="s">
        <v>21</v>
      </c>
      <c r="F1913" t="s">
        <v>28</v>
      </c>
      <c r="G1913" t="s">
        <v>139</v>
      </c>
      <c r="H1913">
        <v>3</v>
      </c>
      <c r="I1913" s="3">
        <v>37.35</v>
      </c>
      <c r="J1913" t="s">
        <v>16</v>
      </c>
      <c r="K1913" t="s">
        <v>30</v>
      </c>
      <c r="L1913" s="4">
        <f>Table4[[#This Row],[quantity]]*Table4[[#This Row],[unit_price]]</f>
        <v>112.05000000000001</v>
      </c>
      <c r="M1913">
        <f>COUNTIFS($C$2:$C$3934,Table4[[#This Row],[customer_id]])</f>
        <v>7</v>
      </c>
      <c r="N1913" t="str">
        <f>IF(Table4[[#This Row],[customer_order_count]]=1,"New Customer","Repeat Customer")</f>
        <v>Repeat Customer</v>
      </c>
    </row>
    <row r="1914" spans="1:14">
      <c r="A1914" t="s">
        <v>4264</v>
      </c>
      <c r="B1914" s="1">
        <v>45586</v>
      </c>
      <c r="C1914" t="s">
        <v>379</v>
      </c>
      <c r="D1914" t="s">
        <v>380</v>
      </c>
      <c r="E1914" t="s">
        <v>44</v>
      </c>
      <c r="F1914" t="s">
        <v>28</v>
      </c>
      <c r="G1914" t="s">
        <v>29</v>
      </c>
      <c r="H1914">
        <v>1</v>
      </c>
      <c r="I1914" s="3">
        <v>37.369999999999997</v>
      </c>
      <c r="J1914" t="s">
        <v>16</v>
      </c>
      <c r="K1914" t="s">
        <v>30</v>
      </c>
      <c r="L1914" s="4">
        <f>Table4[[#This Row],[quantity]]*Table4[[#This Row],[unit_price]]</f>
        <v>37.369999999999997</v>
      </c>
      <c r="M1914">
        <f>COUNTIFS($C$2:$C$3934,Table4[[#This Row],[customer_id]])</f>
        <v>7</v>
      </c>
      <c r="N1914" t="str">
        <f>IF(Table4[[#This Row],[customer_order_count]]=1,"New Customer","Repeat Customer")</f>
        <v>Repeat Customer</v>
      </c>
    </row>
    <row r="1915" spans="1:14">
      <c r="A1915" t="s">
        <v>5209</v>
      </c>
      <c r="B1915" s="1">
        <v>45647</v>
      </c>
      <c r="C1915" t="s">
        <v>1783</v>
      </c>
      <c r="D1915" t="s">
        <v>333</v>
      </c>
      <c r="E1915" t="s">
        <v>61</v>
      </c>
      <c r="F1915" t="s">
        <v>79</v>
      </c>
      <c r="G1915" t="s">
        <v>541</v>
      </c>
      <c r="H1915">
        <v>1</v>
      </c>
      <c r="I1915" s="3">
        <v>37.380000000000003</v>
      </c>
      <c r="J1915" t="s">
        <v>16</v>
      </c>
      <c r="K1915" t="s">
        <v>35</v>
      </c>
      <c r="L1915" s="4">
        <f>Table4[[#This Row],[quantity]]*Table4[[#This Row],[unit_price]]</f>
        <v>37.380000000000003</v>
      </c>
      <c r="M1915">
        <f>COUNTIFS($C$2:$C$3934,Table4[[#This Row],[customer_id]])</f>
        <v>3</v>
      </c>
      <c r="N1915" t="str">
        <f>IF(Table4[[#This Row],[customer_order_count]]=1,"New Customer","Repeat Customer")</f>
        <v>Repeat Customer</v>
      </c>
    </row>
    <row r="1916" spans="1:14">
      <c r="A1916" t="s">
        <v>1712</v>
      </c>
      <c r="B1916" s="1">
        <v>44988</v>
      </c>
      <c r="C1916" t="s">
        <v>1713</v>
      </c>
      <c r="D1916" t="s">
        <v>1714</v>
      </c>
      <c r="E1916" t="s">
        <v>21</v>
      </c>
      <c r="F1916" t="s">
        <v>70</v>
      </c>
      <c r="G1916" t="s">
        <v>146</v>
      </c>
      <c r="H1916">
        <v>1</v>
      </c>
      <c r="I1916" s="3">
        <v>37.39</v>
      </c>
      <c r="J1916" t="s">
        <v>16</v>
      </c>
      <c r="K1916" t="s">
        <v>30</v>
      </c>
      <c r="L1916" s="4">
        <f>Table4[[#This Row],[quantity]]*Table4[[#This Row],[unit_price]]</f>
        <v>37.39</v>
      </c>
      <c r="M1916">
        <f>COUNTIFS($C$2:$C$3934,Table4[[#This Row],[customer_id]])</f>
        <v>4</v>
      </c>
      <c r="N1916" t="str">
        <f>IF(Table4[[#This Row],[customer_order_count]]=1,"New Customer","Repeat Customer")</f>
        <v>Repeat Customer</v>
      </c>
    </row>
    <row r="1917" spans="1:14">
      <c r="A1917" t="s">
        <v>3100</v>
      </c>
      <c r="B1917" s="1">
        <v>45401</v>
      </c>
      <c r="C1917" t="s">
        <v>680</v>
      </c>
      <c r="D1917" t="s">
        <v>681</v>
      </c>
      <c r="E1917" t="s">
        <v>21</v>
      </c>
      <c r="F1917" t="s">
        <v>56</v>
      </c>
      <c r="G1917" t="s">
        <v>75</v>
      </c>
      <c r="H1917">
        <v>5</v>
      </c>
      <c r="I1917" s="3">
        <v>37.43</v>
      </c>
      <c r="J1917" t="s">
        <v>16</v>
      </c>
      <c r="K1917" t="s">
        <v>35</v>
      </c>
      <c r="L1917" s="4">
        <f>Table4[[#This Row],[quantity]]*Table4[[#This Row],[unit_price]]</f>
        <v>187.15</v>
      </c>
      <c r="M1917">
        <f>COUNTIFS($C$2:$C$3934,Table4[[#This Row],[customer_id]])</f>
        <v>11</v>
      </c>
      <c r="N1917" t="str">
        <f>IF(Table4[[#This Row],[customer_order_count]]=1,"New Customer","Repeat Customer")</f>
        <v>Repeat Customer</v>
      </c>
    </row>
    <row r="1918" spans="1:14">
      <c r="A1918" t="s">
        <v>325</v>
      </c>
      <c r="B1918" s="1">
        <v>44977</v>
      </c>
      <c r="C1918" t="s">
        <v>326</v>
      </c>
      <c r="D1918" t="s">
        <v>327</v>
      </c>
      <c r="E1918" t="s">
        <v>21</v>
      </c>
      <c r="F1918" t="s">
        <v>56</v>
      </c>
      <c r="G1918" t="s">
        <v>118</v>
      </c>
      <c r="H1918">
        <v>1</v>
      </c>
      <c r="I1918" s="3">
        <v>37.44</v>
      </c>
      <c r="J1918" t="s">
        <v>16</v>
      </c>
      <c r="K1918" t="s">
        <v>35</v>
      </c>
      <c r="L1918" s="4">
        <f>Table4[[#This Row],[quantity]]*Table4[[#This Row],[unit_price]]</f>
        <v>37.44</v>
      </c>
      <c r="M1918">
        <f>COUNTIFS($C$2:$C$3934,Table4[[#This Row],[customer_id]])</f>
        <v>5</v>
      </c>
      <c r="N1918" t="str">
        <f>IF(Table4[[#This Row],[customer_order_count]]=1,"New Customer","Repeat Customer")</f>
        <v>Repeat Customer</v>
      </c>
    </row>
    <row r="1919" spans="1:14">
      <c r="A1919" t="s">
        <v>1020</v>
      </c>
      <c r="B1919" s="1">
        <v>45116</v>
      </c>
      <c r="C1919" t="s">
        <v>1021</v>
      </c>
      <c r="D1919" t="s">
        <v>1022</v>
      </c>
      <c r="E1919" t="s">
        <v>21</v>
      </c>
      <c r="F1919" t="s">
        <v>56</v>
      </c>
      <c r="G1919" t="s">
        <v>75</v>
      </c>
      <c r="H1919">
        <v>1</v>
      </c>
      <c r="I1919" s="3">
        <v>37.450000000000003</v>
      </c>
      <c r="J1919" t="s">
        <v>16</v>
      </c>
      <c r="K1919" t="s">
        <v>40</v>
      </c>
      <c r="L1919" s="4">
        <f>Table4[[#This Row],[quantity]]*Table4[[#This Row],[unit_price]]</f>
        <v>37.450000000000003</v>
      </c>
      <c r="M1919">
        <f>COUNTIFS($C$2:$C$3934,Table4[[#This Row],[customer_id]])</f>
        <v>6</v>
      </c>
      <c r="N1919" t="str">
        <f>IF(Table4[[#This Row],[customer_order_count]]=1,"New Customer","Repeat Customer")</f>
        <v>Repeat Customer</v>
      </c>
    </row>
    <row r="1920" spans="1:14">
      <c r="A1920" t="s">
        <v>1870</v>
      </c>
      <c r="B1920" s="1">
        <v>44984</v>
      </c>
      <c r="C1920" t="s">
        <v>611</v>
      </c>
      <c r="D1920" t="s">
        <v>612</v>
      </c>
      <c r="E1920" t="s">
        <v>21</v>
      </c>
      <c r="F1920" t="s">
        <v>28</v>
      </c>
      <c r="G1920" t="s">
        <v>45</v>
      </c>
      <c r="H1920">
        <v>1</v>
      </c>
      <c r="I1920" s="3">
        <v>37.450000000000003</v>
      </c>
      <c r="J1920" t="s">
        <v>24</v>
      </c>
      <c r="K1920" t="s">
        <v>35</v>
      </c>
      <c r="L1920" s="4">
        <f>Table4[[#This Row],[quantity]]*Table4[[#This Row],[unit_price]]</f>
        <v>37.450000000000003</v>
      </c>
      <c r="M1920">
        <f>COUNTIFS($C$2:$C$3934,Table4[[#This Row],[customer_id]])</f>
        <v>6</v>
      </c>
      <c r="N1920" t="str">
        <f>IF(Table4[[#This Row],[customer_order_count]]=1,"New Customer","Repeat Customer")</f>
        <v>Repeat Customer</v>
      </c>
    </row>
    <row r="1921" spans="1:14">
      <c r="A1921" t="s">
        <v>4361</v>
      </c>
      <c r="B1921" s="1">
        <v>45020</v>
      </c>
      <c r="C1921" t="s">
        <v>1705</v>
      </c>
      <c r="D1921" t="s">
        <v>1706</v>
      </c>
      <c r="E1921" t="s">
        <v>44</v>
      </c>
      <c r="F1921" t="s">
        <v>28</v>
      </c>
      <c r="G1921" t="s">
        <v>114</v>
      </c>
      <c r="H1921">
        <v>3</v>
      </c>
      <c r="I1921" s="3">
        <v>37.450000000000003</v>
      </c>
      <c r="J1921" t="s">
        <v>16</v>
      </c>
      <c r="K1921" t="s">
        <v>17</v>
      </c>
      <c r="L1921" s="4">
        <f>Table4[[#This Row],[quantity]]*Table4[[#This Row],[unit_price]]</f>
        <v>112.35000000000001</v>
      </c>
      <c r="M1921">
        <f>COUNTIFS($C$2:$C$3934,Table4[[#This Row],[customer_id]])</f>
        <v>7</v>
      </c>
      <c r="N1921" t="str">
        <f>IF(Table4[[#This Row],[customer_order_count]]=1,"New Customer","Repeat Customer")</f>
        <v>Repeat Customer</v>
      </c>
    </row>
    <row r="1922" spans="1:14">
      <c r="A1922" t="s">
        <v>2115</v>
      </c>
      <c r="B1922" s="1">
        <v>45324</v>
      </c>
      <c r="C1922" t="s">
        <v>549</v>
      </c>
      <c r="D1922" t="s">
        <v>226</v>
      </c>
      <c r="E1922" t="s">
        <v>44</v>
      </c>
      <c r="F1922" t="s">
        <v>14</v>
      </c>
      <c r="G1922" t="s">
        <v>100</v>
      </c>
      <c r="H1922">
        <v>2</v>
      </c>
      <c r="I1922" s="3">
        <v>37.46</v>
      </c>
      <c r="J1922" t="s">
        <v>16</v>
      </c>
      <c r="K1922" s="2" t="s">
        <v>5256</v>
      </c>
      <c r="L1922" s="4">
        <f>Table4[[#This Row],[quantity]]*Table4[[#This Row],[unit_price]]</f>
        <v>74.92</v>
      </c>
      <c r="M1922">
        <f>COUNTIFS($C$2:$C$3934,Table4[[#This Row],[customer_id]])</f>
        <v>3</v>
      </c>
      <c r="N1922" t="str">
        <f>IF(Table4[[#This Row],[customer_order_count]]=1,"New Customer","Repeat Customer")</f>
        <v>Repeat Customer</v>
      </c>
    </row>
    <row r="1923" spans="1:14">
      <c r="A1923" t="s">
        <v>381</v>
      </c>
      <c r="B1923" s="1">
        <v>44953</v>
      </c>
      <c r="C1923" t="s">
        <v>382</v>
      </c>
      <c r="D1923" t="s">
        <v>383</v>
      </c>
      <c r="E1923" t="s">
        <v>21</v>
      </c>
      <c r="F1923" t="s">
        <v>28</v>
      </c>
      <c r="G1923" t="s">
        <v>45</v>
      </c>
      <c r="H1923">
        <v>1</v>
      </c>
      <c r="I1923" s="3">
        <v>37.47</v>
      </c>
      <c r="J1923" t="s">
        <v>255</v>
      </c>
      <c r="K1923" s="2" t="s">
        <v>5256</v>
      </c>
      <c r="L1923" s="4">
        <f>Table4[[#This Row],[quantity]]*Table4[[#This Row],[unit_price]]</f>
        <v>37.47</v>
      </c>
      <c r="M1923">
        <f>COUNTIFS($C$2:$C$3934,Table4[[#This Row],[customer_id]])</f>
        <v>6</v>
      </c>
      <c r="N1923" t="str">
        <f>IF(Table4[[#This Row],[customer_order_count]]=1,"New Customer","Repeat Customer")</f>
        <v>Repeat Customer</v>
      </c>
    </row>
    <row r="1924" spans="1:14">
      <c r="A1924" t="s">
        <v>4470</v>
      </c>
      <c r="B1924" s="1">
        <v>45483</v>
      </c>
      <c r="C1924" t="s">
        <v>611</v>
      </c>
      <c r="D1924" t="s">
        <v>612</v>
      </c>
      <c r="E1924" t="s">
        <v>21</v>
      </c>
      <c r="F1924" t="s">
        <v>14</v>
      </c>
      <c r="G1924" t="s">
        <v>258</v>
      </c>
      <c r="H1924">
        <v>2</v>
      </c>
      <c r="I1924" s="3">
        <v>37.47</v>
      </c>
      <c r="J1924" t="s">
        <v>255</v>
      </c>
      <c r="K1924" s="5" t="s">
        <v>40</v>
      </c>
      <c r="L1924" s="4">
        <f>Table4[[#This Row],[quantity]]*Table4[[#This Row],[unit_price]]</f>
        <v>74.94</v>
      </c>
      <c r="M1924">
        <f>COUNTIFS($C$2:$C$3934,Table4[[#This Row],[customer_id]])</f>
        <v>6</v>
      </c>
      <c r="N1924" t="str">
        <f>IF(Table4[[#This Row],[customer_order_count]]=1,"New Customer","Repeat Customer")</f>
        <v>Repeat Customer</v>
      </c>
    </row>
    <row r="1925" spans="1:14">
      <c r="A1925" t="s">
        <v>4792</v>
      </c>
      <c r="B1925" s="1">
        <v>45245</v>
      </c>
      <c r="C1925" t="s">
        <v>2952</v>
      </c>
      <c r="D1925" t="s">
        <v>2953</v>
      </c>
      <c r="E1925" t="s">
        <v>21</v>
      </c>
      <c r="F1925" t="s">
        <v>22</v>
      </c>
      <c r="G1925" t="s">
        <v>264</v>
      </c>
      <c r="H1925">
        <v>1</v>
      </c>
      <c r="I1925" s="3">
        <v>37.49</v>
      </c>
      <c r="J1925" t="s">
        <v>24</v>
      </c>
      <c r="K1925" t="s">
        <v>17</v>
      </c>
      <c r="L1925" s="4">
        <f>Table4[[#This Row],[quantity]]*Table4[[#This Row],[unit_price]]</f>
        <v>37.49</v>
      </c>
      <c r="M1925">
        <f>COUNTIFS($C$2:$C$3934,Table4[[#This Row],[customer_id]])</f>
        <v>4</v>
      </c>
      <c r="N1925" t="str">
        <f>IF(Table4[[#This Row],[customer_order_count]]=1,"New Customer","Repeat Customer")</f>
        <v>Repeat Customer</v>
      </c>
    </row>
    <row r="1926" spans="1:14">
      <c r="A1926" t="s">
        <v>3684</v>
      </c>
      <c r="B1926" s="1">
        <v>45136</v>
      </c>
      <c r="C1926" t="s">
        <v>1482</v>
      </c>
      <c r="D1926" t="s">
        <v>269</v>
      </c>
      <c r="E1926" t="s">
        <v>21</v>
      </c>
      <c r="F1926" t="s">
        <v>28</v>
      </c>
      <c r="G1926" t="s">
        <v>114</v>
      </c>
      <c r="H1926">
        <v>2</v>
      </c>
      <c r="I1926" s="3">
        <v>37.49</v>
      </c>
      <c r="J1926" t="s">
        <v>16</v>
      </c>
      <c r="K1926" t="s">
        <v>40</v>
      </c>
      <c r="L1926" s="4">
        <f>Table4[[#This Row],[quantity]]*Table4[[#This Row],[unit_price]]</f>
        <v>74.98</v>
      </c>
      <c r="M1926">
        <f>COUNTIFS($C$2:$C$3934,Table4[[#This Row],[customer_id]])</f>
        <v>6</v>
      </c>
      <c r="N1926" t="str">
        <f>IF(Table4[[#This Row],[customer_order_count]]=1,"New Customer","Repeat Customer")</f>
        <v>Repeat Customer</v>
      </c>
    </row>
    <row r="1927" spans="1:14">
      <c r="A1927" t="s">
        <v>3649</v>
      </c>
      <c r="B1927" s="1">
        <v>45221</v>
      </c>
      <c r="C1927" t="s">
        <v>346</v>
      </c>
      <c r="D1927" t="s">
        <v>347</v>
      </c>
      <c r="E1927" t="s">
        <v>21</v>
      </c>
      <c r="F1927" t="s">
        <v>70</v>
      </c>
      <c r="G1927" t="s">
        <v>337</v>
      </c>
      <c r="H1927">
        <v>3</v>
      </c>
      <c r="I1927" s="3">
        <v>37.49</v>
      </c>
      <c r="J1927" t="s">
        <v>16</v>
      </c>
      <c r="K1927" t="s">
        <v>40</v>
      </c>
      <c r="L1927" s="4">
        <f>Table4[[#This Row],[quantity]]*Table4[[#This Row],[unit_price]]</f>
        <v>112.47</v>
      </c>
      <c r="M1927">
        <f>COUNTIFS($C$2:$C$3934,Table4[[#This Row],[customer_id]])</f>
        <v>7</v>
      </c>
      <c r="N1927" t="str">
        <f>IF(Table4[[#This Row],[customer_order_count]]=1,"New Customer","Repeat Customer")</f>
        <v>Repeat Customer</v>
      </c>
    </row>
    <row r="1928" spans="1:14">
      <c r="A1928" t="s">
        <v>1773</v>
      </c>
      <c r="B1928" s="1">
        <v>45435</v>
      </c>
      <c r="C1928" t="s">
        <v>1774</v>
      </c>
      <c r="D1928" t="s">
        <v>1775</v>
      </c>
      <c r="E1928" t="s">
        <v>44</v>
      </c>
      <c r="F1928" t="s">
        <v>14</v>
      </c>
      <c r="G1928" t="s">
        <v>100</v>
      </c>
      <c r="H1928">
        <v>4</v>
      </c>
      <c r="I1928" s="3">
        <v>37.53</v>
      </c>
      <c r="J1928" t="s">
        <v>255</v>
      </c>
      <c r="K1928" t="s">
        <v>40</v>
      </c>
      <c r="L1928" s="4">
        <f>Table4[[#This Row],[quantity]]*Table4[[#This Row],[unit_price]]</f>
        <v>150.12</v>
      </c>
      <c r="M1928">
        <f>COUNTIFS($C$2:$C$3934,Table4[[#This Row],[customer_id]])</f>
        <v>3</v>
      </c>
      <c r="N1928" t="str">
        <f>IF(Table4[[#This Row],[customer_order_count]]=1,"New Customer","Repeat Customer")</f>
        <v>Repeat Customer</v>
      </c>
    </row>
    <row r="1929" spans="1:14">
      <c r="A1929" t="s">
        <v>3707</v>
      </c>
      <c r="B1929" s="1">
        <v>45412</v>
      </c>
      <c r="C1929" t="s">
        <v>1394</v>
      </c>
      <c r="D1929" t="s">
        <v>609</v>
      </c>
      <c r="E1929" t="s">
        <v>21</v>
      </c>
      <c r="F1929" t="s">
        <v>70</v>
      </c>
      <c r="G1929" t="s">
        <v>337</v>
      </c>
      <c r="H1929">
        <v>2</v>
      </c>
      <c r="I1929" s="3">
        <v>37.549999999999997</v>
      </c>
      <c r="J1929" t="s">
        <v>16</v>
      </c>
      <c r="K1929" t="s">
        <v>17</v>
      </c>
      <c r="L1929" s="4">
        <f>Table4[[#This Row],[quantity]]*Table4[[#This Row],[unit_price]]</f>
        <v>75.099999999999994</v>
      </c>
      <c r="M1929">
        <f>COUNTIFS($C$2:$C$3934,Table4[[#This Row],[customer_id]])</f>
        <v>5</v>
      </c>
      <c r="N1929" t="str">
        <f>IF(Table4[[#This Row],[customer_order_count]]=1,"New Customer","Repeat Customer")</f>
        <v>Repeat Customer</v>
      </c>
    </row>
    <row r="1930" spans="1:14">
      <c r="A1930" t="s">
        <v>3080</v>
      </c>
      <c r="B1930" s="1">
        <v>45168</v>
      </c>
      <c r="C1930" t="s">
        <v>1425</v>
      </c>
      <c r="D1930" t="s">
        <v>519</v>
      </c>
      <c r="E1930" t="s">
        <v>21</v>
      </c>
      <c r="F1930" t="s">
        <v>79</v>
      </c>
      <c r="G1930" t="s">
        <v>398</v>
      </c>
      <c r="H1930">
        <v>1</v>
      </c>
      <c r="I1930" s="3">
        <v>37.58</v>
      </c>
      <c r="J1930" t="s">
        <v>24</v>
      </c>
      <c r="K1930" t="s">
        <v>40</v>
      </c>
      <c r="L1930" s="4">
        <f>Table4[[#This Row],[quantity]]*Table4[[#This Row],[unit_price]]</f>
        <v>37.58</v>
      </c>
      <c r="M1930">
        <f>COUNTIFS($C$2:$C$3934,Table4[[#This Row],[customer_id]])</f>
        <v>5</v>
      </c>
      <c r="N1930" t="str">
        <f>IF(Table4[[#This Row],[customer_order_count]]=1,"New Customer","Repeat Customer")</f>
        <v>Repeat Customer</v>
      </c>
    </row>
    <row r="1931" spans="1:14">
      <c r="A1931" t="s">
        <v>4462</v>
      </c>
      <c r="B1931" s="1">
        <v>45206</v>
      </c>
      <c r="C1931" t="s">
        <v>2054</v>
      </c>
      <c r="D1931" t="s">
        <v>2055</v>
      </c>
      <c r="E1931" t="s">
        <v>21</v>
      </c>
      <c r="F1931" t="s">
        <v>22</v>
      </c>
      <c r="G1931" t="s">
        <v>264</v>
      </c>
      <c r="H1931">
        <v>1</v>
      </c>
      <c r="I1931" s="3">
        <v>37.619999999999997</v>
      </c>
      <c r="J1931" t="s">
        <v>24</v>
      </c>
      <c r="K1931" t="s">
        <v>30</v>
      </c>
      <c r="L1931" s="4">
        <f>Table4[[#This Row],[quantity]]*Table4[[#This Row],[unit_price]]</f>
        <v>37.619999999999997</v>
      </c>
      <c r="M1931">
        <f>COUNTIFS($C$2:$C$3934,Table4[[#This Row],[customer_id]])</f>
        <v>8</v>
      </c>
      <c r="N1931" t="str">
        <f>IF(Table4[[#This Row],[customer_order_count]]=1,"New Customer","Repeat Customer")</f>
        <v>Repeat Customer</v>
      </c>
    </row>
    <row r="1932" spans="1:14">
      <c r="A1932" t="s">
        <v>2090</v>
      </c>
      <c r="B1932" s="1">
        <v>45131</v>
      </c>
      <c r="C1932" t="s">
        <v>978</v>
      </c>
      <c r="D1932" t="s">
        <v>292</v>
      </c>
      <c r="E1932" t="s">
        <v>21</v>
      </c>
      <c r="F1932" t="s">
        <v>28</v>
      </c>
      <c r="G1932" t="s">
        <v>45</v>
      </c>
      <c r="H1932">
        <v>1</v>
      </c>
      <c r="I1932" s="3">
        <v>37.64</v>
      </c>
      <c r="J1932" t="s">
        <v>16</v>
      </c>
      <c r="K1932" t="s">
        <v>17</v>
      </c>
      <c r="L1932" s="4">
        <f>Table4[[#This Row],[quantity]]*Table4[[#This Row],[unit_price]]</f>
        <v>37.64</v>
      </c>
      <c r="M1932">
        <f>COUNTIFS($C$2:$C$3934,Table4[[#This Row],[customer_id]])</f>
        <v>9</v>
      </c>
      <c r="N1932" t="str">
        <f>IF(Table4[[#This Row],[customer_order_count]]=1,"New Customer","Repeat Customer")</f>
        <v>Repeat Customer</v>
      </c>
    </row>
    <row r="1933" spans="1:14">
      <c r="A1933" t="s">
        <v>4262</v>
      </c>
      <c r="B1933" s="1">
        <v>45582</v>
      </c>
      <c r="C1933" t="s">
        <v>2444</v>
      </c>
      <c r="D1933" t="s">
        <v>1057</v>
      </c>
      <c r="E1933" t="s">
        <v>21</v>
      </c>
      <c r="F1933" t="s">
        <v>70</v>
      </c>
      <c r="G1933" t="s">
        <v>170</v>
      </c>
      <c r="H1933">
        <v>1</v>
      </c>
      <c r="I1933" s="3">
        <v>37.69</v>
      </c>
      <c r="J1933" t="s">
        <v>16</v>
      </c>
      <c r="K1933" t="s">
        <v>17</v>
      </c>
      <c r="L1933" s="4">
        <f>Table4[[#This Row],[quantity]]*Table4[[#This Row],[unit_price]]</f>
        <v>37.69</v>
      </c>
      <c r="M1933">
        <f>COUNTIFS($C$2:$C$3934,Table4[[#This Row],[customer_id]])</f>
        <v>4</v>
      </c>
      <c r="N1933" t="str">
        <f>IF(Table4[[#This Row],[customer_order_count]]=1,"New Customer","Repeat Customer")</f>
        <v>Repeat Customer</v>
      </c>
    </row>
    <row r="1934" spans="1:14">
      <c r="A1934" t="s">
        <v>1721</v>
      </c>
      <c r="B1934" s="1">
        <v>45335</v>
      </c>
      <c r="C1934" t="s">
        <v>1722</v>
      </c>
      <c r="D1934" t="s">
        <v>138</v>
      </c>
      <c r="E1934" t="s">
        <v>21</v>
      </c>
      <c r="F1934" t="s">
        <v>70</v>
      </c>
      <c r="G1934" t="s">
        <v>71</v>
      </c>
      <c r="H1934">
        <v>1</v>
      </c>
      <c r="I1934" s="3">
        <v>37.700000000000003</v>
      </c>
      <c r="J1934" t="s">
        <v>16</v>
      </c>
      <c r="K1934" t="s">
        <v>17</v>
      </c>
      <c r="L1934" s="4">
        <f>Table4[[#This Row],[quantity]]*Table4[[#This Row],[unit_price]]</f>
        <v>37.700000000000003</v>
      </c>
      <c r="M1934">
        <f>COUNTIFS($C$2:$C$3934,Table4[[#This Row],[customer_id]])</f>
        <v>4</v>
      </c>
      <c r="N1934" t="str">
        <f>IF(Table4[[#This Row],[customer_order_count]]=1,"New Customer","Repeat Customer")</f>
        <v>Repeat Customer</v>
      </c>
    </row>
    <row r="1935" spans="1:14">
      <c r="A1935" t="s">
        <v>4472</v>
      </c>
      <c r="B1935" s="1">
        <v>45529</v>
      </c>
      <c r="C1935" t="s">
        <v>1815</v>
      </c>
      <c r="D1935" t="s">
        <v>684</v>
      </c>
      <c r="E1935" t="s">
        <v>21</v>
      </c>
      <c r="F1935" t="s">
        <v>56</v>
      </c>
      <c r="G1935" t="s">
        <v>57</v>
      </c>
      <c r="H1935">
        <v>1</v>
      </c>
      <c r="I1935" s="3">
        <v>37.700000000000003</v>
      </c>
      <c r="J1935" t="s">
        <v>16</v>
      </c>
      <c r="K1935" t="s">
        <v>17</v>
      </c>
      <c r="L1935" s="4">
        <f>Table4[[#This Row],[quantity]]*Table4[[#This Row],[unit_price]]</f>
        <v>37.700000000000003</v>
      </c>
      <c r="M1935">
        <f>COUNTIFS($C$2:$C$3934,Table4[[#This Row],[customer_id]])</f>
        <v>8</v>
      </c>
      <c r="N1935" t="str">
        <f>IF(Table4[[#This Row],[customer_order_count]]=1,"New Customer","Repeat Customer")</f>
        <v>Repeat Customer</v>
      </c>
    </row>
    <row r="1936" spans="1:14">
      <c r="A1936" t="s">
        <v>3325</v>
      </c>
      <c r="B1936" s="1">
        <v>45396</v>
      </c>
      <c r="C1936" t="s">
        <v>1056</v>
      </c>
      <c r="D1936" t="s">
        <v>1057</v>
      </c>
      <c r="E1936" t="s">
        <v>44</v>
      </c>
      <c r="F1936" t="s">
        <v>22</v>
      </c>
      <c r="G1936" t="s">
        <v>264</v>
      </c>
      <c r="H1936">
        <v>1</v>
      </c>
      <c r="I1936" s="3">
        <v>37.71</v>
      </c>
      <c r="J1936" t="s">
        <v>16</v>
      </c>
      <c r="K1936" t="s">
        <v>40</v>
      </c>
      <c r="L1936" s="4">
        <f>Table4[[#This Row],[quantity]]*Table4[[#This Row],[unit_price]]</f>
        <v>37.71</v>
      </c>
      <c r="M1936">
        <f>COUNTIFS($C$2:$C$3934,Table4[[#This Row],[customer_id]])</f>
        <v>4</v>
      </c>
      <c r="N1936" t="str">
        <f>IF(Table4[[#This Row],[customer_order_count]]=1,"New Customer","Repeat Customer")</f>
        <v>Repeat Customer</v>
      </c>
    </row>
    <row r="1937" spans="1:14">
      <c r="A1937" t="s">
        <v>4924</v>
      </c>
      <c r="B1937" s="1">
        <v>45019</v>
      </c>
      <c r="C1937" t="s">
        <v>486</v>
      </c>
      <c r="D1937" t="s">
        <v>173</v>
      </c>
      <c r="E1937" t="s">
        <v>21</v>
      </c>
      <c r="F1937" t="s">
        <v>56</v>
      </c>
      <c r="G1937" t="s">
        <v>75</v>
      </c>
      <c r="H1937">
        <v>1</v>
      </c>
      <c r="I1937" s="3">
        <v>37.74</v>
      </c>
      <c r="J1937" t="s">
        <v>16</v>
      </c>
      <c r="K1937" t="s">
        <v>17</v>
      </c>
      <c r="L1937" s="4">
        <f>Table4[[#This Row],[quantity]]*Table4[[#This Row],[unit_price]]</f>
        <v>37.74</v>
      </c>
      <c r="M1937">
        <f>COUNTIFS($C$2:$C$3934,Table4[[#This Row],[customer_id]])</f>
        <v>4</v>
      </c>
      <c r="N1937" t="str">
        <f>IF(Table4[[#This Row],[customer_order_count]]=1,"New Customer","Repeat Customer")</f>
        <v>Repeat Customer</v>
      </c>
    </row>
    <row r="1938" spans="1:14">
      <c r="A1938" t="s">
        <v>4426</v>
      </c>
      <c r="B1938" s="1">
        <v>45425</v>
      </c>
      <c r="C1938" t="s">
        <v>1240</v>
      </c>
      <c r="D1938" t="s">
        <v>1241</v>
      </c>
      <c r="E1938" t="s">
        <v>21</v>
      </c>
      <c r="F1938" t="s">
        <v>79</v>
      </c>
      <c r="G1938" t="s">
        <v>204</v>
      </c>
      <c r="H1938">
        <v>2</v>
      </c>
      <c r="I1938" s="3">
        <v>37.79</v>
      </c>
      <c r="J1938" t="s">
        <v>16</v>
      </c>
      <c r="K1938" t="s">
        <v>30</v>
      </c>
      <c r="L1938" s="4">
        <f>Table4[[#This Row],[quantity]]*Table4[[#This Row],[unit_price]]</f>
        <v>75.58</v>
      </c>
      <c r="M1938">
        <f>COUNTIFS($C$2:$C$3934,Table4[[#This Row],[customer_id]])</f>
        <v>12</v>
      </c>
      <c r="N1938" t="str">
        <f>IF(Table4[[#This Row],[customer_order_count]]=1,"New Customer","Repeat Customer")</f>
        <v>Repeat Customer</v>
      </c>
    </row>
    <row r="1939" spans="1:14">
      <c r="A1939" t="s">
        <v>3569</v>
      </c>
      <c r="B1939" s="1">
        <v>45407</v>
      </c>
      <c r="C1939" t="s">
        <v>893</v>
      </c>
      <c r="D1939" t="s">
        <v>659</v>
      </c>
      <c r="E1939" t="s">
        <v>21</v>
      </c>
      <c r="F1939" t="s">
        <v>22</v>
      </c>
      <c r="G1939" t="s">
        <v>162</v>
      </c>
      <c r="H1939">
        <v>1</v>
      </c>
      <c r="I1939" s="3">
        <v>37.82</v>
      </c>
      <c r="J1939" t="s">
        <v>16</v>
      </c>
      <c r="K1939" t="s">
        <v>30</v>
      </c>
      <c r="L1939" s="4">
        <f>Table4[[#This Row],[quantity]]*Table4[[#This Row],[unit_price]]</f>
        <v>37.82</v>
      </c>
      <c r="M1939">
        <f>COUNTIFS($C$2:$C$3934,Table4[[#This Row],[customer_id]])</f>
        <v>12</v>
      </c>
      <c r="N1939" t="str">
        <f>IF(Table4[[#This Row],[customer_order_count]]=1,"New Customer","Repeat Customer")</f>
        <v>Repeat Customer</v>
      </c>
    </row>
    <row r="1940" spans="1:14">
      <c r="A1940" t="s">
        <v>3424</v>
      </c>
      <c r="B1940" s="1">
        <v>45019</v>
      </c>
      <c r="C1940" t="s">
        <v>346</v>
      </c>
      <c r="D1940" t="s">
        <v>347</v>
      </c>
      <c r="E1940" t="s">
        <v>21</v>
      </c>
      <c r="F1940" t="s">
        <v>22</v>
      </c>
      <c r="G1940" t="s">
        <v>135</v>
      </c>
      <c r="H1940">
        <v>1</v>
      </c>
      <c r="I1940" s="3">
        <v>37.83</v>
      </c>
      <c r="J1940" t="s">
        <v>24</v>
      </c>
      <c r="K1940" t="s">
        <v>17</v>
      </c>
      <c r="L1940" s="4">
        <f>Table4[[#This Row],[quantity]]*Table4[[#This Row],[unit_price]]</f>
        <v>37.83</v>
      </c>
      <c r="M1940">
        <f>COUNTIFS($C$2:$C$3934,Table4[[#This Row],[customer_id]])</f>
        <v>7</v>
      </c>
      <c r="N1940" t="str">
        <f>IF(Table4[[#This Row],[customer_order_count]]=1,"New Customer","Repeat Customer")</f>
        <v>Repeat Customer</v>
      </c>
    </row>
    <row r="1941" spans="1:14">
      <c r="A1941" t="s">
        <v>4650</v>
      </c>
      <c r="B1941" s="1">
        <v>45563</v>
      </c>
      <c r="C1941" t="s">
        <v>285</v>
      </c>
      <c r="D1941" t="s">
        <v>286</v>
      </c>
      <c r="E1941" t="s">
        <v>21</v>
      </c>
      <c r="F1941" t="s">
        <v>22</v>
      </c>
      <c r="G1941" t="s">
        <v>264</v>
      </c>
      <c r="H1941">
        <v>1</v>
      </c>
      <c r="I1941" s="3">
        <v>37.840000000000003</v>
      </c>
      <c r="J1941" t="s">
        <v>16</v>
      </c>
      <c r="K1941" t="s">
        <v>35</v>
      </c>
      <c r="L1941" s="4">
        <f>Table4[[#This Row],[quantity]]*Table4[[#This Row],[unit_price]]</f>
        <v>37.840000000000003</v>
      </c>
      <c r="M1941">
        <f>COUNTIFS($C$2:$C$3934,Table4[[#This Row],[customer_id]])</f>
        <v>9</v>
      </c>
      <c r="N1941" t="str">
        <f>IF(Table4[[#This Row],[customer_order_count]]=1,"New Customer","Repeat Customer")</f>
        <v>Repeat Customer</v>
      </c>
    </row>
    <row r="1942" spans="1:14">
      <c r="A1942" t="s">
        <v>5042</v>
      </c>
      <c r="B1942" s="1">
        <v>45519</v>
      </c>
      <c r="C1942" t="s">
        <v>1480</v>
      </c>
      <c r="D1942" t="s">
        <v>750</v>
      </c>
      <c r="E1942" t="s">
        <v>44</v>
      </c>
      <c r="F1942" t="s">
        <v>70</v>
      </c>
      <c r="G1942" t="s">
        <v>526</v>
      </c>
      <c r="H1942">
        <v>1</v>
      </c>
      <c r="I1942" s="3">
        <v>37.85</v>
      </c>
      <c r="J1942" t="s">
        <v>16</v>
      </c>
      <c r="K1942" t="s">
        <v>35</v>
      </c>
      <c r="L1942" s="4">
        <f>Table4[[#This Row],[quantity]]*Table4[[#This Row],[unit_price]]</f>
        <v>37.85</v>
      </c>
      <c r="M1942">
        <f>COUNTIFS($C$2:$C$3934,Table4[[#This Row],[customer_id]])</f>
        <v>4</v>
      </c>
      <c r="N1942" t="str">
        <f>IF(Table4[[#This Row],[customer_order_count]]=1,"New Customer","Repeat Customer")</f>
        <v>Repeat Customer</v>
      </c>
    </row>
    <row r="1943" spans="1:14">
      <c r="A1943" t="s">
        <v>2803</v>
      </c>
      <c r="B1943" s="1">
        <v>45364</v>
      </c>
      <c r="C1943" t="s">
        <v>1298</v>
      </c>
      <c r="D1943" t="s">
        <v>48</v>
      </c>
      <c r="E1943" t="s">
        <v>21</v>
      </c>
      <c r="F1943" t="s">
        <v>22</v>
      </c>
      <c r="G1943" t="s">
        <v>135</v>
      </c>
      <c r="H1943">
        <v>2</v>
      </c>
      <c r="I1943" s="3">
        <v>37.85</v>
      </c>
      <c r="J1943" t="s">
        <v>85</v>
      </c>
      <c r="K1943" t="s">
        <v>35</v>
      </c>
      <c r="L1943" s="4">
        <f>Table4[[#This Row],[quantity]]*Table4[[#This Row],[unit_price]]</f>
        <v>75.7</v>
      </c>
      <c r="M1943">
        <f>COUNTIFS($C$2:$C$3934,Table4[[#This Row],[customer_id]])</f>
        <v>10</v>
      </c>
      <c r="N1943" t="str">
        <f>IF(Table4[[#This Row],[customer_order_count]]=1,"New Customer","Repeat Customer")</f>
        <v>Repeat Customer</v>
      </c>
    </row>
    <row r="1944" spans="1:14">
      <c r="A1944" t="s">
        <v>2772</v>
      </c>
      <c r="B1944" s="1">
        <v>45576</v>
      </c>
      <c r="C1944" t="s">
        <v>680</v>
      </c>
      <c r="D1944" t="s">
        <v>681</v>
      </c>
      <c r="E1944" t="s">
        <v>21</v>
      </c>
      <c r="F1944" t="s">
        <v>28</v>
      </c>
      <c r="G1944" t="s">
        <v>45</v>
      </c>
      <c r="H1944">
        <v>1</v>
      </c>
      <c r="I1944" s="3">
        <v>37.86</v>
      </c>
      <c r="J1944" t="s">
        <v>16</v>
      </c>
      <c r="K1944" t="s">
        <v>17</v>
      </c>
      <c r="L1944" s="4">
        <f>Table4[[#This Row],[quantity]]*Table4[[#This Row],[unit_price]]</f>
        <v>37.86</v>
      </c>
      <c r="M1944">
        <f>COUNTIFS($C$2:$C$3934,Table4[[#This Row],[customer_id]])</f>
        <v>11</v>
      </c>
      <c r="N1944" t="str">
        <f>IF(Table4[[#This Row],[customer_order_count]]=1,"New Customer","Repeat Customer")</f>
        <v>Repeat Customer</v>
      </c>
    </row>
    <row r="1945" spans="1:14">
      <c r="A1945" t="s">
        <v>3401</v>
      </c>
      <c r="B1945" s="1">
        <v>44951</v>
      </c>
      <c r="C1945" t="s">
        <v>3402</v>
      </c>
      <c r="D1945" t="s">
        <v>646</v>
      </c>
      <c r="E1945" t="s">
        <v>21</v>
      </c>
      <c r="F1945" t="s">
        <v>14</v>
      </c>
      <c r="G1945" t="s">
        <v>258</v>
      </c>
      <c r="H1945">
        <v>2</v>
      </c>
      <c r="I1945" s="3">
        <v>37.86</v>
      </c>
      <c r="J1945" t="s">
        <v>16</v>
      </c>
      <c r="K1945" t="s">
        <v>35</v>
      </c>
      <c r="L1945" s="4">
        <f>Table4[[#This Row],[quantity]]*Table4[[#This Row],[unit_price]]</f>
        <v>75.72</v>
      </c>
      <c r="M1945">
        <f>COUNTIFS($C$2:$C$3934,Table4[[#This Row],[customer_id]])</f>
        <v>2</v>
      </c>
      <c r="N1945" t="str">
        <f>IF(Table4[[#This Row],[customer_order_count]]=1,"New Customer","Repeat Customer")</f>
        <v>Repeat Customer</v>
      </c>
    </row>
    <row r="1946" spans="1:14">
      <c r="A1946" t="s">
        <v>3271</v>
      </c>
      <c r="B1946" s="1">
        <v>45297</v>
      </c>
      <c r="C1946" t="s">
        <v>3224</v>
      </c>
      <c r="D1946" t="s">
        <v>3225</v>
      </c>
      <c r="E1946" t="s">
        <v>44</v>
      </c>
      <c r="F1946" t="s">
        <v>70</v>
      </c>
      <c r="G1946" t="s">
        <v>71</v>
      </c>
      <c r="H1946">
        <v>1</v>
      </c>
      <c r="I1946" s="3">
        <v>37.869999999999997</v>
      </c>
      <c r="J1946" t="s">
        <v>16</v>
      </c>
      <c r="K1946" t="s">
        <v>35</v>
      </c>
      <c r="L1946" s="4">
        <f>Table4[[#This Row],[quantity]]*Table4[[#This Row],[unit_price]]</f>
        <v>37.869999999999997</v>
      </c>
      <c r="M1946">
        <f>COUNTIFS($C$2:$C$3934,Table4[[#This Row],[customer_id]])</f>
        <v>2</v>
      </c>
      <c r="N1946" t="str">
        <f>IF(Table4[[#This Row],[customer_order_count]]=1,"New Customer","Repeat Customer")</f>
        <v>Repeat Customer</v>
      </c>
    </row>
    <row r="1947" spans="1:14">
      <c r="A1947" t="s">
        <v>3368</v>
      </c>
      <c r="B1947" s="1">
        <v>45623</v>
      </c>
      <c r="C1947" t="s">
        <v>2899</v>
      </c>
      <c r="D1947" t="s">
        <v>650</v>
      </c>
      <c r="E1947" t="s">
        <v>61</v>
      </c>
      <c r="F1947" t="s">
        <v>28</v>
      </c>
      <c r="G1947" t="s">
        <v>139</v>
      </c>
      <c r="H1947">
        <v>1</v>
      </c>
      <c r="I1947" s="3">
        <v>37.880000000000003</v>
      </c>
      <c r="J1947" t="s">
        <v>85</v>
      </c>
      <c r="K1947" t="s">
        <v>35</v>
      </c>
      <c r="L1947" s="4">
        <f>Table4[[#This Row],[quantity]]*Table4[[#This Row],[unit_price]]</f>
        <v>37.880000000000003</v>
      </c>
      <c r="M1947">
        <f>COUNTIFS($C$2:$C$3934,Table4[[#This Row],[customer_id]])</f>
        <v>3</v>
      </c>
      <c r="N1947" t="str">
        <f>IF(Table4[[#This Row],[customer_order_count]]=1,"New Customer","Repeat Customer")</f>
        <v>Repeat Customer</v>
      </c>
    </row>
    <row r="1948" spans="1:14">
      <c r="A1948" t="s">
        <v>4404</v>
      </c>
      <c r="B1948" s="1">
        <v>45521</v>
      </c>
      <c r="C1948" t="s">
        <v>4344</v>
      </c>
      <c r="D1948" t="s">
        <v>4345</v>
      </c>
      <c r="E1948" t="s">
        <v>61</v>
      </c>
      <c r="F1948" t="s">
        <v>22</v>
      </c>
      <c r="G1948" t="s">
        <v>23</v>
      </c>
      <c r="H1948">
        <v>1</v>
      </c>
      <c r="I1948" s="3">
        <v>37.880000000000003</v>
      </c>
      <c r="J1948" t="s">
        <v>16</v>
      </c>
      <c r="K1948" t="s">
        <v>35</v>
      </c>
      <c r="L1948" s="4">
        <f>Table4[[#This Row],[quantity]]*Table4[[#This Row],[unit_price]]</f>
        <v>37.880000000000003</v>
      </c>
      <c r="M1948">
        <f>COUNTIFS($C$2:$C$3934,Table4[[#This Row],[customer_id]])</f>
        <v>2</v>
      </c>
      <c r="N1948" t="str">
        <f>IF(Table4[[#This Row],[customer_order_count]]=1,"New Customer","Repeat Customer")</f>
        <v>Repeat Customer</v>
      </c>
    </row>
    <row r="1949" spans="1:14">
      <c r="A1949" t="s">
        <v>2671</v>
      </c>
      <c r="B1949" s="1">
        <v>45325</v>
      </c>
      <c r="C1949" t="s">
        <v>518</v>
      </c>
      <c r="D1949" t="s">
        <v>519</v>
      </c>
      <c r="E1949" t="s">
        <v>21</v>
      </c>
      <c r="F1949" t="s">
        <v>22</v>
      </c>
      <c r="G1949" t="s">
        <v>135</v>
      </c>
      <c r="H1949">
        <v>1</v>
      </c>
      <c r="I1949" s="3">
        <v>37.89</v>
      </c>
      <c r="J1949" t="s">
        <v>16</v>
      </c>
      <c r="K1949" t="s">
        <v>17</v>
      </c>
      <c r="L1949" s="4">
        <f>Table4[[#This Row],[quantity]]*Table4[[#This Row],[unit_price]]</f>
        <v>37.89</v>
      </c>
      <c r="M1949">
        <f>COUNTIFS($C$2:$C$3934,Table4[[#This Row],[customer_id]])</f>
        <v>7</v>
      </c>
      <c r="N1949" t="str">
        <f>IF(Table4[[#This Row],[customer_order_count]]=1,"New Customer","Repeat Customer")</f>
        <v>Repeat Customer</v>
      </c>
    </row>
    <row r="1950" spans="1:14">
      <c r="A1950" t="s">
        <v>410</v>
      </c>
      <c r="B1950" s="1">
        <v>45282</v>
      </c>
      <c r="C1950" t="s">
        <v>382</v>
      </c>
      <c r="D1950" t="s">
        <v>383</v>
      </c>
      <c r="E1950" t="s">
        <v>21</v>
      </c>
      <c r="F1950" t="s">
        <v>28</v>
      </c>
      <c r="G1950" t="s">
        <v>45</v>
      </c>
      <c r="H1950">
        <v>5</v>
      </c>
      <c r="I1950" s="3">
        <v>37.89</v>
      </c>
      <c r="J1950" t="s">
        <v>16</v>
      </c>
      <c r="K1950" t="s">
        <v>40</v>
      </c>
      <c r="L1950" s="4">
        <f>Table4[[#This Row],[quantity]]*Table4[[#This Row],[unit_price]]</f>
        <v>189.45</v>
      </c>
      <c r="M1950">
        <f>COUNTIFS($C$2:$C$3934,Table4[[#This Row],[customer_id]])</f>
        <v>6</v>
      </c>
      <c r="N1950" t="str">
        <f>IF(Table4[[#This Row],[customer_order_count]]=1,"New Customer","Repeat Customer")</f>
        <v>Repeat Customer</v>
      </c>
    </row>
    <row r="1951" spans="1:14">
      <c r="A1951" t="s">
        <v>4031</v>
      </c>
      <c r="B1951" s="1">
        <v>45263</v>
      </c>
      <c r="C1951" t="s">
        <v>1240</v>
      </c>
      <c r="D1951" t="s">
        <v>1241</v>
      </c>
      <c r="E1951" t="s">
        <v>21</v>
      </c>
      <c r="F1951" t="s">
        <v>28</v>
      </c>
      <c r="G1951" t="s">
        <v>29</v>
      </c>
      <c r="H1951">
        <v>1</v>
      </c>
      <c r="I1951" s="3">
        <v>37.9</v>
      </c>
      <c r="J1951" t="s">
        <v>16</v>
      </c>
      <c r="K1951" t="s">
        <v>30</v>
      </c>
      <c r="L1951" s="4">
        <f>Table4[[#This Row],[quantity]]*Table4[[#This Row],[unit_price]]</f>
        <v>37.9</v>
      </c>
      <c r="M1951">
        <f>COUNTIFS($C$2:$C$3934,Table4[[#This Row],[customer_id]])</f>
        <v>12</v>
      </c>
      <c r="N1951" t="str">
        <f>IF(Table4[[#This Row],[customer_order_count]]=1,"New Customer","Repeat Customer")</f>
        <v>Repeat Customer</v>
      </c>
    </row>
    <row r="1952" spans="1:14">
      <c r="A1952" t="s">
        <v>3117</v>
      </c>
      <c r="B1952" s="1">
        <v>45213</v>
      </c>
      <c r="C1952" t="s">
        <v>768</v>
      </c>
      <c r="D1952" t="s">
        <v>769</v>
      </c>
      <c r="E1952" t="s">
        <v>21</v>
      </c>
      <c r="F1952" t="s">
        <v>14</v>
      </c>
      <c r="G1952" t="s">
        <v>100</v>
      </c>
      <c r="H1952">
        <v>2</v>
      </c>
      <c r="I1952" s="3">
        <v>37.9</v>
      </c>
      <c r="J1952" t="s">
        <v>16</v>
      </c>
      <c r="K1952" t="s">
        <v>35</v>
      </c>
      <c r="L1952" s="4">
        <f>Table4[[#This Row],[quantity]]*Table4[[#This Row],[unit_price]]</f>
        <v>75.8</v>
      </c>
      <c r="M1952">
        <f>COUNTIFS($C$2:$C$3934,Table4[[#This Row],[customer_id]])</f>
        <v>4</v>
      </c>
      <c r="N1952" t="str">
        <f>IF(Table4[[#This Row],[customer_order_count]]=1,"New Customer","Repeat Customer")</f>
        <v>Repeat Customer</v>
      </c>
    </row>
    <row r="1953" spans="1:14">
      <c r="A1953" t="s">
        <v>5240</v>
      </c>
      <c r="B1953" s="1">
        <v>45329</v>
      </c>
      <c r="C1953" t="s">
        <v>2331</v>
      </c>
      <c r="D1953" t="s">
        <v>165</v>
      </c>
      <c r="E1953" t="s">
        <v>21</v>
      </c>
      <c r="F1953" t="s">
        <v>56</v>
      </c>
      <c r="G1953" t="s">
        <v>254</v>
      </c>
      <c r="H1953">
        <v>2</v>
      </c>
      <c r="I1953" s="3">
        <v>37.909999999999997</v>
      </c>
      <c r="J1953" t="s">
        <v>16</v>
      </c>
      <c r="K1953" t="s">
        <v>17</v>
      </c>
      <c r="L1953" s="4">
        <f>Table4[[#This Row],[quantity]]*Table4[[#This Row],[unit_price]]</f>
        <v>75.819999999999993</v>
      </c>
      <c r="M1953">
        <f>COUNTIFS($C$2:$C$3934,Table4[[#This Row],[customer_id]])</f>
        <v>5</v>
      </c>
      <c r="N1953" t="str">
        <f>IF(Table4[[#This Row],[customer_order_count]]=1,"New Customer","Repeat Customer")</f>
        <v>Repeat Customer</v>
      </c>
    </row>
    <row r="1954" spans="1:14">
      <c r="A1954" t="s">
        <v>1643</v>
      </c>
      <c r="B1954" s="1">
        <v>45416</v>
      </c>
      <c r="C1954" t="s">
        <v>1447</v>
      </c>
      <c r="D1954" t="s">
        <v>55</v>
      </c>
      <c r="E1954" t="s">
        <v>21</v>
      </c>
      <c r="F1954" t="s">
        <v>28</v>
      </c>
      <c r="G1954" t="s">
        <v>45</v>
      </c>
      <c r="H1954">
        <v>4</v>
      </c>
      <c r="I1954" s="3">
        <v>37.94</v>
      </c>
      <c r="J1954" t="s">
        <v>16</v>
      </c>
      <c r="K1954" t="s">
        <v>30</v>
      </c>
      <c r="L1954" s="4">
        <f>Table4[[#This Row],[quantity]]*Table4[[#This Row],[unit_price]]</f>
        <v>151.76</v>
      </c>
      <c r="M1954">
        <f>COUNTIFS($C$2:$C$3934,Table4[[#This Row],[customer_id]])</f>
        <v>7</v>
      </c>
      <c r="N1954" t="str">
        <f>IF(Table4[[#This Row],[customer_order_count]]=1,"New Customer","Repeat Customer")</f>
        <v>Repeat Customer</v>
      </c>
    </row>
    <row r="1955" spans="1:14">
      <c r="A1955" t="s">
        <v>3079</v>
      </c>
      <c r="B1955" s="1">
        <v>45396</v>
      </c>
      <c r="C1955" t="s">
        <v>1918</v>
      </c>
      <c r="D1955" t="s">
        <v>229</v>
      </c>
      <c r="E1955" t="s">
        <v>21</v>
      </c>
      <c r="F1955" t="s">
        <v>22</v>
      </c>
      <c r="G1955" t="s">
        <v>142</v>
      </c>
      <c r="H1955">
        <v>1</v>
      </c>
      <c r="I1955" s="3">
        <v>38.020000000000003</v>
      </c>
      <c r="J1955" t="s">
        <v>16</v>
      </c>
      <c r="K1955" t="s">
        <v>35</v>
      </c>
      <c r="L1955" s="4">
        <f>Table4[[#This Row],[quantity]]*Table4[[#This Row],[unit_price]]</f>
        <v>38.020000000000003</v>
      </c>
      <c r="M1955">
        <f>COUNTIFS($C$2:$C$3934,Table4[[#This Row],[customer_id]])</f>
        <v>3</v>
      </c>
      <c r="N1955" t="str">
        <f>IF(Table4[[#This Row],[customer_order_count]]=1,"New Customer","Repeat Customer")</f>
        <v>Repeat Customer</v>
      </c>
    </row>
    <row r="1956" spans="1:14">
      <c r="A1956" t="s">
        <v>389</v>
      </c>
      <c r="B1956" s="1">
        <v>45218</v>
      </c>
      <c r="C1956" t="s">
        <v>390</v>
      </c>
      <c r="D1956" t="s">
        <v>391</v>
      </c>
      <c r="E1956" t="s">
        <v>21</v>
      </c>
      <c r="F1956" t="s">
        <v>22</v>
      </c>
      <c r="G1956" t="s">
        <v>162</v>
      </c>
      <c r="H1956">
        <v>2</v>
      </c>
      <c r="I1956" s="3">
        <v>38.020000000000003</v>
      </c>
      <c r="J1956" t="s">
        <v>24</v>
      </c>
      <c r="K1956" t="s">
        <v>30</v>
      </c>
      <c r="L1956" s="4">
        <f>Table4[[#This Row],[quantity]]*Table4[[#This Row],[unit_price]]</f>
        <v>76.040000000000006</v>
      </c>
      <c r="M1956">
        <f>COUNTIFS($C$2:$C$3934,Table4[[#This Row],[customer_id]])</f>
        <v>4</v>
      </c>
      <c r="N1956" t="str">
        <f>IF(Table4[[#This Row],[customer_order_count]]=1,"New Customer","Repeat Customer")</f>
        <v>Repeat Customer</v>
      </c>
    </row>
    <row r="1957" spans="1:14">
      <c r="A1957" t="s">
        <v>4077</v>
      </c>
      <c r="B1957" s="1">
        <v>44933</v>
      </c>
      <c r="C1957" t="s">
        <v>663</v>
      </c>
      <c r="D1957" t="s">
        <v>48</v>
      </c>
      <c r="E1957" t="s">
        <v>21</v>
      </c>
      <c r="F1957" t="s">
        <v>22</v>
      </c>
      <c r="G1957" t="s">
        <v>162</v>
      </c>
      <c r="H1957">
        <v>2</v>
      </c>
      <c r="I1957" s="3">
        <v>38.03</v>
      </c>
      <c r="J1957" t="s">
        <v>16</v>
      </c>
      <c r="K1957" t="s">
        <v>40</v>
      </c>
      <c r="L1957" s="4">
        <f>Table4[[#This Row],[quantity]]*Table4[[#This Row],[unit_price]]</f>
        <v>76.06</v>
      </c>
      <c r="M1957">
        <f>COUNTIFS($C$2:$C$3934,Table4[[#This Row],[customer_id]])</f>
        <v>9</v>
      </c>
      <c r="N1957" t="str">
        <f>IF(Table4[[#This Row],[customer_order_count]]=1,"New Customer","Repeat Customer")</f>
        <v>Repeat Customer</v>
      </c>
    </row>
    <row r="1958" spans="1:14">
      <c r="A1958" t="s">
        <v>4287</v>
      </c>
      <c r="B1958" s="1">
        <v>45246</v>
      </c>
      <c r="C1958" t="s">
        <v>3122</v>
      </c>
      <c r="D1958" t="s">
        <v>1832</v>
      </c>
      <c r="E1958" t="s">
        <v>61</v>
      </c>
      <c r="F1958" t="s">
        <v>79</v>
      </c>
      <c r="G1958" t="s">
        <v>96</v>
      </c>
      <c r="H1958">
        <v>3</v>
      </c>
      <c r="I1958" s="3">
        <v>38.03</v>
      </c>
      <c r="J1958" t="s">
        <v>16</v>
      </c>
      <c r="K1958" t="s">
        <v>30</v>
      </c>
      <c r="L1958" s="4">
        <f>Table4[[#This Row],[quantity]]*Table4[[#This Row],[unit_price]]</f>
        <v>114.09</v>
      </c>
      <c r="M1958">
        <f>COUNTIFS($C$2:$C$3934,Table4[[#This Row],[customer_id]])</f>
        <v>4</v>
      </c>
      <c r="N1958" t="str">
        <f>IF(Table4[[#This Row],[customer_order_count]]=1,"New Customer","Repeat Customer")</f>
        <v>Repeat Customer</v>
      </c>
    </row>
    <row r="1959" spans="1:14">
      <c r="A1959" t="s">
        <v>4386</v>
      </c>
      <c r="B1959" s="1">
        <v>45370</v>
      </c>
      <c r="C1959" t="s">
        <v>1486</v>
      </c>
      <c r="D1959" t="s">
        <v>1241</v>
      </c>
      <c r="E1959" t="s">
        <v>44</v>
      </c>
      <c r="F1959" t="s">
        <v>14</v>
      </c>
      <c r="G1959" t="s">
        <v>39</v>
      </c>
      <c r="H1959">
        <v>1</v>
      </c>
      <c r="I1959" s="3">
        <v>38.049999999999997</v>
      </c>
      <c r="J1959" t="s">
        <v>16</v>
      </c>
      <c r="K1959" t="s">
        <v>30</v>
      </c>
      <c r="L1959" s="4">
        <f>Table4[[#This Row],[quantity]]*Table4[[#This Row],[unit_price]]</f>
        <v>38.049999999999997</v>
      </c>
      <c r="M1959">
        <f>COUNTIFS($C$2:$C$3934,Table4[[#This Row],[customer_id]])</f>
        <v>4</v>
      </c>
      <c r="N1959" t="str">
        <f>IF(Table4[[#This Row],[customer_order_count]]=1,"New Customer","Repeat Customer")</f>
        <v>Repeat Customer</v>
      </c>
    </row>
    <row r="1960" spans="1:14">
      <c r="A1960" t="s">
        <v>2533</v>
      </c>
      <c r="B1960" s="1">
        <v>45578</v>
      </c>
      <c r="C1960" t="s">
        <v>1257</v>
      </c>
      <c r="D1960" t="s">
        <v>917</v>
      </c>
      <c r="E1960" t="s">
        <v>21</v>
      </c>
      <c r="F1960" t="s">
        <v>14</v>
      </c>
      <c r="G1960" t="s">
        <v>34</v>
      </c>
      <c r="H1960">
        <v>1</v>
      </c>
      <c r="I1960" s="3">
        <v>38.06</v>
      </c>
      <c r="J1960" t="s">
        <v>24</v>
      </c>
      <c r="K1960" t="s">
        <v>40</v>
      </c>
      <c r="L1960" s="4">
        <f>Table4[[#This Row],[quantity]]*Table4[[#This Row],[unit_price]]</f>
        <v>38.06</v>
      </c>
      <c r="M1960">
        <f>COUNTIFS($C$2:$C$3934,Table4[[#This Row],[customer_id]])</f>
        <v>6</v>
      </c>
      <c r="N1960" t="str">
        <f>IF(Table4[[#This Row],[customer_order_count]]=1,"New Customer","Repeat Customer")</f>
        <v>Repeat Customer</v>
      </c>
    </row>
    <row r="1961" spans="1:14">
      <c r="A1961" t="s">
        <v>3999</v>
      </c>
      <c r="B1961" s="1">
        <v>45615</v>
      </c>
      <c r="C1961" t="s">
        <v>1563</v>
      </c>
      <c r="D1961" t="s">
        <v>432</v>
      </c>
      <c r="E1961" t="s">
        <v>44</v>
      </c>
      <c r="F1961" t="s">
        <v>14</v>
      </c>
      <c r="G1961" t="s">
        <v>62</v>
      </c>
      <c r="H1961">
        <v>2</v>
      </c>
      <c r="I1961" s="3">
        <v>38.06</v>
      </c>
      <c r="J1961" t="s">
        <v>16</v>
      </c>
      <c r="K1961" t="s">
        <v>30</v>
      </c>
      <c r="L1961" s="4">
        <f>Table4[[#This Row],[quantity]]*Table4[[#This Row],[unit_price]]</f>
        <v>76.12</v>
      </c>
      <c r="M1961">
        <f>COUNTIFS($C$2:$C$3934,Table4[[#This Row],[customer_id]])</f>
        <v>3</v>
      </c>
      <c r="N1961" t="str">
        <f>IF(Table4[[#This Row],[customer_order_count]]=1,"New Customer","Repeat Customer")</f>
        <v>Repeat Customer</v>
      </c>
    </row>
    <row r="1962" spans="1:14">
      <c r="A1962" t="s">
        <v>641</v>
      </c>
      <c r="B1962" s="1">
        <v>45504</v>
      </c>
      <c r="C1962" t="s">
        <v>642</v>
      </c>
      <c r="D1962" t="s">
        <v>643</v>
      </c>
      <c r="E1962" t="s">
        <v>21</v>
      </c>
      <c r="F1962" t="s">
        <v>22</v>
      </c>
      <c r="G1962" t="s">
        <v>264</v>
      </c>
      <c r="H1962">
        <v>1</v>
      </c>
      <c r="I1962" s="3">
        <v>38.119999999999997</v>
      </c>
      <c r="J1962" t="s">
        <v>16</v>
      </c>
      <c r="K1962" t="s">
        <v>17</v>
      </c>
      <c r="L1962" s="4">
        <f>Table4[[#This Row],[quantity]]*Table4[[#This Row],[unit_price]]</f>
        <v>38.119999999999997</v>
      </c>
      <c r="M1962">
        <f>COUNTIFS($C$2:$C$3934,Table4[[#This Row],[customer_id]])</f>
        <v>7</v>
      </c>
      <c r="N1962" t="str">
        <f>IF(Table4[[#This Row],[customer_order_count]]=1,"New Customer","Repeat Customer")</f>
        <v>Repeat Customer</v>
      </c>
    </row>
    <row r="1963" spans="1:14">
      <c r="A1963" t="s">
        <v>3138</v>
      </c>
      <c r="B1963" s="1">
        <v>45411</v>
      </c>
      <c r="C1963" t="s">
        <v>434</v>
      </c>
      <c r="D1963" t="s">
        <v>435</v>
      </c>
      <c r="E1963" t="s">
        <v>21</v>
      </c>
      <c r="F1963" t="s">
        <v>14</v>
      </c>
      <c r="G1963" t="s">
        <v>15</v>
      </c>
      <c r="H1963">
        <v>1</v>
      </c>
      <c r="I1963" s="3">
        <v>38.130000000000003</v>
      </c>
      <c r="J1963" t="s">
        <v>16</v>
      </c>
      <c r="K1963" s="2" t="s">
        <v>5256</v>
      </c>
      <c r="L1963" s="4">
        <f>Table4[[#This Row],[quantity]]*Table4[[#This Row],[unit_price]]</f>
        <v>38.130000000000003</v>
      </c>
      <c r="M1963">
        <f>COUNTIFS($C$2:$C$3934,Table4[[#This Row],[customer_id]])</f>
        <v>5</v>
      </c>
      <c r="N1963" t="str">
        <f>IF(Table4[[#This Row],[customer_order_count]]=1,"New Customer","Repeat Customer")</f>
        <v>Repeat Customer</v>
      </c>
    </row>
    <row r="1964" spans="1:14">
      <c r="A1964" t="s">
        <v>3721</v>
      </c>
      <c r="B1964" s="1">
        <v>45452</v>
      </c>
      <c r="C1964" t="s">
        <v>1888</v>
      </c>
      <c r="D1964" t="s">
        <v>1889</v>
      </c>
      <c r="E1964" t="s">
        <v>21</v>
      </c>
      <c r="F1964" t="s">
        <v>56</v>
      </c>
      <c r="G1964" t="s">
        <v>118</v>
      </c>
      <c r="H1964">
        <v>1</v>
      </c>
      <c r="I1964" s="3">
        <v>38.15</v>
      </c>
      <c r="J1964" t="s">
        <v>16</v>
      </c>
      <c r="K1964" s="5" t="s">
        <v>30</v>
      </c>
      <c r="L1964" s="4">
        <f>Table4[[#This Row],[quantity]]*Table4[[#This Row],[unit_price]]</f>
        <v>38.15</v>
      </c>
      <c r="M1964">
        <f>COUNTIFS($C$2:$C$3934,Table4[[#This Row],[customer_id]])</f>
        <v>6</v>
      </c>
      <c r="N1964" t="str">
        <f>IF(Table4[[#This Row],[customer_order_count]]=1,"New Customer","Repeat Customer")</f>
        <v>Repeat Customer</v>
      </c>
    </row>
    <row r="1965" spans="1:14">
      <c r="A1965" t="s">
        <v>1800</v>
      </c>
      <c r="B1965" s="1">
        <v>44959</v>
      </c>
      <c r="C1965" t="s">
        <v>1801</v>
      </c>
      <c r="D1965" t="s">
        <v>569</v>
      </c>
      <c r="E1965" t="s">
        <v>21</v>
      </c>
      <c r="F1965" t="s">
        <v>70</v>
      </c>
      <c r="G1965" t="s">
        <v>110</v>
      </c>
      <c r="H1965">
        <v>2</v>
      </c>
      <c r="I1965" s="3">
        <v>38.15</v>
      </c>
      <c r="J1965" t="s">
        <v>16</v>
      </c>
      <c r="K1965" t="s">
        <v>30</v>
      </c>
      <c r="L1965" s="4">
        <f>Table4[[#This Row],[quantity]]*Table4[[#This Row],[unit_price]]</f>
        <v>76.3</v>
      </c>
      <c r="M1965">
        <f>COUNTIFS($C$2:$C$3934,Table4[[#This Row],[customer_id]])</f>
        <v>6</v>
      </c>
      <c r="N1965" t="str">
        <f>IF(Table4[[#This Row],[customer_order_count]]=1,"New Customer","Repeat Customer")</f>
        <v>Repeat Customer</v>
      </c>
    </row>
    <row r="1966" spans="1:14">
      <c r="A1966" t="s">
        <v>187</v>
      </c>
      <c r="B1966" s="1">
        <v>45375</v>
      </c>
      <c r="C1966" t="s">
        <v>188</v>
      </c>
      <c r="D1966" t="s">
        <v>189</v>
      </c>
      <c r="E1966" t="s">
        <v>21</v>
      </c>
      <c r="F1966" t="s">
        <v>14</v>
      </c>
      <c r="G1966" t="s">
        <v>100</v>
      </c>
      <c r="H1966">
        <v>1</v>
      </c>
      <c r="I1966" s="3">
        <v>38.17</v>
      </c>
      <c r="J1966" t="s">
        <v>16</v>
      </c>
      <c r="K1966" t="s">
        <v>40</v>
      </c>
      <c r="L1966" s="4">
        <f>Table4[[#This Row],[quantity]]*Table4[[#This Row],[unit_price]]</f>
        <v>38.17</v>
      </c>
      <c r="M1966">
        <f>COUNTIFS($C$2:$C$3934,Table4[[#This Row],[customer_id]])</f>
        <v>6</v>
      </c>
      <c r="N1966" t="str">
        <f>IF(Table4[[#This Row],[customer_order_count]]=1,"New Customer","Repeat Customer")</f>
        <v>Repeat Customer</v>
      </c>
    </row>
    <row r="1967" spans="1:14">
      <c r="A1967" t="s">
        <v>1843</v>
      </c>
      <c r="B1967" s="1">
        <v>45209</v>
      </c>
      <c r="C1967" t="s">
        <v>755</v>
      </c>
      <c r="D1967" t="s">
        <v>452</v>
      </c>
      <c r="E1967" t="s">
        <v>21</v>
      </c>
      <c r="F1967" t="s">
        <v>14</v>
      </c>
      <c r="G1967" t="s">
        <v>15</v>
      </c>
      <c r="H1967">
        <v>1</v>
      </c>
      <c r="I1967" s="3">
        <v>38.19</v>
      </c>
      <c r="J1967" t="s">
        <v>16</v>
      </c>
      <c r="K1967" t="s">
        <v>17</v>
      </c>
      <c r="L1967" s="4">
        <f>Table4[[#This Row],[quantity]]*Table4[[#This Row],[unit_price]]</f>
        <v>38.19</v>
      </c>
      <c r="M1967">
        <f>COUNTIFS($C$2:$C$3934,Table4[[#This Row],[customer_id]])</f>
        <v>5</v>
      </c>
      <c r="N1967" t="str">
        <f>IF(Table4[[#This Row],[customer_order_count]]=1,"New Customer","Repeat Customer")</f>
        <v>Repeat Customer</v>
      </c>
    </row>
    <row r="1968" spans="1:14">
      <c r="A1968" t="s">
        <v>2574</v>
      </c>
      <c r="B1968" s="1">
        <v>45580</v>
      </c>
      <c r="C1968" t="s">
        <v>102</v>
      </c>
      <c r="D1968" t="s">
        <v>484</v>
      </c>
      <c r="E1968" t="s">
        <v>21</v>
      </c>
      <c r="F1968" t="s">
        <v>28</v>
      </c>
      <c r="G1968" t="s">
        <v>139</v>
      </c>
      <c r="H1968">
        <v>2</v>
      </c>
      <c r="I1968" s="3">
        <v>38.21</v>
      </c>
      <c r="J1968" t="s">
        <v>16</v>
      </c>
      <c r="K1968" t="s">
        <v>35</v>
      </c>
      <c r="L1968" s="4">
        <f>Table4[[#This Row],[quantity]]*Table4[[#This Row],[unit_price]]</f>
        <v>76.42</v>
      </c>
      <c r="M1968">
        <f>COUNTIFS($C$2:$C$3934,Table4[[#This Row],[customer_id]])</f>
        <v>6</v>
      </c>
      <c r="N1968" t="str">
        <f>IF(Table4[[#This Row],[customer_order_count]]=1,"New Customer","Repeat Customer")</f>
        <v>Repeat Customer</v>
      </c>
    </row>
    <row r="1969" spans="1:14">
      <c r="A1969" t="s">
        <v>3633</v>
      </c>
      <c r="B1969" s="1">
        <v>45085</v>
      </c>
      <c r="C1969" t="s">
        <v>2426</v>
      </c>
      <c r="D1969" t="s">
        <v>2427</v>
      </c>
      <c r="E1969" t="s">
        <v>21</v>
      </c>
      <c r="F1969" t="s">
        <v>22</v>
      </c>
      <c r="G1969" t="s">
        <v>162</v>
      </c>
      <c r="H1969">
        <v>1</v>
      </c>
      <c r="I1969" s="3">
        <v>38.22</v>
      </c>
      <c r="J1969" t="s">
        <v>16</v>
      </c>
      <c r="K1969" t="s">
        <v>17</v>
      </c>
      <c r="L1969" s="4">
        <f>Table4[[#This Row],[quantity]]*Table4[[#This Row],[unit_price]]</f>
        <v>38.22</v>
      </c>
      <c r="M1969">
        <f>COUNTIFS($C$2:$C$3934,Table4[[#This Row],[customer_id]])</f>
        <v>5</v>
      </c>
      <c r="N1969" t="str">
        <f>IF(Table4[[#This Row],[customer_order_count]]=1,"New Customer","Repeat Customer")</f>
        <v>Repeat Customer</v>
      </c>
    </row>
    <row r="1970" spans="1:14">
      <c r="A1970" t="s">
        <v>2754</v>
      </c>
      <c r="B1970" s="1">
        <v>45437</v>
      </c>
      <c r="C1970" t="s">
        <v>405</v>
      </c>
      <c r="D1970" t="s">
        <v>406</v>
      </c>
      <c r="E1970" t="s">
        <v>21</v>
      </c>
      <c r="F1970" t="s">
        <v>28</v>
      </c>
      <c r="G1970" t="s">
        <v>139</v>
      </c>
      <c r="H1970">
        <v>2</v>
      </c>
      <c r="I1970" s="3">
        <v>38.229999999999997</v>
      </c>
      <c r="J1970" t="s">
        <v>85</v>
      </c>
      <c r="K1970" t="s">
        <v>35</v>
      </c>
      <c r="L1970" s="4">
        <f>Table4[[#This Row],[quantity]]*Table4[[#This Row],[unit_price]]</f>
        <v>76.459999999999994</v>
      </c>
      <c r="M1970">
        <f>COUNTIFS($C$2:$C$3934,Table4[[#This Row],[customer_id]])</f>
        <v>5</v>
      </c>
      <c r="N1970" t="str">
        <f>IF(Table4[[#This Row],[customer_order_count]]=1,"New Customer","Repeat Customer")</f>
        <v>Repeat Customer</v>
      </c>
    </row>
    <row r="1971" spans="1:14">
      <c r="A1971" t="s">
        <v>542</v>
      </c>
      <c r="B1971" s="1">
        <v>45119</v>
      </c>
      <c r="C1971" t="s">
        <v>543</v>
      </c>
      <c r="D1971" t="s">
        <v>544</v>
      </c>
      <c r="E1971" t="s">
        <v>21</v>
      </c>
      <c r="F1971" t="s">
        <v>28</v>
      </c>
      <c r="G1971" t="s">
        <v>84</v>
      </c>
      <c r="H1971">
        <v>1</v>
      </c>
      <c r="I1971" s="3">
        <v>38.24</v>
      </c>
      <c r="J1971" t="s">
        <v>16</v>
      </c>
      <c r="K1971" t="s">
        <v>30</v>
      </c>
      <c r="L1971" s="4">
        <f>Table4[[#This Row],[quantity]]*Table4[[#This Row],[unit_price]]</f>
        <v>38.24</v>
      </c>
      <c r="M1971">
        <f>COUNTIFS($C$2:$C$3934,Table4[[#This Row],[customer_id]])</f>
        <v>6</v>
      </c>
      <c r="N1971" t="str">
        <f>IF(Table4[[#This Row],[customer_order_count]]=1,"New Customer","Repeat Customer")</f>
        <v>Repeat Customer</v>
      </c>
    </row>
    <row r="1972" spans="1:14">
      <c r="A1972" t="s">
        <v>2833</v>
      </c>
      <c r="B1972" s="1">
        <v>45527</v>
      </c>
      <c r="C1972" t="s">
        <v>1338</v>
      </c>
      <c r="D1972" t="s">
        <v>152</v>
      </c>
      <c r="E1972" t="s">
        <v>21</v>
      </c>
      <c r="F1972" t="s">
        <v>22</v>
      </c>
      <c r="G1972" t="s">
        <v>162</v>
      </c>
      <c r="H1972">
        <v>1</v>
      </c>
      <c r="I1972" s="3">
        <v>38.24</v>
      </c>
      <c r="J1972" t="s">
        <v>85</v>
      </c>
      <c r="K1972" t="s">
        <v>35</v>
      </c>
      <c r="L1972" s="4">
        <f>Table4[[#This Row],[quantity]]*Table4[[#This Row],[unit_price]]</f>
        <v>38.24</v>
      </c>
      <c r="M1972">
        <f>COUNTIFS($C$2:$C$3934,Table4[[#This Row],[customer_id]])</f>
        <v>7</v>
      </c>
      <c r="N1972" t="str">
        <f>IF(Table4[[#This Row],[customer_order_count]]=1,"New Customer","Repeat Customer")</f>
        <v>Repeat Customer</v>
      </c>
    </row>
    <row r="1973" spans="1:14">
      <c r="A1973" t="s">
        <v>1796</v>
      </c>
      <c r="B1973" s="1">
        <v>45350</v>
      </c>
      <c r="C1973" t="s">
        <v>1532</v>
      </c>
      <c r="D1973" t="s">
        <v>1533</v>
      </c>
      <c r="E1973" t="s">
        <v>44</v>
      </c>
      <c r="F1973" t="s">
        <v>22</v>
      </c>
      <c r="G1973" t="s">
        <v>23</v>
      </c>
      <c r="H1973">
        <v>1</v>
      </c>
      <c r="I1973" s="3">
        <v>38.25</v>
      </c>
      <c r="J1973" t="s">
        <v>16</v>
      </c>
      <c r="K1973" t="s">
        <v>35</v>
      </c>
      <c r="L1973" s="4">
        <f>Table4[[#This Row],[quantity]]*Table4[[#This Row],[unit_price]]</f>
        <v>38.25</v>
      </c>
      <c r="M1973">
        <f>COUNTIFS($C$2:$C$3934,Table4[[#This Row],[customer_id]])</f>
        <v>9</v>
      </c>
      <c r="N1973" t="str">
        <f>IF(Table4[[#This Row],[customer_order_count]]=1,"New Customer","Repeat Customer")</f>
        <v>Repeat Customer</v>
      </c>
    </row>
    <row r="1974" spans="1:14">
      <c r="A1974" t="s">
        <v>4413</v>
      </c>
      <c r="B1974" s="1">
        <v>45577</v>
      </c>
      <c r="C1974" t="s">
        <v>1274</v>
      </c>
      <c r="D1974" t="s">
        <v>535</v>
      </c>
      <c r="E1974" t="s">
        <v>44</v>
      </c>
      <c r="F1974" t="s">
        <v>14</v>
      </c>
      <c r="G1974" t="s">
        <v>15</v>
      </c>
      <c r="H1974">
        <v>2</v>
      </c>
      <c r="I1974" s="3">
        <v>38.270000000000003</v>
      </c>
      <c r="J1974" t="s">
        <v>16</v>
      </c>
      <c r="K1974" t="s">
        <v>35</v>
      </c>
      <c r="L1974" s="4">
        <f>Table4[[#This Row],[quantity]]*Table4[[#This Row],[unit_price]]</f>
        <v>76.540000000000006</v>
      </c>
      <c r="M1974">
        <f>COUNTIFS($C$2:$C$3934,Table4[[#This Row],[customer_id]])</f>
        <v>3</v>
      </c>
      <c r="N1974" t="str">
        <f>IF(Table4[[#This Row],[customer_order_count]]=1,"New Customer","Repeat Customer")</f>
        <v>Repeat Customer</v>
      </c>
    </row>
    <row r="1975" spans="1:14">
      <c r="A1975" t="s">
        <v>2563</v>
      </c>
      <c r="B1975" s="1">
        <v>45497</v>
      </c>
      <c r="C1975" t="s">
        <v>606</v>
      </c>
      <c r="D1975" t="s">
        <v>269</v>
      </c>
      <c r="E1975" t="s">
        <v>61</v>
      </c>
      <c r="F1975" t="s">
        <v>14</v>
      </c>
      <c r="G1975" t="s">
        <v>100</v>
      </c>
      <c r="H1975">
        <v>1</v>
      </c>
      <c r="I1975" s="3">
        <v>38.28</v>
      </c>
      <c r="J1975" t="s">
        <v>16</v>
      </c>
      <c r="K1975" t="s">
        <v>40</v>
      </c>
      <c r="L1975" s="4">
        <f>Table4[[#This Row],[quantity]]*Table4[[#This Row],[unit_price]]</f>
        <v>38.28</v>
      </c>
      <c r="M1975">
        <f>COUNTIFS($C$2:$C$3934,Table4[[#This Row],[customer_id]])</f>
        <v>6</v>
      </c>
      <c r="N1975" t="str">
        <f>IF(Table4[[#This Row],[customer_order_count]]=1,"New Customer","Repeat Customer")</f>
        <v>Repeat Customer</v>
      </c>
    </row>
    <row r="1976" spans="1:14">
      <c r="A1976" t="s">
        <v>3882</v>
      </c>
      <c r="B1976" s="1">
        <v>45084</v>
      </c>
      <c r="C1976" t="s">
        <v>3324</v>
      </c>
      <c r="D1976" t="s">
        <v>213</v>
      </c>
      <c r="E1976" t="s">
        <v>21</v>
      </c>
      <c r="F1976" t="s">
        <v>70</v>
      </c>
      <c r="G1976" t="s">
        <v>89</v>
      </c>
      <c r="H1976">
        <v>1</v>
      </c>
      <c r="I1976" s="3">
        <v>38.299999999999997</v>
      </c>
      <c r="J1976" t="s">
        <v>16</v>
      </c>
      <c r="K1976" t="s">
        <v>35</v>
      </c>
      <c r="L1976" s="4">
        <f>Table4[[#This Row],[quantity]]*Table4[[#This Row],[unit_price]]</f>
        <v>38.299999999999997</v>
      </c>
      <c r="M1976">
        <f>COUNTIFS($C$2:$C$3934,Table4[[#This Row],[customer_id]])</f>
        <v>5</v>
      </c>
      <c r="N1976" t="str">
        <f>IF(Table4[[#This Row],[customer_order_count]]=1,"New Customer","Repeat Customer")</f>
        <v>Repeat Customer</v>
      </c>
    </row>
    <row r="1977" spans="1:14">
      <c r="A1977" t="s">
        <v>4782</v>
      </c>
      <c r="B1977" s="1">
        <v>45427</v>
      </c>
      <c r="C1977" t="s">
        <v>215</v>
      </c>
      <c r="D1977" t="s">
        <v>216</v>
      </c>
      <c r="E1977" t="s">
        <v>21</v>
      </c>
      <c r="F1977" t="s">
        <v>70</v>
      </c>
      <c r="G1977" t="s">
        <v>89</v>
      </c>
      <c r="H1977">
        <v>1</v>
      </c>
      <c r="I1977" s="3">
        <v>38.35</v>
      </c>
      <c r="J1977" t="s">
        <v>16</v>
      </c>
      <c r="K1977" t="s">
        <v>30</v>
      </c>
      <c r="L1977" s="4">
        <f>Table4[[#This Row],[quantity]]*Table4[[#This Row],[unit_price]]</f>
        <v>38.35</v>
      </c>
      <c r="M1977">
        <f>COUNTIFS($C$2:$C$3934,Table4[[#This Row],[customer_id]])</f>
        <v>8</v>
      </c>
      <c r="N1977" t="str">
        <f>IF(Table4[[#This Row],[customer_order_count]]=1,"New Customer","Repeat Customer")</f>
        <v>Repeat Customer</v>
      </c>
    </row>
    <row r="1978" spans="1:14">
      <c r="A1978" t="s">
        <v>3712</v>
      </c>
      <c r="B1978" s="1">
        <v>45533</v>
      </c>
      <c r="C1978" t="s">
        <v>12</v>
      </c>
      <c r="D1978" t="s">
        <v>13</v>
      </c>
      <c r="E1978" t="s">
        <v>21</v>
      </c>
      <c r="F1978" t="s">
        <v>22</v>
      </c>
      <c r="G1978" t="s">
        <v>264</v>
      </c>
      <c r="H1978">
        <v>1</v>
      </c>
      <c r="I1978" s="3">
        <v>38.36</v>
      </c>
      <c r="J1978" t="s">
        <v>16</v>
      </c>
      <c r="K1978" t="s">
        <v>17</v>
      </c>
      <c r="L1978" s="4">
        <f>Table4[[#This Row],[quantity]]*Table4[[#This Row],[unit_price]]</f>
        <v>38.36</v>
      </c>
      <c r="M1978">
        <f>COUNTIFS($C$2:$C$3934,Table4[[#This Row],[customer_id]])</f>
        <v>10</v>
      </c>
      <c r="N1978" t="str">
        <f>IF(Table4[[#This Row],[customer_order_count]]=1,"New Customer","Repeat Customer")</f>
        <v>Repeat Customer</v>
      </c>
    </row>
    <row r="1979" spans="1:14">
      <c r="A1979" t="s">
        <v>3126</v>
      </c>
      <c r="B1979" s="1">
        <v>44973</v>
      </c>
      <c r="C1979" t="s">
        <v>3127</v>
      </c>
      <c r="D1979" t="s">
        <v>3128</v>
      </c>
      <c r="E1979" t="s">
        <v>21</v>
      </c>
      <c r="F1979" t="s">
        <v>22</v>
      </c>
      <c r="G1979" t="s">
        <v>135</v>
      </c>
      <c r="H1979">
        <v>1</v>
      </c>
      <c r="I1979" s="3">
        <v>38.369999999999997</v>
      </c>
      <c r="J1979" t="s">
        <v>16</v>
      </c>
      <c r="K1979" t="s">
        <v>17</v>
      </c>
      <c r="L1979" s="4">
        <f>Table4[[#This Row],[quantity]]*Table4[[#This Row],[unit_price]]</f>
        <v>38.369999999999997</v>
      </c>
      <c r="M1979">
        <f>COUNTIFS($C$2:$C$3934,Table4[[#This Row],[customer_id]])</f>
        <v>5</v>
      </c>
      <c r="N1979" t="str">
        <f>IF(Table4[[#This Row],[customer_order_count]]=1,"New Customer","Repeat Customer")</f>
        <v>Repeat Customer</v>
      </c>
    </row>
    <row r="1980" spans="1:14">
      <c r="A1980" t="s">
        <v>2186</v>
      </c>
      <c r="B1980" s="1">
        <v>45563</v>
      </c>
      <c r="C1980" t="s">
        <v>1499</v>
      </c>
      <c r="D1980" t="s">
        <v>1500</v>
      </c>
      <c r="E1980" t="s">
        <v>44</v>
      </c>
      <c r="F1980" t="s">
        <v>28</v>
      </c>
      <c r="G1980" t="s">
        <v>45</v>
      </c>
      <c r="H1980">
        <v>1</v>
      </c>
      <c r="I1980" s="3">
        <v>38.409999999999997</v>
      </c>
      <c r="J1980" t="s">
        <v>16</v>
      </c>
      <c r="K1980" s="2" t="s">
        <v>5256</v>
      </c>
      <c r="L1980" s="4">
        <f>Table4[[#This Row],[quantity]]*Table4[[#This Row],[unit_price]]</f>
        <v>38.409999999999997</v>
      </c>
      <c r="M1980">
        <f>COUNTIFS($C$2:$C$3934,Table4[[#This Row],[customer_id]])</f>
        <v>6</v>
      </c>
      <c r="N1980" t="str">
        <f>IF(Table4[[#This Row],[customer_order_count]]=1,"New Customer","Repeat Customer")</f>
        <v>Repeat Customer</v>
      </c>
    </row>
    <row r="1981" spans="1:14">
      <c r="A1981" t="s">
        <v>2173</v>
      </c>
      <c r="B1981" s="1">
        <v>45118</v>
      </c>
      <c r="C1981" t="s">
        <v>222</v>
      </c>
      <c r="D1981" t="s">
        <v>223</v>
      </c>
      <c r="E1981" t="s">
        <v>21</v>
      </c>
      <c r="F1981" t="s">
        <v>56</v>
      </c>
      <c r="G1981" t="s">
        <v>210</v>
      </c>
      <c r="H1981">
        <v>5</v>
      </c>
      <c r="I1981" s="3">
        <v>38.409999999999997</v>
      </c>
      <c r="J1981" t="s">
        <v>16</v>
      </c>
      <c r="K1981" s="5" t="s">
        <v>17</v>
      </c>
      <c r="L1981" s="4">
        <f>Table4[[#This Row],[quantity]]*Table4[[#This Row],[unit_price]]</f>
        <v>192.04999999999998</v>
      </c>
      <c r="M1981">
        <f>COUNTIFS($C$2:$C$3934,Table4[[#This Row],[customer_id]])</f>
        <v>6</v>
      </c>
      <c r="N1981" t="str">
        <f>IF(Table4[[#This Row],[customer_order_count]]=1,"New Customer","Repeat Customer")</f>
        <v>Repeat Customer</v>
      </c>
    </row>
    <row r="1982" spans="1:14">
      <c r="A1982" t="s">
        <v>3998</v>
      </c>
      <c r="B1982" s="1">
        <v>45057</v>
      </c>
      <c r="C1982" t="s">
        <v>42</v>
      </c>
      <c r="D1982" t="s">
        <v>43</v>
      </c>
      <c r="E1982" t="s">
        <v>21</v>
      </c>
      <c r="F1982" t="s">
        <v>22</v>
      </c>
      <c r="G1982" t="s">
        <v>264</v>
      </c>
      <c r="H1982">
        <v>2</v>
      </c>
      <c r="I1982" s="3">
        <v>38.42</v>
      </c>
      <c r="J1982" t="s">
        <v>16</v>
      </c>
      <c r="K1982" t="s">
        <v>40</v>
      </c>
      <c r="L1982" s="4">
        <f>Table4[[#This Row],[quantity]]*Table4[[#This Row],[unit_price]]</f>
        <v>76.84</v>
      </c>
      <c r="M1982">
        <f>COUNTIFS($C$2:$C$3934,Table4[[#This Row],[customer_id]])</f>
        <v>8</v>
      </c>
      <c r="N1982" t="str">
        <f>IF(Table4[[#This Row],[customer_order_count]]=1,"New Customer","Repeat Customer")</f>
        <v>Repeat Customer</v>
      </c>
    </row>
    <row r="1983" spans="1:14">
      <c r="A1983" t="s">
        <v>2619</v>
      </c>
      <c r="B1983" s="1">
        <v>45172</v>
      </c>
      <c r="C1983" t="s">
        <v>2137</v>
      </c>
      <c r="D1983" t="s">
        <v>1686</v>
      </c>
      <c r="E1983" t="s">
        <v>21</v>
      </c>
      <c r="F1983" t="s">
        <v>28</v>
      </c>
      <c r="G1983" t="s">
        <v>114</v>
      </c>
      <c r="H1983">
        <v>2</v>
      </c>
      <c r="I1983" s="3">
        <v>38.44</v>
      </c>
      <c r="J1983" t="s">
        <v>16</v>
      </c>
      <c r="K1983" t="s">
        <v>30</v>
      </c>
      <c r="L1983" s="4">
        <f>Table4[[#This Row],[quantity]]*Table4[[#This Row],[unit_price]]</f>
        <v>76.88</v>
      </c>
      <c r="M1983">
        <f>COUNTIFS($C$2:$C$3934,Table4[[#This Row],[customer_id]])</f>
        <v>4</v>
      </c>
      <c r="N1983" t="str">
        <f>IF(Table4[[#This Row],[customer_order_count]]=1,"New Customer","Repeat Customer")</f>
        <v>Repeat Customer</v>
      </c>
    </row>
    <row r="1984" spans="1:14">
      <c r="A1984" t="s">
        <v>2022</v>
      </c>
      <c r="B1984" s="1">
        <v>45390</v>
      </c>
      <c r="C1984" t="s">
        <v>2023</v>
      </c>
      <c r="D1984" t="s">
        <v>2024</v>
      </c>
      <c r="E1984" t="s">
        <v>106</v>
      </c>
      <c r="F1984" t="s">
        <v>28</v>
      </c>
      <c r="G1984" t="s">
        <v>45</v>
      </c>
      <c r="H1984">
        <v>1</v>
      </c>
      <c r="I1984" s="3">
        <v>38.450000000000003</v>
      </c>
      <c r="J1984" t="s">
        <v>16</v>
      </c>
      <c r="K1984" t="s">
        <v>17</v>
      </c>
      <c r="L1984" s="4">
        <f>Table4[[#This Row],[quantity]]*Table4[[#This Row],[unit_price]]</f>
        <v>38.450000000000003</v>
      </c>
      <c r="M1984">
        <f>COUNTIFS($C$2:$C$3934,Table4[[#This Row],[customer_id]])</f>
        <v>3</v>
      </c>
      <c r="N1984" t="str">
        <f>IF(Table4[[#This Row],[customer_order_count]]=1,"New Customer","Repeat Customer")</f>
        <v>Repeat Customer</v>
      </c>
    </row>
    <row r="1985" spans="1:14">
      <c r="A1985" t="s">
        <v>1130</v>
      </c>
      <c r="B1985" s="1">
        <v>45324</v>
      </c>
      <c r="C1985" t="s">
        <v>1131</v>
      </c>
      <c r="D1985" t="s">
        <v>962</v>
      </c>
      <c r="E1985" t="s">
        <v>21</v>
      </c>
      <c r="F1985" t="s">
        <v>14</v>
      </c>
      <c r="G1985" t="s">
        <v>100</v>
      </c>
      <c r="H1985">
        <v>2</v>
      </c>
      <c r="I1985" s="3">
        <v>38.450000000000003</v>
      </c>
      <c r="J1985" t="s">
        <v>16</v>
      </c>
      <c r="K1985" t="s">
        <v>30</v>
      </c>
      <c r="L1985" s="4">
        <f>Table4[[#This Row],[quantity]]*Table4[[#This Row],[unit_price]]</f>
        <v>76.900000000000006</v>
      </c>
      <c r="M1985">
        <f>COUNTIFS($C$2:$C$3934,Table4[[#This Row],[customer_id]])</f>
        <v>8</v>
      </c>
      <c r="N1985" t="str">
        <f>IF(Table4[[#This Row],[customer_order_count]]=1,"New Customer","Repeat Customer")</f>
        <v>Repeat Customer</v>
      </c>
    </row>
    <row r="1986" spans="1:14">
      <c r="A1986" t="s">
        <v>791</v>
      </c>
      <c r="B1986" s="1">
        <v>45451</v>
      </c>
      <c r="C1986" t="s">
        <v>493</v>
      </c>
      <c r="D1986" t="s">
        <v>327</v>
      </c>
      <c r="E1986" t="s">
        <v>44</v>
      </c>
      <c r="F1986" t="s">
        <v>28</v>
      </c>
      <c r="G1986" t="s">
        <v>84</v>
      </c>
      <c r="H1986">
        <v>4</v>
      </c>
      <c r="I1986" s="3">
        <v>38.450000000000003</v>
      </c>
      <c r="J1986" t="s">
        <v>255</v>
      </c>
      <c r="K1986" t="s">
        <v>17</v>
      </c>
      <c r="L1986" s="4">
        <f>Table4[[#This Row],[quantity]]*Table4[[#This Row],[unit_price]]</f>
        <v>153.80000000000001</v>
      </c>
      <c r="M1986">
        <f>COUNTIFS($C$2:$C$3934,Table4[[#This Row],[customer_id]])</f>
        <v>3</v>
      </c>
      <c r="N1986" t="str">
        <f>IF(Table4[[#This Row],[customer_order_count]]=1,"New Customer","Repeat Customer")</f>
        <v>Repeat Customer</v>
      </c>
    </row>
    <row r="1987" spans="1:14">
      <c r="A1987" t="s">
        <v>5092</v>
      </c>
      <c r="B1987" s="1">
        <v>45656</v>
      </c>
      <c r="C1987" t="s">
        <v>1999</v>
      </c>
      <c r="D1987" t="s">
        <v>1907</v>
      </c>
      <c r="E1987" t="s">
        <v>44</v>
      </c>
      <c r="F1987" t="s">
        <v>70</v>
      </c>
      <c r="G1987" t="s">
        <v>526</v>
      </c>
      <c r="H1987">
        <v>1</v>
      </c>
      <c r="I1987" s="3">
        <v>38.47</v>
      </c>
      <c r="J1987" t="s">
        <v>16</v>
      </c>
      <c r="K1987" t="s">
        <v>35</v>
      </c>
      <c r="L1987" s="4">
        <f>Table4[[#This Row],[quantity]]*Table4[[#This Row],[unit_price]]</f>
        <v>38.47</v>
      </c>
      <c r="M1987">
        <f>COUNTIFS($C$2:$C$3934,Table4[[#This Row],[customer_id]])</f>
        <v>6</v>
      </c>
      <c r="N1987" t="str">
        <f>IF(Table4[[#This Row],[customer_order_count]]=1,"New Customer","Repeat Customer")</f>
        <v>Repeat Customer</v>
      </c>
    </row>
    <row r="1988" spans="1:14">
      <c r="A1988" t="s">
        <v>3301</v>
      </c>
      <c r="B1988" s="1">
        <v>44961</v>
      </c>
      <c r="C1988" t="s">
        <v>3209</v>
      </c>
      <c r="D1988" t="s">
        <v>1430</v>
      </c>
      <c r="E1988" t="s">
        <v>21</v>
      </c>
      <c r="F1988" t="s">
        <v>56</v>
      </c>
      <c r="G1988" t="s">
        <v>210</v>
      </c>
      <c r="H1988">
        <v>1</v>
      </c>
      <c r="I1988" s="3">
        <v>38.479999999999997</v>
      </c>
      <c r="J1988" t="s">
        <v>16</v>
      </c>
      <c r="K1988" t="s">
        <v>40</v>
      </c>
      <c r="L1988" s="4">
        <f>Table4[[#This Row],[quantity]]*Table4[[#This Row],[unit_price]]</f>
        <v>38.479999999999997</v>
      </c>
      <c r="M1988">
        <f>COUNTIFS($C$2:$C$3934,Table4[[#This Row],[customer_id]])</f>
        <v>7</v>
      </c>
      <c r="N1988" t="str">
        <f>IF(Table4[[#This Row],[customer_order_count]]=1,"New Customer","Repeat Customer")</f>
        <v>Repeat Customer</v>
      </c>
    </row>
    <row r="1989" spans="1:14">
      <c r="A1989" t="s">
        <v>2966</v>
      </c>
      <c r="B1989" s="1">
        <v>44934</v>
      </c>
      <c r="C1989" t="s">
        <v>589</v>
      </c>
      <c r="D1989" t="s">
        <v>406</v>
      </c>
      <c r="E1989" t="s">
        <v>21</v>
      </c>
      <c r="F1989" t="s">
        <v>22</v>
      </c>
      <c r="G1989" t="s">
        <v>142</v>
      </c>
      <c r="H1989">
        <v>3</v>
      </c>
      <c r="I1989" s="3">
        <v>38.49</v>
      </c>
      <c r="J1989" t="s">
        <v>16</v>
      </c>
      <c r="K1989" t="s">
        <v>17</v>
      </c>
      <c r="L1989" s="4">
        <f>Table4[[#This Row],[quantity]]*Table4[[#This Row],[unit_price]]</f>
        <v>115.47</v>
      </c>
      <c r="M1989">
        <f>COUNTIFS($C$2:$C$3934,Table4[[#This Row],[customer_id]])</f>
        <v>9</v>
      </c>
      <c r="N1989" t="str">
        <f>IF(Table4[[#This Row],[customer_order_count]]=1,"New Customer","Repeat Customer")</f>
        <v>Repeat Customer</v>
      </c>
    </row>
    <row r="1990" spans="1:14">
      <c r="A1990" t="s">
        <v>190</v>
      </c>
      <c r="B1990" s="1">
        <v>44983</v>
      </c>
      <c r="C1990" t="s">
        <v>191</v>
      </c>
      <c r="D1990" t="s">
        <v>78</v>
      </c>
      <c r="E1990" t="s">
        <v>21</v>
      </c>
      <c r="F1990" t="s">
        <v>70</v>
      </c>
      <c r="G1990" t="s">
        <v>146</v>
      </c>
      <c r="H1990">
        <v>4</v>
      </c>
      <c r="I1990" s="3">
        <v>38.53</v>
      </c>
      <c r="J1990" t="s">
        <v>24</v>
      </c>
      <c r="K1990" s="2" t="s">
        <v>5256</v>
      </c>
      <c r="L1990" s="4">
        <f>Table4[[#This Row],[quantity]]*Table4[[#This Row],[unit_price]]</f>
        <v>154.12</v>
      </c>
      <c r="M1990">
        <f>COUNTIFS($C$2:$C$3934,Table4[[#This Row],[customer_id]])</f>
        <v>6</v>
      </c>
      <c r="N1990" t="str">
        <f>IF(Table4[[#This Row],[customer_order_count]]=1,"New Customer","Repeat Customer")</f>
        <v>Repeat Customer</v>
      </c>
    </row>
    <row r="1991" spans="1:14">
      <c r="A1991" t="s">
        <v>4230</v>
      </c>
      <c r="B1991" s="1">
        <v>45024</v>
      </c>
      <c r="C1991" t="s">
        <v>1766</v>
      </c>
      <c r="D1991" t="s">
        <v>1767</v>
      </c>
      <c r="E1991" t="s">
        <v>21</v>
      </c>
      <c r="F1991" t="s">
        <v>70</v>
      </c>
      <c r="G1991" t="s">
        <v>89</v>
      </c>
      <c r="H1991">
        <v>2</v>
      </c>
      <c r="I1991" s="3">
        <v>38.54</v>
      </c>
      <c r="J1991" t="s">
        <v>16</v>
      </c>
      <c r="K1991" s="5" t="s">
        <v>17</v>
      </c>
      <c r="L1991" s="4">
        <f>Table4[[#This Row],[quantity]]*Table4[[#This Row],[unit_price]]</f>
        <v>77.08</v>
      </c>
      <c r="M1991">
        <f>COUNTIFS($C$2:$C$3934,Table4[[#This Row],[customer_id]])</f>
        <v>7</v>
      </c>
      <c r="N1991" t="str">
        <f>IF(Table4[[#This Row],[customer_order_count]]=1,"New Customer","Repeat Customer")</f>
        <v>Repeat Customer</v>
      </c>
    </row>
    <row r="1992" spans="1:14">
      <c r="A1992" t="s">
        <v>2183</v>
      </c>
      <c r="B1992" s="1">
        <v>45329</v>
      </c>
      <c r="C1992" t="s">
        <v>1178</v>
      </c>
      <c r="D1992" t="s">
        <v>1179</v>
      </c>
      <c r="E1992" t="s">
        <v>21</v>
      </c>
      <c r="F1992" t="s">
        <v>28</v>
      </c>
      <c r="G1992" t="s">
        <v>139</v>
      </c>
      <c r="H1992">
        <v>5</v>
      </c>
      <c r="I1992" s="3">
        <v>38.54</v>
      </c>
      <c r="J1992" t="s">
        <v>16</v>
      </c>
      <c r="K1992" t="s">
        <v>35</v>
      </c>
      <c r="L1992" s="4">
        <f>Table4[[#This Row],[quantity]]*Table4[[#This Row],[unit_price]]</f>
        <v>192.7</v>
      </c>
      <c r="M1992">
        <f>COUNTIFS($C$2:$C$3934,Table4[[#This Row],[customer_id]])</f>
        <v>3</v>
      </c>
      <c r="N1992" t="str">
        <f>IF(Table4[[#This Row],[customer_order_count]]=1,"New Customer","Repeat Customer")</f>
        <v>Repeat Customer</v>
      </c>
    </row>
    <row r="1993" spans="1:14">
      <c r="A1993" t="s">
        <v>2913</v>
      </c>
      <c r="B1993" s="1">
        <v>45083</v>
      </c>
      <c r="C1993" t="s">
        <v>2531</v>
      </c>
      <c r="D1993" t="s">
        <v>372</v>
      </c>
      <c r="E1993" t="s">
        <v>21</v>
      </c>
      <c r="F1993" t="s">
        <v>70</v>
      </c>
      <c r="G1993" t="s">
        <v>71</v>
      </c>
      <c r="H1993">
        <v>3</v>
      </c>
      <c r="I1993" s="3">
        <v>38.56</v>
      </c>
      <c r="J1993" t="s">
        <v>85</v>
      </c>
      <c r="K1993" t="s">
        <v>35</v>
      </c>
      <c r="L1993" s="4">
        <f>Table4[[#This Row],[quantity]]*Table4[[#This Row],[unit_price]]</f>
        <v>115.68</v>
      </c>
      <c r="M1993">
        <f>COUNTIFS($C$2:$C$3934,Table4[[#This Row],[customer_id]])</f>
        <v>7</v>
      </c>
      <c r="N1993" t="str">
        <f>IF(Table4[[#This Row],[customer_order_count]]=1,"New Customer","Repeat Customer")</f>
        <v>Repeat Customer</v>
      </c>
    </row>
    <row r="1994" spans="1:14">
      <c r="A1994" t="s">
        <v>2663</v>
      </c>
      <c r="B1994" s="1">
        <v>45164</v>
      </c>
      <c r="C1994" t="s">
        <v>1788</v>
      </c>
      <c r="D1994" t="s">
        <v>121</v>
      </c>
      <c r="E1994" t="s">
        <v>21</v>
      </c>
      <c r="F1994" t="s">
        <v>22</v>
      </c>
      <c r="G1994" t="s">
        <v>162</v>
      </c>
      <c r="H1994">
        <v>1</v>
      </c>
      <c r="I1994" s="3">
        <v>38.57</v>
      </c>
      <c r="J1994" t="s">
        <v>16</v>
      </c>
      <c r="K1994" t="s">
        <v>35</v>
      </c>
      <c r="L1994" s="4">
        <f>Table4[[#This Row],[quantity]]*Table4[[#This Row],[unit_price]]</f>
        <v>38.57</v>
      </c>
      <c r="M1994">
        <f>COUNTIFS($C$2:$C$3934,Table4[[#This Row],[customer_id]])</f>
        <v>7</v>
      </c>
      <c r="N1994" t="str">
        <f>IF(Table4[[#This Row],[customer_order_count]]=1,"New Customer","Repeat Customer")</f>
        <v>Repeat Customer</v>
      </c>
    </row>
    <row r="1995" spans="1:14">
      <c r="A1995" t="s">
        <v>2846</v>
      </c>
      <c r="B1995" s="1">
        <v>45553</v>
      </c>
      <c r="C1995" t="s">
        <v>1229</v>
      </c>
      <c r="D1995" t="s">
        <v>1230</v>
      </c>
      <c r="E1995" t="s">
        <v>21</v>
      </c>
      <c r="F1995" t="s">
        <v>70</v>
      </c>
      <c r="G1995" t="s">
        <v>526</v>
      </c>
      <c r="H1995">
        <v>1</v>
      </c>
      <c r="I1995" s="3">
        <v>38.57</v>
      </c>
      <c r="J1995" t="s">
        <v>24</v>
      </c>
      <c r="K1995" t="s">
        <v>40</v>
      </c>
      <c r="L1995" s="4">
        <f>Table4[[#This Row],[quantity]]*Table4[[#This Row],[unit_price]]</f>
        <v>38.57</v>
      </c>
      <c r="M1995">
        <f>COUNTIFS($C$2:$C$3934,Table4[[#This Row],[customer_id]])</f>
        <v>3</v>
      </c>
      <c r="N1995" t="str">
        <f>IF(Table4[[#This Row],[customer_order_count]]=1,"New Customer","Repeat Customer")</f>
        <v>Repeat Customer</v>
      </c>
    </row>
    <row r="1996" spans="1:14">
      <c r="A1996" t="s">
        <v>1386</v>
      </c>
      <c r="B1996" s="1">
        <v>44974</v>
      </c>
      <c r="C1996" t="s">
        <v>456</v>
      </c>
      <c r="D1996" t="s">
        <v>181</v>
      </c>
      <c r="E1996" t="s">
        <v>44</v>
      </c>
      <c r="F1996" t="s">
        <v>22</v>
      </c>
      <c r="G1996" t="s">
        <v>264</v>
      </c>
      <c r="H1996">
        <v>1</v>
      </c>
      <c r="I1996" s="3">
        <v>38.58</v>
      </c>
      <c r="J1996" t="s">
        <v>16</v>
      </c>
      <c r="K1996" t="s">
        <v>40</v>
      </c>
      <c r="L1996" s="4">
        <f>Table4[[#This Row],[quantity]]*Table4[[#This Row],[unit_price]]</f>
        <v>38.58</v>
      </c>
      <c r="M1996">
        <f>COUNTIFS($C$2:$C$3934,Table4[[#This Row],[customer_id]])</f>
        <v>4</v>
      </c>
      <c r="N1996" t="str">
        <f>IF(Table4[[#This Row],[customer_order_count]]=1,"New Customer","Repeat Customer")</f>
        <v>Repeat Customer</v>
      </c>
    </row>
    <row r="1997" spans="1:14">
      <c r="A1997" t="s">
        <v>4850</v>
      </c>
      <c r="B1997" s="1">
        <v>45375</v>
      </c>
      <c r="C1997" t="s">
        <v>677</v>
      </c>
      <c r="D1997" t="s">
        <v>678</v>
      </c>
      <c r="E1997" t="s">
        <v>44</v>
      </c>
      <c r="F1997" t="s">
        <v>28</v>
      </c>
      <c r="G1997" t="s">
        <v>45</v>
      </c>
      <c r="H1997">
        <v>1</v>
      </c>
      <c r="I1997" s="3">
        <v>38.630000000000003</v>
      </c>
      <c r="J1997" t="s">
        <v>16</v>
      </c>
      <c r="K1997" t="s">
        <v>35</v>
      </c>
      <c r="L1997" s="4">
        <f>Table4[[#This Row],[quantity]]*Table4[[#This Row],[unit_price]]</f>
        <v>38.630000000000003</v>
      </c>
      <c r="M1997">
        <f>COUNTIFS($C$2:$C$3934,Table4[[#This Row],[customer_id]])</f>
        <v>4</v>
      </c>
      <c r="N1997" t="str">
        <f>IF(Table4[[#This Row],[customer_order_count]]=1,"New Customer","Repeat Customer")</f>
        <v>Repeat Customer</v>
      </c>
    </row>
    <row r="1998" spans="1:14">
      <c r="A1998" t="s">
        <v>4889</v>
      </c>
      <c r="B1998" s="1">
        <v>45592</v>
      </c>
      <c r="C1998" t="s">
        <v>2496</v>
      </c>
      <c r="D1998" t="s">
        <v>1088</v>
      </c>
      <c r="E1998" t="s">
        <v>21</v>
      </c>
      <c r="F1998" t="s">
        <v>28</v>
      </c>
      <c r="G1998" t="s">
        <v>45</v>
      </c>
      <c r="H1998">
        <v>2</v>
      </c>
      <c r="I1998" s="3">
        <v>38.630000000000003</v>
      </c>
      <c r="J1998" t="s">
        <v>16</v>
      </c>
      <c r="K1998" t="s">
        <v>30</v>
      </c>
      <c r="L1998" s="4">
        <f>Table4[[#This Row],[quantity]]*Table4[[#This Row],[unit_price]]</f>
        <v>77.260000000000005</v>
      </c>
      <c r="M1998">
        <f>COUNTIFS($C$2:$C$3934,Table4[[#This Row],[customer_id]])</f>
        <v>4</v>
      </c>
      <c r="N1998" t="str">
        <f>IF(Table4[[#This Row],[customer_order_count]]=1,"New Customer","Repeat Customer")</f>
        <v>Repeat Customer</v>
      </c>
    </row>
    <row r="1999" spans="1:14">
      <c r="A1999" t="s">
        <v>2240</v>
      </c>
      <c r="B1999" s="1">
        <v>45526</v>
      </c>
      <c r="C1999" t="s">
        <v>1999</v>
      </c>
      <c r="D1999" t="s">
        <v>1907</v>
      </c>
      <c r="E1999" t="s">
        <v>44</v>
      </c>
      <c r="F1999" t="s">
        <v>22</v>
      </c>
      <c r="G1999" t="s">
        <v>142</v>
      </c>
      <c r="H1999">
        <v>1</v>
      </c>
      <c r="I1999" s="3">
        <v>38.69</v>
      </c>
      <c r="J1999" t="s">
        <v>16</v>
      </c>
      <c r="K1999" t="s">
        <v>17</v>
      </c>
      <c r="L1999" s="4">
        <f>Table4[[#This Row],[quantity]]*Table4[[#This Row],[unit_price]]</f>
        <v>38.69</v>
      </c>
      <c r="M1999">
        <f>COUNTIFS($C$2:$C$3934,Table4[[#This Row],[customer_id]])</f>
        <v>6</v>
      </c>
      <c r="N1999" t="str">
        <f>IF(Table4[[#This Row],[customer_order_count]]=1,"New Customer","Repeat Customer")</f>
        <v>Repeat Customer</v>
      </c>
    </row>
    <row r="2000" spans="1:14">
      <c r="A2000" t="s">
        <v>1961</v>
      </c>
      <c r="B2000" s="1">
        <v>44986</v>
      </c>
      <c r="C2000" t="s">
        <v>358</v>
      </c>
      <c r="D2000" t="s">
        <v>359</v>
      </c>
      <c r="E2000" t="s">
        <v>44</v>
      </c>
      <c r="F2000" t="s">
        <v>22</v>
      </c>
      <c r="G2000" t="s">
        <v>264</v>
      </c>
      <c r="H2000">
        <v>1</v>
      </c>
      <c r="I2000" s="3">
        <v>38.700000000000003</v>
      </c>
      <c r="J2000" t="s">
        <v>16</v>
      </c>
      <c r="K2000" t="s">
        <v>17</v>
      </c>
      <c r="L2000" s="4">
        <f>Table4[[#This Row],[quantity]]*Table4[[#This Row],[unit_price]]</f>
        <v>38.700000000000003</v>
      </c>
      <c r="M2000">
        <f>COUNTIFS($C$2:$C$3934,Table4[[#This Row],[customer_id]])</f>
        <v>4</v>
      </c>
      <c r="N2000" t="str">
        <f>IF(Table4[[#This Row],[customer_order_count]]=1,"New Customer","Repeat Customer")</f>
        <v>Repeat Customer</v>
      </c>
    </row>
    <row r="2001" spans="1:14">
      <c r="A2001" t="s">
        <v>2631</v>
      </c>
      <c r="B2001" s="1">
        <v>45391</v>
      </c>
      <c r="C2001" t="s">
        <v>1476</v>
      </c>
      <c r="D2001" t="s">
        <v>1477</v>
      </c>
      <c r="E2001" t="s">
        <v>21</v>
      </c>
      <c r="F2001" t="s">
        <v>28</v>
      </c>
      <c r="G2001" t="s">
        <v>114</v>
      </c>
      <c r="H2001">
        <v>1</v>
      </c>
      <c r="I2001" s="3">
        <v>38.700000000000003</v>
      </c>
      <c r="J2001" t="s">
        <v>85</v>
      </c>
      <c r="K2001" t="s">
        <v>40</v>
      </c>
      <c r="L2001" s="4">
        <f>Table4[[#This Row],[quantity]]*Table4[[#This Row],[unit_price]]</f>
        <v>38.700000000000003</v>
      </c>
      <c r="M2001">
        <f>COUNTIFS($C$2:$C$3934,Table4[[#This Row],[customer_id]])</f>
        <v>5</v>
      </c>
      <c r="N2001" t="str">
        <f>IF(Table4[[#This Row],[customer_order_count]]=1,"New Customer","Repeat Customer")</f>
        <v>Repeat Customer</v>
      </c>
    </row>
    <row r="2002" spans="1:14">
      <c r="A2002" t="s">
        <v>3689</v>
      </c>
      <c r="B2002" s="1">
        <v>45245</v>
      </c>
      <c r="C2002" t="s">
        <v>1799</v>
      </c>
      <c r="D2002" t="s">
        <v>186</v>
      </c>
      <c r="E2002" t="s">
        <v>21</v>
      </c>
      <c r="F2002" t="s">
        <v>28</v>
      </c>
      <c r="G2002" t="s">
        <v>139</v>
      </c>
      <c r="H2002">
        <v>1</v>
      </c>
      <c r="I2002" s="3">
        <v>38.71</v>
      </c>
      <c r="J2002" t="s">
        <v>16</v>
      </c>
      <c r="K2002" t="s">
        <v>40</v>
      </c>
      <c r="L2002" s="4">
        <f>Table4[[#This Row],[quantity]]*Table4[[#This Row],[unit_price]]</f>
        <v>38.71</v>
      </c>
      <c r="M2002">
        <f>COUNTIFS($C$2:$C$3934,Table4[[#This Row],[customer_id]])</f>
        <v>4</v>
      </c>
      <c r="N2002" t="str">
        <f>IF(Table4[[#This Row],[customer_order_count]]=1,"New Customer","Repeat Customer")</f>
        <v>Repeat Customer</v>
      </c>
    </row>
    <row r="2003" spans="1:14">
      <c r="A2003" t="s">
        <v>375</v>
      </c>
      <c r="B2003" s="1">
        <v>45230</v>
      </c>
      <c r="C2003" t="s">
        <v>376</v>
      </c>
      <c r="D2003" t="s">
        <v>377</v>
      </c>
      <c r="E2003" t="s">
        <v>21</v>
      </c>
      <c r="F2003" t="s">
        <v>28</v>
      </c>
      <c r="G2003" t="s">
        <v>139</v>
      </c>
      <c r="H2003">
        <v>1</v>
      </c>
      <c r="I2003" s="3">
        <v>38.72</v>
      </c>
      <c r="J2003" t="s">
        <v>16</v>
      </c>
      <c r="K2003" t="s">
        <v>40</v>
      </c>
      <c r="L2003" s="4">
        <f>Table4[[#This Row],[quantity]]*Table4[[#This Row],[unit_price]]</f>
        <v>38.72</v>
      </c>
      <c r="M2003">
        <f>COUNTIFS($C$2:$C$3934,Table4[[#This Row],[customer_id]])</f>
        <v>3</v>
      </c>
      <c r="N2003" t="str">
        <f>IF(Table4[[#This Row],[customer_order_count]]=1,"New Customer","Repeat Customer")</f>
        <v>Repeat Customer</v>
      </c>
    </row>
    <row r="2004" spans="1:14">
      <c r="A2004" t="s">
        <v>4066</v>
      </c>
      <c r="B2004" s="1">
        <v>45052</v>
      </c>
      <c r="C2004" t="s">
        <v>1864</v>
      </c>
      <c r="D2004" t="s">
        <v>1244</v>
      </c>
      <c r="E2004" t="s">
        <v>21</v>
      </c>
      <c r="F2004" t="s">
        <v>22</v>
      </c>
      <c r="G2004" t="s">
        <v>162</v>
      </c>
      <c r="H2004">
        <v>1</v>
      </c>
      <c r="I2004" s="3">
        <v>38.74</v>
      </c>
      <c r="J2004" t="s">
        <v>16</v>
      </c>
      <c r="K2004" t="s">
        <v>30</v>
      </c>
      <c r="L2004" s="4">
        <f>Table4[[#This Row],[quantity]]*Table4[[#This Row],[unit_price]]</f>
        <v>38.74</v>
      </c>
      <c r="M2004">
        <f>COUNTIFS($C$2:$C$3934,Table4[[#This Row],[customer_id]])</f>
        <v>5</v>
      </c>
      <c r="N2004" t="str">
        <f>IF(Table4[[#This Row],[customer_order_count]]=1,"New Customer","Repeat Customer")</f>
        <v>Repeat Customer</v>
      </c>
    </row>
    <row r="2005" spans="1:14">
      <c r="A2005" t="s">
        <v>457</v>
      </c>
      <c r="B2005" s="1">
        <v>45215</v>
      </c>
      <c r="C2005" t="s">
        <v>458</v>
      </c>
      <c r="D2005" t="s">
        <v>459</v>
      </c>
      <c r="E2005" t="s">
        <v>21</v>
      </c>
      <c r="F2005" t="s">
        <v>22</v>
      </c>
      <c r="G2005" t="s">
        <v>142</v>
      </c>
      <c r="H2005">
        <v>2</v>
      </c>
      <c r="I2005" s="3">
        <v>38.75</v>
      </c>
      <c r="J2005" t="s">
        <v>16</v>
      </c>
      <c r="K2005" t="s">
        <v>40</v>
      </c>
      <c r="L2005" s="4">
        <f>Table4[[#This Row],[quantity]]*Table4[[#This Row],[unit_price]]</f>
        <v>77.5</v>
      </c>
      <c r="M2005">
        <f>COUNTIFS($C$2:$C$3934,Table4[[#This Row],[customer_id]])</f>
        <v>4</v>
      </c>
      <c r="N2005" t="str">
        <f>IF(Table4[[#This Row],[customer_order_count]]=1,"New Customer","Repeat Customer")</f>
        <v>Repeat Customer</v>
      </c>
    </row>
    <row r="2006" spans="1:14">
      <c r="A2006" t="s">
        <v>4990</v>
      </c>
      <c r="B2006" s="1">
        <v>45417</v>
      </c>
      <c r="C2006" t="s">
        <v>4103</v>
      </c>
      <c r="D2006" t="s">
        <v>4104</v>
      </c>
      <c r="E2006" t="s">
        <v>21</v>
      </c>
      <c r="F2006" t="s">
        <v>28</v>
      </c>
      <c r="G2006" t="s">
        <v>29</v>
      </c>
      <c r="H2006">
        <v>2</v>
      </c>
      <c r="I2006" s="3">
        <v>38.78</v>
      </c>
      <c r="J2006" t="s">
        <v>16</v>
      </c>
      <c r="K2006" t="s">
        <v>35</v>
      </c>
      <c r="L2006" s="4">
        <f>Table4[[#This Row],[quantity]]*Table4[[#This Row],[unit_price]]</f>
        <v>77.56</v>
      </c>
      <c r="M2006">
        <f>COUNTIFS($C$2:$C$3934,Table4[[#This Row],[customer_id]])</f>
        <v>2</v>
      </c>
      <c r="N2006" t="str">
        <f>IF(Table4[[#This Row],[customer_order_count]]=1,"New Customer","Repeat Customer")</f>
        <v>Repeat Customer</v>
      </c>
    </row>
    <row r="2007" spans="1:14">
      <c r="A2007" t="s">
        <v>4125</v>
      </c>
      <c r="B2007" s="1">
        <v>45644</v>
      </c>
      <c r="C2007" t="s">
        <v>2225</v>
      </c>
      <c r="D2007" t="s">
        <v>438</v>
      </c>
      <c r="E2007" t="s">
        <v>44</v>
      </c>
      <c r="F2007" t="s">
        <v>28</v>
      </c>
      <c r="G2007" t="s">
        <v>139</v>
      </c>
      <c r="H2007">
        <v>2</v>
      </c>
      <c r="I2007" s="3">
        <v>38.79</v>
      </c>
      <c r="J2007" t="s">
        <v>16</v>
      </c>
      <c r="K2007" t="s">
        <v>17</v>
      </c>
      <c r="L2007" s="4">
        <f>Table4[[#This Row],[quantity]]*Table4[[#This Row],[unit_price]]</f>
        <v>77.58</v>
      </c>
      <c r="M2007">
        <f>COUNTIFS($C$2:$C$3934,Table4[[#This Row],[customer_id]])</f>
        <v>6</v>
      </c>
      <c r="N2007" t="str">
        <f>IF(Table4[[#This Row],[customer_order_count]]=1,"New Customer","Repeat Customer")</f>
        <v>Repeat Customer</v>
      </c>
    </row>
    <row r="2008" spans="1:14">
      <c r="A2008" t="s">
        <v>5027</v>
      </c>
      <c r="B2008" s="1">
        <v>45246</v>
      </c>
      <c r="C2008" t="s">
        <v>1848</v>
      </c>
      <c r="D2008" t="s">
        <v>105</v>
      </c>
      <c r="E2008" t="s">
        <v>21</v>
      </c>
      <c r="F2008" t="s">
        <v>28</v>
      </c>
      <c r="G2008" t="s">
        <v>29</v>
      </c>
      <c r="H2008">
        <v>1</v>
      </c>
      <c r="I2008" s="3">
        <v>38.799999999999997</v>
      </c>
      <c r="J2008" t="s">
        <v>16</v>
      </c>
      <c r="K2008" t="s">
        <v>17</v>
      </c>
      <c r="L2008" s="4">
        <f>Table4[[#This Row],[quantity]]*Table4[[#This Row],[unit_price]]</f>
        <v>38.799999999999997</v>
      </c>
      <c r="M2008">
        <f>COUNTIFS($C$2:$C$3934,Table4[[#This Row],[customer_id]])</f>
        <v>2</v>
      </c>
      <c r="N2008" t="str">
        <f>IF(Table4[[#This Row],[customer_order_count]]=1,"New Customer","Repeat Customer")</f>
        <v>Repeat Customer</v>
      </c>
    </row>
    <row r="2009" spans="1:14">
      <c r="A2009" t="s">
        <v>1669</v>
      </c>
      <c r="B2009" s="1">
        <v>45484</v>
      </c>
      <c r="C2009" t="s">
        <v>1012</v>
      </c>
      <c r="D2009" t="s">
        <v>372</v>
      </c>
      <c r="E2009" t="s">
        <v>21</v>
      </c>
      <c r="F2009" t="s">
        <v>28</v>
      </c>
      <c r="G2009" t="s">
        <v>84</v>
      </c>
      <c r="H2009">
        <v>2</v>
      </c>
      <c r="I2009" s="3">
        <v>38.86</v>
      </c>
      <c r="J2009" t="s">
        <v>16</v>
      </c>
      <c r="K2009" t="s">
        <v>30</v>
      </c>
      <c r="L2009" s="4">
        <f>Table4[[#This Row],[quantity]]*Table4[[#This Row],[unit_price]]</f>
        <v>77.72</v>
      </c>
      <c r="M2009">
        <f>COUNTIFS($C$2:$C$3934,Table4[[#This Row],[customer_id]])</f>
        <v>6</v>
      </c>
      <c r="N2009" t="str">
        <f>IF(Table4[[#This Row],[customer_order_count]]=1,"New Customer","Repeat Customer")</f>
        <v>Repeat Customer</v>
      </c>
    </row>
    <row r="2010" spans="1:14">
      <c r="A2010" t="s">
        <v>3536</v>
      </c>
      <c r="B2010" s="1">
        <v>44991</v>
      </c>
      <c r="C2010" t="s">
        <v>3063</v>
      </c>
      <c r="D2010" t="s">
        <v>659</v>
      </c>
      <c r="E2010" t="s">
        <v>21</v>
      </c>
      <c r="F2010" t="s">
        <v>22</v>
      </c>
      <c r="G2010" t="s">
        <v>23</v>
      </c>
      <c r="H2010">
        <v>1</v>
      </c>
      <c r="I2010" s="3">
        <v>38.89</v>
      </c>
      <c r="J2010" t="s">
        <v>16</v>
      </c>
      <c r="K2010" t="s">
        <v>40</v>
      </c>
      <c r="L2010" s="4">
        <f>Table4[[#This Row],[quantity]]*Table4[[#This Row],[unit_price]]</f>
        <v>38.89</v>
      </c>
      <c r="M2010">
        <f>COUNTIFS($C$2:$C$3934,Table4[[#This Row],[customer_id]])</f>
        <v>5</v>
      </c>
      <c r="N2010" t="str">
        <f>IF(Table4[[#This Row],[customer_order_count]]=1,"New Customer","Repeat Customer")</f>
        <v>Repeat Customer</v>
      </c>
    </row>
    <row r="2011" spans="1:14">
      <c r="A2011" t="s">
        <v>1860</v>
      </c>
      <c r="B2011" s="1">
        <v>45204</v>
      </c>
      <c r="C2011" t="s">
        <v>961</v>
      </c>
      <c r="D2011" t="s">
        <v>962</v>
      </c>
      <c r="E2011" t="s">
        <v>21</v>
      </c>
      <c r="F2011" t="s">
        <v>28</v>
      </c>
      <c r="G2011" t="s">
        <v>114</v>
      </c>
      <c r="H2011">
        <v>1</v>
      </c>
      <c r="I2011" s="3">
        <v>38.89</v>
      </c>
      <c r="J2011" t="s">
        <v>16</v>
      </c>
      <c r="K2011" t="s">
        <v>17</v>
      </c>
      <c r="L2011" s="4">
        <f>Table4[[#This Row],[quantity]]*Table4[[#This Row],[unit_price]]</f>
        <v>38.89</v>
      </c>
      <c r="M2011">
        <f>COUNTIFS($C$2:$C$3934,Table4[[#This Row],[customer_id]])</f>
        <v>6</v>
      </c>
      <c r="N2011" t="str">
        <f>IF(Table4[[#This Row],[customer_order_count]]=1,"New Customer","Repeat Customer")</f>
        <v>Repeat Customer</v>
      </c>
    </row>
    <row r="2012" spans="1:14">
      <c r="A2012" t="s">
        <v>4105</v>
      </c>
      <c r="B2012" s="1">
        <v>45420</v>
      </c>
      <c r="C2012" t="s">
        <v>199</v>
      </c>
      <c r="D2012" t="s">
        <v>1414</v>
      </c>
      <c r="E2012" t="s">
        <v>21</v>
      </c>
      <c r="F2012" t="s">
        <v>70</v>
      </c>
      <c r="G2012" t="s">
        <v>526</v>
      </c>
      <c r="H2012">
        <v>2</v>
      </c>
      <c r="I2012" s="3">
        <v>38.909999999999997</v>
      </c>
      <c r="J2012" t="s">
        <v>16</v>
      </c>
      <c r="K2012" t="s">
        <v>17</v>
      </c>
      <c r="L2012" s="4">
        <f>Table4[[#This Row],[quantity]]*Table4[[#This Row],[unit_price]]</f>
        <v>77.819999999999993</v>
      </c>
      <c r="M2012">
        <f>COUNTIFS($C$2:$C$3934,Table4[[#This Row],[customer_id]])</f>
        <v>5</v>
      </c>
      <c r="N2012" t="str">
        <f>IF(Table4[[#This Row],[customer_order_count]]=1,"New Customer","Repeat Customer")</f>
        <v>Repeat Customer</v>
      </c>
    </row>
    <row r="2013" spans="1:14">
      <c r="A2013" t="s">
        <v>3246</v>
      </c>
      <c r="B2013" s="1">
        <v>44940</v>
      </c>
      <c r="C2013" t="s">
        <v>1900</v>
      </c>
      <c r="D2013" t="s">
        <v>1310</v>
      </c>
      <c r="E2013" t="s">
        <v>21</v>
      </c>
      <c r="F2013" t="s">
        <v>28</v>
      </c>
      <c r="G2013" t="s">
        <v>139</v>
      </c>
      <c r="H2013">
        <v>1</v>
      </c>
      <c r="I2013" s="3">
        <v>38.92</v>
      </c>
      <c r="J2013" t="s">
        <v>16</v>
      </c>
      <c r="K2013" t="s">
        <v>17</v>
      </c>
      <c r="L2013" s="4">
        <f>Table4[[#This Row],[quantity]]*Table4[[#This Row],[unit_price]]</f>
        <v>38.92</v>
      </c>
      <c r="M2013">
        <f>COUNTIFS($C$2:$C$3934,Table4[[#This Row],[customer_id]])</f>
        <v>5</v>
      </c>
      <c r="N2013" t="str">
        <f>IF(Table4[[#This Row],[customer_order_count]]=1,"New Customer","Repeat Customer")</f>
        <v>Repeat Customer</v>
      </c>
    </row>
    <row r="2014" spans="1:14">
      <c r="A2014" t="s">
        <v>4771</v>
      </c>
      <c r="B2014" s="1">
        <v>45564</v>
      </c>
      <c r="C2014" t="s">
        <v>3432</v>
      </c>
      <c r="D2014" t="s">
        <v>582</v>
      </c>
      <c r="E2014" t="s">
        <v>44</v>
      </c>
      <c r="F2014" t="s">
        <v>22</v>
      </c>
      <c r="G2014" t="s">
        <v>23</v>
      </c>
      <c r="H2014">
        <v>2</v>
      </c>
      <c r="I2014" s="3">
        <v>38.93</v>
      </c>
      <c r="J2014" t="s">
        <v>16</v>
      </c>
      <c r="K2014" t="s">
        <v>30</v>
      </c>
      <c r="L2014" s="4">
        <f>Table4[[#This Row],[quantity]]*Table4[[#This Row],[unit_price]]</f>
        <v>77.86</v>
      </c>
      <c r="M2014">
        <f>COUNTIFS($C$2:$C$3934,Table4[[#This Row],[customer_id]])</f>
        <v>4</v>
      </c>
      <c r="N2014" t="str">
        <f>IF(Table4[[#This Row],[customer_order_count]]=1,"New Customer","Repeat Customer")</f>
        <v>Repeat Customer</v>
      </c>
    </row>
    <row r="2015" spans="1:14">
      <c r="A2015" t="s">
        <v>1956</v>
      </c>
      <c r="B2015" s="1">
        <v>45652</v>
      </c>
      <c r="C2015" t="s">
        <v>1957</v>
      </c>
      <c r="D2015" t="s">
        <v>292</v>
      </c>
      <c r="E2015" t="s">
        <v>61</v>
      </c>
      <c r="F2015" t="s">
        <v>56</v>
      </c>
      <c r="G2015" t="s">
        <v>75</v>
      </c>
      <c r="H2015">
        <v>1</v>
      </c>
      <c r="I2015" s="3">
        <v>38.950000000000003</v>
      </c>
      <c r="J2015" t="s">
        <v>16</v>
      </c>
      <c r="K2015" t="s">
        <v>35</v>
      </c>
      <c r="L2015" s="4">
        <f>Table4[[#This Row],[quantity]]*Table4[[#This Row],[unit_price]]</f>
        <v>38.950000000000003</v>
      </c>
      <c r="M2015">
        <f>COUNTIFS($C$2:$C$3934,Table4[[#This Row],[customer_id]])</f>
        <v>3</v>
      </c>
      <c r="N2015" t="str">
        <f>IF(Table4[[#This Row],[customer_order_count]]=1,"New Customer","Repeat Customer")</f>
        <v>Repeat Customer</v>
      </c>
    </row>
    <row r="2016" spans="1:14">
      <c r="A2016" t="s">
        <v>2154</v>
      </c>
      <c r="B2016" s="1">
        <v>45562</v>
      </c>
      <c r="C2016" t="s">
        <v>2155</v>
      </c>
      <c r="D2016" t="s">
        <v>105</v>
      </c>
      <c r="E2016" t="s">
        <v>21</v>
      </c>
      <c r="F2016" t="s">
        <v>28</v>
      </c>
      <c r="G2016" t="s">
        <v>114</v>
      </c>
      <c r="H2016">
        <v>1</v>
      </c>
      <c r="I2016" s="3">
        <v>38.96</v>
      </c>
      <c r="J2016" t="s">
        <v>16</v>
      </c>
      <c r="K2016" t="s">
        <v>17</v>
      </c>
      <c r="L2016" s="4">
        <f>Table4[[#This Row],[quantity]]*Table4[[#This Row],[unit_price]]</f>
        <v>38.96</v>
      </c>
      <c r="M2016">
        <f>COUNTIFS($C$2:$C$3934,Table4[[#This Row],[customer_id]])</f>
        <v>5</v>
      </c>
      <c r="N2016" t="str">
        <f>IF(Table4[[#This Row],[customer_order_count]]=1,"New Customer","Repeat Customer")</f>
        <v>Repeat Customer</v>
      </c>
    </row>
    <row r="2017" spans="1:14">
      <c r="A2017" t="s">
        <v>1795</v>
      </c>
      <c r="B2017" s="1">
        <v>45565</v>
      </c>
      <c r="C2017" t="s">
        <v>1646</v>
      </c>
      <c r="D2017" t="s">
        <v>313</v>
      </c>
      <c r="E2017" t="s">
        <v>21</v>
      </c>
      <c r="F2017" t="s">
        <v>70</v>
      </c>
      <c r="G2017" t="s">
        <v>170</v>
      </c>
      <c r="H2017">
        <v>2</v>
      </c>
      <c r="I2017" s="3">
        <v>38.96</v>
      </c>
      <c r="J2017" t="s">
        <v>16</v>
      </c>
      <c r="K2017" t="s">
        <v>30</v>
      </c>
      <c r="L2017" s="4">
        <f>Table4[[#This Row],[quantity]]*Table4[[#This Row],[unit_price]]</f>
        <v>77.92</v>
      </c>
      <c r="M2017">
        <f>COUNTIFS($C$2:$C$3934,Table4[[#This Row],[customer_id]])</f>
        <v>4</v>
      </c>
      <c r="N2017" t="str">
        <f>IF(Table4[[#This Row],[customer_order_count]]=1,"New Customer","Repeat Customer")</f>
        <v>Repeat Customer</v>
      </c>
    </row>
    <row r="2018" spans="1:14">
      <c r="A2018" t="s">
        <v>4052</v>
      </c>
      <c r="B2018" s="1">
        <v>45418</v>
      </c>
      <c r="C2018" t="s">
        <v>1763</v>
      </c>
      <c r="D2018" t="s">
        <v>1103</v>
      </c>
      <c r="E2018" t="s">
        <v>21</v>
      </c>
      <c r="F2018" t="s">
        <v>14</v>
      </c>
      <c r="G2018" t="s">
        <v>39</v>
      </c>
      <c r="H2018">
        <v>1</v>
      </c>
      <c r="I2018" s="3">
        <v>38.99</v>
      </c>
      <c r="J2018" t="s">
        <v>16</v>
      </c>
      <c r="K2018" t="s">
        <v>35</v>
      </c>
      <c r="L2018" s="4">
        <f>Table4[[#This Row],[quantity]]*Table4[[#This Row],[unit_price]]</f>
        <v>38.99</v>
      </c>
      <c r="M2018">
        <f>COUNTIFS($C$2:$C$3934,Table4[[#This Row],[customer_id]])</f>
        <v>8</v>
      </c>
      <c r="N2018" t="str">
        <f>IF(Table4[[#This Row],[customer_order_count]]=1,"New Customer","Repeat Customer")</f>
        <v>Repeat Customer</v>
      </c>
    </row>
    <row r="2019" spans="1:14">
      <c r="A2019" t="s">
        <v>5237</v>
      </c>
      <c r="B2019" s="1">
        <v>45501</v>
      </c>
      <c r="C2019" t="s">
        <v>2372</v>
      </c>
      <c r="D2019" t="s">
        <v>1453</v>
      </c>
      <c r="E2019" t="s">
        <v>21</v>
      </c>
      <c r="F2019" t="s">
        <v>14</v>
      </c>
      <c r="G2019" t="s">
        <v>258</v>
      </c>
      <c r="H2019">
        <v>1</v>
      </c>
      <c r="I2019" s="3">
        <v>39</v>
      </c>
      <c r="J2019" t="s">
        <v>16</v>
      </c>
      <c r="K2019" t="s">
        <v>40</v>
      </c>
      <c r="L2019" s="4">
        <f>Table4[[#This Row],[quantity]]*Table4[[#This Row],[unit_price]]</f>
        <v>39</v>
      </c>
      <c r="M2019">
        <f>COUNTIFS($C$2:$C$3934,Table4[[#This Row],[customer_id]])</f>
        <v>6</v>
      </c>
      <c r="N2019" t="str">
        <f>IF(Table4[[#This Row],[customer_order_count]]=1,"New Customer","Repeat Customer")</f>
        <v>Repeat Customer</v>
      </c>
    </row>
    <row r="2020" spans="1:14">
      <c r="A2020" t="s">
        <v>4853</v>
      </c>
      <c r="B2020" s="1">
        <v>45210</v>
      </c>
      <c r="C2020" t="s">
        <v>515</v>
      </c>
      <c r="D2020" t="s">
        <v>20</v>
      </c>
      <c r="E2020" t="s">
        <v>21</v>
      </c>
      <c r="F2020" t="s">
        <v>28</v>
      </c>
      <c r="G2020" t="s">
        <v>139</v>
      </c>
      <c r="H2020">
        <v>3</v>
      </c>
      <c r="I2020" s="3">
        <v>39.04</v>
      </c>
      <c r="J2020" t="s">
        <v>16</v>
      </c>
      <c r="K2020" t="s">
        <v>40</v>
      </c>
      <c r="L2020" s="4">
        <f>Table4[[#This Row],[quantity]]*Table4[[#This Row],[unit_price]]</f>
        <v>117.12</v>
      </c>
      <c r="M2020">
        <f>COUNTIFS($C$2:$C$3934,Table4[[#This Row],[customer_id]])</f>
        <v>6</v>
      </c>
      <c r="N2020" t="str">
        <f>IF(Table4[[#This Row],[customer_order_count]]=1,"New Customer","Repeat Customer")</f>
        <v>Repeat Customer</v>
      </c>
    </row>
    <row r="2021" spans="1:14">
      <c r="A2021" t="s">
        <v>1760</v>
      </c>
      <c r="B2021" s="1">
        <v>45621</v>
      </c>
      <c r="C2021" t="s">
        <v>1761</v>
      </c>
      <c r="D2021" t="s">
        <v>797</v>
      </c>
      <c r="E2021" t="s">
        <v>21</v>
      </c>
      <c r="F2021" t="s">
        <v>22</v>
      </c>
      <c r="G2021" t="s">
        <v>135</v>
      </c>
      <c r="H2021">
        <v>5</v>
      </c>
      <c r="I2021" s="3">
        <v>39.04</v>
      </c>
      <c r="J2021" t="s">
        <v>255</v>
      </c>
      <c r="K2021" t="s">
        <v>30</v>
      </c>
      <c r="L2021" s="4">
        <f>Table4[[#This Row],[quantity]]*Table4[[#This Row],[unit_price]]</f>
        <v>195.2</v>
      </c>
      <c r="M2021">
        <f>COUNTIFS($C$2:$C$3934,Table4[[#This Row],[customer_id]])</f>
        <v>4</v>
      </c>
      <c r="N2021" t="str">
        <f>IF(Table4[[#This Row],[customer_order_count]]=1,"New Customer","Repeat Customer")</f>
        <v>Repeat Customer</v>
      </c>
    </row>
    <row r="2022" spans="1:14">
      <c r="A2022" t="s">
        <v>111</v>
      </c>
      <c r="B2022" s="1">
        <v>45394</v>
      </c>
      <c r="C2022" t="s">
        <v>112</v>
      </c>
      <c r="D2022" t="s">
        <v>113</v>
      </c>
      <c r="E2022" t="s">
        <v>21</v>
      </c>
      <c r="F2022" t="s">
        <v>28</v>
      </c>
      <c r="G2022" t="s">
        <v>114</v>
      </c>
      <c r="H2022">
        <v>1</v>
      </c>
      <c r="I2022" s="3">
        <v>39.049999999999997</v>
      </c>
      <c r="J2022" t="s">
        <v>16</v>
      </c>
      <c r="K2022" t="s">
        <v>35</v>
      </c>
      <c r="L2022" s="4">
        <f>Table4[[#This Row],[quantity]]*Table4[[#This Row],[unit_price]]</f>
        <v>39.049999999999997</v>
      </c>
      <c r="M2022">
        <f>COUNTIFS($C$2:$C$3934,Table4[[#This Row],[customer_id]])</f>
        <v>7</v>
      </c>
      <c r="N2022" t="str">
        <f>IF(Table4[[#This Row],[customer_order_count]]=1,"New Customer","Repeat Customer")</f>
        <v>Repeat Customer</v>
      </c>
    </row>
    <row r="2023" spans="1:14">
      <c r="A2023" t="s">
        <v>3530</v>
      </c>
      <c r="B2023" s="1">
        <v>45102</v>
      </c>
      <c r="C2023" t="s">
        <v>1780</v>
      </c>
      <c r="D2023" t="s">
        <v>169</v>
      </c>
      <c r="E2023" t="s">
        <v>44</v>
      </c>
      <c r="F2023" t="s">
        <v>14</v>
      </c>
      <c r="G2023" t="s">
        <v>100</v>
      </c>
      <c r="H2023">
        <v>2</v>
      </c>
      <c r="I2023" s="3">
        <v>39.049999999999997</v>
      </c>
      <c r="J2023" t="s">
        <v>16</v>
      </c>
      <c r="K2023" t="s">
        <v>30</v>
      </c>
      <c r="L2023" s="4">
        <f>Table4[[#This Row],[quantity]]*Table4[[#This Row],[unit_price]]</f>
        <v>78.099999999999994</v>
      </c>
      <c r="M2023">
        <f>COUNTIFS($C$2:$C$3934,Table4[[#This Row],[customer_id]])</f>
        <v>6</v>
      </c>
      <c r="N2023" t="str">
        <f>IF(Table4[[#This Row],[customer_order_count]]=1,"New Customer","Repeat Customer")</f>
        <v>Repeat Customer</v>
      </c>
    </row>
    <row r="2024" spans="1:14">
      <c r="A2024" t="s">
        <v>5153</v>
      </c>
      <c r="B2024" s="1">
        <v>45501</v>
      </c>
      <c r="C2024" t="s">
        <v>301</v>
      </c>
      <c r="D2024" t="s">
        <v>189</v>
      </c>
      <c r="E2024" t="s">
        <v>21</v>
      </c>
      <c r="F2024" t="s">
        <v>28</v>
      </c>
      <c r="G2024" t="s">
        <v>29</v>
      </c>
      <c r="H2024">
        <v>2</v>
      </c>
      <c r="I2024" s="3">
        <v>39.08</v>
      </c>
      <c r="J2024" t="s">
        <v>16</v>
      </c>
      <c r="K2024" t="s">
        <v>35</v>
      </c>
      <c r="L2024" s="4">
        <f>Table4[[#This Row],[quantity]]*Table4[[#This Row],[unit_price]]</f>
        <v>78.16</v>
      </c>
      <c r="M2024">
        <f>COUNTIFS($C$2:$C$3934,Table4[[#This Row],[customer_id]])</f>
        <v>5</v>
      </c>
      <c r="N2024" t="str">
        <f>IF(Table4[[#This Row],[customer_order_count]]=1,"New Customer","Repeat Customer")</f>
        <v>Repeat Customer</v>
      </c>
    </row>
    <row r="2025" spans="1:14">
      <c r="A2025" t="s">
        <v>4895</v>
      </c>
      <c r="B2025" s="1">
        <v>45354</v>
      </c>
      <c r="C2025" t="s">
        <v>655</v>
      </c>
      <c r="D2025" t="s">
        <v>597</v>
      </c>
      <c r="E2025" t="s">
        <v>21</v>
      </c>
      <c r="F2025" t="s">
        <v>22</v>
      </c>
      <c r="G2025" t="s">
        <v>23</v>
      </c>
      <c r="H2025">
        <v>2</v>
      </c>
      <c r="I2025" s="3">
        <v>39.090000000000003</v>
      </c>
      <c r="J2025" t="s">
        <v>24</v>
      </c>
      <c r="K2025" t="s">
        <v>30</v>
      </c>
      <c r="L2025" s="4">
        <f>Table4[[#This Row],[quantity]]*Table4[[#This Row],[unit_price]]</f>
        <v>78.180000000000007</v>
      </c>
      <c r="M2025">
        <f>COUNTIFS($C$2:$C$3934,Table4[[#This Row],[customer_id]])</f>
        <v>12</v>
      </c>
      <c r="N2025" t="str">
        <f>IF(Table4[[#This Row],[customer_order_count]]=1,"New Customer","Repeat Customer")</f>
        <v>Repeat Customer</v>
      </c>
    </row>
    <row r="2026" spans="1:14">
      <c r="A2026" t="s">
        <v>3650</v>
      </c>
      <c r="B2026" s="1">
        <v>45654</v>
      </c>
      <c r="C2026" t="s">
        <v>793</v>
      </c>
      <c r="D2026" t="s">
        <v>794</v>
      </c>
      <c r="E2026" t="s">
        <v>44</v>
      </c>
      <c r="F2026" t="s">
        <v>14</v>
      </c>
      <c r="G2026" t="s">
        <v>39</v>
      </c>
      <c r="H2026">
        <v>1</v>
      </c>
      <c r="I2026" s="3">
        <v>39.15</v>
      </c>
      <c r="J2026" t="s">
        <v>85</v>
      </c>
      <c r="K2026" t="s">
        <v>35</v>
      </c>
      <c r="L2026" s="4">
        <f>Table4[[#This Row],[quantity]]*Table4[[#This Row],[unit_price]]</f>
        <v>39.15</v>
      </c>
      <c r="M2026">
        <f>COUNTIFS($C$2:$C$3934,Table4[[#This Row],[customer_id]])</f>
        <v>5</v>
      </c>
      <c r="N2026" t="str">
        <f>IF(Table4[[#This Row],[customer_order_count]]=1,"New Customer","Repeat Customer")</f>
        <v>Repeat Customer</v>
      </c>
    </row>
    <row r="2027" spans="1:14">
      <c r="A2027" t="s">
        <v>4216</v>
      </c>
      <c r="B2027" s="1">
        <v>45082</v>
      </c>
      <c r="C2027" t="s">
        <v>1298</v>
      </c>
      <c r="D2027" t="s">
        <v>48</v>
      </c>
      <c r="E2027" t="s">
        <v>21</v>
      </c>
      <c r="F2027" t="s">
        <v>70</v>
      </c>
      <c r="G2027" t="s">
        <v>526</v>
      </c>
      <c r="H2027">
        <v>2</v>
      </c>
      <c r="I2027" s="3">
        <v>39.18</v>
      </c>
      <c r="J2027" t="s">
        <v>16</v>
      </c>
      <c r="K2027" t="s">
        <v>35</v>
      </c>
      <c r="L2027" s="4">
        <f>Table4[[#This Row],[quantity]]*Table4[[#This Row],[unit_price]]</f>
        <v>78.36</v>
      </c>
      <c r="M2027">
        <f>COUNTIFS($C$2:$C$3934,Table4[[#This Row],[customer_id]])</f>
        <v>10</v>
      </c>
      <c r="N2027" t="str">
        <f>IF(Table4[[#This Row],[customer_order_count]]=1,"New Customer","Repeat Customer")</f>
        <v>Repeat Customer</v>
      </c>
    </row>
    <row r="2028" spans="1:14">
      <c r="A2028" t="s">
        <v>1341</v>
      </c>
      <c r="B2028" s="1">
        <v>45290</v>
      </c>
      <c r="C2028" t="s">
        <v>1342</v>
      </c>
      <c r="D2028" t="s">
        <v>820</v>
      </c>
      <c r="E2028" t="s">
        <v>21</v>
      </c>
      <c r="F2028" t="s">
        <v>22</v>
      </c>
      <c r="G2028" t="s">
        <v>162</v>
      </c>
      <c r="H2028">
        <v>1</v>
      </c>
      <c r="I2028" s="3">
        <v>39.21</v>
      </c>
      <c r="J2028" t="s">
        <v>85</v>
      </c>
      <c r="K2028" t="s">
        <v>35</v>
      </c>
      <c r="L2028" s="4">
        <f>Table4[[#This Row],[quantity]]*Table4[[#This Row],[unit_price]]</f>
        <v>39.21</v>
      </c>
      <c r="M2028">
        <f>COUNTIFS($C$2:$C$3934,Table4[[#This Row],[customer_id]])</f>
        <v>5</v>
      </c>
      <c r="N2028" t="str">
        <f>IF(Table4[[#This Row],[customer_order_count]]=1,"New Customer","Repeat Customer")</f>
        <v>Repeat Customer</v>
      </c>
    </row>
    <row r="2029" spans="1:14">
      <c r="A2029" t="s">
        <v>4730</v>
      </c>
      <c r="B2029" s="1">
        <v>45434</v>
      </c>
      <c r="C2029" t="s">
        <v>3262</v>
      </c>
      <c r="D2029" t="s">
        <v>1938</v>
      </c>
      <c r="E2029" t="s">
        <v>21</v>
      </c>
      <c r="F2029" t="s">
        <v>70</v>
      </c>
      <c r="G2029" t="s">
        <v>337</v>
      </c>
      <c r="H2029">
        <v>1</v>
      </c>
      <c r="I2029" s="3">
        <v>39.22</v>
      </c>
      <c r="J2029" t="s">
        <v>16</v>
      </c>
      <c r="K2029" t="s">
        <v>17</v>
      </c>
      <c r="L2029" s="4">
        <f>Table4[[#This Row],[quantity]]*Table4[[#This Row],[unit_price]]</f>
        <v>39.22</v>
      </c>
      <c r="M2029">
        <f>COUNTIFS($C$2:$C$3934,Table4[[#This Row],[customer_id]])</f>
        <v>7</v>
      </c>
      <c r="N2029" t="str">
        <f>IF(Table4[[#This Row],[customer_order_count]]=1,"New Customer","Repeat Customer")</f>
        <v>Repeat Customer</v>
      </c>
    </row>
    <row r="2030" spans="1:14">
      <c r="A2030" t="s">
        <v>3273</v>
      </c>
      <c r="B2030" s="1">
        <v>45476</v>
      </c>
      <c r="C2030" t="s">
        <v>1095</v>
      </c>
      <c r="D2030" t="s">
        <v>229</v>
      </c>
      <c r="E2030" t="s">
        <v>21</v>
      </c>
      <c r="F2030" t="s">
        <v>28</v>
      </c>
      <c r="G2030" t="s">
        <v>45</v>
      </c>
      <c r="H2030">
        <v>2</v>
      </c>
      <c r="I2030" s="3">
        <v>39.22</v>
      </c>
      <c r="J2030" t="s">
        <v>16</v>
      </c>
      <c r="K2030" t="s">
        <v>35</v>
      </c>
      <c r="L2030" s="4">
        <f>Table4[[#This Row],[quantity]]*Table4[[#This Row],[unit_price]]</f>
        <v>78.44</v>
      </c>
      <c r="M2030">
        <f>COUNTIFS($C$2:$C$3934,Table4[[#This Row],[customer_id]])</f>
        <v>7</v>
      </c>
      <c r="N2030" t="str">
        <f>IF(Table4[[#This Row],[customer_order_count]]=1,"New Customer","Repeat Customer")</f>
        <v>Repeat Customer</v>
      </c>
    </row>
    <row r="2031" spans="1:14">
      <c r="A2031" t="s">
        <v>5215</v>
      </c>
      <c r="B2031" s="1">
        <v>45428</v>
      </c>
      <c r="C2031" t="s">
        <v>2002</v>
      </c>
      <c r="D2031" t="s">
        <v>612</v>
      </c>
      <c r="E2031" t="s">
        <v>21</v>
      </c>
      <c r="F2031" t="s">
        <v>70</v>
      </c>
      <c r="G2031" t="s">
        <v>170</v>
      </c>
      <c r="H2031">
        <v>1</v>
      </c>
      <c r="I2031" s="3">
        <v>39.26</v>
      </c>
      <c r="J2031" t="s">
        <v>16</v>
      </c>
      <c r="K2031" t="s">
        <v>35</v>
      </c>
      <c r="L2031" s="4">
        <f>Table4[[#This Row],[quantity]]*Table4[[#This Row],[unit_price]]</f>
        <v>39.26</v>
      </c>
      <c r="M2031">
        <f>COUNTIFS($C$2:$C$3934,Table4[[#This Row],[customer_id]])</f>
        <v>5</v>
      </c>
      <c r="N2031" t="str">
        <f>IF(Table4[[#This Row],[customer_order_count]]=1,"New Customer","Repeat Customer")</f>
        <v>Repeat Customer</v>
      </c>
    </row>
    <row r="2032" spans="1:14">
      <c r="A2032" t="s">
        <v>3744</v>
      </c>
      <c r="B2032" s="1">
        <v>45139</v>
      </c>
      <c r="C2032" t="s">
        <v>961</v>
      </c>
      <c r="D2032" t="s">
        <v>962</v>
      </c>
      <c r="E2032" t="s">
        <v>21</v>
      </c>
      <c r="F2032" t="s">
        <v>28</v>
      </c>
      <c r="G2032" t="s">
        <v>139</v>
      </c>
      <c r="H2032">
        <v>1</v>
      </c>
      <c r="I2032" s="3">
        <v>39.299999999999997</v>
      </c>
      <c r="J2032" t="s">
        <v>16</v>
      </c>
      <c r="K2032" t="s">
        <v>40</v>
      </c>
      <c r="L2032" s="4">
        <f>Table4[[#This Row],[quantity]]*Table4[[#This Row],[unit_price]]</f>
        <v>39.299999999999997</v>
      </c>
      <c r="M2032">
        <f>COUNTIFS($C$2:$C$3934,Table4[[#This Row],[customer_id]])</f>
        <v>6</v>
      </c>
      <c r="N2032" t="str">
        <f>IF(Table4[[#This Row],[customer_order_count]]=1,"New Customer","Repeat Customer")</f>
        <v>Repeat Customer</v>
      </c>
    </row>
    <row r="2033" spans="1:14">
      <c r="A2033" t="s">
        <v>2438</v>
      </c>
      <c r="B2033" s="1">
        <v>45194</v>
      </c>
      <c r="C2033" t="s">
        <v>2439</v>
      </c>
      <c r="D2033" t="s">
        <v>2152</v>
      </c>
      <c r="E2033" t="s">
        <v>21</v>
      </c>
      <c r="F2033" t="s">
        <v>70</v>
      </c>
      <c r="G2033" t="s">
        <v>89</v>
      </c>
      <c r="H2033">
        <v>2</v>
      </c>
      <c r="I2033" s="3">
        <v>39.33</v>
      </c>
      <c r="J2033" t="s">
        <v>16</v>
      </c>
      <c r="K2033" t="s">
        <v>17</v>
      </c>
      <c r="L2033" s="4">
        <f>Table4[[#This Row],[quantity]]*Table4[[#This Row],[unit_price]]</f>
        <v>78.66</v>
      </c>
      <c r="M2033">
        <f>COUNTIFS($C$2:$C$3934,Table4[[#This Row],[customer_id]])</f>
        <v>3</v>
      </c>
      <c r="N2033" t="str">
        <f>IF(Table4[[#This Row],[customer_order_count]]=1,"New Customer","Repeat Customer")</f>
        <v>Repeat Customer</v>
      </c>
    </row>
    <row r="2034" spans="1:14">
      <c r="A2034" t="s">
        <v>1369</v>
      </c>
      <c r="B2034" s="1">
        <v>45070</v>
      </c>
      <c r="C2034" t="s">
        <v>469</v>
      </c>
      <c r="D2034" t="s">
        <v>428</v>
      </c>
      <c r="E2034" t="s">
        <v>21</v>
      </c>
      <c r="F2034" t="s">
        <v>28</v>
      </c>
      <c r="G2034" t="s">
        <v>84</v>
      </c>
      <c r="H2034">
        <v>1</v>
      </c>
      <c r="I2034" s="3">
        <v>39.340000000000003</v>
      </c>
      <c r="J2034" t="s">
        <v>16</v>
      </c>
      <c r="K2034" s="2" t="s">
        <v>5256</v>
      </c>
      <c r="L2034" s="4">
        <f>Table4[[#This Row],[quantity]]*Table4[[#This Row],[unit_price]]</f>
        <v>39.340000000000003</v>
      </c>
      <c r="M2034">
        <f>COUNTIFS($C$2:$C$3934,Table4[[#This Row],[customer_id]])</f>
        <v>8</v>
      </c>
      <c r="N2034" t="str">
        <f>IF(Table4[[#This Row],[customer_order_count]]=1,"New Customer","Repeat Customer")</f>
        <v>Repeat Customer</v>
      </c>
    </row>
    <row r="2035" spans="1:14">
      <c r="A2035" t="s">
        <v>3288</v>
      </c>
      <c r="B2035" s="1">
        <v>45278</v>
      </c>
      <c r="C2035" t="s">
        <v>927</v>
      </c>
      <c r="D2035" s="2" t="s">
        <v>5257</v>
      </c>
      <c r="E2035" t="s">
        <v>44</v>
      </c>
      <c r="F2035" t="s">
        <v>70</v>
      </c>
      <c r="G2035" t="s">
        <v>89</v>
      </c>
      <c r="H2035">
        <v>1</v>
      </c>
      <c r="I2035" s="3">
        <v>39.369999999999997</v>
      </c>
      <c r="J2035" t="s">
        <v>24</v>
      </c>
      <c r="K2035" s="5" t="s">
        <v>40</v>
      </c>
      <c r="L2035" s="4">
        <f>Table4[[#This Row],[quantity]]*Table4[[#This Row],[unit_price]]</f>
        <v>39.369999999999997</v>
      </c>
      <c r="M2035">
        <f>COUNTIFS($C$2:$C$3934,Table4[[#This Row],[customer_id]])</f>
        <v>6</v>
      </c>
      <c r="N2035" t="str">
        <f>IF(Table4[[#This Row],[customer_order_count]]=1,"New Customer","Repeat Customer")</f>
        <v>Repeat Customer</v>
      </c>
    </row>
    <row r="2036" spans="1:14">
      <c r="A2036" t="s">
        <v>2189</v>
      </c>
      <c r="B2036" s="1">
        <v>45618</v>
      </c>
      <c r="C2036" t="s">
        <v>1443</v>
      </c>
      <c r="D2036" s="5" t="s">
        <v>1444</v>
      </c>
      <c r="E2036" t="s">
        <v>21</v>
      </c>
      <c r="F2036" t="s">
        <v>22</v>
      </c>
      <c r="G2036" t="s">
        <v>142</v>
      </c>
      <c r="H2036">
        <v>2</v>
      </c>
      <c r="I2036" s="3">
        <v>39.39</v>
      </c>
      <c r="J2036" t="s">
        <v>16</v>
      </c>
      <c r="K2036" t="s">
        <v>40</v>
      </c>
      <c r="L2036" s="4">
        <f>Table4[[#This Row],[quantity]]*Table4[[#This Row],[unit_price]]</f>
        <v>78.78</v>
      </c>
      <c r="M2036">
        <f>COUNTIFS($C$2:$C$3934,Table4[[#This Row],[customer_id]])</f>
        <v>4</v>
      </c>
      <c r="N2036" t="str">
        <f>IF(Table4[[#This Row],[customer_order_count]]=1,"New Customer","Repeat Customer")</f>
        <v>Repeat Customer</v>
      </c>
    </row>
    <row r="2037" spans="1:14">
      <c r="A2037" t="s">
        <v>2085</v>
      </c>
      <c r="B2037" s="1">
        <v>45371</v>
      </c>
      <c r="C2037" t="s">
        <v>2086</v>
      </c>
      <c r="D2037" t="s">
        <v>650</v>
      </c>
      <c r="E2037" t="s">
        <v>44</v>
      </c>
      <c r="F2037" t="s">
        <v>70</v>
      </c>
      <c r="G2037" t="s">
        <v>170</v>
      </c>
      <c r="H2037">
        <v>1</v>
      </c>
      <c r="I2037" s="3">
        <v>39.4</v>
      </c>
      <c r="J2037" t="s">
        <v>16</v>
      </c>
      <c r="K2037" t="s">
        <v>40</v>
      </c>
      <c r="L2037" s="4">
        <f>Table4[[#This Row],[quantity]]*Table4[[#This Row],[unit_price]]</f>
        <v>39.4</v>
      </c>
      <c r="M2037">
        <f>COUNTIFS($C$2:$C$3934,Table4[[#This Row],[customer_id]])</f>
        <v>7</v>
      </c>
      <c r="N2037" t="str">
        <f>IF(Table4[[#This Row],[customer_order_count]]=1,"New Customer","Repeat Customer")</f>
        <v>Repeat Customer</v>
      </c>
    </row>
    <row r="2038" spans="1:14">
      <c r="A2038" t="s">
        <v>3752</v>
      </c>
      <c r="B2038" s="1">
        <v>45563</v>
      </c>
      <c r="C2038" t="s">
        <v>3753</v>
      </c>
      <c r="D2038" t="s">
        <v>693</v>
      </c>
      <c r="E2038" t="s">
        <v>21</v>
      </c>
      <c r="F2038" t="s">
        <v>79</v>
      </c>
      <c r="G2038" t="s">
        <v>541</v>
      </c>
      <c r="H2038">
        <v>2</v>
      </c>
      <c r="I2038" s="3">
        <v>39.4</v>
      </c>
      <c r="J2038" t="s">
        <v>16</v>
      </c>
      <c r="K2038" t="s">
        <v>17</v>
      </c>
      <c r="L2038" s="4">
        <f>Table4[[#This Row],[quantity]]*Table4[[#This Row],[unit_price]]</f>
        <v>78.8</v>
      </c>
      <c r="M2038">
        <f>COUNTIFS($C$2:$C$3934,Table4[[#This Row],[customer_id]])</f>
        <v>3</v>
      </c>
      <c r="N2038" t="str">
        <f>IF(Table4[[#This Row],[customer_order_count]]=1,"New Customer","Repeat Customer")</f>
        <v>Repeat Customer</v>
      </c>
    </row>
    <row r="2039" spans="1:14">
      <c r="A2039" t="s">
        <v>4930</v>
      </c>
      <c r="B2039" s="1">
        <v>45408</v>
      </c>
      <c r="C2039" t="s">
        <v>303</v>
      </c>
      <c r="D2039" t="s">
        <v>304</v>
      </c>
      <c r="E2039" t="s">
        <v>21</v>
      </c>
      <c r="F2039" t="s">
        <v>22</v>
      </c>
      <c r="G2039" t="s">
        <v>142</v>
      </c>
      <c r="H2039">
        <v>1</v>
      </c>
      <c r="I2039" s="3">
        <v>39.44</v>
      </c>
      <c r="J2039" t="s">
        <v>16</v>
      </c>
      <c r="K2039" t="s">
        <v>30</v>
      </c>
      <c r="L2039" s="4">
        <f>Table4[[#This Row],[quantity]]*Table4[[#This Row],[unit_price]]</f>
        <v>39.44</v>
      </c>
      <c r="M2039">
        <f>COUNTIFS($C$2:$C$3934,Table4[[#This Row],[customer_id]])</f>
        <v>5</v>
      </c>
      <c r="N2039" t="str">
        <f>IF(Table4[[#This Row],[customer_order_count]]=1,"New Customer","Repeat Customer")</f>
        <v>Repeat Customer</v>
      </c>
    </row>
    <row r="2040" spans="1:14">
      <c r="A2040" t="s">
        <v>2896</v>
      </c>
      <c r="B2040" s="1">
        <v>44929</v>
      </c>
      <c r="C2040" t="s">
        <v>2897</v>
      </c>
      <c r="D2040" t="s">
        <v>1054</v>
      </c>
      <c r="E2040" t="s">
        <v>44</v>
      </c>
      <c r="F2040" t="s">
        <v>28</v>
      </c>
      <c r="G2040" t="s">
        <v>114</v>
      </c>
      <c r="H2040">
        <v>1</v>
      </c>
      <c r="I2040" s="3">
        <v>39.44</v>
      </c>
      <c r="J2040" t="s">
        <v>85</v>
      </c>
      <c r="K2040" t="s">
        <v>40</v>
      </c>
      <c r="L2040" s="4">
        <f>Table4[[#This Row],[quantity]]*Table4[[#This Row],[unit_price]]</f>
        <v>39.44</v>
      </c>
      <c r="M2040">
        <f>COUNTIFS($C$2:$C$3934,Table4[[#This Row],[customer_id]])</f>
        <v>2</v>
      </c>
      <c r="N2040" t="str">
        <f>IF(Table4[[#This Row],[customer_order_count]]=1,"New Customer","Repeat Customer")</f>
        <v>Repeat Customer</v>
      </c>
    </row>
    <row r="2041" spans="1:14">
      <c r="A2041" t="s">
        <v>4497</v>
      </c>
      <c r="B2041" s="1">
        <v>45207</v>
      </c>
      <c r="C2041" t="s">
        <v>876</v>
      </c>
      <c r="D2041" t="s">
        <v>877</v>
      </c>
      <c r="E2041" t="s">
        <v>21</v>
      </c>
      <c r="F2041" t="s">
        <v>28</v>
      </c>
      <c r="G2041" t="s">
        <v>84</v>
      </c>
      <c r="H2041">
        <v>1</v>
      </c>
      <c r="I2041" s="3">
        <v>39.450000000000003</v>
      </c>
      <c r="J2041" t="s">
        <v>16</v>
      </c>
      <c r="K2041" t="s">
        <v>35</v>
      </c>
      <c r="L2041" s="4">
        <f>Table4[[#This Row],[quantity]]*Table4[[#This Row],[unit_price]]</f>
        <v>39.450000000000003</v>
      </c>
      <c r="M2041">
        <f>COUNTIFS($C$2:$C$3934,Table4[[#This Row],[customer_id]])</f>
        <v>5</v>
      </c>
      <c r="N2041" t="str">
        <f>IF(Table4[[#This Row],[customer_order_count]]=1,"New Customer","Repeat Customer")</f>
        <v>Repeat Customer</v>
      </c>
    </row>
    <row r="2042" spans="1:14">
      <c r="A2042" t="s">
        <v>4757</v>
      </c>
      <c r="B2042" s="1">
        <v>45587</v>
      </c>
      <c r="C2042" t="s">
        <v>3644</v>
      </c>
      <c r="D2042" t="s">
        <v>145</v>
      </c>
      <c r="E2042" t="s">
        <v>44</v>
      </c>
      <c r="F2042" t="s">
        <v>28</v>
      </c>
      <c r="G2042" t="s">
        <v>114</v>
      </c>
      <c r="H2042">
        <v>1</v>
      </c>
      <c r="I2042" s="3">
        <v>39.49</v>
      </c>
      <c r="J2042" t="s">
        <v>255</v>
      </c>
      <c r="K2042" t="s">
        <v>17</v>
      </c>
      <c r="L2042" s="4">
        <f>Table4[[#This Row],[quantity]]*Table4[[#This Row],[unit_price]]</f>
        <v>39.49</v>
      </c>
      <c r="M2042">
        <f>COUNTIFS($C$2:$C$3934,Table4[[#This Row],[customer_id]])</f>
        <v>3</v>
      </c>
      <c r="N2042" t="str">
        <f>IF(Table4[[#This Row],[customer_order_count]]=1,"New Customer","Repeat Customer")</f>
        <v>Repeat Customer</v>
      </c>
    </row>
    <row r="2043" spans="1:14">
      <c r="A2043" t="s">
        <v>3451</v>
      </c>
      <c r="B2043" s="1">
        <v>45011</v>
      </c>
      <c r="C2043" t="s">
        <v>112</v>
      </c>
      <c r="D2043" t="s">
        <v>113</v>
      </c>
      <c r="E2043" t="s">
        <v>21</v>
      </c>
      <c r="F2043" t="s">
        <v>22</v>
      </c>
      <c r="G2043" t="s">
        <v>162</v>
      </c>
      <c r="H2043">
        <v>1</v>
      </c>
      <c r="I2043" s="3">
        <v>39.5</v>
      </c>
      <c r="J2043" t="s">
        <v>16</v>
      </c>
      <c r="K2043" t="s">
        <v>17</v>
      </c>
      <c r="L2043" s="4">
        <f>Table4[[#This Row],[quantity]]*Table4[[#This Row],[unit_price]]</f>
        <v>39.5</v>
      </c>
      <c r="M2043">
        <f>COUNTIFS($C$2:$C$3934,Table4[[#This Row],[customer_id]])</f>
        <v>7</v>
      </c>
      <c r="N2043" t="str">
        <f>IF(Table4[[#This Row],[customer_order_count]]=1,"New Customer","Repeat Customer")</f>
        <v>Repeat Customer</v>
      </c>
    </row>
    <row r="2044" spans="1:14">
      <c r="A2044" t="s">
        <v>3159</v>
      </c>
      <c r="B2044" s="1">
        <v>45461</v>
      </c>
      <c r="C2044" t="s">
        <v>1082</v>
      </c>
      <c r="D2044" t="s">
        <v>380</v>
      </c>
      <c r="E2044" t="s">
        <v>21</v>
      </c>
      <c r="F2044" t="s">
        <v>22</v>
      </c>
      <c r="G2044" t="s">
        <v>142</v>
      </c>
      <c r="H2044">
        <v>1</v>
      </c>
      <c r="I2044" s="3">
        <v>39.5</v>
      </c>
      <c r="J2044" t="s">
        <v>16</v>
      </c>
      <c r="K2044" t="s">
        <v>35</v>
      </c>
      <c r="L2044" s="4">
        <f>Table4[[#This Row],[quantity]]*Table4[[#This Row],[unit_price]]</f>
        <v>39.5</v>
      </c>
      <c r="M2044">
        <f>COUNTIFS($C$2:$C$3934,Table4[[#This Row],[customer_id]])</f>
        <v>5</v>
      </c>
      <c r="N2044" t="str">
        <f>IF(Table4[[#This Row],[customer_order_count]]=1,"New Customer","Repeat Customer")</f>
        <v>Repeat Customer</v>
      </c>
    </row>
    <row r="2045" spans="1:14">
      <c r="A2045" t="s">
        <v>2502</v>
      </c>
      <c r="B2045" s="1">
        <v>45480</v>
      </c>
      <c r="C2045" t="s">
        <v>2503</v>
      </c>
      <c r="D2045" t="s">
        <v>310</v>
      </c>
      <c r="E2045" t="s">
        <v>61</v>
      </c>
      <c r="F2045" t="s">
        <v>22</v>
      </c>
      <c r="G2045" t="s">
        <v>23</v>
      </c>
      <c r="H2045">
        <v>1</v>
      </c>
      <c r="I2045" s="3">
        <v>39.51</v>
      </c>
      <c r="J2045" t="s">
        <v>85</v>
      </c>
      <c r="K2045" t="s">
        <v>35</v>
      </c>
      <c r="L2045" s="4">
        <f>Table4[[#This Row],[quantity]]*Table4[[#This Row],[unit_price]]</f>
        <v>39.51</v>
      </c>
      <c r="M2045">
        <f>COUNTIFS($C$2:$C$3934,Table4[[#This Row],[customer_id]])</f>
        <v>3</v>
      </c>
      <c r="N2045" t="str">
        <f>IF(Table4[[#This Row],[customer_order_count]]=1,"New Customer","Repeat Customer")</f>
        <v>Repeat Customer</v>
      </c>
    </row>
    <row r="2046" spans="1:14">
      <c r="A2046" t="s">
        <v>3375</v>
      </c>
      <c r="B2046" s="1">
        <v>45485</v>
      </c>
      <c r="C2046" t="s">
        <v>2288</v>
      </c>
      <c r="D2046" t="s">
        <v>740</v>
      </c>
      <c r="E2046" t="s">
        <v>21</v>
      </c>
      <c r="F2046" t="s">
        <v>70</v>
      </c>
      <c r="G2046" t="s">
        <v>526</v>
      </c>
      <c r="H2046">
        <v>1</v>
      </c>
      <c r="I2046" s="3">
        <v>39.53</v>
      </c>
      <c r="J2046" t="s">
        <v>16</v>
      </c>
      <c r="K2046" t="s">
        <v>30</v>
      </c>
      <c r="L2046" s="4">
        <f>Table4[[#This Row],[quantity]]*Table4[[#This Row],[unit_price]]</f>
        <v>39.53</v>
      </c>
      <c r="M2046">
        <f>COUNTIFS($C$2:$C$3934,Table4[[#This Row],[customer_id]])</f>
        <v>5</v>
      </c>
      <c r="N2046" t="str">
        <f>IF(Table4[[#This Row],[customer_order_count]]=1,"New Customer","Repeat Customer")</f>
        <v>Repeat Customer</v>
      </c>
    </row>
    <row r="2047" spans="1:14">
      <c r="A2047" t="s">
        <v>4936</v>
      </c>
      <c r="B2047" s="1">
        <v>44996</v>
      </c>
      <c r="C2047" t="s">
        <v>1834</v>
      </c>
      <c r="D2047" t="s">
        <v>359</v>
      </c>
      <c r="E2047" t="s">
        <v>21</v>
      </c>
      <c r="F2047" t="s">
        <v>79</v>
      </c>
      <c r="G2047" t="s">
        <v>200</v>
      </c>
      <c r="H2047">
        <v>1</v>
      </c>
      <c r="I2047" s="3">
        <v>39.54</v>
      </c>
      <c r="J2047" t="s">
        <v>16</v>
      </c>
      <c r="K2047" t="s">
        <v>17</v>
      </c>
      <c r="L2047" s="4">
        <f>Table4[[#This Row],[quantity]]*Table4[[#This Row],[unit_price]]</f>
        <v>39.54</v>
      </c>
      <c r="M2047">
        <f>COUNTIFS($C$2:$C$3934,Table4[[#This Row],[customer_id]])</f>
        <v>7</v>
      </c>
      <c r="N2047" t="str">
        <f>IF(Table4[[#This Row],[customer_order_count]]=1,"New Customer","Repeat Customer")</f>
        <v>Repeat Customer</v>
      </c>
    </row>
    <row r="2048" spans="1:14">
      <c r="A2048" t="s">
        <v>4268</v>
      </c>
      <c r="B2048" s="1">
        <v>45575</v>
      </c>
      <c r="C2048" t="s">
        <v>2288</v>
      </c>
      <c r="D2048" t="s">
        <v>740</v>
      </c>
      <c r="E2048" t="s">
        <v>21</v>
      </c>
      <c r="F2048" t="s">
        <v>22</v>
      </c>
      <c r="G2048" t="s">
        <v>135</v>
      </c>
      <c r="H2048">
        <v>2</v>
      </c>
      <c r="I2048" s="3">
        <v>39.56</v>
      </c>
      <c r="J2048" t="s">
        <v>16</v>
      </c>
      <c r="K2048" t="s">
        <v>35</v>
      </c>
      <c r="L2048" s="4">
        <f>Table4[[#This Row],[quantity]]*Table4[[#This Row],[unit_price]]</f>
        <v>79.12</v>
      </c>
      <c r="M2048">
        <f>COUNTIFS($C$2:$C$3934,Table4[[#This Row],[customer_id]])</f>
        <v>5</v>
      </c>
      <c r="N2048" t="str">
        <f>IF(Table4[[#This Row],[customer_order_count]]=1,"New Customer","Repeat Customer")</f>
        <v>Repeat Customer</v>
      </c>
    </row>
    <row r="2049" spans="1:14">
      <c r="A2049" t="s">
        <v>4707</v>
      </c>
      <c r="B2049" s="1">
        <v>45227</v>
      </c>
      <c r="C2049" t="s">
        <v>799</v>
      </c>
      <c r="D2049" t="s">
        <v>43</v>
      </c>
      <c r="E2049" t="s">
        <v>21</v>
      </c>
      <c r="F2049" t="s">
        <v>28</v>
      </c>
      <c r="G2049" t="s">
        <v>114</v>
      </c>
      <c r="H2049">
        <v>1</v>
      </c>
      <c r="I2049" s="3">
        <v>39.58</v>
      </c>
      <c r="J2049" t="s">
        <v>16</v>
      </c>
      <c r="K2049" t="s">
        <v>17</v>
      </c>
      <c r="L2049" s="4">
        <f>Table4[[#This Row],[quantity]]*Table4[[#This Row],[unit_price]]</f>
        <v>39.58</v>
      </c>
      <c r="M2049">
        <f>COUNTIFS($C$2:$C$3934,Table4[[#This Row],[customer_id]])</f>
        <v>8</v>
      </c>
      <c r="N2049" t="str">
        <f>IF(Table4[[#This Row],[customer_order_count]]=1,"New Customer","Repeat Customer")</f>
        <v>Repeat Customer</v>
      </c>
    </row>
    <row r="2050" spans="1:14">
      <c r="A2050" t="s">
        <v>4859</v>
      </c>
      <c r="B2050" s="1">
        <v>45558</v>
      </c>
      <c r="C2050" t="s">
        <v>1903</v>
      </c>
      <c r="D2050" t="s">
        <v>646</v>
      </c>
      <c r="E2050" t="s">
        <v>21</v>
      </c>
      <c r="F2050" t="s">
        <v>70</v>
      </c>
      <c r="G2050" t="s">
        <v>146</v>
      </c>
      <c r="H2050">
        <v>5</v>
      </c>
      <c r="I2050" s="3">
        <v>39.58</v>
      </c>
      <c r="J2050" t="s">
        <v>16</v>
      </c>
      <c r="K2050" t="s">
        <v>35</v>
      </c>
      <c r="L2050" s="4">
        <f>Table4[[#This Row],[quantity]]*Table4[[#This Row],[unit_price]]</f>
        <v>197.89999999999998</v>
      </c>
      <c r="M2050">
        <f>COUNTIFS($C$2:$C$3934,Table4[[#This Row],[customer_id]])</f>
        <v>4</v>
      </c>
      <c r="N2050" t="str">
        <f>IF(Table4[[#This Row],[customer_order_count]]=1,"New Customer","Repeat Customer")</f>
        <v>Repeat Customer</v>
      </c>
    </row>
    <row r="2051" spans="1:14">
      <c r="A2051" t="s">
        <v>4279</v>
      </c>
      <c r="B2051" s="1">
        <v>45355</v>
      </c>
      <c r="C2051" t="s">
        <v>853</v>
      </c>
      <c r="D2051" t="s">
        <v>854</v>
      </c>
      <c r="E2051" t="s">
        <v>21</v>
      </c>
      <c r="F2051" t="s">
        <v>28</v>
      </c>
      <c r="G2051" t="s">
        <v>84</v>
      </c>
      <c r="H2051">
        <v>1</v>
      </c>
      <c r="I2051" s="3">
        <v>39.6</v>
      </c>
      <c r="J2051" t="s">
        <v>16</v>
      </c>
      <c r="K2051" t="s">
        <v>30</v>
      </c>
      <c r="L2051" s="4">
        <f>Table4[[#This Row],[quantity]]*Table4[[#This Row],[unit_price]]</f>
        <v>39.6</v>
      </c>
      <c r="M2051">
        <f>COUNTIFS($C$2:$C$3934,Table4[[#This Row],[customer_id]])</f>
        <v>9</v>
      </c>
      <c r="N2051" t="str">
        <f>IF(Table4[[#This Row],[customer_order_count]]=1,"New Customer","Repeat Customer")</f>
        <v>Repeat Customer</v>
      </c>
    </row>
    <row r="2052" spans="1:14">
      <c r="A2052" t="s">
        <v>4476</v>
      </c>
      <c r="B2052" s="1">
        <v>45140</v>
      </c>
      <c r="C2052" t="s">
        <v>1252</v>
      </c>
      <c r="D2052" t="s">
        <v>281</v>
      </c>
      <c r="E2052" t="s">
        <v>21</v>
      </c>
      <c r="F2052" t="s">
        <v>14</v>
      </c>
      <c r="G2052" t="s">
        <v>258</v>
      </c>
      <c r="H2052">
        <v>1</v>
      </c>
      <c r="I2052" s="3">
        <v>39.630000000000003</v>
      </c>
      <c r="J2052" t="s">
        <v>85</v>
      </c>
      <c r="K2052" t="s">
        <v>40</v>
      </c>
      <c r="L2052" s="4">
        <f>Table4[[#This Row],[quantity]]*Table4[[#This Row],[unit_price]]</f>
        <v>39.630000000000003</v>
      </c>
      <c r="M2052">
        <f>COUNTIFS($C$2:$C$3934,Table4[[#This Row],[customer_id]])</f>
        <v>6</v>
      </c>
      <c r="N2052" t="str">
        <f>IF(Table4[[#This Row],[customer_order_count]]=1,"New Customer","Repeat Customer")</f>
        <v>Repeat Customer</v>
      </c>
    </row>
    <row r="2053" spans="1:14">
      <c r="A2053" t="s">
        <v>2312</v>
      </c>
      <c r="B2053" s="1">
        <v>45208</v>
      </c>
      <c r="C2053" t="s">
        <v>2313</v>
      </c>
      <c r="D2053" t="s">
        <v>1208</v>
      </c>
      <c r="E2053" t="s">
        <v>21</v>
      </c>
      <c r="F2053" t="s">
        <v>28</v>
      </c>
      <c r="G2053" t="s">
        <v>84</v>
      </c>
      <c r="H2053">
        <v>1</v>
      </c>
      <c r="I2053" s="3">
        <v>39.68</v>
      </c>
      <c r="J2053" t="s">
        <v>16</v>
      </c>
      <c r="K2053" t="s">
        <v>17</v>
      </c>
      <c r="L2053" s="4">
        <f>Table4[[#This Row],[quantity]]*Table4[[#This Row],[unit_price]]</f>
        <v>39.68</v>
      </c>
      <c r="M2053">
        <f>COUNTIFS($C$2:$C$3934,Table4[[#This Row],[customer_id]])</f>
        <v>2</v>
      </c>
      <c r="N2053" t="str">
        <f>IF(Table4[[#This Row],[customer_order_count]]=1,"New Customer","Repeat Customer")</f>
        <v>Repeat Customer</v>
      </c>
    </row>
    <row r="2054" spans="1:14">
      <c r="A2054" t="s">
        <v>1115</v>
      </c>
      <c r="B2054" s="1">
        <v>45516</v>
      </c>
      <c r="C2054" t="s">
        <v>323</v>
      </c>
      <c r="D2054" t="s">
        <v>324</v>
      </c>
      <c r="E2054" t="s">
        <v>44</v>
      </c>
      <c r="F2054" t="s">
        <v>28</v>
      </c>
      <c r="G2054" t="s">
        <v>114</v>
      </c>
      <c r="H2054">
        <v>4</v>
      </c>
      <c r="I2054" s="3">
        <v>39.69</v>
      </c>
      <c r="J2054" t="s">
        <v>16</v>
      </c>
      <c r="K2054" t="s">
        <v>35</v>
      </c>
      <c r="L2054" s="4">
        <f>Table4[[#This Row],[quantity]]*Table4[[#This Row],[unit_price]]</f>
        <v>158.76</v>
      </c>
      <c r="M2054">
        <f>COUNTIFS($C$2:$C$3934,Table4[[#This Row],[customer_id]])</f>
        <v>6</v>
      </c>
      <c r="N2054" t="str">
        <f>IF(Table4[[#This Row],[customer_order_count]]=1,"New Customer","Repeat Customer")</f>
        <v>Repeat Customer</v>
      </c>
    </row>
    <row r="2055" spans="1:14">
      <c r="A2055" t="s">
        <v>3357</v>
      </c>
      <c r="B2055" s="1">
        <v>45355</v>
      </c>
      <c r="C2055" t="s">
        <v>1185</v>
      </c>
      <c r="D2055" t="s">
        <v>1186</v>
      </c>
      <c r="E2055" t="s">
        <v>44</v>
      </c>
      <c r="F2055" t="s">
        <v>70</v>
      </c>
      <c r="G2055" t="s">
        <v>146</v>
      </c>
      <c r="H2055">
        <v>1</v>
      </c>
      <c r="I2055" s="3">
        <v>39.71</v>
      </c>
      <c r="J2055" t="s">
        <v>16</v>
      </c>
      <c r="K2055" t="s">
        <v>17</v>
      </c>
      <c r="L2055" s="4">
        <f>Table4[[#This Row],[quantity]]*Table4[[#This Row],[unit_price]]</f>
        <v>39.71</v>
      </c>
      <c r="M2055">
        <f>COUNTIFS($C$2:$C$3934,Table4[[#This Row],[customer_id]])</f>
        <v>5</v>
      </c>
      <c r="N2055" t="str">
        <f>IF(Table4[[#This Row],[customer_order_count]]=1,"New Customer","Repeat Customer")</f>
        <v>Repeat Customer</v>
      </c>
    </row>
    <row r="2056" spans="1:14">
      <c r="A2056" t="s">
        <v>3906</v>
      </c>
      <c r="B2056" s="1">
        <v>45460</v>
      </c>
      <c r="C2056" t="s">
        <v>137</v>
      </c>
      <c r="D2056" t="s">
        <v>138</v>
      </c>
      <c r="E2056" t="s">
        <v>21</v>
      </c>
      <c r="F2056" t="s">
        <v>28</v>
      </c>
      <c r="G2056" t="s">
        <v>114</v>
      </c>
      <c r="H2056">
        <v>1</v>
      </c>
      <c r="I2056" s="3">
        <v>39.74</v>
      </c>
      <c r="J2056" t="s">
        <v>16</v>
      </c>
      <c r="K2056" t="s">
        <v>40</v>
      </c>
      <c r="L2056" s="4">
        <f>Table4[[#This Row],[quantity]]*Table4[[#This Row],[unit_price]]</f>
        <v>39.74</v>
      </c>
      <c r="M2056">
        <f>COUNTIFS($C$2:$C$3934,Table4[[#This Row],[customer_id]])</f>
        <v>4</v>
      </c>
      <c r="N2056" t="str">
        <f>IF(Table4[[#This Row],[customer_order_count]]=1,"New Customer","Repeat Customer")</f>
        <v>Repeat Customer</v>
      </c>
    </row>
    <row r="2057" spans="1:14">
      <c r="A2057" t="s">
        <v>3698</v>
      </c>
      <c r="B2057" s="1">
        <v>45453</v>
      </c>
      <c r="C2057" t="s">
        <v>551</v>
      </c>
      <c r="D2057" t="s">
        <v>220</v>
      </c>
      <c r="E2057" t="s">
        <v>21</v>
      </c>
      <c r="F2057" t="s">
        <v>56</v>
      </c>
      <c r="G2057" t="s">
        <v>118</v>
      </c>
      <c r="H2057">
        <v>1</v>
      </c>
      <c r="I2057" s="3">
        <v>39.74</v>
      </c>
      <c r="J2057" t="s">
        <v>16</v>
      </c>
      <c r="K2057" t="s">
        <v>35</v>
      </c>
      <c r="L2057" s="4">
        <f>Table4[[#This Row],[quantity]]*Table4[[#This Row],[unit_price]]</f>
        <v>39.74</v>
      </c>
      <c r="M2057">
        <f>COUNTIFS($C$2:$C$3934,Table4[[#This Row],[customer_id]])</f>
        <v>8</v>
      </c>
      <c r="N2057" t="str">
        <f>IF(Table4[[#This Row],[customer_order_count]]=1,"New Customer","Repeat Customer")</f>
        <v>Repeat Customer</v>
      </c>
    </row>
    <row r="2058" spans="1:14">
      <c r="A2058" t="s">
        <v>2020</v>
      </c>
      <c r="B2058" s="1">
        <v>45618</v>
      </c>
      <c r="C2058" t="s">
        <v>1374</v>
      </c>
      <c r="D2058" t="s">
        <v>1000</v>
      </c>
      <c r="E2058" t="s">
        <v>21</v>
      </c>
      <c r="F2058" t="s">
        <v>22</v>
      </c>
      <c r="G2058" t="s">
        <v>162</v>
      </c>
      <c r="H2058">
        <v>2</v>
      </c>
      <c r="I2058" s="3">
        <v>39.74</v>
      </c>
      <c r="J2058" t="s">
        <v>16</v>
      </c>
      <c r="K2058" t="s">
        <v>17</v>
      </c>
      <c r="L2058" s="4">
        <f>Table4[[#This Row],[quantity]]*Table4[[#This Row],[unit_price]]</f>
        <v>79.48</v>
      </c>
      <c r="M2058">
        <f>COUNTIFS($C$2:$C$3934,Table4[[#This Row],[customer_id]])</f>
        <v>6</v>
      </c>
      <c r="N2058" t="str">
        <f>IF(Table4[[#This Row],[customer_order_count]]=1,"New Customer","Repeat Customer")</f>
        <v>Repeat Customer</v>
      </c>
    </row>
    <row r="2059" spans="1:14">
      <c r="A2059" t="s">
        <v>1857</v>
      </c>
      <c r="B2059" s="1">
        <v>45437</v>
      </c>
      <c r="C2059" t="s">
        <v>1077</v>
      </c>
      <c r="D2059" t="s">
        <v>765</v>
      </c>
      <c r="E2059" t="s">
        <v>21</v>
      </c>
      <c r="F2059" t="s">
        <v>56</v>
      </c>
      <c r="G2059" t="s">
        <v>118</v>
      </c>
      <c r="H2059">
        <v>2</v>
      </c>
      <c r="I2059" s="3">
        <v>39.770000000000003</v>
      </c>
      <c r="J2059" t="s">
        <v>85</v>
      </c>
      <c r="K2059" t="s">
        <v>40</v>
      </c>
      <c r="L2059" s="4">
        <f>Table4[[#This Row],[quantity]]*Table4[[#This Row],[unit_price]]</f>
        <v>79.540000000000006</v>
      </c>
      <c r="M2059">
        <f>COUNTIFS($C$2:$C$3934,Table4[[#This Row],[customer_id]])</f>
        <v>5</v>
      </c>
      <c r="N2059" t="str">
        <f>IF(Table4[[#This Row],[customer_order_count]]=1,"New Customer","Repeat Customer")</f>
        <v>Repeat Customer</v>
      </c>
    </row>
    <row r="2060" spans="1:14">
      <c r="A2060" t="s">
        <v>4239</v>
      </c>
      <c r="B2060" s="1">
        <v>45419</v>
      </c>
      <c r="C2060" t="s">
        <v>1827</v>
      </c>
      <c r="D2060" t="s">
        <v>1828</v>
      </c>
      <c r="E2060" t="s">
        <v>21</v>
      </c>
      <c r="F2060" t="s">
        <v>22</v>
      </c>
      <c r="G2060" t="s">
        <v>142</v>
      </c>
      <c r="H2060">
        <v>2</v>
      </c>
      <c r="I2060" s="3">
        <v>39.770000000000003</v>
      </c>
      <c r="J2060" t="s">
        <v>16</v>
      </c>
      <c r="K2060" t="s">
        <v>17</v>
      </c>
      <c r="L2060" s="4">
        <f>Table4[[#This Row],[quantity]]*Table4[[#This Row],[unit_price]]</f>
        <v>79.540000000000006</v>
      </c>
      <c r="M2060">
        <f>COUNTIFS($C$2:$C$3934,Table4[[#This Row],[customer_id]])</f>
        <v>4</v>
      </c>
      <c r="N2060" t="str">
        <f>IF(Table4[[#This Row],[customer_order_count]]=1,"New Customer","Repeat Customer")</f>
        <v>Repeat Customer</v>
      </c>
    </row>
    <row r="2061" spans="1:14">
      <c r="A2061" t="s">
        <v>1915</v>
      </c>
      <c r="B2061" s="1">
        <v>44982</v>
      </c>
      <c r="C2061" t="s">
        <v>1090</v>
      </c>
      <c r="D2061" t="s">
        <v>1091</v>
      </c>
      <c r="E2061" t="s">
        <v>44</v>
      </c>
      <c r="F2061" t="s">
        <v>28</v>
      </c>
      <c r="G2061" t="s">
        <v>139</v>
      </c>
      <c r="H2061">
        <v>2</v>
      </c>
      <c r="I2061" s="3">
        <v>39.81</v>
      </c>
      <c r="J2061" t="s">
        <v>16</v>
      </c>
      <c r="K2061" t="s">
        <v>30</v>
      </c>
      <c r="L2061" s="4">
        <f>Table4[[#This Row],[quantity]]*Table4[[#This Row],[unit_price]]</f>
        <v>79.62</v>
      </c>
      <c r="M2061">
        <f>COUNTIFS($C$2:$C$3934,Table4[[#This Row],[customer_id]])</f>
        <v>4</v>
      </c>
      <c r="N2061" t="str">
        <f>IF(Table4[[#This Row],[customer_order_count]]=1,"New Customer","Repeat Customer")</f>
        <v>Repeat Customer</v>
      </c>
    </row>
    <row r="2062" spans="1:14">
      <c r="A2062" t="s">
        <v>3612</v>
      </c>
      <c r="B2062" s="1">
        <v>45005</v>
      </c>
      <c r="C2062" t="s">
        <v>1803</v>
      </c>
      <c r="D2062" t="s">
        <v>1804</v>
      </c>
      <c r="E2062" t="s">
        <v>21</v>
      </c>
      <c r="F2062" t="s">
        <v>22</v>
      </c>
      <c r="G2062" t="s">
        <v>142</v>
      </c>
      <c r="H2062">
        <v>1</v>
      </c>
      <c r="I2062" s="3">
        <v>39.82</v>
      </c>
      <c r="J2062" t="s">
        <v>16</v>
      </c>
      <c r="K2062" t="s">
        <v>17</v>
      </c>
      <c r="L2062" s="4">
        <f>Table4[[#This Row],[quantity]]*Table4[[#This Row],[unit_price]]</f>
        <v>39.82</v>
      </c>
      <c r="M2062">
        <f>COUNTIFS($C$2:$C$3934,Table4[[#This Row],[customer_id]])</f>
        <v>5</v>
      </c>
      <c r="N2062" t="str">
        <f>IF(Table4[[#This Row],[customer_order_count]]=1,"New Customer","Repeat Customer")</f>
        <v>Repeat Customer</v>
      </c>
    </row>
    <row r="2063" spans="1:14">
      <c r="A2063" t="s">
        <v>2063</v>
      </c>
      <c r="B2063" s="1">
        <v>45520</v>
      </c>
      <c r="C2063" t="s">
        <v>469</v>
      </c>
      <c r="D2063" t="s">
        <v>428</v>
      </c>
      <c r="E2063" t="s">
        <v>21</v>
      </c>
      <c r="F2063" t="s">
        <v>56</v>
      </c>
      <c r="G2063" t="s">
        <v>422</v>
      </c>
      <c r="H2063">
        <v>1</v>
      </c>
      <c r="I2063" s="3">
        <v>39.840000000000003</v>
      </c>
      <c r="J2063" t="s">
        <v>16</v>
      </c>
      <c r="K2063" t="s">
        <v>17</v>
      </c>
      <c r="L2063" s="4">
        <f>Table4[[#This Row],[quantity]]*Table4[[#This Row],[unit_price]]</f>
        <v>39.840000000000003</v>
      </c>
      <c r="M2063">
        <f>COUNTIFS($C$2:$C$3934,Table4[[#This Row],[customer_id]])</f>
        <v>8</v>
      </c>
      <c r="N2063" t="str">
        <f>IF(Table4[[#This Row],[customer_order_count]]=1,"New Customer","Repeat Customer")</f>
        <v>Repeat Customer</v>
      </c>
    </row>
    <row r="2064" spans="1:14">
      <c r="A2064" t="s">
        <v>2653</v>
      </c>
      <c r="B2064" s="1">
        <v>45540</v>
      </c>
      <c r="C2064" t="s">
        <v>1188</v>
      </c>
      <c r="D2064" s="2" t="s">
        <v>5257</v>
      </c>
      <c r="E2064" t="s">
        <v>21</v>
      </c>
      <c r="F2064" t="s">
        <v>70</v>
      </c>
      <c r="G2064" t="s">
        <v>71</v>
      </c>
      <c r="H2064">
        <v>1</v>
      </c>
      <c r="I2064" s="3">
        <v>39.9</v>
      </c>
      <c r="J2064" t="s">
        <v>16</v>
      </c>
      <c r="K2064" t="s">
        <v>30</v>
      </c>
      <c r="L2064" s="4">
        <f>Table4[[#This Row],[quantity]]*Table4[[#This Row],[unit_price]]</f>
        <v>39.9</v>
      </c>
      <c r="M2064">
        <f>COUNTIFS($C$2:$C$3934,Table4[[#This Row],[customer_id]])</f>
        <v>7</v>
      </c>
      <c r="N2064" t="str">
        <f>IF(Table4[[#This Row],[customer_order_count]]=1,"New Customer","Repeat Customer")</f>
        <v>Repeat Customer</v>
      </c>
    </row>
    <row r="2065" spans="1:14">
      <c r="A2065" t="s">
        <v>2472</v>
      </c>
      <c r="B2065" s="1">
        <v>44980</v>
      </c>
      <c r="C2065" t="s">
        <v>1254</v>
      </c>
      <c r="D2065" s="5" t="s">
        <v>1255</v>
      </c>
      <c r="E2065" t="s">
        <v>44</v>
      </c>
      <c r="F2065" t="s">
        <v>79</v>
      </c>
      <c r="G2065" t="s">
        <v>230</v>
      </c>
      <c r="H2065">
        <v>1</v>
      </c>
      <c r="I2065" s="3">
        <v>39.9</v>
      </c>
      <c r="J2065" t="s">
        <v>16</v>
      </c>
      <c r="K2065" t="s">
        <v>35</v>
      </c>
      <c r="L2065" s="4">
        <f>Table4[[#This Row],[quantity]]*Table4[[#This Row],[unit_price]]</f>
        <v>39.9</v>
      </c>
      <c r="M2065">
        <f>COUNTIFS($C$2:$C$3934,Table4[[#This Row],[customer_id]])</f>
        <v>5</v>
      </c>
      <c r="N2065" t="str">
        <f>IF(Table4[[#This Row],[customer_order_count]]=1,"New Customer","Repeat Customer")</f>
        <v>Repeat Customer</v>
      </c>
    </row>
    <row r="2066" spans="1:14">
      <c r="A2066" t="s">
        <v>426</v>
      </c>
      <c r="B2066" s="1">
        <v>45483</v>
      </c>
      <c r="C2066" t="s">
        <v>427</v>
      </c>
      <c r="D2066" t="s">
        <v>428</v>
      </c>
      <c r="E2066" t="s">
        <v>21</v>
      </c>
      <c r="F2066" t="s">
        <v>28</v>
      </c>
      <c r="G2066" t="s">
        <v>139</v>
      </c>
      <c r="H2066">
        <v>3</v>
      </c>
      <c r="I2066" s="3">
        <v>39.9</v>
      </c>
      <c r="J2066" t="s">
        <v>16</v>
      </c>
      <c r="K2066" t="s">
        <v>35</v>
      </c>
      <c r="L2066" s="4">
        <f>Table4[[#This Row],[quantity]]*Table4[[#This Row],[unit_price]]</f>
        <v>119.69999999999999</v>
      </c>
      <c r="M2066">
        <f>COUNTIFS($C$2:$C$3934,Table4[[#This Row],[customer_id]])</f>
        <v>6</v>
      </c>
      <c r="N2066" t="str">
        <f>IF(Table4[[#This Row],[customer_order_count]]=1,"New Customer","Repeat Customer")</f>
        <v>Repeat Customer</v>
      </c>
    </row>
    <row r="2067" spans="1:14">
      <c r="A2067" t="s">
        <v>5051</v>
      </c>
      <c r="B2067" s="1">
        <v>45031</v>
      </c>
      <c r="C2067" t="s">
        <v>512</v>
      </c>
      <c r="D2067" t="s">
        <v>513</v>
      </c>
      <c r="E2067" t="s">
        <v>21</v>
      </c>
      <c r="F2067" t="s">
        <v>79</v>
      </c>
      <c r="G2067" t="s">
        <v>80</v>
      </c>
      <c r="H2067">
        <v>2</v>
      </c>
      <c r="I2067" s="3">
        <v>39.909999999999997</v>
      </c>
      <c r="J2067" t="s">
        <v>16</v>
      </c>
      <c r="K2067" t="s">
        <v>30</v>
      </c>
      <c r="L2067" s="4">
        <f>Table4[[#This Row],[quantity]]*Table4[[#This Row],[unit_price]]</f>
        <v>79.819999999999993</v>
      </c>
      <c r="M2067">
        <f>COUNTIFS($C$2:$C$3934,Table4[[#This Row],[customer_id]])</f>
        <v>5</v>
      </c>
      <c r="N2067" t="str">
        <f>IF(Table4[[#This Row],[customer_order_count]]=1,"New Customer","Repeat Customer")</f>
        <v>Repeat Customer</v>
      </c>
    </row>
    <row r="2068" spans="1:14">
      <c r="A2068" t="s">
        <v>798</v>
      </c>
      <c r="B2068" s="1">
        <v>45513</v>
      </c>
      <c r="C2068" t="s">
        <v>799</v>
      </c>
      <c r="D2068" t="s">
        <v>43</v>
      </c>
      <c r="E2068" t="s">
        <v>21</v>
      </c>
      <c r="F2068" t="s">
        <v>28</v>
      </c>
      <c r="G2068" t="s">
        <v>114</v>
      </c>
      <c r="H2068">
        <v>1</v>
      </c>
      <c r="I2068" s="3">
        <v>39.92</v>
      </c>
      <c r="J2068" t="s">
        <v>16</v>
      </c>
      <c r="K2068" t="s">
        <v>35</v>
      </c>
      <c r="L2068" s="4">
        <f>Table4[[#This Row],[quantity]]*Table4[[#This Row],[unit_price]]</f>
        <v>39.92</v>
      </c>
      <c r="M2068">
        <f>COUNTIFS($C$2:$C$3934,Table4[[#This Row],[customer_id]])</f>
        <v>8</v>
      </c>
      <c r="N2068" t="str">
        <f>IF(Table4[[#This Row],[customer_order_count]]=1,"New Customer","Repeat Customer")</f>
        <v>Repeat Customer</v>
      </c>
    </row>
    <row r="2069" spans="1:14">
      <c r="A2069" t="s">
        <v>1904</v>
      </c>
      <c r="B2069" s="1">
        <v>45081</v>
      </c>
      <c r="C2069" t="s">
        <v>1074</v>
      </c>
      <c r="D2069" t="s">
        <v>281</v>
      </c>
      <c r="E2069" t="s">
        <v>21</v>
      </c>
      <c r="F2069" t="s">
        <v>70</v>
      </c>
      <c r="G2069" t="s">
        <v>146</v>
      </c>
      <c r="H2069">
        <v>2</v>
      </c>
      <c r="I2069" s="3">
        <v>39.92</v>
      </c>
      <c r="J2069" t="s">
        <v>16</v>
      </c>
      <c r="K2069" t="s">
        <v>17</v>
      </c>
      <c r="L2069" s="4">
        <f>Table4[[#This Row],[quantity]]*Table4[[#This Row],[unit_price]]</f>
        <v>79.84</v>
      </c>
      <c r="M2069">
        <f>COUNTIFS($C$2:$C$3934,Table4[[#This Row],[customer_id]])</f>
        <v>6</v>
      </c>
      <c r="N2069" t="str">
        <f>IF(Table4[[#This Row],[customer_order_count]]=1,"New Customer","Repeat Customer")</f>
        <v>Repeat Customer</v>
      </c>
    </row>
    <row r="2070" spans="1:14">
      <c r="A2070" t="s">
        <v>2967</v>
      </c>
      <c r="B2070" s="1">
        <v>45581</v>
      </c>
      <c r="C2070" t="s">
        <v>2968</v>
      </c>
      <c r="D2070" t="s">
        <v>597</v>
      </c>
      <c r="E2070" t="s">
        <v>44</v>
      </c>
      <c r="F2070" t="s">
        <v>22</v>
      </c>
      <c r="G2070" t="s">
        <v>162</v>
      </c>
      <c r="H2070">
        <v>1</v>
      </c>
      <c r="I2070" s="3">
        <v>39.97</v>
      </c>
      <c r="J2070" t="s">
        <v>16</v>
      </c>
      <c r="K2070" t="s">
        <v>35</v>
      </c>
      <c r="L2070" s="4">
        <f>Table4[[#This Row],[quantity]]*Table4[[#This Row],[unit_price]]</f>
        <v>39.97</v>
      </c>
      <c r="M2070">
        <f>COUNTIFS($C$2:$C$3934,Table4[[#This Row],[customer_id]])</f>
        <v>4</v>
      </c>
      <c r="N2070" t="str">
        <f>IF(Table4[[#This Row],[customer_order_count]]=1,"New Customer","Repeat Customer")</f>
        <v>Repeat Customer</v>
      </c>
    </row>
    <row r="2071" spans="1:14">
      <c r="A2071" t="s">
        <v>1947</v>
      </c>
      <c r="B2071" s="1">
        <v>45568</v>
      </c>
      <c r="C2071" t="s">
        <v>1948</v>
      </c>
      <c r="D2071" t="s">
        <v>237</v>
      </c>
      <c r="E2071" t="s">
        <v>21</v>
      </c>
      <c r="F2071" t="s">
        <v>70</v>
      </c>
      <c r="G2071" t="s">
        <v>170</v>
      </c>
      <c r="H2071">
        <v>1</v>
      </c>
      <c r="I2071" s="3">
        <v>39.979999999999997</v>
      </c>
      <c r="J2071" t="s">
        <v>16</v>
      </c>
      <c r="K2071" t="s">
        <v>30</v>
      </c>
      <c r="L2071" s="4">
        <f>Table4[[#This Row],[quantity]]*Table4[[#This Row],[unit_price]]</f>
        <v>39.979999999999997</v>
      </c>
      <c r="M2071">
        <f>COUNTIFS($C$2:$C$3934,Table4[[#This Row],[customer_id]])</f>
        <v>4</v>
      </c>
      <c r="N2071" t="str">
        <f>IF(Table4[[#This Row],[customer_order_count]]=1,"New Customer","Repeat Customer")</f>
        <v>Repeat Customer</v>
      </c>
    </row>
    <row r="2072" spans="1:14">
      <c r="A2072" t="s">
        <v>460</v>
      </c>
      <c r="B2072" s="1">
        <v>45597</v>
      </c>
      <c r="C2072" t="s">
        <v>461</v>
      </c>
      <c r="D2072" t="s">
        <v>161</v>
      </c>
      <c r="E2072" t="s">
        <v>44</v>
      </c>
      <c r="F2072" t="s">
        <v>28</v>
      </c>
      <c r="G2072" t="s">
        <v>84</v>
      </c>
      <c r="H2072">
        <v>1</v>
      </c>
      <c r="I2072" s="3">
        <v>39.979999999999997</v>
      </c>
      <c r="J2072" t="s">
        <v>16</v>
      </c>
      <c r="K2072" t="s">
        <v>17</v>
      </c>
      <c r="L2072" s="4">
        <f>Table4[[#This Row],[quantity]]*Table4[[#This Row],[unit_price]]</f>
        <v>39.979999999999997</v>
      </c>
      <c r="M2072">
        <f>COUNTIFS($C$2:$C$3934,Table4[[#This Row],[customer_id]])</f>
        <v>5</v>
      </c>
      <c r="N2072" t="str">
        <f>IF(Table4[[#This Row],[customer_order_count]]=1,"New Customer","Repeat Customer")</f>
        <v>Repeat Customer</v>
      </c>
    </row>
    <row r="2073" spans="1:14">
      <c r="A2073" t="s">
        <v>2970</v>
      </c>
      <c r="B2073" s="1">
        <v>45642</v>
      </c>
      <c r="C2073" t="s">
        <v>553</v>
      </c>
      <c r="D2073" t="s">
        <v>554</v>
      </c>
      <c r="E2073" t="s">
        <v>21</v>
      </c>
      <c r="F2073" t="s">
        <v>28</v>
      </c>
      <c r="G2073" t="s">
        <v>139</v>
      </c>
      <c r="H2073">
        <v>2</v>
      </c>
      <c r="I2073" s="3">
        <v>39.99</v>
      </c>
      <c r="J2073" t="s">
        <v>255</v>
      </c>
      <c r="K2073" t="s">
        <v>40</v>
      </c>
      <c r="L2073" s="4">
        <f>Table4[[#This Row],[quantity]]*Table4[[#This Row],[unit_price]]</f>
        <v>79.98</v>
      </c>
      <c r="M2073">
        <f>COUNTIFS($C$2:$C$3934,Table4[[#This Row],[customer_id]])</f>
        <v>5</v>
      </c>
      <c r="N2073" t="str">
        <f>IF(Table4[[#This Row],[customer_order_count]]=1,"New Customer","Repeat Customer")</f>
        <v>Repeat Customer</v>
      </c>
    </row>
    <row r="2074" spans="1:14">
      <c r="A2074" t="s">
        <v>944</v>
      </c>
      <c r="B2074" s="1">
        <v>45587</v>
      </c>
      <c r="C2074" t="s">
        <v>183</v>
      </c>
      <c r="D2074" t="s">
        <v>857</v>
      </c>
      <c r="E2074" t="s">
        <v>21</v>
      </c>
      <c r="F2074" t="s">
        <v>22</v>
      </c>
      <c r="G2074" t="s">
        <v>162</v>
      </c>
      <c r="H2074">
        <v>2</v>
      </c>
      <c r="I2074" s="3">
        <v>40.020000000000003</v>
      </c>
      <c r="J2074" t="s">
        <v>16</v>
      </c>
      <c r="K2074" t="s">
        <v>35</v>
      </c>
      <c r="L2074" s="4">
        <f>Table4[[#This Row],[quantity]]*Table4[[#This Row],[unit_price]]</f>
        <v>80.040000000000006</v>
      </c>
      <c r="M2074">
        <f>COUNTIFS($C$2:$C$3934,Table4[[#This Row],[customer_id]])</f>
        <v>7</v>
      </c>
      <c r="N2074" t="str">
        <f>IF(Table4[[#This Row],[customer_order_count]]=1,"New Customer","Repeat Customer")</f>
        <v>Repeat Customer</v>
      </c>
    </row>
    <row r="2075" spans="1:14">
      <c r="A2075" t="s">
        <v>3152</v>
      </c>
      <c r="B2075" s="1">
        <v>45620</v>
      </c>
      <c r="C2075" t="s">
        <v>2531</v>
      </c>
      <c r="D2075" t="s">
        <v>372</v>
      </c>
      <c r="E2075" t="s">
        <v>21</v>
      </c>
      <c r="F2075" t="s">
        <v>70</v>
      </c>
      <c r="G2075" t="s">
        <v>110</v>
      </c>
      <c r="H2075">
        <v>2</v>
      </c>
      <c r="I2075" s="3">
        <v>40.049999999999997</v>
      </c>
      <c r="J2075" t="s">
        <v>16</v>
      </c>
      <c r="K2075" t="s">
        <v>30</v>
      </c>
      <c r="L2075" s="4">
        <f>Table4[[#This Row],[quantity]]*Table4[[#This Row],[unit_price]]</f>
        <v>80.099999999999994</v>
      </c>
      <c r="M2075">
        <f>COUNTIFS($C$2:$C$3934,Table4[[#This Row],[customer_id]])</f>
        <v>7</v>
      </c>
      <c r="N2075" t="str">
        <f>IF(Table4[[#This Row],[customer_order_count]]=1,"New Customer","Repeat Customer")</f>
        <v>Repeat Customer</v>
      </c>
    </row>
    <row r="2076" spans="1:14">
      <c r="A2076" t="s">
        <v>4624</v>
      </c>
      <c r="B2076" s="1">
        <v>45093</v>
      </c>
      <c r="C2076" t="s">
        <v>1801</v>
      </c>
      <c r="D2076" t="s">
        <v>569</v>
      </c>
      <c r="E2076" t="s">
        <v>21</v>
      </c>
      <c r="F2076" t="s">
        <v>28</v>
      </c>
      <c r="G2076" t="s">
        <v>29</v>
      </c>
      <c r="H2076">
        <v>1</v>
      </c>
      <c r="I2076" s="3">
        <v>40.06</v>
      </c>
      <c r="J2076" t="s">
        <v>16</v>
      </c>
      <c r="K2076" t="s">
        <v>40</v>
      </c>
      <c r="L2076" s="4">
        <f>Table4[[#This Row],[quantity]]*Table4[[#This Row],[unit_price]]</f>
        <v>40.06</v>
      </c>
      <c r="M2076">
        <f>COUNTIFS($C$2:$C$3934,Table4[[#This Row],[customer_id]])</f>
        <v>6</v>
      </c>
      <c r="N2076" t="str">
        <f>IF(Table4[[#This Row],[customer_order_count]]=1,"New Customer","Repeat Customer")</f>
        <v>Repeat Customer</v>
      </c>
    </row>
    <row r="2077" spans="1:14">
      <c r="A2077" t="s">
        <v>4229</v>
      </c>
      <c r="B2077" s="1">
        <v>45335</v>
      </c>
      <c r="C2077" t="s">
        <v>524</v>
      </c>
      <c r="D2077" t="s">
        <v>525</v>
      </c>
      <c r="E2077" t="s">
        <v>21</v>
      </c>
      <c r="F2077" t="s">
        <v>56</v>
      </c>
      <c r="G2077" t="s">
        <v>254</v>
      </c>
      <c r="H2077">
        <v>1</v>
      </c>
      <c r="I2077" s="3">
        <v>40.06</v>
      </c>
      <c r="J2077" t="s">
        <v>16</v>
      </c>
      <c r="K2077" t="s">
        <v>35</v>
      </c>
      <c r="L2077" s="4">
        <f>Table4[[#This Row],[quantity]]*Table4[[#This Row],[unit_price]]</f>
        <v>40.06</v>
      </c>
      <c r="M2077">
        <f>COUNTIFS($C$2:$C$3934,Table4[[#This Row],[customer_id]])</f>
        <v>5</v>
      </c>
      <c r="N2077" t="str">
        <f>IF(Table4[[#This Row],[customer_order_count]]=1,"New Customer","Repeat Customer")</f>
        <v>Repeat Customer</v>
      </c>
    </row>
    <row r="2078" spans="1:14">
      <c r="A2078" t="s">
        <v>305</v>
      </c>
      <c r="B2078" s="1">
        <v>45450</v>
      </c>
      <c r="C2078" t="s">
        <v>306</v>
      </c>
      <c r="D2078" t="s">
        <v>307</v>
      </c>
      <c r="E2078" t="s">
        <v>44</v>
      </c>
      <c r="F2078" t="s">
        <v>14</v>
      </c>
      <c r="G2078" t="s">
        <v>100</v>
      </c>
      <c r="H2078">
        <v>1</v>
      </c>
      <c r="I2078" s="3">
        <v>40.06</v>
      </c>
      <c r="J2078" t="s">
        <v>16</v>
      </c>
      <c r="K2078" t="s">
        <v>17</v>
      </c>
      <c r="L2078" s="4">
        <f>Table4[[#This Row],[quantity]]*Table4[[#This Row],[unit_price]]</f>
        <v>40.06</v>
      </c>
      <c r="M2078">
        <f>COUNTIFS($C$2:$C$3934,Table4[[#This Row],[customer_id]])</f>
        <v>2</v>
      </c>
      <c r="N2078" t="str">
        <f>IF(Table4[[#This Row],[customer_order_count]]=1,"New Customer","Repeat Customer")</f>
        <v>Repeat Customer</v>
      </c>
    </row>
    <row r="2079" spans="1:14">
      <c r="A2079" t="s">
        <v>4443</v>
      </c>
      <c r="B2079" s="1">
        <v>45112</v>
      </c>
      <c r="C2079" t="s">
        <v>288</v>
      </c>
      <c r="D2079" s="2" t="s">
        <v>5257</v>
      </c>
      <c r="E2079" t="s">
        <v>21</v>
      </c>
      <c r="F2079" t="s">
        <v>22</v>
      </c>
      <c r="G2079" t="s">
        <v>135</v>
      </c>
      <c r="H2079">
        <v>5</v>
      </c>
      <c r="I2079" s="3">
        <v>40.07</v>
      </c>
      <c r="J2079" t="s">
        <v>16</v>
      </c>
      <c r="K2079" t="s">
        <v>30</v>
      </c>
      <c r="L2079" s="4">
        <f>Table4[[#This Row],[quantity]]*Table4[[#This Row],[unit_price]]</f>
        <v>200.35</v>
      </c>
      <c r="M2079">
        <f>COUNTIFS($C$2:$C$3934,Table4[[#This Row],[customer_id]])</f>
        <v>6</v>
      </c>
      <c r="N2079" t="str">
        <f>IF(Table4[[#This Row],[customer_order_count]]=1,"New Customer","Repeat Customer")</f>
        <v>Repeat Customer</v>
      </c>
    </row>
    <row r="2080" spans="1:14">
      <c r="A2080" t="s">
        <v>4756</v>
      </c>
      <c r="B2080" s="1">
        <v>45521</v>
      </c>
      <c r="C2080" t="s">
        <v>1620</v>
      </c>
      <c r="D2080" s="5" t="s">
        <v>109</v>
      </c>
      <c r="E2080" t="s">
        <v>21</v>
      </c>
      <c r="F2080" t="s">
        <v>22</v>
      </c>
      <c r="G2080" t="s">
        <v>135</v>
      </c>
      <c r="H2080">
        <v>1</v>
      </c>
      <c r="I2080" s="3">
        <v>40.08</v>
      </c>
      <c r="J2080" t="s">
        <v>16</v>
      </c>
      <c r="K2080" t="s">
        <v>30</v>
      </c>
      <c r="L2080" s="4">
        <f>Table4[[#This Row],[quantity]]*Table4[[#This Row],[unit_price]]</f>
        <v>40.08</v>
      </c>
      <c r="M2080">
        <f>COUNTIFS($C$2:$C$3934,Table4[[#This Row],[customer_id]])</f>
        <v>5</v>
      </c>
      <c r="N2080" t="str">
        <f>IF(Table4[[#This Row],[customer_order_count]]=1,"New Customer","Repeat Customer")</f>
        <v>Repeat Customer</v>
      </c>
    </row>
    <row r="2081" spans="1:14">
      <c r="A2081" t="s">
        <v>2241</v>
      </c>
      <c r="B2081" s="1">
        <v>45119</v>
      </c>
      <c r="C2081" t="s">
        <v>1513</v>
      </c>
      <c r="D2081" t="s">
        <v>1514</v>
      </c>
      <c r="E2081" t="s">
        <v>21</v>
      </c>
      <c r="F2081" t="s">
        <v>70</v>
      </c>
      <c r="G2081" t="s">
        <v>337</v>
      </c>
      <c r="H2081">
        <v>2</v>
      </c>
      <c r="I2081" s="3">
        <v>40.11</v>
      </c>
      <c r="J2081" t="s">
        <v>16</v>
      </c>
      <c r="K2081" t="s">
        <v>35</v>
      </c>
      <c r="L2081" s="4">
        <f>Table4[[#This Row],[quantity]]*Table4[[#This Row],[unit_price]]</f>
        <v>80.22</v>
      </c>
      <c r="M2081">
        <f>COUNTIFS($C$2:$C$3934,Table4[[#This Row],[customer_id]])</f>
        <v>5</v>
      </c>
      <c r="N2081" t="str">
        <f>IF(Table4[[#This Row],[customer_order_count]]=1,"New Customer","Repeat Customer")</f>
        <v>Repeat Customer</v>
      </c>
    </row>
    <row r="2082" spans="1:14">
      <c r="A2082" t="s">
        <v>4941</v>
      </c>
      <c r="B2082" s="1">
        <v>45615</v>
      </c>
      <c r="C2082" t="s">
        <v>2726</v>
      </c>
      <c r="D2082" t="s">
        <v>1578</v>
      </c>
      <c r="E2082" t="s">
        <v>21</v>
      </c>
      <c r="F2082" t="s">
        <v>22</v>
      </c>
      <c r="G2082" t="s">
        <v>162</v>
      </c>
      <c r="H2082">
        <v>1</v>
      </c>
      <c r="I2082" s="3">
        <v>40.119999999999997</v>
      </c>
      <c r="J2082" t="s">
        <v>16</v>
      </c>
      <c r="K2082" t="s">
        <v>35</v>
      </c>
      <c r="L2082" s="4">
        <f>Table4[[#This Row],[quantity]]*Table4[[#This Row],[unit_price]]</f>
        <v>40.119999999999997</v>
      </c>
      <c r="M2082">
        <f>COUNTIFS($C$2:$C$3934,Table4[[#This Row],[customer_id]])</f>
        <v>5</v>
      </c>
      <c r="N2082" t="str">
        <f>IF(Table4[[#This Row],[customer_order_count]]=1,"New Customer","Repeat Customer")</f>
        <v>Repeat Customer</v>
      </c>
    </row>
    <row r="2083" spans="1:14">
      <c r="A2083" t="s">
        <v>1704</v>
      </c>
      <c r="B2083" s="1">
        <v>45195</v>
      </c>
      <c r="C2083" t="s">
        <v>1705</v>
      </c>
      <c r="D2083" t="s">
        <v>1706</v>
      </c>
      <c r="E2083" t="s">
        <v>44</v>
      </c>
      <c r="F2083" t="s">
        <v>28</v>
      </c>
      <c r="G2083" t="s">
        <v>29</v>
      </c>
      <c r="H2083">
        <v>1</v>
      </c>
      <c r="I2083" s="3">
        <v>40.18</v>
      </c>
      <c r="J2083" t="s">
        <v>16</v>
      </c>
      <c r="K2083" t="s">
        <v>30</v>
      </c>
      <c r="L2083" s="4">
        <f>Table4[[#This Row],[quantity]]*Table4[[#This Row],[unit_price]]</f>
        <v>40.18</v>
      </c>
      <c r="M2083">
        <f>COUNTIFS($C$2:$C$3934,Table4[[#This Row],[customer_id]])</f>
        <v>7</v>
      </c>
      <c r="N2083" t="str">
        <f>IF(Table4[[#This Row],[customer_order_count]]=1,"New Customer","Repeat Customer")</f>
        <v>Repeat Customer</v>
      </c>
    </row>
    <row r="2084" spans="1:14">
      <c r="A2084" t="s">
        <v>1855</v>
      </c>
      <c r="B2084" s="1">
        <v>45459</v>
      </c>
      <c r="C2084" t="s">
        <v>219</v>
      </c>
      <c r="D2084" t="s">
        <v>220</v>
      </c>
      <c r="E2084" t="s">
        <v>21</v>
      </c>
      <c r="F2084" t="s">
        <v>22</v>
      </c>
      <c r="G2084" t="s">
        <v>142</v>
      </c>
      <c r="H2084">
        <v>1</v>
      </c>
      <c r="I2084" s="3">
        <v>40.19</v>
      </c>
      <c r="J2084" t="s">
        <v>24</v>
      </c>
      <c r="K2084" t="s">
        <v>17</v>
      </c>
      <c r="L2084" s="4">
        <f>Table4[[#This Row],[quantity]]*Table4[[#This Row],[unit_price]]</f>
        <v>40.19</v>
      </c>
      <c r="M2084">
        <f>COUNTIFS($C$2:$C$3934,Table4[[#This Row],[customer_id]])</f>
        <v>8</v>
      </c>
      <c r="N2084" t="str">
        <f>IF(Table4[[#This Row],[customer_order_count]]=1,"New Customer","Repeat Customer")</f>
        <v>Repeat Customer</v>
      </c>
    </row>
    <row r="2085" spans="1:14">
      <c r="A2085" t="s">
        <v>3834</v>
      </c>
      <c r="B2085" s="1">
        <v>45407</v>
      </c>
      <c r="C2085" t="s">
        <v>3003</v>
      </c>
      <c r="D2085" t="s">
        <v>502</v>
      </c>
      <c r="E2085" t="s">
        <v>44</v>
      </c>
      <c r="F2085" t="s">
        <v>22</v>
      </c>
      <c r="G2085" t="s">
        <v>142</v>
      </c>
      <c r="H2085">
        <v>1</v>
      </c>
      <c r="I2085" s="3">
        <v>40.22</v>
      </c>
      <c r="J2085" t="s">
        <v>24</v>
      </c>
      <c r="K2085" t="s">
        <v>17</v>
      </c>
      <c r="L2085" s="4">
        <f>Table4[[#This Row],[quantity]]*Table4[[#This Row],[unit_price]]</f>
        <v>40.22</v>
      </c>
      <c r="M2085">
        <f>COUNTIFS($C$2:$C$3934,Table4[[#This Row],[customer_id]])</f>
        <v>3</v>
      </c>
      <c r="N2085" t="str">
        <f>IF(Table4[[#This Row],[customer_order_count]]=1,"New Customer","Repeat Customer")</f>
        <v>Repeat Customer</v>
      </c>
    </row>
    <row r="2086" spans="1:14">
      <c r="A2086" t="s">
        <v>4452</v>
      </c>
      <c r="B2086" s="1">
        <v>45586</v>
      </c>
      <c r="C2086" t="s">
        <v>830</v>
      </c>
      <c r="D2086" t="s">
        <v>831</v>
      </c>
      <c r="E2086" t="s">
        <v>21</v>
      </c>
      <c r="F2086" t="s">
        <v>28</v>
      </c>
      <c r="G2086" t="s">
        <v>29</v>
      </c>
      <c r="H2086">
        <v>1</v>
      </c>
      <c r="I2086" s="3">
        <v>40.22</v>
      </c>
      <c r="J2086" t="s">
        <v>16</v>
      </c>
      <c r="K2086" t="s">
        <v>30</v>
      </c>
      <c r="L2086" s="4">
        <f>Table4[[#This Row],[quantity]]*Table4[[#This Row],[unit_price]]</f>
        <v>40.22</v>
      </c>
      <c r="M2086">
        <f>COUNTIFS($C$2:$C$3934,Table4[[#This Row],[customer_id]])</f>
        <v>5</v>
      </c>
      <c r="N2086" t="str">
        <f>IF(Table4[[#This Row],[customer_order_count]]=1,"New Customer","Repeat Customer")</f>
        <v>Repeat Customer</v>
      </c>
    </row>
    <row r="2087" spans="1:14">
      <c r="A2087" t="s">
        <v>1932</v>
      </c>
      <c r="B2087" s="1">
        <v>45222</v>
      </c>
      <c r="C2087" t="s">
        <v>1717</v>
      </c>
      <c r="D2087" t="s">
        <v>573</v>
      </c>
      <c r="E2087" t="s">
        <v>21</v>
      </c>
      <c r="F2087" t="s">
        <v>70</v>
      </c>
      <c r="G2087" t="s">
        <v>337</v>
      </c>
      <c r="H2087">
        <v>1</v>
      </c>
      <c r="I2087" s="3">
        <v>40.28</v>
      </c>
      <c r="J2087" t="s">
        <v>16</v>
      </c>
      <c r="K2087" t="s">
        <v>30</v>
      </c>
      <c r="L2087" s="4">
        <f>Table4[[#This Row],[quantity]]*Table4[[#This Row],[unit_price]]</f>
        <v>40.28</v>
      </c>
      <c r="M2087">
        <f>COUNTIFS($C$2:$C$3934,Table4[[#This Row],[customer_id]])</f>
        <v>7</v>
      </c>
      <c r="N2087" t="str">
        <f>IF(Table4[[#This Row],[customer_order_count]]=1,"New Customer","Repeat Customer")</f>
        <v>Repeat Customer</v>
      </c>
    </row>
    <row r="2088" spans="1:14">
      <c r="A2088" t="s">
        <v>4139</v>
      </c>
      <c r="B2088" s="1">
        <v>45170</v>
      </c>
      <c r="C2088" t="s">
        <v>2817</v>
      </c>
      <c r="D2088" t="s">
        <v>1390</v>
      </c>
      <c r="E2088" t="s">
        <v>21</v>
      </c>
      <c r="F2088" t="s">
        <v>22</v>
      </c>
      <c r="G2088" t="s">
        <v>135</v>
      </c>
      <c r="H2088">
        <v>2</v>
      </c>
      <c r="I2088" s="3">
        <v>40.29</v>
      </c>
      <c r="J2088" t="s">
        <v>16</v>
      </c>
      <c r="K2088" t="s">
        <v>40</v>
      </c>
      <c r="L2088" s="4">
        <f>Table4[[#This Row],[quantity]]*Table4[[#This Row],[unit_price]]</f>
        <v>80.58</v>
      </c>
      <c r="M2088">
        <f>COUNTIFS($C$2:$C$3934,Table4[[#This Row],[customer_id]])</f>
        <v>4</v>
      </c>
      <c r="N2088" t="str">
        <f>IF(Table4[[#This Row],[customer_order_count]]=1,"New Customer","Repeat Customer")</f>
        <v>Repeat Customer</v>
      </c>
    </row>
    <row r="2089" spans="1:14">
      <c r="A2089" t="s">
        <v>3154</v>
      </c>
      <c r="B2089" s="1">
        <v>44991</v>
      </c>
      <c r="C2089" t="s">
        <v>1449</v>
      </c>
      <c r="D2089" t="s">
        <v>1450</v>
      </c>
      <c r="E2089" t="s">
        <v>21</v>
      </c>
      <c r="F2089" t="s">
        <v>28</v>
      </c>
      <c r="G2089" t="s">
        <v>45</v>
      </c>
      <c r="H2089">
        <v>1</v>
      </c>
      <c r="I2089" s="3">
        <v>40.33</v>
      </c>
      <c r="J2089" t="s">
        <v>24</v>
      </c>
      <c r="K2089" t="s">
        <v>17</v>
      </c>
      <c r="L2089" s="4">
        <f>Table4[[#This Row],[quantity]]*Table4[[#This Row],[unit_price]]</f>
        <v>40.33</v>
      </c>
      <c r="M2089">
        <f>COUNTIFS($C$2:$C$3934,Table4[[#This Row],[customer_id]])</f>
        <v>4</v>
      </c>
      <c r="N2089" t="str">
        <f>IF(Table4[[#This Row],[customer_order_count]]=1,"New Customer","Repeat Customer")</f>
        <v>Repeat Customer</v>
      </c>
    </row>
    <row r="2090" spans="1:14">
      <c r="A2090" t="s">
        <v>1959</v>
      </c>
      <c r="B2090" s="1">
        <v>45556</v>
      </c>
      <c r="C2090" t="s">
        <v>658</v>
      </c>
      <c r="D2090" t="s">
        <v>659</v>
      </c>
      <c r="E2090" t="s">
        <v>44</v>
      </c>
      <c r="F2090" t="s">
        <v>70</v>
      </c>
      <c r="G2090" t="s">
        <v>170</v>
      </c>
      <c r="H2090">
        <v>1</v>
      </c>
      <c r="I2090" s="3">
        <v>40.369999999999997</v>
      </c>
      <c r="J2090" t="s">
        <v>16</v>
      </c>
      <c r="K2090" t="s">
        <v>30</v>
      </c>
      <c r="L2090" s="4">
        <f>Table4[[#This Row],[quantity]]*Table4[[#This Row],[unit_price]]</f>
        <v>40.369999999999997</v>
      </c>
      <c r="M2090">
        <f>COUNTIFS($C$2:$C$3934,Table4[[#This Row],[customer_id]])</f>
        <v>2</v>
      </c>
      <c r="N2090" t="str">
        <f>IF(Table4[[#This Row],[customer_order_count]]=1,"New Customer","Repeat Customer")</f>
        <v>Repeat Customer</v>
      </c>
    </row>
    <row r="2091" spans="1:14">
      <c r="A2091" t="s">
        <v>1897</v>
      </c>
      <c r="B2091" s="1">
        <v>45010</v>
      </c>
      <c r="C2091" t="s">
        <v>1898</v>
      </c>
      <c r="D2091" t="s">
        <v>947</v>
      </c>
      <c r="E2091" t="s">
        <v>44</v>
      </c>
      <c r="F2091" t="s">
        <v>22</v>
      </c>
      <c r="G2091" t="s">
        <v>162</v>
      </c>
      <c r="H2091">
        <v>2</v>
      </c>
      <c r="I2091" s="3">
        <v>40.369999999999997</v>
      </c>
      <c r="J2091" t="s">
        <v>16</v>
      </c>
      <c r="K2091" t="s">
        <v>17</v>
      </c>
      <c r="L2091" s="4">
        <f>Table4[[#This Row],[quantity]]*Table4[[#This Row],[unit_price]]</f>
        <v>80.739999999999995</v>
      </c>
      <c r="M2091">
        <f>COUNTIFS($C$2:$C$3934,Table4[[#This Row],[customer_id]])</f>
        <v>4</v>
      </c>
      <c r="N2091" t="str">
        <f>IF(Table4[[#This Row],[customer_order_count]]=1,"New Customer","Repeat Customer")</f>
        <v>Repeat Customer</v>
      </c>
    </row>
    <row r="2092" spans="1:14">
      <c r="A2092" t="s">
        <v>3820</v>
      </c>
      <c r="B2092" s="1">
        <v>45508</v>
      </c>
      <c r="C2092" t="s">
        <v>649</v>
      </c>
      <c r="D2092" t="s">
        <v>650</v>
      </c>
      <c r="E2092" t="s">
        <v>21</v>
      </c>
      <c r="F2092" t="s">
        <v>28</v>
      </c>
      <c r="G2092" t="s">
        <v>114</v>
      </c>
      <c r="H2092">
        <v>1</v>
      </c>
      <c r="I2092" s="3">
        <v>40.39</v>
      </c>
      <c r="J2092" t="s">
        <v>16</v>
      </c>
      <c r="K2092" t="s">
        <v>17</v>
      </c>
      <c r="L2092" s="4">
        <f>Table4[[#This Row],[quantity]]*Table4[[#This Row],[unit_price]]</f>
        <v>40.39</v>
      </c>
      <c r="M2092">
        <f>COUNTIFS($C$2:$C$3934,Table4[[#This Row],[customer_id]])</f>
        <v>7</v>
      </c>
      <c r="N2092" t="str">
        <f>IF(Table4[[#This Row],[customer_order_count]]=1,"New Customer","Repeat Customer")</f>
        <v>Repeat Customer</v>
      </c>
    </row>
    <row r="2093" spans="1:14">
      <c r="A2093" t="s">
        <v>1680</v>
      </c>
      <c r="B2093" s="1">
        <v>45642</v>
      </c>
      <c r="C2093" t="s">
        <v>1681</v>
      </c>
      <c r="D2093" t="s">
        <v>1043</v>
      </c>
      <c r="E2093" t="s">
        <v>21</v>
      </c>
      <c r="F2093" t="s">
        <v>22</v>
      </c>
      <c r="G2093" t="s">
        <v>264</v>
      </c>
      <c r="H2093">
        <v>1</v>
      </c>
      <c r="I2093" s="3">
        <v>40.42</v>
      </c>
      <c r="J2093" t="s">
        <v>16</v>
      </c>
      <c r="K2093" t="s">
        <v>17</v>
      </c>
      <c r="L2093" s="4">
        <f>Table4[[#This Row],[quantity]]*Table4[[#This Row],[unit_price]]</f>
        <v>40.42</v>
      </c>
      <c r="M2093">
        <f>COUNTIFS($C$2:$C$3934,Table4[[#This Row],[customer_id]])</f>
        <v>1</v>
      </c>
      <c r="N2093" t="str">
        <f>IF(Table4[[#This Row],[customer_order_count]]=1,"New Customer","Repeat Customer")</f>
        <v>New Customer</v>
      </c>
    </row>
    <row r="2094" spans="1:14">
      <c r="A2094" t="s">
        <v>4793</v>
      </c>
      <c r="B2094" s="1">
        <v>45169</v>
      </c>
      <c r="C2094" t="s">
        <v>596</v>
      </c>
      <c r="D2094" t="s">
        <v>597</v>
      </c>
      <c r="E2094" t="s">
        <v>21</v>
      </c>
      <c r="F2094" t="s">
        <v>14</v>
      </c>
      <c r="G2094" t="s">
        <v>34</v>
      </c>
      <c r="H2094">
        <v>1</v>
      </c>
      <c r="I2094" s="3">
        <v>40.42</v>
      </c>
      <c r="J2094" t="s">
        <v>16</v>
      </c>
      <c r="K2094" t="s">
        <v>40</v>
      </c>
      <c r="L2094" s="4">
        <f>Table4[[#This Row],[quantity]]*Table4[[#This Row],[unit_price]]</f>
        <v>40.42</v>
      </c>
      <c r="M2094">
        <f>COUNTIFS($C$2:$C$3934,Table4[[#This Row],[customer_id]])</f>
        <v>8</v>
      </c>
      <c r="N2094" t="str">
        <f>IF(Table4[[#This Row],[customer_order_count]]=1,"New Customer","Repeat Customer")</f>
        <v>Repeat Customer</v>
      </c>
    </row>
    <row r="2095" spans="1:14">
      <c r="A2095" t="s">
        <v>3943</v>
      </c>
      <c r="B2095" s="1">
        <v>45029</v>
      </c>
      <c r="C2095" t="s">
        <v>680</v>
      </c>
      <c r="D2095" t="s">
        <v>681</v>
      </c>
      <c r="E2095" t="s">
        <v>21</v>
      </c>
      <c r="F2095" t="s">
        <v>28</v>
      </c>
      <c r="G2095" t="s">
        <v>84</v>
      </c>
      <c r="H2095">
        <v>1</v>
      </c>
      <c r="I2095" s="3">
        <v>40.44</v>
      </c>
      <c r="J2095" t="s">
        <v>16</v>
      </c>
      <c r="K2095" t="s">
        <v>35</v>
      </c>
      <c r="L2095" s="4">
        <f>Table4[[#This Row],[quantity]]*Table4[[#This Row],[unit_price]]</f>
        <v>40.44</v>
      </c>
      <c r="M2095">
        <f>COUNTIFS($C$2:$C$3934,Table4[[#This Row],[customer_id]])</f>
        <v>11</v>
      </c>
      <c r="N2095" t="str">
        <f>IF(Table4[[#This Row],[customer_order_count]]=1,"New Customer","Repeat Customer")</f>
        <v>Repeat Customer</v>
      </c>
    </row>
    <row r="2096" spans="1:14">
      <c r="A2096" t="s">
        <v>4835</v>
      </c>
      <c r="B2096" s="1">
        <v>45433</v>
      </c>
      <c r="C2096" t="s">
        <v>733</v>
      </c>
      <c r="D2096" t="s">
        <v>734</v>
      </c>
      <c r="E2096" t="s">
        <v>21</v>
      </c>
      <c r="F2096" t="s">
        <v>22</v>
      </c>
      <c r="G2096" t="s">
        <v>162</v>
      </c>
      <c r="H2096">
        <v>1</v>
      </c>
      <c r="I2096" s="3">
        <v>40.450000000000003</v>
      </c>
      <c r="J2096" t="s">
        <v>16</v>
      </c>
      <c r="K2096" t="s">
        <v>35</v>
      </c>
      <c r="L2096" s="4">
        <f>Table4[[#This Row],[quantity]]*Table4[[#This Row],[unit_price]]</f>
        <v>40.450000000000003</v>
      </c>
      <c r="M2096">
        <f>COUNTIFS($C$2:$C$3934,Table4[[#This Row],[customer_id]])</f>
        <v>5</v>
      </c>
      <c r="N2096" t="str">
        <f>IF(Table4[[#This Row],[customer_order_count]]=1,"New Customer","Repeat Customer")</f>
        <v>Repeat Customer</v>
      </c>
    </row>
    <row r="2097" spans="1:14">
      <c r="A2097" t="s">
        <v>5221</v>
      </c>
      <c r="B2097" s="1">
        <v>45176</v>
      </c>
      <c r="C2097" t="s">
        <v>2288</v>
      </c>
      <c r="D2097" t="s">
        <v>740</v>
      </c>
      <c r="E2097" t="s">
        <v>21</v>
      </c>
      <c r="F2097" t="s">
        <v>56</v>
      </c>
      <c r="G2097" t="s">
        <v>210</v>
      </c>
      <c r="H2097">
        <v>1</v>
      </c>
      <c r="I2097" s="3">
        <v>40.479999999999997</v>
      </c>
      <c r="J2097" t="s">
        <v>16</v>
      </c>
      <c r="K2097" t="s">
        <v>17</v>
      </c>
      <c r="L2097" s="4">
        <f>Table4[[#This Row],[quantity]]*Table4[[#This Row],[unit_price]]</f>
        <v>40.479999999999997</v>
      </c>
      <c r="M2097">
        <f>COUNTIFS($C$2:$C$3934,Table4[[#This Row],[customer_id]])</f>
        <v>5</v>
      </c>
      <c r="N2097" t="str">
        <f>IF(Table4[[#This Row],[customer_order_count]]=1,"New Customer","Repeat Customer")</f>
        <v>Repeat Customer</v>
      </c>
    </row>
    <row r="2098" spans="1:14">
      <c r="A2098" t="s">
        <v>2944</v>
      </c>
      <c r="B2098" s="1">
        <v>45253</v>
      </c>
      <c r="C2098" t="s">
        <v>249</v>
      </c>
      <c r="D2098" t="s">
        <v>250</v>
      </c>
      <c r="E2098" t="s">
        <v>21</v>
      </c>
      <c r="F2098" t="s">
        <v>22</v>
      </c>
      <c r="G2098" t="s">
        <v>142</v>
      </c>
      <c r="H2098">
        <v>2</v>
      </c>
      <c r="I2098" s="3">
        <v>40.57</v>
      </c>
      <c r="J2098" t="s">
        <v>16</v>
      </c>
      <c r="K2098" t="s">
        <v>17</v>
      </c>
      <c r="L2098" s="4">
        <f>Table4[[#This Row],[quantity]]*Table4[[#This Row],[unit_price]]</f>
        <v>81.14</v>
      </c>
      <c r="M2098">
        <f>COUNTIFS($C$2:$C$3934,Table4[[#This Row],[customer_id]])</f>
        <v>12</v>
      </c>
      <c r="N2098" t="str">
        <f>IF(Table4[[#This Row],[customer_order_count]]=1,"New Customer","Repeat Customer")</f>
        <v>Repeat Customer</v>
      </c>
    </row>
    <row r="2099" spans="1:14">
      <c r="A2099" t="s">
        <v>2268</v>
      </c>
      <c r="B2099" s="1">
        <v>45447</v>
      </c>
      <c r="C2099" t="s">
        <v>2225</v>
      </c>
      <c r="D2099" t="s">
        <v>438</v>
      </c>
      <c r="E2099" t="s">
        <v>44</v>
      </c>
      <c r="F2099" t="s">
        <v>70</v>
      </c>
      <c r="G2099" t="s">
        <v>89</v>
      </c>
      <c r="H2099">
        <v>1</v>
      </c>
      <c r="I2099" s="3">
        <v>40.619999999999997</v>
      </c>
      <c r="J2099" t="s">
        <v>16</v>
      </c>
      <c r="K2099" t="s">
        <v>30</v>
      </c>
      <c r="L2099" s="4">
        <f>Table4[[#This Row],[quantity]]*Table4[[#This Row],[unit_price]]</f>
        <v>40.619999999999997</v>
      </c>
      <c r="M2099">
        <f>COUNTIFS($C$2:$C$3934,Table4[[#This Row],[customer_id]])</f>
        <v>6</v>
      </c>
      <c r="N2099" t="str">
        <f>IF(Table4[[#This Row],[customer_order_count]]=1,"New Customer","Repeat Customer")</f>
        <v>Repeat Customer</v>
      </c>
    </row>
    <row r="2100" spans="1:14">
      <c r="A2100" t="s">
        <v>5164</v>
      </c>
      <c r="B2100" s="1">
        <v>45655</v>
      </c>
      <c r="C2100" t="s">
        <v>160</v>
      </c>
      <c r="D2100" t="s">
        <v>161</v>
      </c>
      <c r="E2100" t="s">
        <v>21</v>
      </c>
      <c r="F2100" t="s">
        <v>14</v>
      </c>
      <c r="G2100" t="s">
        <v>100</v>
      </c>
      <c r="H2100">
        <v>1</v>
      </c>
      <c r="I2100" s="3">
        <v>40.630000000000003</v>
      </c>
      <c r="J2100" t="s">
        <v>85</v>
      </c>
      <c r="K2100" t="s">
        <v>40</v>
      </c>
      <c r="L2100" s="4">
        <f>Table4[[#This Row],[quantity]]*Table4[[#This Row],[unit_price]]</f>
        <v>40.630000000000003</v>
      </c>
      <c r="M2100">
        <f>COUNTIFS($C$2:$C$3934,Table4[[#This Row],[customer_id]])</f>
        <v>6</v>
      </c>
      <c r="N2100" t="str">
        <f>IF(Table4[[#This Row],[customer_order_count]]=1,"New Customer","Repeat Customer")</f>
        <v>Repeat Customer</v>
      </c>
    </row>
    <row r="2101" spans="1:14">
      <c r="A2101" t="s">
        <v>3130</v>
      </c>
      <c r="B2101" s="1">
        <v>45041</v>
      </c>
      <c r="C2101" t="s">
        <v>3131</v>
      </c>
      <c r="D2101" t="s">
        <v>145</v>
      </c>
      <c r="E2101" t="s">
        <v>21</v>
      </c>
      <c r="F2101" t="s">
        <v>56</v>
      </c>
      <c r="G2101" t="s">
        <v>153</v>
      </c>
      <c r="H2101">
        <v>1</v>
      </c>
      <c r="I2101" s="3">
        <v>40.64</v>
      </c>
      <c r="J2101" t="s">
        <v>16</v>
      </c>
      <c r="K2101" s="2" t="s">
        <v>5256</v>
      </c>
      <c r="L2101" s="4">
        <f>Table4[[#This Row],[quantity]]*Table4[[#This Row],[unit_price]]</f>
        <v>40.64</v>
      </c>
      <c r="M2101">
        <f>COUNTIFS($C$2:$C$3934,Table4[[#This Row],[customer_id]])</f>
        <v>3</v>
      </c>
      <c r="N2101" t="str">
        <f>IF(Table4[[#This Row],[customer_order_count]]=1,"New Customer","Repeat Customer")</f>
        <v>Repeat Customer</v>
      </c>
    </row>
    <row r="2102" spans="1:14">
      <c r="A2102" t="s">
        <v>1337</v>
      </c>
      <c r="B2102" s="1">
        <v>45593</v>
      </c>
      <c r="C2102" t="s">
        <v>1338</v>
      </c>
      <c r="D2102" t="s">
        <v>152</v>
      </c>
      <c r="E2102" t="s">
        <v>21</v>
      </c>
      <c r="F2102" t="s">
        <v>79</v>
      </c>
      <c r="G2102" t="s">
        <v>398</v>
      </c>
      <c r="H2102">
        <v>1</v>
      </c>
      <c r="I2102" s="3">
        <v>40.64</v>
      </c>
      <c r="J2102" t="s">
        <v>16</v>
      </c>
      <c r="K2102" s="5" t="s">
        <v>17</v>
      </c>
      <c r="L2102" s="4">
        <f>Table4[[#This Row],[quantity]]*Table4[[#This Row],[unit_price]]</f>
        <v>40.64</v>
      </c>
      <c r="M2102">
        <f>COUNTIFS($C$2:$C$3934,Table4[[#This Row],[customer_id]])</f>
        <v>7</v>
      </c>
      <c r="N2102" t="str">
        <f>IF(Table4[[#This Row],[customer_order_count]]=1,"New Customer","Repeat Customer")</f>
        <v>Repeat Customer</v>
      </c>
    </row>
    <row r="2103" spans="1:14">
      <c r="A2103" t="s">
        <v>2564</v>
      </c>
      <c r="B2103" s="1">
        <v>45286</v>
      </c>
      <c r="C2103" t="s">
        <v>1743</v>
      </c>
      <c r="D2103" t="s">
        <v>20</v>
      </c>
      <c r="E2103" t="s">
        <v>21</v>
      </c>
      <c r="F2103" t="s">
        <v>56</v>
      </c>
      <c r="G2103" t="s">
        <v>75</v>
      </c>
      <c r="H2103">
        <v>4</v>
      </c>
      <c r="I2103" s="3">
        <v>40.67</v>
      </c>
      <c r="J2103" t="s">
        <v>85</v>
      </c>
      <c r="K2103" t="s">
        <v>40</v>
      </c>
      <c r="L2103" s="4">
        <f>Table4[[#This Row],[quantity]]*Table4[[#This Row],[unit_price]]</f>
        <v>162.68</v>
      </c>
      <c r="M2103">
        <f>COUNTIFS($C$2:$C$3934,Table4[[#This Row],[customer_id]])</f>
        <v>8</v>
      </c>
      <c r="N2103" t="str">
        <f>IF(Table4[[#This Row],[customer_order_count]]=1,"New Customer","Repeat Customer")</f>
        <v>Repeat Customer</v>
      </c>
    </row>
    <row r="2104" spans="1:14">
      <c r="A2104" t="s">
        <v>4375</v>
      </c>
      <c r="B2104" s="1">
        <v>45653</v>
      </c>
      <c r="C2104" t="s">
        <v>509</v>
      </c>
      <c r="D2104" t="s">
        <v>510</v>
      </c>
      <c r="E2104" t="s">
        <v>21</v>
      </c>
      <c r="F2104" t="s">
        <v>14</v>
      </c>
      <c r="G2104" t="s">
        <v>62</v>
      </c>
      <c r="H2104">
        <v>4</v>
      </c>
      <c r="I2104" s="3">
        <v>40.72</v>
      </c>
      <c r="J2104" t="s">
        <v>16</v>
      </c>
      <c r="K2104" t="s">
        <v>17</v>
      </c>
      <c r="L2104" s="4">
        <f>Table4[[#This Row],[quantity]]*Table4[[#This Row],[unit_price]]</f>
        <v>162.88</v>
      </c>
      <c r="M2104">
        <f>COUNTIFS($C$2:$C$3934,Table4[[#This Row],[customer_id]])</f>
        <v>6</v>
      </c>
      <c r="N2104" t="str">
        <f>IF(Table4[[#This Row],[customer_order_count]]=1,"New Customer","Repeat Customer")</f>
        <v>Repeat Customer</v>
      </c>
    </row>
    <row r="2105" spans="1:14">
      <c r="A2105" t="s">
        <v>2455</v>
      </c>
      <c r="B2105" s="1">
        <v>45450</v>
      </c>
      <c r="C2105" t="s">
        <v>451</v>
      </c>
      <c r="D2105" t="s">
        <v>452</v>
      </c>
      <c r="E2105" t="s">
        <v>44</v>
      </c>
      <c r="F2105" t="s">
        <v>70</v>
      </c>
      <c r="G2105" t="s">
        <v>71</v>
      </c>
      <c r="H2105">
        <v>1</v>
      </c>
      <c r="I2105" s="3">
        <v>40.76</v>
      </c>
      <c r="J2105" t="s">
        <v>16</v>
      </c>
      <c r="K2105" t="s">
        <v>17</v>
      </c>
      <c r="L2105" s="4">
        <f>Table4[[#This Row],[quantity]]*Table4[[#This Row],[unit_price]]</f>
        <v>40.76</v>
      </c>
      <c r="M2105">
        <f>COUNTIFS($C$2:$C$3934,Table4[[#This Row],[customer_id]])</f>
        <v>8</v>
      </c>
      <c r="N2105" t="str">
        <f>IF(Table4[[#This Row],[customer_order_count]]=1,"New Customer","Repeat Customer")</f>
        <v>Repeat Customer</v>
      </c>
    </row>
    <row r="2106" spans="1:14">
      <c r="A2106" t="s">
        <v>3161</v>
      </c>
      <c r="B2106" s="1">
        <v>45121</v>
      </c>
      <c r="C2106" t="s">
        <v>864</v>
      </c>
      <c r="D2106" t="s">
        <v>88</v>
      </c>
      <c r="E2106" t="s">
        <v>61</v>
      </c>
      <c r="F2106" t="s">
        <v>28</v>
      </c>
      <c r="G2106" t="s">
        <v>84</v>
      </c>
      <c r="H2106">
        <v>1</v>
      </c>
      <c r="I2106" s="3">
        <v>40.78</v>
      </c>
      <c r="J2106" t="s">
        <v>16</v>
      </c>
      <c r="K2106" t="s">
        <v>35</v>
      </c>
      <c r="L2106" s="4">
        <f>Table4[[#This Row],[quantity]]*Table4[[#This Row],[unit_price]]</f>
        <v>40.78</v>
      </c>
      <c r="M2106">
        <f>COUNTIFS($C$2:$C$3934,Table4[[#This Row],[customer_id]])</f>
        <v>5</v>
      </c>
      <c r="N2106" t="str">
        <f>IF(Table4[[#This Row],[customer_order_count]]=1,"New Customer","Repeat Customer")</f>
        <v>Repeat Customer</v>
      </c>
    </row>
    <row r="2107" spans="1:14">
      <c r="A2107" t="s">
        <v>4062</v>
      </c>
      <c r="B2107" s="1">
        <v>45062</v>
      </c>
      <c r="C2107" t="s">
        <v>1191</v>
      </c>
      <c r="D2107" t="s">
        <v>1192</v>
      </c>
      <c r="E2107" t="s">
        <v>44</v>
      </c>
      <c r="F2107" t="s">
        <v>70</v>
      </c>
      <c r="G2107" t="s">
        <v>146</v>
      </c>
      <c r="H2107">
        <v>3</v>
      </c>
      <c r="I2107" s="3">
        <v>40.78</v>
      </c>
      <c r="J2107" t="s">
        <v>16</v>
      </c>
      <c r="K2107" t="s">
        <v>30</v>
      </c>
      <c r="L2107" s="4">
        <f>Table4[[#This Row],[quantity]]*Table4[[#This Row],[unit_price]]</f>
        <v>122.34</v>
      </c>
      <c r="M2107">
        <f>COUNTIFS($C$2:$C$3934,Table4[[#This Row],[customer_id]])</f>
        <v>3</v>
      </c>
      <c r="N2107" t="str">
        <f>IF(Table4[[#This Row],[customer_order_count]]=1,"New Customer","Repeat Customer")</f>
        <v>Repeat Customer</v>
      </c>
    </row>
    <row r="2108" spans="1:14">
      <c r="A2108" t="s">
        <v>1887</v>
      </c>
      <c r="B2108" s="1">
        <v>45349</v>
      </c>
      <c r="C2108" t="s">
        <v>1888</v>
      </c>
      <c r="D2108" t="s">
        <v>1889</v>
      </c>
      <c r="E2108" t="s">
        <v>21</v>
      </c>
      <c r="F2108" t="s">
        <v>14</v>
      </c>
      <c r="G2108" t="s">
        <v>100</v>
      </c>
      <c r="H2108">
        <v>3</v>
      </c>
      <c r="I2108" s="3">
        <v>40.799999999999997</v>
      </c>
      <c r="J2108" t="s">
        <v>16</v>
      </c>
      <c r="K2108" t="s">
        <v>17</v>
      </c>
      <c r="L2108" s="4">
        <f>Table4[[#This Row],[quantity]]*Table4[[#This Row],[unit_price]]</f>
        <v>122.39999999999999</v>
      </c>
      <c r="M2108">
        <f>COUNTIFS($C$2:$C$3934,Table4[[#This Row],[customer_id]])</f>
        <v>6</v>
      </c>
      <c r="N2108" t="str">
        <f>IF(Table4[[#This Row],[customer_order_count]]=1,"New Customer","Repeat Customer")</f>
        <v>Repeat Customer</v>
      </c>
    </row>
    <row r="2109" spans="1:14">
      <c r="A2109" t="s">
        <v>1658</v>
      </c>
      <c r="B2109" s="1">
        <v>45567</v>
      </c>
      <c r="C2109" t="s">
        <v>141</v>
      </c>
      <c r="D2109" t="s">
        <v>105</v>
      </c>
      <c r="E2109" t="s">
        <v>21</v>
      </c>
      <c r="F2109" t="s">
        <v>70</v>
      </c>
      <c r="G2109" t="s">
        <v>170</v>
      </c>
      <c r="H2109">
        <v>2</v>
      </c>
      <c r="I2109" s="3">
        <v>40.81</v>
      </c>
      <c r="J2109" t="s">
        <v>16</v>
      </c>
      <c r="K2109" t="s">
        <v>35</v>
      </c>
      <c r="L2109" s="4">
        <f>Table4[[#This Row],[quantity]]*Table4[[#This Row],[unit_price]]</f>
        <v>81.62</v>
      </c>
      <c r="M2109">
        <f>COUNTIFS($C$2:$C$3934,Table4[[#This Row],[customer_id]])</f>
        <v>6</v>
      </c>
      <c r="N2109" t="str">
        <f>IF(Table4[[#This Row],[customer_order_count]]=1,"New Customer","Repeat Customer")</f>
        <v>Repeat Customer</v>
      </c>
    </row>
    <row r="2110" spans="1:14">
      <c r="A2110" t="s">
        <v>3134</v>
      </c>
      <c r="B2110" s="1">
        <v>45133</v>
      </c>
      <c r="C2110" t="s">
        <v>671</v>
      </c>
      <c r="D2110" t="s">
        <v>672</v>
      </c>
      <c r="E2110" t="s">
        <v>61</v>
      </c>
      <c r="F2110" t="s">
        <v>22</v>
      </c>
      <c r="G2110" t="s">
        <v>23</v>
      </c>
      <c r="H2110">
        <v>2</v>
      </c>
      <c r="I2110" s="3">
        <v>40.81</v>
      </c>
      <c r="J2110" t="s">
        <v>16</v>
      </c>
      <c r="K2110" t="s">
        <v>30</v>
      </c>
      <c r="L2110" s="4">
        <f>Table4[[#This Row],[quantity]]*Table4[[#This Row],[unit_price]]</f>
        <v>81.62</v>
      </c>
      <c r="M2110">
        <f>COUNTIFS($C$2:$C$3934,Table4[[#This Row],[customer_id]])</f>
        <v>4</v>
      </c>
      <c r="N2110" t="str">
        <f>IF(Table4[[#This Row],[customer_order_count]]=1,"New Customer","Repeat Customer")</f>
        <v>Repeat Customer</v>
      </c>
    </row>
    <row r="2111" spans="1:14">
      <c r="A2111" t="s">
        <v>3183</v>
      </c>
      <c r="B2111" s="1">
        <v>45393</v>
      </c>
      <c r="C2111" t="s">
        <v>921</v>
      </c>
      <c r="D2111" t="s">
        <v>181</v>
      </c>
      <c r="E2111" t="s">
        <v>21</v>
      </c>
      <c r="F2111" t="s">
        <v>28</v>
      </c>
      <c r="G2111" t="s">
        <v>45</v>
      </c>
      <c r="H2111">
        <v>3</v>
      </c>
      <c r="I2111" s="3">
        <v>40.83</v>
      </c>
      <c r="J2111" t="s">
        <v>16</v>
      </c>
      <c r="K2111" t="s">
        <v>17</v>
      </c>
      <c r="L2111" s="4">
        <f>Table4[[#This Row],[quantity]]*Table4[[#This Row],[unit_price]]</f>
        <v>122.49</v>
      </c>
      <c r="M2111">
        <f>COUNTIFS($C$2:$C$3934,Table4[[#This Row],[customer_id]])</f>
        <v>6</v>
      </c>
      <c r="N2111" t="str">
        <f>IF(Table4[[#This Row],[customer_order_count]]=1,"New Customer","Repeat Customer")</f>
        <v>Repeat Customer</v>
      </c>
    </row>
    <row r="2112" spans="1:14">
      <c r="A2112" t="s">
        <v>2397</v>
      </c>
      <c r="B2112" s="1">
        <v>45544</v>
      </c>
      <c r="C2112" t="s">
        <v>930</v>
      </c>
      <c r="D2112" t="s">
        <v>931</v>
      </c>
      <c r="E2112" t="s">
        <v>21</v>
      </c>
      <c r="F2112" t="s">
        <v>28</v>
      </c>
      <c r="G2112" t="s">
        <v>114</v>
      </c>
      <c r="H2112">
        <v>1</v>
      </c>
      <c r="I2112" s="3">
        <v>40.869999999999997</v>
      </c>
      <c r="J2112" t="s">
        <v>16</v>
      </c>
      <c r="K2112" t="s">
        <v>35</v>
      </c>
      <c r="L2112" s="4">
        <f>Table4[[#This Row],[quantity]]*Table4[[#This Row],[unit_price]]</f>
        <v>40.869999999999997</v>
      </c>
      <c r="M2112">
        <f>COUNTIFS($C$2:$C$3934,Table4[[#This Row],[customer_id]])</f>
        <v>6</v>
      </c>
      <c r="N2112" t="str">
        <f>IF(Table4[[#This Row],[customer_order_count]]=1,"New Customer","Repeat Customer")</f>
        <v>Repeat Customer</v>
      </c>
    </row>
    <row r="2113" spans="1:14">
      <c r="A2113" t="s">
        <v>2228</v>
      </c>
      <c r="B2113" s="1">
        <v>45305</v>
      </c>
      <c r="C2113" t="s">
        <v>2229</v>
      </c>
      <c r="D2113" s="2" t="s">
        <v>5257</v>
      </c>
      <c r="E2113" t="s">
        <v>21</v>
      </c>
      <c r="F2113" t="s">
        <v>22</v>
      </c>
      <c r="G2113" t="s">
        <v>135</v>
      </c>
      <c r="H2113">
        <v>2</v>
      </c>
      <c r="I2113" s="3">
        <v>40.89</v>
      </c>
      <c r="J2113" t="s">
        <v>16</v>
      </c>
      <c r="K2113" t="s">
        <v>35</v>
      </c>
      <c r="L2113" s="4">
        <f>Table4[[#This Row],[quantity]]*Table4[[#This Row],[unit_price]]</f>
        <v>81.78</v>
      </c>
      <c r="M2113">
        <f>COUNTIFS($C$2:$C$3934,Table4[[#This Row],[customer_id]])</f>
        <v>5</v>
      </c>
      <c r="N2113" t="str">
        <f>IF(Table4[[#This Row],[customer_order_count]]=1,"New Customer","Repeat Customer")</f>
        <v>Repeat Customer</v>
      </c>
    </row>
    <row r="2114" spans="1:14">
      <c r="A2114" t="s">
        <v>1694</v>
      </c>
      <c r="B2114" s="1">
        <v>45264</v>
      </c>
      <c r="C2114" t="s">
        <v>1695</v>
      </c>
      <c r="D2114" s="5" t="s">
        <v>377</v>
      </c>
      <c r="E2114" t="s">
        <v>21</v>
      </c>
      <c r="F2114" t="s">
        <v>28</v>
      </c>
      <c r="G2114" t="s">
        <v>114</v>
      </c>
      <c r="H2114">
        <v>4</v>
      </c>
      <c r="I2114" s="3">
        <v>40.9</v>
      </c>
      <c r="J2114" t="s">
        <v>16</v>
      </c>
      <c r="K2114" t="s">
        <v>40</v>
      </c>
      <c r="L2114" s="4">
        <f>Table4[[#This Row],[quantity]]*Table4[[#This Row],[unit_price]]</f>
        <v>163.6</v>
      </c>
      <c r="M2114">
        <f>COUNTIFS($C$2:$C$3934,Table4[[#This Row],[customer_id]])</f>
        <v>3</v>
      </c>
      <c r="N2114" t="str">
        <f>IF(Table4[[#This Row],[customer_order_count]]=1,"New Customer","Repeat Customer")</f>
        <v>Repeat Customer</v>
      </c>
    </row>
    <row r="2115" spans="1:14">
      <c r="A2115" t="s">
        <v>2812</v>
      </c>
      <c r="B2115" s="1">
        <v>45094</v>
      </c>
      <c r="C2115" t="s">
        <v>1582</v>
      </c>
      <c r="D2115" t="s">
        <v>1583</v>
      </c>
      <c r="E2115" t="s">
        <v>21</v>
      </c>
      <c r="F2115" t="s">
        <v>22</v>
      </c>
      <c r="G2115" t="s">
        <v>135</v>
      </c>
      <c r="H2115">
        <v>2</v>
      </c>
      <c r="I2115" s="3">
        <v>40.909999999999997</v>
      </c>
      <c r="J2115" t="s">
        <v>16</v>
      </c>
      <c r="K2115" t="s">
        <v>17</v>
      </c>
      <c r="L2115" s="4">
        <f>Table4[[#This Row],[quantity]]*Table4[[#This Row],[unit_price]]</f>
        <v>81.819999999999993</v>
      </c>
      <c r="M2115">
        <f>COUNTIFS($C$2:$C$3934,Table4[[#This Row],[customer_id]])</f>
        <v>3</v>
      </c>
      <c r="N2115" t="str">
        <f>IF(Table4[[#This Row],[customer_order_count]]=1,"New Customer","Repeat Customer")</f>
        <v>Repeat Customer</v>
      </c>
    </row>
    <row r="2116" spans="1:14">
      <c r="A2116" t="s">
        <v>1892</v>
      </c>
      <c r="B2116" s="1">
        <v>45218</v>
      </c>
      <c r="C2116" t="s">
        <v>454</v>
      </c>
      <c r="D2116" t="s">
        <v>299</v>
      </c>
      <c r="E2116" t="s">
        <v>44</v>
      </c>
      <c r="F2116" t="s">
        <v>22</v>
      </c>
      <c r="G2116" t="s">
        <v>142</v>
      </c>
      <c r="H2116">
        <v>1</v>
      </c>
      <c r="I2116" s="3">
        <v>40.92</v>
      </c>
      <c r="J2116" t="s">
        <v>16</v>
      </c>
      <c r="K2116" t="s">
        <v>35</v>
      </c>
      <c r="L2116" s="4">
        <f>Table4[[#This Row],[quantity]]*Table4[[#This Row],[unit_price]]</f>
        <v>40.92</v>
      </c>
      <c r="M2116">
        <f>COUNTIFS($C$2:$C$3934,Table4[[#This Row],[customer_id]])</f>
        <v>3</v>
      </c>
      <c r="N2116" t="str">
        <f>IF(Table4[[#This Row],[customer_order_count]]=1,"New Customer","Repeat Customer")</f>
        <v>Repeat Customer</v>
      </c>
    </row>
    <row r="2117" spans="1:14">
      <c r="A2117" t="s">
        <v>3058</v>
      </c>
      <c r="B2117" s="1">
        <v>45509</v>
      </c>
      <c r="C2117" t="s">
        <v>2591</v>
      </c>
      <c r="D2117" t="s">
        <v>1323</v>
      </c>
      <c r="E2117" t="s">
        <v>21</v>
      </c>
      <c r="F2117" t="s">
        <v>28</v>
      </c>
      <c r="G2117" t="s">
        <v>139</v>
      </c>
      <c r="H2117">
        <v>1</v>
      </c>
      <c r="I2117" s="3">
        <v>40.93</v>
      </c>
      <c r="J2117" t="s">
        <v>16</v>
      </c>
      <c r="K2117" t="s">
        <v>40</v>
      </c>
      <c r="L2117" s="4">
        <f>Table4[[#This Row],[quantity]]*Table4[[#This Row],[unit_price]]</f>
        <v>40.93</v>
      </c>
      <c r="M2117">
        <f>COUNTIFS($C$2:$C$3934,Table4[[#This Row],[customer_id]])</f>
        <v>2</v>
      </c>
      <c r="N2117" t="str">
        <f>IF(Table4[[#This Row],[customer_order_count]]=1,"New Customer","Repeat Customer")</f>
        <v>Repeat Customer</v>
      </c>
    </row>
    <row r="2118" spans="1:14">
      <c r="A2118" t="s">
        <v>2184</v>
      </c>
      <c r="B2118" s="1">
        <v>45329</v>
      </c>
      <c r="C2118" t="s">
        <v>1906</v>
      </c>
      <c r="D2118" t="s">
        <v>1907</v>
      </c>
      <c r="E2118" t="s">
        <v>21</v>
      </c>
      <c r="F2118" t="s">
        <v>79</v>
      </c>
      <c r="G2118" t="s">
        <v>398</v>
      </c>
      <c r="H2118">
        <v>2</v>
      </c>
      <c r="I2118" s="3">
        <v>40.93</v>
      </c>
      <c r="J2118" t="s">
        <v>24</v>
      </c>
      <c r="K2118" t="s">
        <v>30</v>
      </c>
      <c r="L2118" s="4">
        <f>Table4[[#This Row],[quantity]]*Table4[[#This Row],[unit_price]]</f>
        <v>81.86</v>
      </c>
      <c r="M2118">
        <f>COUNTIFS($C$2:$C$3934,Table4[[#This Row],[customer_id]])</f>
        <v>4</v>
      </c>
      <c r="N2118" t="str">
        <f>IF(Table4[[#This Row],[customer_order_count]]=1,"New Customer","Repeat Customer")</f>
        <v>Repeat Customer</v>
      </c>
    </row>
    <row r="2119" spans="1:14">
      <c r="A2119" t="s">
        <v>1724</v>
      </c>
      <c r="B2119" s="1">
        <v>44972</v>
      </c>
      <c r="C2119" t="s">
        <v>1725</v>
      </c>
      <c r="D2119" t="s">
        <v>650</v>
      </c>
      <c r="E2119" t="s">
        <v>44</v>
      </c>
      <c r="F2119" t="s">
        <v>28</v>
      </c>
      <c r="G2119" t="s">
        <v>139</v>
      </c>
      <c r="H2119">
        <v>1</v>
      </c>
      <c r="I2119" s="3">
        <v>40.96</v>
      </c>
      <c r="J2119" t="s">
        <v>24</v>
      </c>
      <c r="K2119" t="s">
        <v>35</v>
      </c>
      <c r="L2119" s="4">
        <f>Table4[[#This Row],[quantity]]*Table4[[#This Row],[unit_price]]</f>
        <v>40.96</v>
      </c>
      <c r="M2119">
        <f>COUNTIFS($C$2:$C$3934,Table4[[#This Row],[customer_id]])</f>
        <v>4</v>
      </c>
      <c r="N2119" t="str">
        <f>IF(Table4[[#This Row],[customer_order_count]]=1,"New Customer","Repeat Customer")</f>
        <v>Repeat Customer</v>
      </c>
    </row>
    <row r="2120" spans="1:14">
      <c r="A2120" t="s">
        <v>4764</v>
      </c>
      <c r="B2120" s="1">
        <v>45181</v>
      </c>
      <c r="C2120" t="s">
        <v>4363</v>
      </c>
      <c r="D2120" t="s">
        <v>4364</v>
      </c>
      <c r="E2120" t="s">
        <v>44</v>
      </c>
      <c r="F2120" t="s">
        <v>56</v>
      </c>
      <c r="G2120" t="s">
        <v>254</v>
      </c>
      <c r="H2120">
        <v>1</v>
      </c>
      <c r="I2120" s="3">
        <v>40.98</v>
      </c>
      <c r="J2120" t="s">
        <v>16</v>
      </c>
      <c r="K2120" t="s">
        <v>30</v>
      </c>
      <c r="L2120" s="4">
        <f>Table4[[#This Row],[quantity]]*Table4[[#This Row],[unit_price]]</f>
        <v>40.98</v>
      </c>
      <c r="M2120">
        <f>COUNTIFS($C$2:$C$3934,Table4[[#This Row],[customer_id]])</f>
        <v>3</v>
      </c>
      <c r="N2120" t="str">
        <f>IF(Table4[[#This Row],[customer_order_count]]=1,"New Customer","Repeat Customer")</f>
        <v>Repeat Customer</v>
      </c>
    </row>
    <row r="2121" spans="1:14">
      <c r="A2121" t="s">
        <v>1018</v>
      </c>
      <c r="B2121" s="1">
        <v>45220</v>
      </c>
      <c r="C2121" t="s">
        <v>437</v>
      </c>
      <c r="D2121" t="s">
        <v>438</v>
      </c>
      <c r="E2121" t="s">
        <v>21</v>
      </c>
      <c r="F2121" t="s">
        <v>70</v>
      </c>
      <c r="G2121" t="s">
        <v>526</v>
      </c>
      <c r="H2121">
        <v>2</v>
      </c>
      <c r="I2121" s="3">
        <v>40.98</v>
      </c>
      <c r="J2121" t="s">
        <v>16</v>
      </c>
      <c r="K2121" t="s">
        <v>35</v>
      </c>
      <c r="L2121" s="4">
        <f>Table4[[#This Row],[quantity]]*Table4[[#This Row],[unit_price]]</f>
        <v>81.96</v>
      </c>
      <c r="M2121">
        <f>COUNTIFS($C$2:$C$3934,Table4[[#This Row],[customer_id]])</f>
        <v>7</v>
      </c>
      <c r="N2121" t="str">
        <f>IF(Table4[[#This Row],[customer_order_count]]=1,"New Customer","Repeat Customer")</f>
        <v>Repeat Customer</v>
      </c>
    </row>
    <row r="2122" spans="1:14">
      <c r="A2122" t="s">
        <v>1052</v>
      </c>
      <c r="B2122" s="1">
        <v>45301</v>
      </c>
      <c r="C2122" t="s">
        <v>1053</v>
      </c>
      <c r="D2122" t="s">
        <v>1054</v>
      </c>
      <c r="E2122" t="s">
        <v>106</v>
      </c>
      <c r="F2122" t="s">
        <v>28</v>
      </c>
      <c r="G2122" t="s">
        <v>29</v>
      </c>
      <c r="H2122">
        <v>1</v>
      </c>
      <c r="I2122" s="3">
        <v>40.99</v>
      </c>
      <c r="J2122" t="s">
        <v>24</v>
      </c>
      <c r="K2122" t="s">
        <v>40</v>
      </c>
      <c r="L2122" s="4">
        <f>Table4[[#This Row],[quantity]]*Table4[[#This Row],[unit_price]]</f>
        <v>40.99</v>
      </c>
      <c r="M2122">
        <f>COUNTIFS($C$2:$C$3934,Table4[[#This Row],[customer_id]])</f>
        <v>3</v>
      </c>
      <c r="N2122" t="str">
        <f>IF(Table4[[#This Row],[customer_order_count]]=1,"New Customer","Repeat Customer")</f>
        <v>Repeat Customer</v>
      </c>
    </row>
    <row r="2123" spans="1:14">
      <c r="A2123" t="s">
        <v>4222</v>
      </c>
      <c r="B2123" s="1">
        <v>45251</v>
      </c>
      <c r="C2123" t="s">
        <v>1079</v>
      </c>
      <c r="D2123" t="s">
        <v>1080</v>
      </c>
      <c r="E2123" t="s">
        <v>21</v>
      </c>
      <c r="F2123" t="s">
        <v>28</v>
      </c>
      <c r="G2123" t="s">
        <v>139</v>
      </c>
      <c r="H2123">
        <v>1</v>
      </c>
      <c r="I2123" s="3">
        <v>41.12</v>
      </c>
      <c r="J2123" t="s">
        <v>16</v>
      </c>
      <c r="K2123" t="s">
        <v>35</v>
      </c>
      <c r="L2123" s="4">
        <f>Table4[[#This Row],[quantity]]*Table4[[#This Row],[unit_price]]</f>
        <v>41.12</v>
      </c>
      <c r="M2123">
        <f>COUNTIFS($C$2:$C$3934,Table4[[#This Row],[customer_id]])</f>
        <v>7</v>
      </c>
      <c r="N2123" t="str">
        <f>IF(Table4[[#This Row],[customer_order_count]]=1,"New Customer","Repeat Customer")</f>
        <v>Repeat Customer</v>
      </c>
    </row>
    <row r="2124" spans="1:14">
      <c r="A2124" t="s">
        <v>4894</v>
      </c>
      <c r="B2124" s="1">
        <v>45234</v>
      </c>
      <c r="C2124" t="s">
        <v>1693</v>
      </c>
      <c r="D2124" t="s">
        <v>134</v>
      </c>
      <c r="E2124" t="s">
        <v>21</v>
      </c>
      <c r="F2124" t="s">
        <v>14</v>
      </c>
      <c r="G2124" t="s">
        <v>258</v>
      </c>
      <c r="H2124">
        <v>1</v>
      </c>
      <c r="I2124" s="3">
        <v>41.12</v>
      </c>
      <c r="J2124" t="s">
        <v>16</v>
      </c>
      <c r="K2124" t="s">
        <v>17</v>
      </c>
      <c r="L2124" s="4">
        <f>Table4[[#This Row],[quantity]]*Table4[[#This Row],[unit_price]]</f>
        <v>41.12</v>
      </c>
      <c r="M2124">
        <f>COUNTIFS($C$2:$C$3934,Table4[[#This Row],[customer_id]])</f>
        <v>3</v>
      </c>
      <c r="N2124" t="str">
        <f>IF(Table4[[#This Row],[customer_order_count]]=1,"New Customer","Repeat Customer")</f>
        <v>Repeat Customer</v>
      </c>
    </row>
    <row r="2125" spans="1:14">
      <c r="A2125" t="s">
        <v>3739</v>
      </c>
      <c r="B2125" s="1">
        <v>45197</v>
      </c>
      <c r="C2125" t="s">
        <v>2968</v>
      </c>
      <c r="D2125" t="s">
        <v>597</v>
      </c>
      <c r="E2125" t="s">
        <v>44</v>
      </c>
      <c r="F2125" t="s">
        <v>70</v>
      </c>
      <c r="G2125" t="s">
        <v>71</v>
      </c>
      <c r="H2125">
        <v>1</v>
      </c>
      <c r="I2125" s="3">
        <v>41.16</v>
      </c>
      <c r="J2125" t="s">
        <v>16</v>
      </c>
      <c r="K2125" t="s">
        <v>35</v>
      </c>
      <c r="L2125" s="4">
        <f>Table4[[#This Row],[quantity]]*Table4[[#This Row],[unit_price]]</f>
        <v>41.16</v>
      </c>
      <c r="M2125">
        <f>COUNTIFS($C$2:$C$3934,Table4[[#This Row],[customer_id]])</f>
        <v>4</v>
      </c>
      <c r="N2125" t="str">
        <f>IF(Table4[[#This Row],[customer_order_count]]=1,"New Customer","Repeat Customer")</f>
        <v>Repeat Customer</v>
      </c>
    </row>
    <row r="2126" spans="1:14">
      <c r="A2126" t="s">
        <v>4523</v>
      </c>
      <c r="B2126" s="1">
        <v>45626</v>
      </c>
      <c r="C2126" t="s">
        <v>1801</v>
      </c>
      <c r="D2126" t="s">
        <v>569</v>
      </c>
      <c r="E2126" t="s">
        <v>21</v>
      </c>
      <c r="F2126" t="s">
        <v>70</v>
      </c>
      <c r="G2126" t="s">
        <v>71</v>
      </c>
      <c r="H2126">
        <v>1</v>
      </c>
      <c r="I2126" s="3">
        <v>41.176447368421066</v>
      </c>
      <c r="J2126" t="s">
        <v>16</v>
      </c>
      <c r="K2126" t="s">
        <v>17</v>
      </c>
      <c r="L2126" s="4">
        <f>Table4[[#This Row],[quantity]]*Table4[[#This Row],[unit_price]]</f>
        <v>41.176447368421066</v>
      </c>
      <c r="M2126">
        <f>COUNTIFS($C$2:$C$3934,Table4[[#This Row],[customer_id]])</f>
        <v>6</v>
      </c>
      <c r="N2126" t="str">
        <f>IF(Table4[[#This Row],[customer_order_count]]=1,"New Customer","Repeat Customer")</f>
        <v>Repeat Customer</v>
      </c>
    </row>
    <row r="2127" spans="1:14">
      <c r="A2127" t="s">
        <v>1360</v>
      </c>
      <c r="B2127" s="1">
        <v>45535</v>
      </c>
      <c r="C2127" t="s">
        <v>796</v>
      </c>
      <c r="D2127" t="s">
        <v>797</v>
      </c>
      <c r="E2127" t="s">
        <v>21</v>
      </c>
      <c r="F2127" t="s">
        <v>70</v>
      </c>
      <c r="G2127" t="s">
        <v>71</v>
      </c>
      <c r="H2127">
        <v>3</v>
      </c>
      <c r="I2127" s="3">
        <v>41.176447368421066</v>
      </c>
      <c r="J2127" t="s">
        <v>16</v>
      </c>
      <c r="K2127" t="s">
        <v>35</v>
      </c>
      <c r="L2127" s="4">
        <f>Table4[[#This Row],[quantity]]*Table4[[#This Row],[unit_price]]</f>
        <v>123.5293421052632</v>
      </c>
      <c r="M2127">
        <f>COUNTIFS($C$2:$C$3934,Table4[[#This Row],[customer_id]])</f>
        <v>6</v>
      </c>
      <c r="N2127" t="str">
        <f>IF(Table4[[#This Row],[customer_order_count]]=1,"New Customer","Repeat Customer")</f>
        <v>Repeat Customer</v>
      </c>
    </row>
    <row r="2128" spans="1:14">
      <c r="A2128" t="s">
        <v>2116</v>
      </c>
      <c r="B2128" s="1">
        <v>45585</v>
      </c>
      <c r="C2128" t="s">
        <v>1418</v>
      </c>
      <c r="D2128" t="s">
        <v>1419</v>
      </c>
      <c r="E2128" t="s">
        <v>44</v>
      </c>
      <c r="F2128" t="s">
        <v>14</v>
      </c>
      <c r="G2128" t="s">
        <v>258</v>
      </c>
      <c r="H2128">
        <v>1</v>
      </c>
      <c r="I2128" s="3">
        <v>41.21</v>
      </c>
      <c r="J2128" t="s">
        <v>16</v>
      </c>
      <c r="K2128" t="s">
        <v>40</v>
      </c>
      <c r="L2128" s="4">
        <f>Table4[[#This Row],[quantity]]*Table4[[#This Row],[unit_price]]</f>
        <v>41.21</v>
      </c>
      <c r="M2128">
        <f>COUNTIFS($C$2:$C$3934,Table4[[#This Row],[customer_id]])</f>
        <v>5</v>
      </c>
      <c r="N2128" t="str">
        <f>IF(Table4[[#This Row],[customer_order_count]]=1,"New Customer","Repeat Customer")</f>
        <v>Repeat Customer</v>
      </c>
    </row>
    <row r="2129" spans="1:14">
      <c r="A2129" t="s">
        <v>5135</v>
      </c>
      <c r="B2129" s="1">
        <v>45193</v>
      </c>
      <c r="C2129" t="s">
        <v>298</v>
      </c>
      <c r="D2129" t="s">
        <v>299</v>
      </c>
      <c r="E2129" t="s">
        <v>21</v>
      </c>
      <c r="F2129" t="s">
        <v>28</v>
      </c>
      <c r="G2129" t="s">
        <v>45</v>
      </c>
      <c r="H2129">
        <v>3</v>
      </c>
      <c r="I2129" s="3">
        <v>41.22</v>
      </c>
      <c r="J2129" t="s">
        <v>16</v>
      </c>
      <c r="K2129" t="s">
        <v>17</v>
      </c>
      <c r="L2129" s="4">
        <f>Table4[[#This Row],[quantity]]*Table4[[#This Row],[unit_price]]</f>
        <v>123.66</v>
      </c>
      <c r="M2129">
        <f>COUNTIFS($C$2:$C$3934,Table4[[#This Row],[customer_id]])</f>
        <v>7</v>
      </c>
      <c r="N2129" t="str">
        <f>IF(Table4[[#This Row],[customer_order_count]]=1,"New Customer","Repeat Customer")</f>
        <v>Repeat Customer</v>
      </c>
    </row>
    <row r="2130" spans="1:14">
      <c r="A2130" t="s">
        <v>2098</v>
      </c>
      <c r="B2130" s="1">
        <v>45330</v>
      </c>
      <c r="C2130" t="s">
        <v>1757</v>
      </c>
      <c r="D2130" t="s">
        <v>1758</v>
      </c>
      <c r="E2130" t="s">
        <v>21</v>
      </c>
      <c r="F2130" t="s">
        <v>28</v>
      </c>
      <c r="G2130" t="s">
        <v>84</v>
      </c>
      <c r="H2130">
        <v>1</v>
      </c>
      <c r="I2130" s="3">
        <v>41.23</v>
      </c>
      <c r="J2130" t="s">
        <v>16</v>
      </c>
      <c r="K2130" t="s">
        <v>35</v>
      </c>
      <c r="L2130" s="4">
        <f>Table4[[#This Row],[quantity]]*Table4[[#This Row],[unit_price]]</f>
        <v>41.23</v>
      </c>
      <c r="M2130">
        <f>COUNTIFS($C$2:$C$3934,Table4[[#This Row],[customer_id]])</f>
        <v>9</v>
      </c>
      <c r="N2130" t="str">
        <f>IF(Table4[[#This Row],[customer_order_count]]=1,"New Customer","Repeat Customer")</f>
        <v>Repeat Customer</v>
      </c>
    </row>
    <row r="2131" spans="1:14">
      <c r="A2131" t="s">
        <v>1911</v>
      </c>
      <c r="B2131" s="1">
        <v>45627</v>
      </c>
      <c r="C2131" t="s">
        <v>1912</v>
      </c>
      <c r="D2131" t="s">
        <v>513</v>
      </c>
      <c r="E2131" t="s">
        <v>21</v>
      </c>
      <c r="F2131" t="s">
        <v>70</v>
      </c>
      <c r="G2131" t="s">
        <v>146</v>
      </c>
      <c r="H2131">
        <v>1</v>
      </c>
      <c r="I2131" s="3">
        <v>41.27</v>
      </c>
      <c r="J2131" t="s">
        <v>16</v>
      </c>
      <c r="K2131" t="s">
        <v>17</v>
      </c>
      <c r="L2131" s="4">
        <f>Table4[[#This Row],[quantity]]*Table4[[#This Row],[unit_price]]</f>
        <v>41.27</v>
      </c>
      <c r="M2131">
        <f>COUNTIFS($C$2:$C$3934,Table4[[#This Row],[customer_id]])</f>
        <v>3</v>
      </c>
      <c r="N2131" t="str">
        <f>IF(Table4[[#This Row],[customer_order_count]]=1,"New Customer","Repeat Customer")</f>
        <v>Repeat Customer</v>
      </c>
    </row>
    <row r="2132" spans="1:14">
      <c r="A2132" t="s">
        <v>2196</v>
      </c>
      <c r="B2132" s="1">
        <v>44973</v>
      </c>
      <c r="C2132" t="s">
        <v>2197</v>
      </c>
      <c r="D2132" t="s">
        <v>2198</v>
      </c>
      <c r="E2132" t="s">
        <v>44</v>
      </c>
      <c r="F2132" t="s">
        <v>79</v>
      </c>
      <c r="G2132" t="s">
        <v>200</v>
      </c>
      <c r="H2132">
        <v>4</v>
      </c>
      <c r="I2132" s="3">
        <v>41.29</v>
      </c>
      <c r="J2132" t="s">
        <v>16</v>
      </c>
      <c r="K2132" t="s">
        <v>17</v>
      </c>
      <c r="L2132" s="4">
        <f>Table4[[#This Row],[quantity]]*Table4[[#This Row],[unit_price]]</f>
        <v>165.16</v>
      </c>
      <c r="M2132">
        <f>COUNTIFS($C$2:$C$3934,Table4[[#This Row],[customer_id]])</f>
        <v>3</v>
      </c>
      <c r="N2132" t="str">
        <f>IF(Table4[[#This Row],[customer_order_count]]=1,"New Customer","Repeat Customer")</f>
        <v>Repeat Customer</v>
      </c>
    </row>
    <row r="2133" spans="1:14">
      <c r="A2133" t="s">
        <v>3985</v>
      </c>
      <c r="B2133" s="1">
        <v>45080</v>
      </c>
      <c r="C2133" t="s">
        <v>1008</v>
      </c>
      <c r="D2133" t="s">
        <v>425</v>
      </c>
      <c r="E2133" t="s">
        <v>21</v>
      </c>
      <c r="F2133" t="s">
        <v>22</v>
      </c>
      <c r="G2133" t="s">
        <v>23</v>
      </c>
      <c r="H2133">
        <v>1</v>
      </c>
      <c r="I2133" s="3">
        <v>41.3</v>
      </c>
      <c r="J2133" t="s">
        <v>16</v>
      </c>
      <c r="K2133" t="s">
        <v>30</v>
      </c>
      <c r="L2133" s="4">
        <f>Table4[[#This Row],[quantity]]*Table4[[#This Row],[unit_price]]</f>
        <v>41.3</v>
      </c>
      <c r="M2133">
        <f>COUNTIFS($C$2:$C$3934,Table4[[#This Row],[customer_id]])</f>
        <v>7</v>
      </c>
      <c r="N2133" t="str">
        <f>IF(Table4[[#This Row],[customer_order_count]]=1,"New Customer","Repeat Customer")</f>
        <v>Repeat Customer</v>
      </c>
    </row>
    <row r="2134" spans="1:14">
      <c r="A2134" t="s">
        <v>3548</v>
      </c>
      <c r="B2134" s="1">
        <v>44930</v>
      </c>
      <c r="C2134" t="s">
        <v>1014</v>
      </c>
      <c r="D2134" t="s">
        <v>491</v>
      </c>
      <c r="E2134" t="s">
        <v>44</v>
      </c>
      <c r="F2134" t="s">
        <v>79</v>
      </c>
      <c r="G2134" t="s">
        <v>166</v>
      </c>
      <c r="H2134">
        <v>1</v>
      </c>
      <c r="I2134" s="3">
        <v>41.3</v>
      </c>
      <c r="J2134" t="s">
        <v>24</v>
      </c>
      <c r="K2134" t="s">
        <v>17</v>
      </c>
      <c r="L2134" s="4">
        <f>Table4[[#This Row],[quantity]]*Table4[[#This Row],[unit_price]]</f>
        <v>41.3</v>
      </c>
      <c r="M2134">
        <f>COUNTIFS($C$2:$C$3934,Table4[[#This Row],[customer_id]])</f>
        <v>5</v>
      </c>
      <c r="N2134" t="str">
        <f>IF(Table4[[#This Row],[customer_order_count]]=1,"New Customer","Repeat Customer")</f>
        <v>Repeat Customer</v>
      </c>
    </row>
    <row r="2135" spans="1:14">
      <c r="A2135" t="s">
        <v>2621</v>
      </c>
      <c r="B2135" s="1">
        <v>45313</v>
      </c>
      <c r="C2135" t="s">
        <v>824</v>
      </c>
      <c r="D2135" t="s">
        <v>825</v>
      </c>
      <c r="E2135" t="s">
        <v>44</v>
      </c>
      <c r="F2135" t="s">
        <v>56</v>
      </c>
      <c r="G2135" t="s">
        <v>75</v>
      </c>
      <c r="H2135">
        <v>2</v>
      </c>
      <c r="I2135" s="3">
        <v>41.35</v>
      </c>
      <c r="J2135" t="s">
        <v>24</v>
      </c>
      <c r="K2135" s="2" t="s">
        <v>5256</v>
      </c>
      <c r="L2135" s="4">
        <f>Table4[[#This Row],[quantity]]*Table4[[#This Row],[unit_price]]</f>
        <v>82.7</v>
      </c>
      <c r="M2135">
        <f>COUNTIFS($C$2:$C$3934,Table4[[#This Row],[customer_id]])</f>
        <v>7</v>
      </c>
      <c r="N2135" t="str">
        <f>IF(Table4[[#This Row],[customer_order_count]]=1,"New Customer","Repeat Customer")</f>
        <v>Repeat Customer</v>
      </c>
    </row>
    <row r="2136" spans="1:14">
      <c r="A2136" t="s">
        <v>4702</v>
      </c>
      <c r="B2136" s="1">
        <v>45087</v>
      </c>
      <c r="C2136" t="s">
        <v>1624</v>
      </c>
      <c r="D2136" t="s">
        <v>1625</v>
      </c>
      <c r="E2136" t="s">
        <v>21</v>
      </c>
      <c r="F2136" t="s">
        <v>14</v>
      </c>
      <c r="G2136" t="s">
        <v>62</v>
      </c>
      <c r="H2136">
        <v>1</v>
      </c>
      <c r="I2136" s="3">
        <v>41.36</v>
      </c>
      <c r="J2136" t="s">
        <v>16</v>
      </c>
      <c r="K2136" s="5" t="s">
        <v>35</v>
      </c>
      <c r="L2136" s="4">
        <f>Table4[[#This Row],[quantity]]*Table4[[#This Row],[unit_price]]</f>
        <v>41.36</v>
      </c>
      <c r="M2136">
        <f>COUNTIFS($C$2:$C$3934,Table4[[#This Row],[customer_id]])</f>
        <v>8</v>
      </c>
      <c r="N2136" t="str">
        <f>IF(Table4[[#This Row],[customer_order_count]]=1,"New Customer","Repeat Customer")</f>
        <v>Repeat Customer</v>
      </c>
    </row>
    <row r="2137" spans="1:14">
      <c r="A2137" t="s">
        <v>4006</v>
      </c>
      <c r="B2137" s="1">
        <v>45074</v>
      </c>
      <c r="C2137" t="s">
        <v>1906</v>
      </c>
      <c r="D2137" t="s">
        <v>1907</v>
      </c>
      <c r="E2137" t="s">
        <v>21</v>
      </c>
      <c r="F2137" t="s">
        <v>22</v>
      </c>
      <c r="G2137" t="s">
        <v>162</v>
      </c>
      <c r="H2137">
        <v>1</v>
      </c>
      <c r="I2137" s="3">
        <v>41.38</v>
      </c>
      <c r="J2137" t="s">
        <v>85</v>
      </c>
      <c r="K2137" t="s">
        <v>30</v>
      </c>
      <c r="L2137" s="4">
        <f>Table4[[#This Row],[quantity]]*Table4[[#This Row],[unit_price]]</f>
        <v>41.38</v>
      </c>
      <c r="M2137">
        <f>COUNTIFS($C$2:$C$3934,Table4[[#This Row],[customer_id]])</f>
        <v>4</v>
      </c>
      <c r="N2137" t="str">
        <f>IF(Table4[[#This Row],[customer_order_count]]=1,"New Customer","Repeat Customer")</f>
        <v>Repeat Customer</v>
      </c>
    </row>
    <row r="2138" spans="1:14">
      <c r="A2138" t="s">
        <v>2642</v>
      </c>
      <c r="B2138" s="1">
        <v>45610</v>
      </c>
      <c r="C2138" t="s">
        <v>2643</v>
      </c>
      <c r="D2138" t="s">
        <v>1336</v>
      </c>
      <c r="E2138" t="s">
        <v>21</v>
      </c>
      <c r="F2138" t="s">
        <v>70</v>
      </c>
      <c r="G2138" t="s">
        <v>146</v>
      </c>
      <c r="H2138">
        <v>1</v>
      </c>
      <c r="I2138" s="3">
        <v>41.39</v>
      </c>
      <c r="J2138" t="s">
        <v>16</v>
      </c>
      <c r="K2138" t="s">
        <v>40</v>
      </c>
      <c r="L2138" s="4">
        <f>Table4[[#This Row],[quantity]]*Table4[[#This Row],[unit_price]]</f>
        <v>41.39</v>
      </c>
      <c r="M2138">
        <f>COUNTIFS($C$2:$C$3934,Table4[[#This Row],[customer_id]])</f>
        <v>7</v>
      </c>
      <c r="N2138" t="str">
        <f>IF(Table4[[#This Row],[customer_order_count]]=1,"New Customer","Repeat Customer")</f>
        <v>Repeat Customer</v>
      </c>
    </row>
    <row r="2139" spans="1:14">
      <c r="A2139" t="s">
        <v>3383</v>
      </c>
      <c r="B2139" s="1">
        <v>45503</v>
      </c>
      <c r="C2139" t="s">
        <v>909</v>
      </c>
      <c r="D2139" t="s">
        <v>910</v>
      </c>
      <c r="E2139" t="s">
        <v>21</v>
      </c>
      <c r="F2139" t="s">
        <v>70</v>
      </c>
      <c r="G2139" t="s">
        <v>526</v>
      </c>
      <c r="H2139">
        <v>1</v>
      </c>
      <c r="I2139" s="3">
        <v>41.4</v>
      </c>
      <c r="J2139" t="s">
        <v>16</v>
      </c>
      <c r="K2139" s="2" t="s">
        <v>5256</v>
      </c>
      <c r="L2139" s="4">
        <f>Table4[[#This Row],[quantity]]*Table4[[#This Row],[unit_price]]</f>
        <v>41.4</v>
      </c>
      <c r="M2139">
        <f>COUNTIFS($C$2:$C$3934,Table4[[#This Row],[customer_id]])</f>
        <v>7</v>
      </c>
      <c r="N2139" t="str">
        <f>IF(Table4[[#This Row],[customer_order_count]]=1,"New Customer","Repeat Customer")</f>
        <v>Repeat Customer</v>
      </c>
    </row>
    <row r="2140" spans="1:14">
      <c r="A2140" t="s">
        <v>1664</v>
      </c>
      <c r="B2140" s="1">
        <v>45053</v>
      </c>
      <c r="C2140" t="s">
        <v>1166</v>
      </c>
      <c r="D2140" t="s">
        <v>292</v>
      </c>
      <c r="E2140" t="s">
        <v>21</v>
      </c>
      <c r="F2140" t="s">
        <v>56</v>
      </c>
      <c r="G2140" t="s">
        <v>153</v>
      </c>
      <c r="H2140">
        <v>1</v>
      </c>
      <c r="I2140" s="3">
        <v>41.41</v>
      </c>
      <c r="J2140" t="s">
        <v>85</v>
      </c>
      <c r="K2140" s="5" t="s">
        <v>30</v>
      </c>
      <c r="L2140" s="4">
        <f>Table4[[#This Row],[quantity]]*Table4[[#This Row],[unit_price]]</f>
        <v>41.41</v>
      </c>
      <c r="M2140">
        <f>COUNTIFS($C$2:$C$3934,Table4[[#This Row],[customer_id]])</f>
        <v>6</v>
      </c>
      <c r="N2140" t="str">
        <f>IF(Table4[[#This Row],[customer_order_count]]=1,"New Customer","Repeat Customer")</f>
        <v>Repeat Customer</v>
      </c>
    </row>
    <row r="2141" spans="1:14">
      <c r="A2141" t="s">
        <v>1986</v>
      </c>
      <c r="B2141" s="1">
        <v>45535</v>
      </c>
      <c r="C2141" t="s">
        <v>1745</v>
      </c>
      <c r="D2141" t="s">
        <v>499</v>
      </c>
      <c r="E2141" t="s">
        <v>44</v>
      </c>
      <c r="F2141" t="s">
        <v>28</v>
      </c>
      <c r="G2141" t="s">
        <v>114</v>
      </c>
      <c r="H2141">
        <v>1</v>
      </c>
      <c r="I2141" s="3">
        <v>41.43</v>
      </c>
      <c r="J2141" t="s">
        <v>16</v>
      </c>
      <c r="K2141" t="s">
        <v>40</v>
      </c>
      <c r="L2141" s="4">
        <f>Table4[[#This Row],[quantity]]*Table4[[#This Row],[unit_price]]</f>
        <v>41.43</v>
      </c>
      <c r="M2141">
        <f>COUNTIFS($C$2:$C$3934,Table4[[#This Row],[customer_id]])</f>
        <v>2</v>
      </c>
      <c r="N2141" t="str">
        <f>IF(Table4[[#This Row],[customer_order_count]]=1,"New Customer","Repeat Customer")</f>
        <v>Repeat Customer</v>
      </c>
    </row>
    <row r="2142" spans="1:14">
      <c r="A2142" t="s">
        <v>2990</v>
      </c>
      <c r="B2142" s="1">
        <v>45523</v>
      </c>
      <c r="C2142" t="s">
        <v>1136</v>
      </c>
      <c r="D2142" t="s">
        <v>525</v>
      </c>
      <c r="E2142" t="s">
        <v>44</v>
      </c>
      <c r="F2142" t="s">
        <v>28</v>
      </c>
      <c r="G2142" t="s">
        <v>84</v>
      </c>
      <c r="H2142">
        <v>1</v>
      </c>
      <c r="I2142" s="3">
        <v>41.45</v>
      </c>
      <c r="J2142" t="s">
        <v>24</v>
      </c>
      <c r="K2142" t="s">
        <v>40</v>
      </c>
      <c r="L2142" s="4">
        <f>Table4[[#This Row],[quantity]]*Table4[[#This Row],[unit_price]]</f>
        <v>41.45</v>
      </c>
      <c r="M2142">
        <f>COUNTIFS($C$2:$C$3934,Table4[[#This Row],[customer_id]])</f>
        <v>8</v>
      </c>
      <c r="N2142" t="str">
        <f>IF(Table4[[#This Row],[customer_order_count]]=1,"New Customer","Repeat Customer")</f>
        <v>Repeat Customer</v>
      </c>
    </row>
    <row r="2143" spans="1:14">
      <c r="A2143" t="s">
        <v>2674</v>
      </c>
      <c r="B2143" s="1">
        <v>45630</v>
      </c>
      <c r="C2143" t="s">
        <v>168</v>
      </c>
      <c r="D2143" t="s">
        <v>169</v>
      </c>
      <c r="E2143" t="s">
        <v>21</v>
      </c>
      <c r="F2143" t="s">
        <v>28</v>
      </c>
      <c r="G2143" t="s">
        <v>29</v>
      </c>
      <c r="H2143">
        <v>1</v>
      </c>
      <c r="I2143" s="3">
        <v>41.46</v>
      </c>
      <c r="J2143" t="s">
        <v>16</v>
      </c>
      <c r="K2143" t="s">
        <v>40</v>
      </c>
      <c r="L2143" s="4">
        <f>Table4[[#This Row],[quantity]]*Table4[[#This Row],[unit_price]]</f>
        <v>41.46</v>
      </c>
      <c r="M2143">
        <f>COUNTIFS($C$2:$C$3934,Table4[[#This Row],[customer_id]])</f>
        <v>6</v>
      </c>
      <c r="N2143" t="str">
        <f>IF(Table4[[#This Row],[customer_order_count]]=1,"New Customer","Repeat Customer")</f>
        <v>Repeat Customer</v>
      </c>
    </row>
    <row r="2144" spans="1:14">
      <c r="A2144" t="s">
        <v>3484</v>
      </c>
      <c r="B2144" s="1">
        <v>45642</v>
      </c>
      <c r="C2144" t="s">
        <v>2046</v>
      </c>
      <c r="D2144" t="s">
        <v>414</v>
      </c>
      <c r="E2144" t="s">
        <v>61</v>
      </c>
      <c r="F2144" t="s">
        <v>22</v>
      </c>
      <c r="G2144" t="s">
        <v>162</v>
      </c>
      <c r="H2144">
        <v>2</v>
      </c>
      <c r="I2144" s="3">
        <v>41.5</v>
      </c>
      <c r="J2144" t="s">
        <v>16</v>
      </c>
      <c r="K2144" t="s">
        <v>35</v>
      </c>
      <c r="L2144" s="4">
        <f>Table4[[#This Row],[quantity]]*Table4[[#This Row],[unit_price]]</f>
        <v>83</v>
      </c>
      <c r="M2144">
        <f>COUNTIFS($C$2:$C$3934,Table4[[#This Row],[customer_id]])</f>
        <v>3</v>
      </c>
      <c r="N2144" t="str">
        <f>IF(Table4[[#This Row],[customer_order_count]]=1,"New Customer","Repeat Customer")</f>
        <v>Repeat Customer</v>
      </c>
    </row>
    <row r="2145" spans="1:14">
      <c r="A2145" t="s">
        <v>901</v>
      </c>
      <c r="B2145" s="1">
        <v>45215</v>
      </c>
      <c r="C2145" t="s">
        <v>902</v>
      </c>
      <c r="D2145" t="s">
        <v>903</v>
      </c>
      <c r="E2145" t="s">
        <v>21</v>
      </c>
      <c r="F2145" t="s">
        <v>22</v>
      </c>
      <c r="G2145" t="s">
        <v>23</v>
      </c>
      <c r="H2145">
        <v>2</v>
      </c>
      <c r="I2145" s="3">
        <v>41.55</v>
      </c>
      <c r="J2145" t="s">
        <v>16</v>
      </c>
      <c r="K2145" t="s">
        <v>35</v>
      </c>
      <c r="L2145" s="4">
        <f>Table4[[#This Row],[quantity]]*Table4[[#This Row],[unit_price]]</f>
        <v>83.1</v>
      </c>
      <c r="M2145">
        <f>COUNTIFS($C$2:$C$3934,Table4[[#This Row],[customer_id]])</f>
        <v>4</v>
      </c>
      <c r="N2145" t="str">
        <f>IF(Table4[[#This Row],[customer_order_count]]=1,"New Customer","Repeat Customer")</f>
        <v>Repeat Customer</v>
      </c>
    </row>
    <row r="2146" spans="1:14">
      <c r="A2146" t="s">
        <v>4708</v>
      </c>
      <c r="B2146" s="1">
        <v>44951</v>
      </c>
      <c r="C2146" t="s">
        <v>461</v>
      </c>
      <c r="D2146" t="s">
        <v>161</v>
      </c>
      <c r="E2146" t="s">
        <v>44</v>
      </c>
      <c r="F2146" t="s">
        <v>28</v>
      </c>
      <c r="G2146" t="s">
        <v>45</v>
      </c>
      <c r="H2146">
        <v>1</v>
      </c>
      <c r="I2146" s="3">
        <v>41.56</v>
      </c>
      <c r="J2146" t="s">
        <v>16</v>
      </c>
      <c r="K2146" t="s">
        <v>35</v>
      </c>
      <c r="L2146" s="4">
        <f>Table4[[#This Row],[quantity]]*Table4[[#This Row],[unit_price]]</f>
        <v>41.56</v>
      </c>
      <c r="M2146">
        <f>COUNTIFS($C$2:$C$3934,Table4[[#This Row],[customer_id]])</f>
        <v>5</v>
      </c>
      <c r="N2146" t="str">
        <f>IF(Table4[[#This Row],[customer_order_count]]=1,"New Customer","Repeat Customer")</f>
        <v>Repeat Customer</v>
      </c>
    </row>
    <row r="2147" spans="1:14">
      <c r="A2147" t="s">
        <v>2930</v>
      </c>
      <c r="B2147" s="1">
        <v>44988</v>
      </c>
      <c r="C2147" t="s">
        <v>1269</v>
      </c>
      <c r="D2147" t="s">
        <v>359</v>
      </c>
      <c r="E2147" t="s">
        <v>21</v>
      </c>
      <c r="F2147" t="s">
        <v>28</v>
      </c>
      <c r="G2147" t="s">
        <v>84</v>
      </c>
      <c r="H2147">
        <v>1</v>
      </c>
      <c r="I2147" s="3">
        <v>41.6</v>
      </c>
      <c r="J2147" t="s">
        <v>16</v>
      </c>
      <c r="K2147" t="s">
        <v>17</v>
      </c>
      <c r="L2147" s="4">
        <f>Table4[[#This Row],[quantity]]*Table4[[#This Row],[unit_price]]</f>
        <v>41.6</v>
      </c>
      <c r="M2147">
        <f>COUNTIFS($C$2:$C$3934,Table4[[#This Row],[customer_id]])</f>
        <v>6</v>
      </c>
      <c r="N2147" t="str">
        <f>IF(Table4[[#This Row],[customer_order_count]]=1,"New Customer","Repeat Customer")</f>
        <v>Repeat Customer</v>
      </c>
    </row>
    <row r="2148" spans="1:14">
      <c r="A2148" t="s">
        <v>4093</v>
      </c>
      <c r="B2148" s="1">
        <v>44973</v>
      </c>
      <c r="C2148" t="s">
        <v>844</v>
      </c>
      <c r="D2148" t="s">
        <v>20</v>
      </c>
      <c r="E2148" t="s">
        <v>61</v>
      </c>
      <c r="F2148" t="s">
        <v>14</v>
      </c>
      <c r="G2148" t="s">
        <v>34</v>
      </c>
      <c r="H2148">
        <v>1</v>
      </c>
      <c r="I2148" s="3">
        <v>41.6</v>
      </c>
      <c r="J2148" t="s">
        <v>24</v>
      </c>
      <c r="K2148" t="s">
        <v>30</v>
      </c>
      <c r="L2148" s="4">
        <f>Table4[[#This Row],[quantity]]*Table4[[#This Row],[unit_price]]</f>
        <v>41.6</v>
      </c>
      <c r="M2148">
        <f>COUNTIFS($C$2:$C$3934,Table4[[#This Row],[customer_id]])</f>
        <v>5</v>
      </c>
      <c r="N2148" t="str">
        <f>IF(Table4[[#This Row],[customer_order_count]]=1,"New Customer","Repeat Customer")</f>
        <v>Repeat Customer</v>
      </c>
    </row>
    <row r="2149" spans="1:14">
      <c r="A2149" t="s">
        <v>1975</v>
      </c>
      <c r="B2149" s="1">
        <v>45492</v>
      </c>
      <c r="C2149" t="s">
        <v>1131</v>
      </c>
      <c r="D2149" t="s">
        <v>962</v>
      </c>
      <c r="E2149" t="s">
        <v>21</v>
      </c>
      <c r="F2149" t="s">
        <v>22</v>
      </c>
      <c r="G2149" t="s">
        <v>162</v>
      </c>
      <c r="H2149">
        <v>2</v>
      </c>
      <c r="I2149" s="3">
        <v>41.68</v>
      </c>
      <c r="J2149" t="s">
        <v>16</v>
      </c>
      <c r="K2149" t="s">
        <v>30</v>
      </c>
      <c r="L2149" s="4">
        <f>Table4[[#This Row],[quantity]]*Table4[[#This Row],[unit_price]]</f>
        <v>83.36</v>
      </c>
      <c r="M2149">
        <f>COUNTIFS($C$2:$C$3934,Table4[[#This Row],[customer_id]])</f>
        <v>8</v>
      </c>
      <c r="N2149" t="str">
        <f>IF(Table4[[#This Row],[customer_order_count]]=1,"New Customer","Repeat Customer")</f>
        <v>Repeat Customer</v>
      </c>
    </row>
    <row r="2150" spans="1:14">
      <c r="A2150" t="s">
        <v>1560</v>
      </c>
      <c r="B2150" s="1">
        <v>45035</v>
      </c>
      <c r="C2150" t="s">
        <v>1561</v>
      </c>
      <c r="D2150" t="s">
        <v>60</v>
      </c>
      <c r="E2150" t="s">
        <v>21</v>
      </c>
      <c r="F2150" t="s">
        <v>28</v>
      </c>
      <c r="G2150" t="s">
        <v>45</v>
      </c>
      <c r="H2150">
        <v>1</v>
      </c>
      <c r="I2150" s="3">
        <v>41.69</v>
      </c>
      <c r="J2150" t="s">
        <v>16</v>
      </c>
      <c r="K2150" t="s">
        <v>35</v>
      </c>
      <c r="L2150" s="4">
        <f>Table4[[#This Row],[quantity]]*Table4[[#This Row],[unit_price]]</f>
        <v>41.69</v>
      </c>
      <c r="M2150">
        <f>COUNTIFS($C$2:$C$3934,Table4[[#This Row],[customer_id]])</f>
        <v>6</v>
      </c>
      <c r="N2150" t="str">
        <f>IF(Table4[[#This Row],[customer_order_count]]=1,"New Customer","Repeat Customer")</f>
        <v>Repeat Customer</v>
      </c>
    </row>
    <row r="2151" spans="1:14">
      <c r="A2151" t="s">
        <v>3173</v>
      </c>
      <c r="B2151" s="1">
        <v>45426</v>
      </c>
      <c r="C2151" t="s">
        <v>1140</v>
      </c>
      <c r="D2151" t="s">
        <v>684</v>
      </c>
      <c r="E2151" t="s">
        <v>44</v>
      </c>
      <c r="F2151" t="s">
        <v>28</v>
      </c>
      <c r="G2151" t="s">
        <v>45</v>
      </c>
      <c r="H2151">
        <v>2</v>
      </c>
      <c r="I2151" s="3">
        <v>41.69</v>
      </c>
      <c r="J2151" t="s">
        <v>16</v>
      </c>
      <c r="K2151" t="s">
        <v>35</v>
      </c>
      <c r="L2151" s="4">
        <f>Table4[[#This Row],[quantity]]*Table4[[#This Row],[unit_price]]</f>
        <v>83.38</v>
      </c>
      <c r="M2151">
        <f>COUNTIFS($C$2:$C$3934,Table4[[#This Row],[customer_id]])</f>
        <v>4</v>
      </c>
      <c r="N2151" t="str">
        <f>IF(Table4[[#This Row],[customer_order_count]]=1,"New Customer","Repeat Customer")</f>
        <v>Repeat Customer</v>
      </c>
    </row>
    <row r="2152" spans="1:14">
      <c r="A2152" t="s">
        <v>3228</v>
      </c>
      <c r="B2152" s="1">
        <v>45460</v>
      </c>
      <c r="C2152" t="s">
        <v>1144</v>
      </c>
      <c r="D2152" t="s">
        <v>60</v>
      </c>
      <c r="E2152" t="s">
        <v>21</v>
      </c>
      <c r="F2152" t="s">
        <v>28</v>
      </c>
      <c r="G2152" t="s">
        <v>114</v>
      </c>
      <c r="H2152">
        <v>4</v>
      </c>
      <c r="I2152" s="3">
        <v>41.69</v>
      </c>
      <c r="J2152" t="s">
        <v>16</v>
      </c>
      <c r="K2152" t="s">
        <v>35</v>
      </c>
      <c r="L2152" s="4">
        <f>Table4[[#This Row],[quantity]]*Table4[[#This Row],[unit_price]]</f>
        <v>166.76</v>
      </c>
      <c r="M2152">
        <f>COUNTIFS($C$2:$C$3934,Table4[[#This Row],[customer_id]])</f>
        <v>7</v>
      </c>
      <c r="N2152" t="str">
        <f>IF(Table4[[#This Row],[customer_order_count]]=1,"New Customer","Repeat Customer")</f>
        <v>Repeat Customer</v>
      </c>
    </row>
    <row r="2153" spans="1:14">
      <c r="A2153" t="s">
        <v>2089</v>
      </c>
      <c r="B2153" s="1">
        <v>45375</v>
      </c>
      <c r="C2153" t="s">
        <v>1503</v>
      </c>
      <c r="D2153" t="s">
        <v>787</v>
      </c>
      <c r="E2153" t="s">
        <v>21</v>
      </c>
      <c r="F2153" t="s">
        <v>70</v>
      </c>
      <c r="G2153" t="s">
        <v>146</v>
      </c>
      <c r="H2153">
        <v>2</v>
      </c>
      <c r="I2153" s="3">
        <v>41.71</v>
      </c>
      <c r="J2153" t="s">
        <v>16</v>
      </c>
      <c r="K2153" t="s">
        <v>17</v>
      </c>
      <c r="L2153" s="4">
        <f>Table4[[#This Row],[quantity]]*Table4[[#This Row],[unit_price]]</f>
        <v>83.42</v>
      </c>
      <c r="M2153">
        <f>COUNTIFS($C$2:$C$3934,Table4[[#This Row],[customer_id]])</f>
        <v>3</v>
      </c>
      <c r="N2153" t="str">
        <f>IF(Table4[[#This Row],[customer_order_count]]=1,"New Customer","Repeat Customer")</f>
        <v>Repeat Customer</v>
      </c>
    </row>
    <row r="2154" spans="1:14">
      <c r="A2154" t="s">
        <v>1061</v>
      </c>
      <c r="B2154" s="1">
        <v>45060</v>
      </c>
      <c r="C2154" t="s">
        <v>1062</v>
      </c>
      <c r="D2154" t="s">
        <v>340</v>
      </c>
      <c r="E2154" t="s">
        <v>61</v>
      </c>
      <c r="F2154" t="s">
        <v>28</v>
      </c>
      <c r="G2154" t="s">
        <v>29</v>
      </c>
      <c r="H2154">
        <v>1</v>
      </c>
      <c r="I2154" s="3">
        <v>41.74</v>
      </c>
      <c r="J2154" t="s">
        <v>16</v>
      </c>
      <c r="K2154" t="s">
        <v>40</v>
      </c>
      <c r="L2154" s="4">
        <f>Table4[[#This Row],[quantity]]*Table4[[#This Row],[unit_price]]</f>
        <v>41.74</v>
      </c>
      <c r="M2154">
        <f>COUNTIFS($C$2:$C$3934,Table4[[#This Row],[customer_id]])</f>
        <v>2</v>
      </c>
      <c r="N2154" t="str">
        <f>IF(Table4[[#This Row],[customer_order_count]]=1,"New Customer","Repeat Customer")</f>
        <v>Repeat Customer</v>
      </c>
    </row>
    <row r="2155" spans="1:14">
      <c r="A2155" t="s">
        <v>1063</v>
      </c>
      <c r="B2155" s="1">
        <v>45071</v>
      </c>
      <c r="C2155" t="s">
        <v>1064</v>
      </c>
      <c r="D2155" t="s">
        <v>1065</v>
      </c>
      <c r="E2155" t="s">
        <v>21</v>
      </c>
      <c r="F2155" t="s">
        <v>28</v>
      </c>
      <c r="G2155" t="s">
        <v>114</v>
      </c>
      <c r="H2155">
        <v>1</v>
      </c>
      <c r="I2155" s="3">
        <v>41.77</v>
      </c>
      <c r="J2155" t="s">
        <v>16</v>
      </c>
      <c r="K2155" t="s">
        <v>40</v>
      </c>
      <c r="L2155" s="4">
        <f>Table4[[#This Row],[quantity]]*Table4[[#This Row],[unit_price]]</f>
        <v>41.77</v>
      </c>
      <c r="M2155">
        <f>COUNTIFS($C$2:$C$3934,Table4[[#This Row],[customer_id]])</f>
        <v>7</v>
      </c>
      <c r="N2155" t="str">
        <f>IF(Table4[[#This Row],[customer_order_count]]=1,"New Customer","Repeat Customer")</f>
        <v>Repeat Customer</v>
      </c>
    </row>
    <row r="2156" spans="1:14">
      <c r="A2156" t="s">
        <v>730</v>
      </c>
      <c r="B2156" s="1">
        <v>45001</v>
      </c>
      <c r="C2156" t="s">
        <v>731</v>
      </c>
      <c r="D2156" s="2" t="s">
        <v>5257</v>
      </c>
      <c r="E2156" t="s">
        <v>21</v>
      </c>
      <c r="F2156" t="s">
        <v>22</v>
      </c>
      <c r="G2156" t="s">
        <v>23</v>
      </c>
      <c r="H2156">
        <v>3</v>
      </c>
      <c r="I2156" s="3">
        <v>41.84</v>
      </c>
      <c r="J2156" t="s">
        <v>16</v>
      </c>
      <c r="K2156" t="s">
        <v>17</v>
      </c>
      <c r="L2156" s="4">
        <f>Table4[[#This Row],[quantity]]*Table4[[#This Row],[unit_price]]</f>
        <v>125.52000000000001</v>
      </c>
      <c r="M2156">
        <f>COUNTIFS($C$2:$C$3934,Table4[[#This Row],[customer_id]])</f>
        <v>5</v>
      </c>
      <c r="N2156" t="str">
        <f>IF(Table4[[#This Row],[customer_order_count]]=1,"New Customer","Repeat Customer")</f>
        <v>Repeat Customer</v>
      </c>
    </row>
    <row r="2157" spans="1:14">
      <c r="A2157" t="s">
        <v>1471</v>
      </c>
      <c r="B2157" s="1">
        <v>45309</v>
      </c>
      <c r="C2157" t="s">
        <v>1472</v>
      </c>
      <c r="D2157" s="5" t="s">
        <v>1473</v>
      </c>
      <c r="E2157" t="s">
        <v>21</v>
      </c>
      <c r="F2157" t="s">
        <v>70</v>
      </c>
      <c r="G2157" t="s">
        <v>71</v>
      </c>
      <c r="H2157">
        <v>1</v>
      </c>
      <c r="I2157" s="3">
        <v>41.85</v>
      </c>
      <c r="J2157" t="s">
        <v>16</v>
      </c>
      <c r="K2157" t="s">
        <v>40</v>
      </c>
      <c r="L2157" s="4">
        <f>Table4[[#This Row],[quantity]]*Table4[[#This Row],[unit_price]]</f>
        <v>41.85</v>
      </c>
      <c r="M2157">
        <f>COUNTIFS($C$2:$C$3934,Table4[[#This Row],[customer_id]])</f>
        <v>5</v>
      </c>
      <c r="N2157" t="str">
        <f>IF(Table4[[#This Row],[customer_order_count]]=1,"New Customer","Repeat Customer")</f>
        <v>Repeat Customer</v>
      </c>
    </row>
    <row r="2158" spans="1:14">
      <c r="A2158" t="s">
        <v>2668</v>
      </c>
      <c r="B2158" s="1">
        <v>45405</v>
      </c>
      <c r="C2158" t="s">
        <v>37</v>
      </c>
      <c r="D2158" t="s">
        <v>38</v>
      </c>
      <c r="E2158" t="s">
        <v>44</v>
      </c>
      <c r="F2158" t="s">
        <v>14</v>
      </c>
      <c r="G2158" t="s">
        <v>15</v>
      </c>
      <c r="H2158">
        <v>1</v>
      </c>
      <c r="I2158" s="3">
        <v>41.89</v>
      </c>
      <c r="J2158" t="s">
        <v>16</v>
      </c>
      <c r="K2158" t="s">
        <v>40</v>
      </c>
      <c r="L2158" s="4">
        <f>Table4[[#This Row],[quantity]]*Table4[[#This Row],[unit_price]]</f>
        <v>41.89</v>
      </c>
      <c r="M2158">
        <f>COUNTIFS($C$2:$C$3934,Table4[[#This Row],[customer_id]])</f>
        <v>7</v>
      </c>
      <c r="N2158" t="str">
        <f>IF(Table4[[#This Row],[customer_order_count]]=1,"New Customer","Repeat Customer")</f>
        <v>Repeat Customer</v>
      </c>
    </row>
    <row r="2159" spans="1:14">
      <c r="A2159" t="s">
        <v>3743</v>
      </c>
      <c r="B2159" s="1">
        <v>44927</v>
      </c>
      <c r="C2159" t="s">
        <v>687</v>
      </c>
      <c r="D2159" t="s">
        <v>612</v>
      </c>
      <c r="E2159" t="s">
        <v>21</v>
      </c>
      <c r="F2159" t="s">
        <v>28</v>
      </c>
      <c r="G2159" t="s">
        <v>29</v>
      </c>
      <c r="H2159">
        <v>2</v>
      </c>
      <c r="I2159" s="3">
        <v>41.89</v>
      </c>
      <c r="J2159" t="s">
        <v>16</v>
      </c>
      <c r="K2159" s="2" t="s">
        <v>5256</v>
      </c>
      <c r="L2159" s="4">
        <f>Table4[[#This Row],[quantity]]*Table4[[#This Row],[unit_price]]</f>
        <v>83.78</v>
      </c>
      <c r="M2159">
        <f>COUNTIFS($C$2:$C$3934,Table4[[#This Row],[customer_id]])</f>
        <v>4</v>
      </c>
      <c r="N2159" t="str">
        <f>IF(Table4[[#This Row],[customer_order_count]]=1,"New Customer","Repeat Customer")</f>
        <v>Repeat Customer</v>
      </c>
    </row>
    <row r="2160" spans="1:14">
      <c r="A2160" t="s">
        <v>1485</v>
      </c>
      <c r="B2160" s="1">
        <v>45413</v>
      </c>
      <c r="C2160" t="s">
        <v>1486</v>
      </c>
      <c r="D2160" t="s">
        <v>1241</v>
      </c>
      <c r="E2160" t="s">
        <v>44</v>
      </c>
      <c r="F2160" t="s">
        <v>70</v>
      </c>
      <c r="G2160" t="s">
        <v>146</v>
      </c>
      <c r="H2160">
        <v>1</v>
      </c>
      <c r="I2160" s="3">
        <v>41.92</v>
      </c>
      <c r="J2160" t="s">
        <v>16</v>
      </c>
      <c r="K2160" s="5" t="s">
        <v>17</v>
      </c>
      <c r="L2160" s="4">
        <f>Table4[[#This Row],[quantity]]*Table4[[#This Row],[unit_price]]</f>
        <v>41.92</v>
      </c>
      <c r="M2160">
        <f>COUNTIFS($C$2:$C$3934,Table4[[#This Row],[customer_id]])</f>
        <v>4</v>
      </c>
      <c r="N2160" t="str">
        <f>IF(Table4[[#This Row],[customer_order_count]]=1,"New Customer","Repeat Customer")</f>
        <v>Repeat Customer</v>
      </c>
    </row>
    <row r="2161" spans="1:14">
      <c r="A2161" t="s">
        <v>998</v>
      </c>
      <c r="B2161" s="1">
        <v>44942</v>
      </c>
      <c r="C2161" t="s">
        <v>999</v>
      </c>
      <c r="D2161" t="s">
        <v>1000</v>
      </c>
      <c r="E2161" t="s">
        <v>21</v>
      </c>
      <c r="F2161" t="s">
        <v>56</v>
      </c>
      <c r="G2161" t="s">
        <v>75</v>
      </c>
      <c r="H2161">
        <v>2</v>
      </c>
      <c r="I2161" s="3">
        <v>41.93</v>
      </c>
      <c r="J2161" t="s">
        <v>16</v>
      </c>
      <c r="K2161" t="s">
        <v>40</v>
      </c>
      <c r="L2161" s="4">
        <f>Table4[[#This Row],[quantity]]*Table4[[#This Row],[unit_price]]</f>
        <v>83.86</v>
      </c>
      <c r="M2161">
        <f>COUNTIFS($C$2:$C$3934,Table4[[#This Row],[customer_id]])</f>
        <v>5</v>
      </c>
      <c r="N2161" t="str">
        <f>IF(Table4[[#This Row],[customer_order_count]]=1,"New Customer","Repeat Customer")</f>
        <v>Repeat Customer</v>
      </c>
    </row>
    <row r="2162" spans="1:14">
      <c r="A2162" t="s">
        <v>3757</v>
      </c>
      <c r="B2162" s="1">
        <v>45491</v>
      </c>
      <c r="C2162" t="s">
        <v>1014</v>
      </c>
      <c r="D2162" t="s">
        <v>491</v>
      </c>
      <c r="E2162" t="s">
        <v>44</v>
      </c>
      <c r="F2162" t="s">
        <v>14</v>
      </c>
      <c r="G2162" t="s">
        <v>15</v>
      </c>
      <c r="H2162">
        <v>1</v>
      </c>
      <c r="I2162" s="3">
        <v>41.95</v>
      </c>
      <c r="J2162" t="s">
        <v>16</v>
      </c>
      <c r="K2162" t="s">
        <v>17</v>
      </c>
      <c r="L2162" s="4">
        <f>Table4[[#This Row],[quantity]]*Table4[[#This Row],[unit_price]]</f>
        <v>41.95</v>
      </c>
      <c r="M2162">
        <f>COUNTIFS($C$2:$C$3934,Table4[[#This Row],[customer_id]])</f>
        <v>5</v>
      </c>
      <c r="N2162" t="str">
        <f>IF(Table4[[#This Row],[customer_order_count]]=1,"New Customer","Repeat Customer")</f>
        <v>Repeat Customer</v>
      </c>
    </row>
    <row r="2163" spans="1:14">
      <c r="A2163" t="s">
        <v>788</v>
      </c>
      <c r="B2163" s="1">
        <v>44951</v>
      </c>
      <c r="C2163" t="s">
        <v>346</v>
      </c>
      <c r="D2163" t="s">
        <v>347</v>
      </c>
      <c r="E2163" t="s">
        <v>21</v>
      </c>
      <c r="F2163" t="s">
        <v>28</v>
      </c>
      <c r="G2163" t="s">
        <v>45</v>
      </c>
      <c r="H2163">
        <v>2</v>
      </c>
      <c r="I2163" s="3">
        <v>41.95</v>
      </c>
      <c r="J2163" t="s">
        <v>16</v>
      </c>
      <c r="K2163" t="s">
        <v>40</v>
      </c>
      <c r="L2163" s="4">
        <f>Table4[[#This Row],[quantity]]*Table4[[#This Row],[unit_price]]</f>
        <v>83.9</v>
      </c>
      <c r="M2163">
        <f>COUNTIFS($C$2:$C$3934,Table4[[#This Row],[customer_id]])</f>
        <v>7</v>
      </c>
      <c r="N2163" t="str">
        <f>IF(Table4[[#This Row],[customer_order_count]]=1,"New Customer","Repeat Customer")</f>
        <v>Repeat Customer</v>
      </c>
    </row>
    <row r="2164" spans="1:14">
      <c r="A2164" t="s">
        <v>2053</v>
      </c>
      <c r="B2164" s="1">
        <v>45080</v>
      </c>
      <c r="C2164" t="s">
        <v>2054</v>
      </c>
      <c r="D2164" t="s">
        <v>2055</v>
      </c>
      <c r="E2164" t="s">
        <v>21</v>
      </c>
      <c r="F2164" t="s">
        <v>22</v>
      </c>
      <c r="G2164" t="s">
        <v>23</v>
      </c>
      <c r="H2164">
        <v>2</v>
      </c>
      <c r="I2164" s="3">
        <v>41.96</v>
      </c>
      <c r="J2164" t="s">
        <v>16</v>
      </c>
      <c r="K2164" t="s">
        <v>30</v>
      </c>
      <c r="L2164" s="4">
        <f>Table4[[#This Row],[quantity]]*Table4[[#This Row],[unit_price]]</f>
        <v>83.92</v>
      </c>
      <c r="M2164">
        <f>COUNTIFS($C$2:$C$3934,Table4[[#This Row],[customer_id]])</f>
        <v>8</v>
      </c>
      <c r="N2164" t="str">
        <f>IF(Table4[[#This Row],[customer_order_count]]=1,"New Customer","Repeat Customer")</f>
        <v>Repeat Customer</v>
      </c>
    </row>
    <row r="2165" spans="1:14">
      <c r="A2165" t="s">
        <v>3097</v>
      </c>
      <c r="B2165" s="1">
        <v>45384</v>
      </c>
      <c r="C2165" t="s">
        <v>1077</v>
      </c>
      <c r="D2165" t="s">
        <v>765</v>
      </c>
      <c r="E2165" t="s">
        <v>21</v>
      </c>
      <c r="F2165" t="s">
        <v>28</v>
      </c>
      <c r="G2165" t="s">
        <v>84</v>
      </c>
      <c r="H2165">
        <v>1</v>
      </c>
      <c r="I2165" s="3">
        <v>41.99</v>
      </c>
      <c r="J2165" t="s">
        <v>16</v>
      </c>
      <c r="K2165" t="s">
        <v>40</v>
      </c>
      <c r="L2165" s="4">
        <f>Table4[[#This Row],[quantity]]*Table4[[#This Row],[unit_price]]</f>
        <v>41.99</v>
      </c>
      <c r="M2165">
        <f>COUNTIFS($C$2:$C$3934,Table4[[#This Row],[customer_id]])</f>
        <v>5</v>
      </c>
      <c r="N2165" t="str">
        <f>IF(Table4[[#This Row],[customer_order_count]]=1,"New Customer","Repeat Customer")</f>
        <v>Repeat Customer</v>
      </c>
    </row>
    <row r="2166" spans="1:14">
      <c r="A2166" t="s">
        <v>3807</v>
      </c>
      <c r="B2166" s="1">
        <v>45231</v>
      </c>
      <c r="C2166" t="s">
        <v>3808</v>
      </c>
      <c r="D2166" t="s">
        <v>525</v>
      </c>
      <c r="E2166" t="s">
        <v>21</v>
      </c>
      <c r="F2166" t="s">
        <v>28</v>
      </c>
      <c r="G2166" t="s">
        <v>45</v>
      </c>
      <c r="H2166">
        <v>1</v>
      </c>
      <c r="I2166" s="3">
        <v>42.05</v>
      </c>
      <c r="J2166" t="s">
        <v>16</v>
      </c>
      <c r="K2166" t="s">
        <v>17</v>
      </c>
      <c r="L2166" s="4">
        <f>Table4[[#This Row],[quantity]]*Table4[[#This Row],[unit_price]]</f>
        <v>42.05</v>
      </c>
      <c r="M2166">
        <f>COUNTIFS($C$2:$C$3934,Table4[[#This Row],[customer_id]])</f>
        <v>2</v>
      </c>
      <c r="N2166" t="str">
        <f>IF(Table4[[#This Row],[customer_order_count]]=1,"New Customer","Repeat Customer")</f>
        <v>Repeat Customer</v>
      </c>
    </row>
    <row r="2167" spans="1:14">
      <c r="A2167" t="s">
        <v>2112</v>
      </c>
      <c r="B2167" s="1">
        <v>44976</v>
      </c>
      <c r="C2167" t="s">
        <v>883</v>
      </c>
      <c r="D2167" t="s">
        <v>181</v>
      </c>
      <c r="E2167" t="s">
        <v>21</v>
      </c>
      <c r="F2167" t="s">
        <v>14</v>
      </c>
      <c r="G2167" t="s">
        <v>39</v>
      </c>
      <c r="H2167">
        <v>2</v>
      </c>
      <c r="I2167" s="3">
        <v>42.06</v>
      </c>
      <c r="J2167" t="s">
        <v>24</v>
      </c>
      <c r="K2167" t="s">
        <v>30</v>
      </c>
      <c r="L2167" s="4">
        <f>Table4[[#This Row],[quantity]]*Table4[[#This Row],[unit_price]]</f>
        <v>84.12</v>
      </c>
      <c r="M2167">
        <f>COUNTIFS($C$2:$C$3934,Table4[[#This Row],[customer_id]])</f>
        <v>11</v>
      </c>
      <c r="N2167" t="str">
        <f>IF(Table4[[#This Row],[customer_order_count]]=1,"New Customer","Repeat Customer")</f>
        <v>Repeat Customer</v>
      </c>
    </row>
    <row r="2168" spans="1:14">
      <c r="A2168" t="s">
        <v>4186</v>
      </c>
      <c r="B2168" s="1">
        <v>45196</v>
      </c>
      <c r="C2168" t="s">
        <v>1097</v>
      </c>
      <c r="D2168" t="s">
        <v>560</v>
      </c>
      <c r="E2168" t="s">
        <v>21</v>
      </c>
      <c r="F2168" t="s">
        <v>22</v>
      </c>
      <c r="G2168" t="s">
        <v>264</v>
      </c>
      <c r="H2168">
        <v>1</v>
      </c>
      <c r="I2168" s="3">
        <v>42.08</v>
      </c>
      <c r="J2168" t="s">
        <v>16</v>
      </c>
      <c r="K2168" t="s">
        <v>17</v>
      </c>
      <c r="L2168" s="4">
        <f>Table4[[#This Row],[quantity]]*Table4[[#This Row],[unit_price]]</f>
        <v>42.08</v>
      </c>
      <c r="M2168">
        <f>COUNTIFS($C$2:$C$3934,Table4[[#This Row],[customer_id]])</f>
        <v>7</v>
      </c>
      <c r="N2168" t="str">
        <f>IF(Table4[[#This Row],[customer_order_count]]=1,"New Customer","Repeat Customer")</f>
        <v>Repeat Customer</v>
      </c>
    </row>
    <row r="2169" spans="1:14">
      <c r="A2169" t="s">
        <v>2517</v>
      </c>
      <c r="B2169" s="1">
        <v>45651</v>
      </c>
      <c r="C2169" t="s">
        <v>817</v>
      </c>
      <c r="D2169" t="s">
        <v>213</v>
      </c>
      <c r="E2169" t="s">
        <v>21</v>
      </c>
      <c r="F2169" t="s">
        <v>70</v>
      </c>
      <c r="G2169" t="s">
        <v>526</v>
      </c>
      <c r="H2169">
        <v>1</v>
      </c>
      <c r="I2169" s="3">
        <v>42.08</v>
      </c>
      <c r="J2169" t="s">
        <v>16</v>
      </c>
      <c r="K2169" t="s">
        <v>30</v>
      </c>
      <c r="L2169" s="4">
        <f>Table4[[#This Row],[quantity]]*Table4[[#This Row],[unit_price]]</f>
        <v>42.08</v>
      </c>
      <c r="M2169">
        <f>COUNTIFS($C$2:$C$3934,Table4[[#This Row],[customer_id]])</f>
        <v>5</v>
      </c>
      <c r="N2169" t="str">
        <f>IF(Table4[[#This Row],[customer_order_count]]=1,"New Customer","Repeat Customer")</f>
        <v>Repeat Customer</v>
      </c>
    </row>
    <row r="2170" spans="1:14">
      <c r="A2170" t="s">
        <v>453</v>
      </c>
      <c r="B2170" s="1">
        <v>45300</v>
      </c>
      <c r="C2170" t="s">
        <v>454</v>
      </c>
      <c r="D2170" t="s">
        <v>299</v>
      </c>
      <c r="E2170" t="s">
        <v>44</v>
      </c>
      <c r="F2170" t="s">
        <v>70</v>
      </c>
      <c r="G2170" t="s">
        <v>71</v>
      </c>
      <c r="H2170">
        <v>1</v>
      </c>
      <c r="I2170" s="3">
        <v>42.12</v>
      </c>
      <c r="J2170" t="s">
        <v>24</v>
      </c>
      <c r="K2170" t="s">
        <v>40</v>
      </c>
      <c r="L2170" s="4">
        <f>Table4[[#This Row],[quantity]]*Table4[[#This Row],[unit_price]]</f>
        <v>42.12</v>
      </c>
      <c r="M2170">
        <f>COUNTIFS($C$2:$C$3934,Table4[[#This Row],[customer_id]])</f>
        <v>3</v>
      </c>
      <c r="N2170" t="str">
        <f>IF(Table4[[#This Row],[customer_order_count]]=1,"New Customer","Repeat Customer")</f>
        <v>Repeat Customer</v>
      </c>
    </row>
    <row r="2171" spans="1:14">
      <c r="A2171" t="s">
        <v>5169</v>
      </c>
      <c r="B2171" s="1">
        <v>45623</v>
      </c>
      <c r="C2171" t="s">
        <v>249</v>
      </c>
      <c r="D2171" t="s">
        <v>250</v>
      </c>
      <c r="E2171" t="s">
        <v>21</v>
      </c>
      <c r="F2171" t="s">
        <v>70</v>
      </c>
      <c r="G2171" t="s">
        <v>89</v>
      </c>
      <c r="H2171">
        <v>4</v>
      </c>
      <c r="I2171" s="3">
        <v>42.17</v>
      </c>
      <c r="J2171" t="s">
        <v>16</v>
      </c>
      <c r="K2171" t="s">
        <v>40</v>
      </c>
      <c r="L2171" s="4">
        <f>Table4[[#This Row],[quantity]]*Table4[[#This Row],[unit_price]]</f>
        <v>168.68</v>
      </c>
      <c r="M2171">
        <f>COUNTIFS($C$2:$C$3934,Table4[[#This Row],[customer_id]])</f>
        <v>12</v>
      </c>
      <c r="N2171" t="str">
        <f>IF(Table4[[#This Row],[customer_order_count]]=1,"New Customer","Repeat Customer")</f>
        <v>Repeat Customer</v>
      </c>
    </row>
    <row r="2172" spans="1:14">
      <c r="A2172" t="s">
        <v>5019</v>
      </c>
      <c r="B2172" s="1">
        <v>44960</v>
      </c>
      <c r="C2172" t="s">
        <v>796</v>
      </c>
      <c r="D2172" t="s">
        <v>797</v>
      </c>
      <c r="E2172" t="s">
        <v>21</v>
      </c>
      <c r="F2172" t="s">
        <v>70</v>
      </c>
      <c r="G2172" t="s">
        <v>170</v>
      </c>
      <c r="H2172">
        <v>1</v>
      </c>
      <c r="I2172" s="3">
        <v>42.25</v>
      </c>
      <c r="J2172" t="s">
        <v>16</v>
      </c>
      <c r="K2172" t="s">
        <v>30</v>
      </c>
      <c r="L2172" s="4">
        <f>Table4[[#This Row],[quantity]]*Table4[[#This Row],[unit_price]]</f>
        <v>42.25</v>
      </c>
      <c r="M2172">
        <f>COUNTIFS($C$2:$C$3934,Table4[[#This Row],[customer_id]])</f>
        <v>6</v>
      </c>
      <c r="N2172" t="str">
        <f>IF(Table4[[#This Row],[customer_order_count]]=1,"New Customer","Repeat Customer")</f>
        <v>Repeat Customer</v>
      </c>
    </row>
    <row r="2173" spans="1:14">
      <c r="A2173" t="s">
        <v>2629</v>
      </c>
      <c r="B2173" s="1">
        <v>45483</v>
      </c>
      <c r="C2173" t="s">
        <v>859</v>
      </c>
      <c r="D2173" t="s">
        <v>444</v>
      </c>
      <c r="E2173" t="s">
        <v>21</v>
      </c>
      <c r="F2173" t="s">
        <v>28</v>
      </c>
      <c r="G2173" t="s">
        <v>114</v>
      </c>
      <c r="H2173">
        <v>2</v>
      </c>
      <c r="I2173" s="3">
        <v>42.27</v>
      </c>
      <c r="J2173" t="s">
        <v>16</v>
      </c>
      <c r="K2173" t="s">
        <v>40</v>
      </c>
      <c r="L2173" s="4">
        <f>Table4[[#This Row],[quantity]]*Table4[[#This Row],[unit_price]]</f>
        <v>84.54</v>
      </c>
      <c r="M2173">
        <f>COUNTIFS($C$2:$C$3934,Table4[[#This Row],[customer_id]])</f>
        <v>4</v>
      </c>
      <c r="N2173" t="str">
        <f>IF(Table4[[#This Row],[customer_order_count]]=1,"New Customer","Repeat Customer")</f>
        <v>Repeat Customer</v>
      </c>
    </row>
    <row r="2174" spans="1:14">
      <c r="A2174" t="s">
        <v>5236</v>
      </c>
      <c r="B2174" s="1">
        <v>45139</v>
      </c>
      <c r="C2174" t="s">
        <v>183</v>
      </c>
      <c r="D2174" t="s">
        <v>857</v>
      </c>
      <c r="E2174" t="s">
        <v>21</v>
      </c>
      <c r="F2174" t="s">
        <v>28</v>
      </c>
      <c r="G2174" t="s">
        <v>139</v>
      </c>
      <c r="H2174">
        <v>3</v>
      </c>
      <c r="I2174" s="3">
        <v>42.3</v>
      </c>
      <c r="J2174" t="s">
        <v>16</v>
      </c>
      <c r="K2174" t="s">
        <v>40</v>
      </c>
      <c r="L2174" s="4">
        <f>Table4[[#This Row],[quantity]]*Table4[[#This Row],[unit_price]]</f>
        <v>126.89999999999999</v>
      </c>
      <c r="M2174">
        <f>COUNTIFS($C$2:$C$3934,Table4[[#This Row],[customer_id]])</f>
        <v>7</v>
      </c>
      <c r="N2174" t="str">
        <f>IF(Table4[[#This Row],[customer_order_count]]=1,"New Customer","Repeat Customer")</f>
        <v>Repeat Customer</v>
      </c>
    </row>
    <row r="2175" spans="1:14">
      <c r="A2175" t="s">
        <v>4723</v>
      </c>
      <c r="B2175" s="1">
        <v>45641</v>
      </c>
      <c r="C2175" t="s">
        <v>285</v>
      </c>
      <c r="D2175" t="s">
        <v>286</v>
      </c>
      <c r="E2175" t="s">
        <v>21</v>
      </c>
      <c r="F2175" t="s">
        <v>56</v>
      </c>
      <c r="G2175" t="s">
        <v>153</v>
      </c>
      <c r="H2175">
        <v>1</v>
      </c>
      <c r="I2175" s="3">
        <v>42.32</v>
      </c>
      <c r="J2175" t="s">
        <v>16</v>
      </c>
      <c r="K2175" t="s">
        <v>35</v>
      </c>
      <c r="L2175" s="4">
        <f>Table4[[#This Row],[quantity]]*Table4[[#This Row],[unit_price]]</f>
        <v>42.32</v>
      </c>
      <c r="M2175">
        <f>COUNTIFS($C$2:$C$3934,Table4[[#This Row],[customer_id]])</f>
        <v>9</v>
      </c>
      <c r="N2175" t="str">
        <f>IF(Table4[[#This Row],[customer_order_count]]=1,"New Customer","Repeat Customer")</f>
        <v>Repeat Customer</v>
      </c>
    </row>
    <row r="2176" spans="1:14">
      <c r="A2176" t="s">
        <v>5003</v>
      </c>
      <c r="B2176" s="1">
        <v>45218</v>
      </c>
      <c r="C2176" t="s">
        <v>1894</v>
      </c>
      <c r="D2176" t="s">
        <v>145</v>
      </c>
      <c r="E2176" t="s">
        <v>21</v>
      </c>
      <c r="F2176" t="s">
        <v>28</v>
      </c>
      <c r="G2176" t="s">
        <v>84</v>
      </c>
      <c r="H2176">
        <v>1</v>
      </c>
      <c r="I2176" s="3">
        <v>42.34</v>
      </c>
      <c r="J2176" t="s">
        <v>16</v>
      </c>
      <c r="K2176" t="s">
        <v>30</v>
      </c>
      <c r="L2176" s="4">
        <f>Table4[[#This Row],[quantity]]*Table4[[#This Row],[unit_price]]</f>
        <v>42.34</v>
      </c>
      <c r="M2176">
        <f>COUNTIFS($C$2:$C$3934,Table4[[#This Row],[customer_id]])</f>
        <v>6</v>
      </c>
      <c r="N2176" t="str">
        <f>IF(Table4[[#This Row],[customer_order_count]]=1,"New Customer","Repeat Customer")</f>
        <v>Repeat Customer</v>
      </c>
    </row>
    <row r="2177" spans="1:14">
      <c r="A2177" t="s">
        <v>4075</v>
      </c>
      <c r="B2177" s="1">
        <v>45151</v>
      </c>
      <c r="C2177" t="s">
        <v>824</v>
      </c>
      <c r="D2177" t="s">
        <v>825</v>
      </c>
      <c r="E2177" t="s">
        <v>44</v>
      </c>
      <c r="F2177" t="s">
        <v>70</v>
      </c>
      <c r="G2177" t="s">
        <v>337</v>
      </c>
      <c r="H2177">
        <v>4</v>
      </c>
      <c r="I2177" s="3">
        <v>42.38</v>
      </c>
      <c r="J2177" t="s">
        <v>255</v>
      </c>
      <c r="K2177" t="s">
        <v>40</v>
      </c>
      <c r="L2177" s="4">
        <f>Table4[[#This Row],[quantity]]*Table4[[#This Row],[unit_price]]</f>
        <v>169.52</v>
      </c>
      <c r="M2177">
        <f>COUNTIFS($C$2:$C$3934,Table4[[#This Row],[customer_id]])</f>
        <v>7</v>
      </c>
      <c r="N2177" t="str">
        <f>IF(Table4[[#This Row],[customer_order_count]]=1,"New Customer","Repeat Customer")</f>
        <v>Repeat Customer</v>
      </c>
    </row>
    <row r="2178" spans="1:14">
      <c r="A2178" t="s">
        <v>3731</v>
      </c>
      <c r="B2178" s="1">
        <v>45446</v>
      </c>
      <c r="C2178" t="s">
        <v>2947</v>
      </c>
      <c r="D2178" t="s">
        <v>513</v>
      </c>
      <c r="E2178" t="s">
        <v>21</v>
      </c>
      <c r="F2178" t="s">
        <v>28</v>
      </c>
      <c r="G2178" t="s">
        <v>84</v>
      </c>
      <c r="H2178">
        <v>2</v>
      </c>
      <c r="I2178" s="3">
        <v>42.42</v>
      </c>
      <c r="J2178" t="s">
        <v>16</v>
      </c>
      <c r="K2178" t="s">
        <v>17</v>
      </c>
      <c r="L2178" s="4">
        <f>Table4[[#This Row],[quantity]]*Table4[[#This Row],[unit_price]]</f>
        <v>84.84</v>
      </c>
      <c r="M2178">
        <f>COUNTIFS($C$2:$C$3934,Table4[[#This Row],[customer_id]])</f>
        <v>3</v>
      </c>
      <c r="N2178" t="str">
        <f>IF(Table4[[#This Row],[customer_order_count]]=1,"New Customer","Repeat Customer")</f>
        <v>Repeat Customer</v>
      </c>
    </row>
    <row r="2179" spans="1:14">
      <c r="A2179" t="s">
        <v>3677</v>
      </c>
      <c r="B2179" s="1">
        <v>45150</v>
      </c>
      <c r="C2179" t="s">
        <v>1252</v>
      </c>
      <c r="D2179" t="s">
        <v>281</v>
      </c>
      <c r="E2179" t="s">
        <v>21</v>
      </c>
      <c r="F2179" t="s">
        <v>79</v>
      </c>
      <c r="G2179" t="s">
        <v>166</v>
      </c>
      <c r="H2179">
        <v>1</v>
      </c>
      <c r="I2179" s="3">
        <v>42.43</v>
      </c>
      <c r="J2179" t="s">
        <v>16</v>
      </c>
      <c r="K2179" t="s">
        <v>40</v>
      </c>
      <c r="L2179" s="4">
        <f>Table4[[#This Row],[quantity]]*Table4[[#This Row],[unit_price]]</f>
        <v>42.43</v>
      </c>
      <c r="M2179">
        <f>COUNTIFS($C$2:$C$3934,Table4[[#This Row],[customer_id]])</f>
        <v>6</v>
      </c>
      <c r="N2179" t="str">
        <f>IF(Table4[[#This Row],[customer_order_count]]=1,"New Customer","Repeat Customer")</f>
        <v>Repeat Customer</v>
      </c>
    </row>
    <row r="2180" spans="1:14">
      <c r="A2180" t="s">
        <v>1385</v>
      </c>
      <c r="B2180" s="1">
        <v>45307</v>
      </c>
      <c r="C2180" t="s">
        <v>164</v>
      </c>
      <c r="D2180" t="s">
        <v>165</v>
      </c>
      <c r="E2180" t="s">
        <v>44</v>
      </c>
      <c r="F2180" t="s">
        <v>70</v>
      </c>
      <c r="G2180" t="s">
        <v>71</v>
      </c>
      <c r="H2180">
        <v>1</v>
      </c>
      <c r="I2180" s="3">
        <v>42.43</v>
      </c>
      <c r="J2180" t="s">
        <v>16</v>
      </c>
      <c r="K2180" t="s">
        <v>35</v>
      </c>
      <c r="L2180" s="4">
        <f>Table4[[#This Row],[quantity]]*Table4[[#This Row],[unit_price]]</f>
        <v>42.43</v>
      </c>
      <c r="M2180">
        <f>COUNTIFS($C$2:$C$3934,Table4[[#This Row],[customer_id]])</f>
        <v>6</v>
      </c>
      <c r="N2180" t="str">
        <f>IF(Table4[[#This Row],[customer_order_count]]=1,"New Customer","Repeat Customer")</f>
        <v>Repeat Customer</v>
      </c>
    </row>
    <row r="2181" spans="1:14">
      <c r="A2181" t="s">
        <v>4131</v>
      </c>
      <c r="B2181" s="1">
        <v>45393</v>
      </c>
      <c r="C2181" t="s">
        <v>2444</v>
      </c>
      <c r="D2181" t="s">
        <v>1057</v>
      </c>
      <c r="E2181" t="s">
        <v>21</v>
      </c>
      <c r="F2181" t="s">
        <v>28</v>
      </c>
      <c r="G2181" t="s">
        <v>45</v>
      </c>
      <c r="H2181">
        <v>2</v>
      </c>
      <c r="I2181" s="3">
        <v>42.44</v>
      </c>
      <c r="J2181" t="s">
        <v>16</v>
      </c>
      <c r="K2181" t="s">
        <v>17</v>
      </c>
      <c r="L2181" s="4">
        <f>Table4[[#This Row],[quantity]]*Table4[[#This Row],[unit_price]]</f>
        <v>84.88</v>
      </c>
      <c r="M2181">
        <f>COUNTIFS($C$2:$C$3934,Table4[[#This Row],[customer_id]])</f>
        <v>4</v>
      </c>
      <c r="N2181" t="str">
        <f>IF(Table4[[#This Row],[customer_order_count]]=1,"New Customer","Repeat Customer")</f>
        <v>Repeat Customer</v>
      </c>
    </row>
    <row r="2182" spans="1:14">
      <c r="A2182" t="s">
        <v>5047</v>
      </c>
      <c r="B2182" s="1">
        <v>45338</v>
      </c>
      <c r="C2182" t="s">
        <v>4334</v>
      </c>
      <c r="D2182" t="s">
        <v>43</v>
      </c>
      <c r="E2182" t="s">
        <v>21</v>
      </c>
      <c r="F2182" t="s">
        <v>22</v>
      </c>
      <c r="G2182" t="s">
        <v>142</v>
      </c>
      <c r="H2182">
        <v>3</v>
      </c>
      <c r="I2182" s="3">
        <v>42.46</v>
      </c>
      <c r="J2182" t="s">
        <v>16</v>
      </c>
      <c r="K2182" t="s">
        <v>30</v>
      </c>
      <c r="L2182" s="4">
        <f>Table4[[#This Row],[quantity]]*Table4[[#This Row],[unit_price]]</f>
        <v>127.38</v>
      </c>
      <c r="M2182">
        <f>COUNTIFS($C$2:$C$3934,Table4[[#This Row],[customer_id]])</f>
        <v>2</v>
      </c>
      <c r="N2182" t="str">
        <f>IF(Table4[[#This Row],[customer_order_count]]=1,"New Customer","Repeat Customer")</f>
        <v>Repeat Customer</v>
      </c>
    </row>
    <row r="2183" spans="1:14">
      <c r="A2183" t="s">
        <v>4300</v>
      </c>
      <c r="B2183" s="1">
        <v>45208</v>
      </c>
      <c r="C2183" t="s">
        <v>729</v>
      </c>
      <c r="D2183" t="s">
        <v>1067</v>
      </c>
      <c r="E2183" t="s">
        <v>44</v>
      </c>
      <c r="F2183" t="s">
        <v>70</v>
      </c>
      <c r="G2183" t="s">
        <v>146</v>
      </c>
      <c r="H2183">
        <v>2</v>
      </c>
      <c r="I2183" s="3">
        <v>42.47</v>
      </c>
      <c r="J2183" t="s">
        <v>16</v>
      </c>
      <c r="K2183" t="s">
        <v>35</v>
      </c>
      <c r="L2183" s="4">
        <f>Table4[[#This Row],[quantity]]*Table4[[#This Row],[unit_price]]</f>
        <v>84.94</v>
      </c>
      <c r="M2183">
        <f>COUNTIFS($C$2:$C$3934,Table4[[#This Row],[customer_id]])</f>
        <v>5</v>
      </c>
      <c r="N2183" t="str">
        <f>IF(Table4[[#This Row],[customer_order_count]]=1,"New Customer","Repeat Customer")</f>
        <v>Repeat Customer</v>
      </c>
    </row>
    <row r="2184" spans="1:14">
      <c r="A2184" t="s">
        <v>227</v>
      </c>
      <c r="B2184" s="1">
        <v>45170</v>
      </c>
      <c r="C2184" t="s">
        <v>228</v>
      </c>
      <c r="D2184" t="s">
        <v>229</v>
      </c>
      <c r="E2184" t="s">
        <v>21</v>
      </c>
      <c r="F2184" t="s">
        <v>79</v>
      </c>
      <c r="G2184" t="s">
        <v>230</v>
      </c>
      <c r="H2184">
        <v>1</v>
      </c>
      <c r="I2184" s="3">
        <v>42.48</v>
      </c>
      <c r="J2184" t="s">
        <v>16</v>
      </c>
      <c r="K2184" t="s">
        <v>30</v>
      </c>
      <c r="L2184" s="4">
        <f>Table4[[#This Row],[quantity]]*Table4[[#This Row],[unit_price]]</f>
        <v>42.48</v>
      </c>
      <c r="M2184">
        <f>COUNTIFS($C$2:$C$3934,Table4[[#This Row],[customer_id]])</f>
        <v>5</v>
      </c>
      <c r="N2184" t="str">
        <f>IF(Table4[[#This Row],[customer_order_count]]=1,"New Customer","Repeat Customer")</f>
        <v>Repeat Customer</v>
      </c>
    </row>
    <row r="2185" spans="1:14">
      <c r="A2185" t="s">
        <v>2923</v>
      </c>
      <c r="B2185" s="1">
        <v>45436</v>
      </c>
      <c r="C2185" t="s">
        <v>2426</v>
      </c>
      <c r="D2185" t="s">
        <v>2427</v>
      </c>
      <c r="E2185" t="s">
        <v>21</v>
      </c>
      <c r="F2185" t="s">
        <v>14</v>
      </c>
      <c r="G2185" t="s">
        <v>62</v>
      </c>
      <c r="H2185">
        <v>1</v>
      </c>
      <c r="I2185" s="3">
        <v>42.5</v>
      </c>
      <c r="J2185" t="s">
        <v>16</v>
      </c>
      <c r="K2185" t="s">
        <v>35</v>
      </c>
      <c r="L2185" s="4">
        <f>Table4[[#This Row],[quantity]]*Table4[[#This Row],[unit_price]]</f>
        <v>42.5</v>
      </c>
      <c r="M2185">
        <f>COUNTIFS($C$2:$C$3934,Table4[[#This Row],[customer_id]])</f>
        <v>5</v>
      </c>
      <c r="N2185" t="str">
        <f>IF(Table4[[#This Row],[customer_order_count]]=1,"New Customer","Repeat Customer")</f>
        <v>Repeat Customer</v>
      </c>
    </row>
    <row r="2186" spans="1:14">
      <c r="A2186" t="s">
        <v>4072</v>
      </c>
      <c r="B2186" s="1">
        <v>45502</v>
      </c>
      <c r="C2186" t="s">
        <v>130</v>
      </c>
      <c r="D2186" t="s">
        <v>131</v>
      </c>
      <c r="E2186" t="s">
        <v>21</v>
      </c>
      <c r="F2186" t="s">
        <v>28</v>
      </c>
      <c r="G2186" t="s">
        <v>84</v>
      </c>
      <c r="H2186">
        <v>1</v>
      </c>
      <c r="I2186" s="3">
        <v>42.51</v>
      </c>
      <c r="J2186" t="s">
        <v>16</v>
      </c>
      <c r="K2186" t="s">
        <v>35</v>
      </c>
      <c r="L2186" s="4">
        <f>Table4[[#This Row],[quantity]]*Table4[[#This Row],[unit_price]]</f>
        <v>42.51</v>
      </c>
      <c r="M2186">
        <f>COUNTIFS($C$2:$C$3934,Table4[[#This Row],[customer_id]])</f>
        <v>4</v>
      </c>
      <c r="N2186" t="str">
        <f>IF(Table4[[#This Row],[customer_order_count]]=1,"New Customer","Repeat Customer")</f>
        <v>Repeat Customer</v>
      </c>
    </row>
    <row r="2187" spans="1:14">
      <c r="A2187" t="s">
        <v>3770</v>
      </c>
      <c r="B2187" s="1">
        <v>45032</v>
      </c>
      <c r="C2187" t="s">
        <v>3361</v>
      </c>
      <c r="D2187" t="s">
        <v>327</v>
      </c>
      <c r="E2187" t="s">
        <v>21</v>
      </c>
      <c r="F2187" t="s">
        <v>14</v>
      </c>
      <c r="G2187" t="s">
        <v>100</v>
      </c>
      <c r="H2187">
        <v>4</v>
      </c>
      <c r="I2187" s="3">
        <v>42.55</v>
      </c>
      <c r="J2187" t="s">
        <v>16</v>
      </c>
      <c r="K2187" t="s">
        <v>40</v>
      </c>
      <c r="L2187" s="4">
        <f>Table4[[#This Row],[quantity]]*Table4[[#This Row],[unit_price]]</f>
        <v>170.2</v>
      </c>
      <c r="M2187">
        <f>COUNTIFS($C$2:$C$3934,Table4[[#This Row],[customer_id]])</f>
        <v>6</v>
      </c>
      <c r="N2187" t="str">
        <f>IF(Table4[[#This Row],[customer_order_count]]=1,"New Customer","Repeat Customer")</f>
        <v>Repeat Customer</v>
      </c>
    </row>
    <row r="2188" spans="1:14">
      <c r="A2188" t="s">
        <v>3215</v>
      </c>
      <c r="B2188" s="1">
        <v>45369</v>
      </c>
      <c r="C2188" t="s">
        <v>1136</v>
      </c>
      <c r="D2188" t="s">
        <v>525</v>
      </c>
      <c r="E2188" t="s">
        <v>44</v>
      </c>
      <c r="F2188" t="s">
        <v>22</v>
      </c>
      <c r="G2188" t="s">
        <v>135</v>
      </c>
      <c r="H2188">
        <v>1</v>
      </c>
      <c r="I2188" s="3">
        <v>42.61</v>
      </c>
      <c r="J2188" t="s">
        <v>16</v>
      </c>
      <c r="K2188" t="s">
        <v>35</v>
      </c>
      <c r="L2188" s="4">
        <f>Table4[[#This Row],[quantity]]*Table4[[#This Row],[unit_price]]</f>
        <v>42.61</v>
      </c>
      <c r="M2188">
        <f>COUNTIFS($C$2:$C$3934,Table4[[#This Row],[customer_id]])</f>
        <v>8</v>
      </c>
      <c r="N2188" t="str">
        <f>IF(Table4[[#This Row],[customer_order_count]]=1,"New Customer","Repeat Customer")</f>
        <v>Repeat Customer</v>
      </c>
    </row>
    <row r="2189" spans="1:14">
      <c r="A2189" t="s">
        <v>2811</v>
      </c>
      <c r="B2189" s="1">
        <v>44932</v>
      </c>
      <c r="C2189" t="s">
        <v>277</v>
      </c>
      <c r="D2189" t="s">
        <v>278</v>
      </c>
      <c r="E2189" t="s">
        <v>61</v>
      </c>
      <c r="F2189" t="s">
        <v>79</v>
      </c>
      <c r="G2189" t="s">
        <v>200</v>
      </c>
      <c r="H2189">
        <v>1</v>
      </c>
      <c r="I2189" s="3">
        <v>42.63</v>
      </c>
      <c r="J2189" t="s">
        <v>85</v>
      </c>
      <c r="K2189" t="s">
        <v>40</v>
      </c>
      <c r="L2189" s="4">
        <f>Table4[[#This Row],[quantity]]*Table4[[#This Row],[unit_price]]</f>
        <v>42.63</v>
      </c>
      <c r="M2189">
        <f>COUNTIFS($C$2:$C$3934,Table4[[#This Row],[customer_id]])</f>
        <v>3</v>
      </c>
      <c r="N2189" t="str">
        <f>IF(Table4[[#This Row],[customer_order_count]]=1,"New Customer","Repeat Customer")</f>
        <v>Repeat Customer</v>
      </c>
    </row>
    <row r="2190" spans="1:14">
      <c r="A2190" t="s">
        <v>2933</v>
      </c>
      <c r="B2190" s="1">
        <v>45252</v>
      </c>
      <c r="C2190" t="s">
        <v>1918</v>
      </c>
      <c r="D2190" t="s">
        <v>229</v>
      </c>
      <c r="E2190" t="s">
        <v>21</v>
      </c>
      <c r="F2190" t="s">
        <v>28</v>
      </c>
      <c r="G2190" t="s">
        <v>29</v>
      </c>
      <c r="H2190">
        <v>2</v>
      </c>
      <c r="I2190" s="3">
        <v>42.63</v>
      </c>
      <c r="J2190" t="s">
        <v>16</v>
      </c>
      <c r="K2190" t="s">
        <v>35</v>
      </c>
      <c r="L2190" s="4">
        <f>Table4[[#This Row],[quantity]]*Table4[[#This Row],[unit_price]]</f>
        <v>85.26</v>
      </c>
      <c r="M2190">
        <f>COUNTIFS($C$2:$C$3934,Table4[[#This Row],[customer_id]])</f>
        <v>3</v>
      </c>
      <c r="N2190" t="str">
        <f>IF(Table4[[#This Row],[customer_order_count]]=1,"New Customer","Repeat Customer")</f>
        <v>Repeat Customer</v>
      </c>
    </row>
    <row r="2191" spans="1:14">
      <c r="A2191" t="s">
        <v>1520</v>
      </c>
      <c r="B2191" s="1">
        <v>45318</v>
      </c>
      <c r="C2191" t="s">
        <v>252</v>
      </c>
      <c r="D2191" t="s">
        <v>253</v>
      </c>
      <c r="E2191" t="s">
        <v>44</v>
      </c>
      <c r="F2191" t="s">
        <v>22</v>
      </c>
      <c r="G2191" t="s">
        <v>135</v>
      </c>
      <c r="H2191">
        <v>4</v>
      </c>
      <c r="I2191" s="3">
        <v>42.63</v>
      </c>
      <c r="J2191" t="s">
        <v>16</v>
      </c>
      <c r="K2191" t="s">
        <v>30</v>
      </c>
      <c r="L2191" s="4">
        <f>Table4[[#This Row],[quantity]]*Table4[[#This Row],[unit_price]]</f>
        <v>170.52</v>
      </c>
      <c r="M2191">
        <f>COUNTIFS($C$2:$C$3934,Table4[[#This Row],[customer_id]])</f>
        <v>5</v>
      </c>
      <c r="N2191" t="str">
        <f>IF(Table4[[#This Row],[customer_order_count]]=1,"New Customer","Repeat Customer")</f>
        <v>Repeat Customer</v>
      </c>
    </row>
    <row r="2192" spans="1:14">
      <c r="A2192" t="s">
        <v>2506</v>
      </c>
      <c r="B2192" s="1">
        <v>45269</v>
      </c>
      <c r="C2192" t="s">
        <v>1522</v>
      </c>
      <c r="D2192" t="s">
        <v>1523</v>
      </c>
      <c r="E2192" t="s">
        <v>21</v>
      </c>
      <c r="F2192" t="s">
        <v>22</v>
      </c>
      <c r="G2192" t="s">
        <v>142</v>
      </c>
      <c r="H2192">
        <v>1</v>
      </c>
      <c r="I2192" s="3">
        <v>42.64</v>
      </c>
      <c r="J2192" t="s">
        <v>16</v>
      </c>
      <c r="K2192" t="s">
        <v>30</v>
      </c>
      <c r="L2192" s="4">
        <f>Table4[[#This Row],[quantity]]*Table4[[#This Row],[unit_price]]</f>
        <v>42.64</v>
      </c>
      <c r="M2192">
        <f>COUNTIFS($C$2:$C$3934,Table4[[#This Row],[customer_id]])</f>
        <v>11</v>
      </c>
      <c r="N2192" t="str">
        <f>IF(Table4[[#This Row],[customer_order_count]]=1,"New Customer","Repeat Customer")</f>
        <v>Repeat Customer</v>
      </c>
    </row>
    <row r="2193" spans="1:14">
      <c r="A2193" t="s">
        <v>2701</v>
      </c>
      <c r="B2193" s="1">
        <v>44999</v>
      </c>
      <c r="C2193" t="s">
        <v>315</v>
      </c>
      <c r="D2193" t="s">
        <v>538</v>
      </c>
      <c r="E2193" t="s">
        <v>21</v>
      </c>
      <c r="F2193" t="s">
        <v>22</v>
      </c>
      <c r="G2193" t="s">
        <v>142</v>
      </c>
      <c r="H2193">
        <v>3</v>
      </c>
      <c r="I2193" s="3">
        <v>42.64</v>
      </c>
      <c r="J2193" t="s">
        <v>16</v>
      </c>
      <c r="K2193" t="s">
        <v>30</v>
      </c>
      <c r="L2193" s="4">
        <f>Table4[[#This Row],[quantity]]*Table4[[#This Row],[unit_price]]</f>
        <v>127.92</v>
      </c>
      <c r="M2193">
        <f>COUNTIFS($C$2:$C$3934,Table4[[#This Row],[customer_id]])</f>
        <v>2</v>
      </c>
      <c r="N2193" t="str">
        <f>IF(Table4[[#This Row],[customer_order_count]]=1,"New Customer","Repeat Customer")</f>
        <v>Repeat Customer</v>
      </c>
    </row>
    <row r="2194" spans="1:14">
      <c r="A2194" t="s">
        <v>3794</v>
      </c>
      <c r="B2194" s="1">
        <v>45487</v>
      </c>
      <c r="C2194" t="s">
        <v>2306</v>
      </c>
      <c r="D2194" t="s">
        <v>2307</v>
      </c>
      <c r="E2194" t="s">
        <v>21</v>
      </c>
      <c r="F2194" t="s">
        <v>70</v>
      </c>
      <c r="G2194" t="s">
        <v>146</v>
      </c>
      <c r="H2194">
        <v>1</v>
      </c>
      <c r="I2194" s="3">
        <v>42.72</v>
      </c>
      <c r="J2194" t="s">
        <v>16</v>
      </c>
      <c r="K2194" t="s">
        <v>40</v>
      </c>
      <c r="L2194" s="4">
        <f>Table4[[#This Row],[quantity]]*Table4[[#This Row],[unit_price]]</f>
        <v>42.72</v>
      </c>
      <c r="M2194">
        <f>COUNTIFS($C$2:$C$3934,Table4[[#This Row],[customer_id]])</f>
        <v>2</v>
      </c>
      <c r="N2194" t="str">
        <f>IF(Table4[[#This Row],[customer_order_count]]=1,"New Customer","Repeat Customer")</f>
        <v>Repeat Customer</v>
      </c>
    </row>
    <row r="2195" spans="1:14">
      <c r="A2195" t="s">
        <v>3763</v>
      </c>
      <c r="B2195" s="1">
        <v>45536</v>
      </c>
      <c r="C2195" t="s">
        <v>1770</v>
      </c>
      <c r="D2195" t="s">
        <v>113</v>
      </c>
      <c r="E2195" t="s">
        <v>44</v>
      </c>
      <c r="F2195" t="s">
        <v>22</v>
      </c>
      <c r="G2195" t="s">
        <v>135</v>
      </c>
      <c r="H2195">
        <v>1</v>
      </c>
      <c r="I2195" s="3">
        <v>42.73</v>
      </c>
      <c r="J2195" t="s">
        <v>16</v>
      </c>
      <c r="K2195" t="s">
        <v>30</v>
      </c>
      <c r="L2195" s="4">
        <f>Table4[[#This Row],[quantity]]*Table4[[#This Row],[unit_price]]</f>
        <v>42.73</v>
      </c>
      <c r="M2195">
        <f>COUNTIFS($C$2:$C$3934,Table4[[#This Row],[customer_id]])</f>
        <v>5</v>
      </c>
      <c r="N2195" t="str">
        <f>IF(Table4[[#This Row],[customer_order_count]]=1,"New Customer","Repeat Customer")</f>
        <v>Repeat Customer</v>
      </c>
    </row>
    <row r="2196" spans="1:14">
      <c r="A2196" t="s">
        <v>3049</v>
      </c>
      <c r="B2196" s="1">
        <v>44988</v>
      </c>
      <c r="C2196" t="s">
        <v>731</v>
      </c>
      <c r="D2196" t="s">
        <v>1804</v>
      </c>
      <c r="E2196" t="s">
        <v>21</v>
      </c>
      <c r="F2196" t="s">
        <v>56</v>
      </c>
      <c r="G2196" t="s">
        <v>75</v>
      </c>
      <c r="H2196">
        <v>1</v>
      </c>
      <c r="I2196" s="3">
        <v>42.77</v>
      </c>
      <c r="J2196" t="s">
        <v>16</v>
      </c>
      <c r="K2196" t="s">
        <v>40</v>
      </c>
      <c r="L2196" s="4">
        <f>Table4[[#This Row],[quantity]]*Table4[[#This Row],[unit_price]]</f>
        <v>42.77</v>
      </c>
      <c r="M2196">
        <f>COUNTIFS($C$2:$C$3934,Table4[[#This Row],[customer_id]])</f>
        <v>5</v>
      </c>
      <c r="N2196" t="str">
        <f>IF(Table4[[#This Row],[customer_order_count]]=1,"New Customer","Repeat Customer")</f>
        <v>Repeat Customer</v>
      </c>
    </row>
    <row r="2197" spans="1:14">
      <c r="A2197" t="s">
        <v>1995</v>
      </c>
      <c r="B2197" s="1">
        <v>45152</v>
      </c>
      <c r="C2197" t="s">
        <v>1996</v>
      </c>
      <c r="D2197" t="s">
        <v>714</v>
      </c>
      <c r="E2197" t="s">
        <v>44</v>
      </c>
      <c r="F2197" t="s">
        <v>28</v>
      </c>
      <c r="G2197" t="s">
        <v>139</v>
      </c>
      <c r="H2197">
        <v>1</v>
      </c>
      <c r="I2197" s="3">
        <v>42.77</v>
      </c>
      <c r="J2197" t="s">
        <v>16</v>
      </c>
      <c r="K2197" t="s">
        <v>30</v>
      </c>
      <c r="L2197" s="4">
        <f>Table4[[#This Row],[quantity]]*Table4[[#This Row],[unit_price]]</f>
        <v>42.77</v>
      </c>
      <c r="M2197">
        <f>COUNTIFS($C$2:$C$3934,Table4[[#This Row],[customer_id]])</f>
        <v>3</v>
      </c>
      <c r="N2197" t="str">
        <f>IF(Table4[[#This Row],[customer_order_count]]=1,"New Customer","Repeat Customer")</f>
        <v>Repeat Customer</v>
      </c>
    </row>
    <row r="2198" spans="1:14">
      <c r="A2198" t="s">
        <v>4357</v>
      </c>
      <c r="B2198" s="1">
        <v>45023</v>
      </c>
      <c r="C2198" t="s">
        <v>2008</v>
      </c>
      <c r="D2198" t="s">
        <v>417</v>
      </c>
      <c r="E2198" t="s">
        <v>21</v>
      </c>
      <c r="F2198" t="s">
        <v>28</v>
      </c>
      <c r="G2198" t="s">
        <v>29</v>
      </c>
      <c r="H2198">
        <v>3</v>
      </c>
      <c r="I2198" s="3">
        <v>42.78</v>
      </c>
      <c r="J2198" t="s">
        <v>16</v>
      </c>
      <c r="K2198" t="s">
        <v>17</v>
      </c>
      <c r="L2198" s="4">
        <f>Table4[[#This Row],[quantity]]*Table4[[#This Row],[unit_price]]</f>
        <v>128.34</v>
      </c>
      <c r="M2198">
        <f>COUNTIFS($C$2:$C$3934,Table4[[#This Row],[customer_id]])</f>
        <v>7</v>
      </c>
      <c r="N2198" t="str">
        <f>IF(Table4[[#This Row],[customer_order_count]]=1,"New Customer","Repeat Customer")</f>
        <v>Repeat Customer</v>
      </c>
    </row>
    <row r="2199" spans="1:14">
      <c r="A2199" t="s">
        <v>3390</v>
      </c>
      <c r="B2199" s="1">
        <v>45318</v>
      </c>
      <c r="C2199" t="s">
        <v>1113</v>
      </c>
      <c r="D2199" t="s">
        <v>1114</v>
      </c>
      <c r="E2199" t="s">
        <v>21</v>
      </c>
      <c r="F2199" t="s">
        <v>28</v>
      </c>
      <c r="G2199" t="s">
        <v>29</v>
      </c>
      <c r="H2199">
        <v>2</v>
      </c>
      <c r="I2199" s="3">
        <v>42.8</v>
      </c>
      <c r="J2199" t="s">
        <v>16</v>
      </c>
      <c r="K2199" t="s">
        <v>40</v>
      </c>
      <c r="L2199" s="4">
        <f>Table4[[#This Row],[quantity]]*Table4[[#This Row],[unit_price]]</f>
        <v>85.6</v>
      </c>
      <c r="M2199">
        <f>COUNTIFS($C$2:$C$3934,Table4[[#This Row],[customer_id]])</f>
        <v>7</v>
      </c>
      <c r="N2199" t="str">
        <f>IF(Table4[[#This Row],[customer_order_count]]=1,"New Customer","Repeat Customer")</f>
        <v>Repeat Customer</v>
      </c>
    </row>
    <row r="2200" spans="1:14">
      <c r="A2200" t="s">
        <v>4879</v>
      </c>
      <c r="B2200" s="1">
        <v>45546</v>
      </c>
      <c r="C2200" t="s">
        <v>1587</v>
      </c>
      <c r="D2200" t="s">
        <v>1588</v>
      </c>
      <c r="E2200" t="s">
        <v>21</v>
      </c>
      <c r="F2200" t="s">
        <v>70</v>
      </c>
      <c r="G2200" t="s">
        <v>110</v>
      </c>
      <c r="H2200">
        <v>1</v>
      </c>
      <c r="I2200" s="3">
        <v>42.81</v>
      </c>
      <c r="J2200" t="s">
        <v>16</v>
      </c>
      <c r="K2200" t="s">
        <v>40</v>
      </c>
      <c r="L2200" s="4">
        <f>Table4[[#This Row],[quantity]]*Table4[[#This Row],[unit_price]]</f>
        <v>42.81</v>
      </c>
      <c r="M2200">
        <f>COUNTIFS($C$2:$C$3934,Table4[[#This Row],[customer_id]])</f>
        <v>8</v>
      </c>
      <c r="N2200" t="str">
        <f>IF(Table4[[#This Row],[customer_order_count]]=1,"New Customer","Repeat Customer")</f>
        <v>Repeat Customer</v>
      </c>
    </row>
    <row r="2201" spans="1:14">
      <c r="A2201" t="s">
        <v>4580</v>
      </c>
      <c r="B2201" s="1">
        <v>45325</v>
      </c>
      <c r="C2201" t="s">
        <v>4302</v>
      </c>
      <c r="D2201" t="s">
        <v>1114</v>
      </c>
      <c r="E2201" t="s">
        <v>61</v>
      </c>
      <c r="F2201" t="s">
        <v>70</v>
      </c>
      <c r="G2201" t="s">
        <v>170</v>
      </c>
      <c r="H2201">
        <v>5</v>
      </c>
      <c r="I2201" s="3">
        <v>42.81</v>
      </c>
      <c r="J2201" t="s">
        <v>16</v>
      </c>
      <c r="K2201" t="s">
        <v>40</v>
      </c>
      <c r="L2201" s="4">
        <f>Table4[[#This Row],[quantity]]*Table4[[#This Row],[unit_price]]</f>
        <v>214.05</v>
      </c>
      <c r="M2201">
        <f>COUNTIFS($C$2:$C$3934,Table4[[#This Row],[customer_id]])</f>
        <v>2</v>
      </c>
      <c r="N2201" t="str">
        <f>IF(Table4[[#This Row],[customer_order_count]]=1,"New Customer","Repeat Customer")</f>
        <v>Repeat Customer</v>
      </c>
    </row>
    <row r="2202" spans="1:14">
      <c r="A2202" t="s">
        <v>1538</v>
      </c>
      <c r="B2202" s="1">
        <v>45657</v>
      </c>
      <c r="C2202" t="s">
        <v>739</v>
      </c>
      <c r="D2202" t="s">
        <v>740</v>
      </c>
      <c r="E2202" t="s">
        <v>21</v>
      </c>
      <c r="F2202" t="s">
        <v>56</v>
      </c>
      <c r="G2202" t="s">
        <v>153</v>
      </c>
      <c r="H2202">
        <v>1</v>
      </c>
      <c r="I2202" s="3">
        <v>42.84</v>
      </c>
      <c r="J2202" t="s">
        <v>16</v>
      </c>
      <c r="K2202" t="s">
        <v>40</v>
      </c>
      <c r="L2202" s="4">
        <f>Table4[[#This Row],[quantity]]*Table4[[#This Row],[unit_price]]</f>
        <v>42.84</v>
      </c>
      <c r="M2202">
        <f>COUNTIFS($C$2:$C$3934,Table4[[#This Row],[customer_id]])</f>
        <v>7</v>
      </c>
      <c r="N2202" t="str">
        <f>IF(Table4[[#This Row],[customer_order_count]]=1,"New Customer","Repeat Customer")</f>
        <v>Repeat Customer</v>
      </c>
    </row>
    <row r="2203" spans="1:14">
      <c r="A2203" t="s">
        <v>3605</v>
      </c>
      <c r="B2203" s="1">
        <v>45033</v>
      </c>
      <c r="C2203" t="s">
        <v>1834</v>
      </c>
      <c r="D2203" t="s">
        <v>359</v>
      </c>
      <c r="E2203" t="s">
        <v>21</v>
      </c>
      <c r="F2203" t="s">
        <v>28</v>
      </c>
      <c r="G2203" t="s">
        <v>139</v>
      </c>
      <c r="H2203">
        <v>1</v>
      </c>
      <c r="I2203" s="3">
        <v>42.86</v>
      </c>
      <c r="J2203" t="s">
        <v>16</v>
      </c>
      <c r="K2203" t="s">
        <v>35</v>
      </c>
      <c r="L2203" s="4">
        <f>Table4[[#This Row],[quantity]]*Table4[[#This Row],[unit_price]]</f>
        <v>42.86</v>
      </c>
      <c r="M2203">
        <f>COUNTIFS($C$2:$C$3934,Table4[[#This Row],[customer_id]])</f>
        <v>7</v>
      </c>
      <c r="N2203" t="str">
        <f>IF(Table4[[#This Row],[customer_order_count]]=1,"New Customer","Repeat Customer")</f>
        <v>Repeat Customer</v>
      </c>
    </row>
    <row r="2204" spans="1:14">
      <c r="A2204" t="s">
        <v>224</v>
      </c>
      <c r="B2204" s="1">
        <v>45546</v>
      </c>
      <c r="C2204" t="s">
        <v>225</v>
      </c>
      <c r="D2204" t="s">
        <v>226</v>
      </c>
      <c r="E2204" t="s">
        <v>21</v>
      </c>
      <c r="F2204" t="s">
        <v>28</v>
      </c>
      <c r="G2204" t="s">
        <v>29</v>
      </c>
      <c r="H2204">
        <v>2</v>
      </c>
      <c r="I2204" s="3">
        <v>42.89</v>
      </c>
      <c r="J2204" t="s">
        <v>16</v>
      </c>
      <c r="K2204" t="s">
        <v>40</v>
      </c>
      <c r="L2204" s="4">
        <f>Table4[[#This Row],[quantity]]*Table4[[#This Row],[unit_price]]</f>
        <v>85.78</v>
      </c>
      <c r="M2204">
        <f>COUNTIFS($C$2:$C$3934,Table4[[#This Row],[customer_id]])</f>
        <v>7</v>
      </c>
      <c r="N2204" t="str">
        <f>IF(Table4[[#This Row],[customer_order_count]]=1,"New Customer","Repeat Customer")</f>
        <v>Repeat Customer</v>
      </c>
    </row>
    <row r="2205" spans="1:14">
      <c r="A2205" t="s">
        <v>2860</v>
      </c>
      <c r="B2205" s="1">
        <v>45454</v>
      </c>
      <c r="C2205" t="s">
        <v>1252</v>
      </c>
      <c r="D2205" t="s">
        <v>281</v>
      </c>
      <c r="E2205" t="s">
        <v>21</v>
      </c>
      <c r="F2205" t="s">
        <v>79</v>
      </c>
      <c r="G2205" t="s">
        <v>166</v>
      </c>
      <c r="H2205">
        <v>1</v>
      </c>
      <c r="I2205" s="3">
        <v>42.98</v>
      </c>
      <c r="J2205" t="s">
        <v>255</v>
      </c>
      <c r="K2205" t="s">
        <v>40</v>
      </c>
      <c r="L2205" s="4">
        <f>Table4[[#This Row],[quantity]]*Table4[[#This Row],[unit_price]]</f>
        <v>42.98</v>
      </c>
      <c r="M2205">
        <f>COUNTIFS($C$2:$C$3934,Table4[[#This Row],[customer_id]])</f>
        <v>6</v>
      </c>
      <c r="N2205" t="str">
        <f>IF(Table4[[#This Row],[customer_order_count]]=1,"New Customer","Repeat Customer")</f>
        <v>Repeat Customer</v>
      </c>
    </row>
    <row r="2206" spans="1:14">
      <c r="A2206" t="s">
        <v>3646</v>
      </c>
      <c r="B2206" s="1">
        <v>44992</v>
      </c>
      <c r="C2206" t="s">
        <v>1817</v>
      </c>
      <c r="D2206" t="s">
        <v>1818</v>
      </c>
      <c r="E2206" t="s">
        <v>61</v>
      </c>
      <c r="F2206" t="s">
        <v>28</v>
      </c>
      <c r="G2206" t="s">
        <v>29</v>
      </c>
      <c r="H2206">
        <v>1</v>
      </c>
      <c r="I2206" s="3">
        <v>43.01</v>
      </c>
      <c r="J2206" t="s">
        <v>16</v>
      </c>
      <c r="K2206" t="s">
        <v>17</v>
      </c>
      <c r="L2206" s="4">
        <f>Table4[[#This Row],[quantity]]*Table4[[#This Row],[unit_price]]</f>
        <v>43.01</v>
      </c>
      <c r="M2206">
        <f>COUNTIFS($C$2:$C$3934,Table4[[#This Row],[customer_id]])</f>
        <v>4</v>
      </c>
      <c r="N2206" t="str">
        <f>IF(Table4[[#This Row],[customer_order_count]]=1,"New Customer","Repeat Customer")</f>
        <v>Repeat Customer</v>
      </c>
    </row>
    <row r="2207" spans="1:14">
      <c r="A2207" t="s">
        <v>2064</v>
      </c>
      <c r="B2207" s="1">
        <v>45365</v>
      </c>
      <c r="C2207" t="s">
        <v>2065</v>
      </c>
      <c r="D2207" t="s">
        <v>1412</v>
      </c>
      <c r="E2207" t="s">
        <v>21</v>
      </c>
      <c r="F2207" t="s">
        <v>22</v>
      </c>
      <c r="G2207" t="s">
        <v>142</v>
      </c>
      <c r="H2207">
        <v>4</v>
      </c>
      <c r="I2207" s="3">
        <v>43.03</v>
      </c>
      <c r="J2207" t="s">
        <v>16</v>
      </c>
      <c r="K2207" s="2" t="s">
        <v>5256</v>
      </c>
      <c r="L2207" s="4">
        <f>Table4[[#This Row],[quantity]]*Table4[[#This Row],[unit_price]]</f>
        <v>172.12</v>
      </c>
      <c r="M2207">
        <f>COUNTIFS($C$2:$C$3934,Table4[[#This Row],[customer_id]])</f>
        <v>4</v>
      </c>
      <c r="N2207" t="str">
        <f>IF(Table4[[#This Row],[customer_order_count]]=1,"New Customer","Repeat Customer")</f>
        <v>Repeat Customer</v>
      </c>
    </row>
    <row r="2208" spans="1:14">
      <c r="A2208" t="s">
        <v>1793</v>
      </c>
      <c r="B2208" s="1">
        <v>44986</v>
      </c>
      <c r="C2208" t="s">
        <v>1780</v>
      </c>
      <c r="D2208" t="s">
        <v>169</v>
      </c>
      <c r="E2208" t="s">
        <v>44</v>
      </c>
      <c r="F2208" t="s">
        <v>28</v>
      </c>
      <c r="G2208" t="s">
        <v>29</v>
      </c>
      <c r="H2208">
        <v>1</v>
      </c>
      <c r="I2208" s="3">
        <v>43.04</v>
      </c>
      <c r="J2208" t="s">
        <v>85</v>
      </c>
      <c r="K2208" s="5" t="s">
        <v>40</v>
      </c>
      <c r="L2208" s="4">
        <f>Table4[[#This Row],[quantity]]*Table4[[#This Row],[unit_price]]</f>
        <v>43.04</v>
      </c>
      <c r="M2208">
        <f>COUNTIFS($C$2:$C$3934,Table4[[#This Row],[customer_id]])</f>
        <v>6</v>
      </c>
      <c r="N2208" t="str">
        <f>IF(Table4[[#This Row],[customer_order_count]]=1,"New Customer","Repeat Customer")</f>
        <v>Repeat Customer</v>
      </c>
    </row>
    <row r="2209" spans="1:14">
      <c r="A2209" t="s">
        <v>3474</v>
      </c>
      <c r="B2209" s="1">
        <v>45070</v>
      </c>
      <c r="C2209" t="s">
        <v>2439</v>
      </c>
      <c r="D2209" t="s">
        <v>2152</v>
      </c>
      <c r="E2209" t="s">
        <v>21</v>
      </c>
      <c r="F2209" t="s">
        <v>22</v>
      </c>
      <c r="G2209" t="s">
        <v>264</v>
      </c>
      <c r="H2209">
        <v>1</v>
      </c>
      <c r="I2209" s="3">
        <v>43.04</v>
      </c>
      <c r="J2209" t="s">
        <v>85</v>
      </c>
      <c r="K2209" t="s">
        <v>40</v>
      </c>
      <c r="L2209" s="4">
        <f>Table4[[#This Row],[quantity]]*Table4[[#This Row],[unit_price]]</f>
        <v>43.04</v>
      </c>
      <c r="M2209">
        <f>COUNTIFS($C$2:$C$3934,Table4[[#This Row],[customer_id]])</f>
        <v>3</v>
      </c>
      <c r="N2209" t="str">
        <f>IF(Table4[[#This Row],[customer_order_count]]=1,"New Customer","Repeat Customer")</f>
        <v>Repeat Customer</v>
      </c>
    </row>
    <row r="2210" spans="1:14">
      <c r="A2210" t="s">
        <v>4460</v>
      </c>
      <c r="B2210" s="1">
        <v>44930</v>
      </c>
      <c r="C2210" t="s">
        <v>466</v>
      </c>
      <c r="D2210" t="s">
        <v>467</v>
      </c>
      <c r="E2210" t="s">
        <v>44</v>
      </c>
      <c r="F2210" t="s">
        <v>70</v>
      </c>
      <c r="G2210" t="s">
        <v>337</v>
      </c>
      <c r="H2210">
        <v>2</v>
      </c>
      <c r="I2210" s="3">
        <v>43.04</v>
      </c>
      <c r="J2210" t="s">
        <v>85</v>
      </c>
      <c r="K2210" t="s">
        <v>40</v>
      </c>
      <c r="L2210" s="4">
        <f>Table4[[#This Row],[quantity]]*Table4[[#This Row],[unit_price]]</f>
        <v>86.08</v>
      </c>
      <c r="M2210">
        <f>COUNTIFS($C$2:$C$3934,Table4[[#This Row],[customer_id]])</f>
        <v>5</v>
      </c>
      <c r="N2210" t="str">
        <f>IF(Table4[[#This Row],[customer_order_count]]=1,"New Customer","Repeat Customer")</f>
        <v>Repeat Customer</v>
      </c>
    </row>
    <row r="2211" spans="1:14">
      <c r="A2211" t="s">
        <v>1396</v>
      </c>
      <c r="B2211" s="1">
        <v>45395</v>
      </c>
      <c r="C2211" t="s">
        <v>1397</v>
      </c>
      <c r="D2211" t="s">
        <v>383</v>
      </c>
      <c r="E2211" t="s">
        <v>44</v>
      </c>
      <c r="F2211" t="s">
        <v>28</v>
      </c>
      <c r="G2211" t="s">
        <v>139</v>
      </c>
      <c r="H2211">
        <v>2</v>
      </c>
      <c r="I2211" s="3">
        <v>43.08</v>
      </c>
      <c r="J2211" t="s">
        <v>16</v>
      </c>
      <c r="K2211" t="s">
        <v>40</v>
      </c>
      <c r="L2211" s="4">
        <f>Table4[[#This Row],[quantity]]*Table4[[#This Row],[unit_price]]</f>
        <v>86.16</v>
      </c>
      <c r="M2211">
        <f>COUNTIFS($C$2:$C$3934,Table4[[#This Row],[customer_id]])</f>
        <v>9</v>
      </c>
      <c r="N2211" t="str">
        <f>IF(Table4[[#This Row],[customer_order_count]]=1,"New Customer","Repeat Customer")</f>
        <v>Repeat Customer</v>
      </c>
    </row>
    <row r="2212" spans="1:14">
      <c r="A2212" t="s">
        <v>2767</v>
      </c>
      <c r="B2212" s="1">
        <v>45287</v>
      </c>
      <c r="C2212" t="s">
        <v>2768</v>
      </c>
      <c r="D2212" t="s">
        <v>1907</v>
      </c>
      <c r="E2212" t="s">
        <v>44</v>
      </c>
      <c r="F2212" t="s">
        <v>79</v>
      </c>
      <c r="G2212" t="s">
        <v>96</v>
      </c>
      <c r="H2212">
        <v>1</v>
      </c>
      <c r="I2212" s="3">
        <v>43.11</v>
      </c>
      <c r="J2212" t="s">
        <v>255</v>
      </c>
      <c r="K2212" t="s">
        <v>17</v>
      </c>
      <c r="L2212" s="4">
        <f>Table4[[#This Row],[quantity]]*Table4[[#This Row],[unit_price]]</f>
        <v>43.11</v>
      </c>
      <c r="M2212">
        <f>COUNTIFS($C$2:$C$3934,Table4[[#This Row],[customer_id]])</f>
        <v>2</v>
      </c>
      <c r="N2212" t="str">
        <f>IF(Table4[[#This Row],[customer_order_count]]=1,"New Customer","Repeat Customer")</f>
        <v>Repeat Customer</v>
      </c>
    </row>
    <row r="2213" spans="1:14">
      <c r="A2213" t="s">
        <v>1531</v>
      </c>
      <c r="B2213" s="1">
        <v>45386</v>
      </c>
      <c r="C2213" t="s">
        <v>1532</v>
      </c>
      <c r="D2213" t="s">
        <v>1533</v>
      </c>
      <c r="E2213" t="s">
        <v>44</v>
      </c>
      <c r="F2213" t="s">
        <v>56</v>
      </c>
      <c r="G2213" t="s">
        <v>57</v>
      </c>
      <c r="H2213">
        <v>1</v>
      </c>
      <c r="I2213" s="3">
        <v>43.12</v>
      </c>
      <c r="J2213" t="s">
        <v>16</v>
      </c>
      <c r="K2213" t="s">
        <v>35</v>
      </c>
      <c r="L2213" s="4">
        <f>Table4[[#This Row],[quantity]]*Table4[[#This Row],[unit_price]]</f>
        <v>43.12</v>
      </c>
      <c r="M2213">
        <f>COUNTIFS($C$2:$C$3934,Table4[[#This Row],[customer_id]])</f>
        <v>9</v>
      </c>
      <c r="N2213" t="str">
        <f>IF(Table4[[#This Row],[customer_order_count]]=1,"New Customer","Repeat Customer")</f>
        <v>Repeat Customer</v>
      </c>
    </row>
    <row r="2214" spans="1:14">
      <c r="A2214" t="s">
        <v>3653</v>
      </c>
      <c r="B2214" s="1">
        <v>45224</v>
      </c>
      <c r="C2214" t="s">
        <v>1743</v>
      </c>
      <c r="D2214" t="s">
        <v>20</v>
      </c>
      <c r="E2214" t="s">
        <v>21</v>
      </c>
      <c r="F2214" t="s">
        <v>79</v>
      </c>
      <c r="G2214" t="s">
        <v>80</v>
      </c>
      <c r="H2214">
        <v>2</v>
      </c>
      <c r="I2214" s="3">
        <v>43.13</v>
      </c>
      <c r="J2214" t="s">
        <v>85</v>
      </c>
      <c r="K2214" s="2" t="s">
        <v>5256</v>
      </c>
      <c r="L2214" s="4">
        <f>Table4[[#This Row],[quantity]]*Table4[[#This Row],[unit_price]]</f>
        <v>86.26</v>
      </c>
      <c r="M2214">
        <f>COUNTIFS($C$2:$C$3934,Table4[[#This Row],[customer_id]])</f>
        <v>8</v>
      </c>
      <c r="N2214" t="str">
        <f>IF(Table4[[#This Row],[customer_order_count]]=1,"New Customer","Repeat Customer")</f>
        <v>Repeat Customer</v>
      </c>
    </row>
    <row r="2215" spans="1:14">
      <c r="A2215" t="s">
        <v>4568</v>
      </c>
      <c r="B2215" s="1">
        <v>45424</v>
      </c>
      <c r="C2215" t="s">
        <v>356</v>
      </c>
      <c r="D2215" t="s">
        <v>244</v>
      </c>
      <c r="E2215" t="s">
        <v>21</v>
      </c>
      <c r="F2215" t="s">
        <v>56</v>
      </c>
      <c r="G2215" t="s">
        <v>75</v>
      </c>
      <c r="H2215">
        <v>1</v>
      </c>
      <c r="I2215" s="3">
        <v>43.15</v>
      </c>
      <c r="J2215" t="s">
        <v>16</v>
      </c>
      <c r="K2215" s="5" t="s">
        <v>35</v>
      </c>
      <c r="L2215" s="4">
        <f>Table4[[#This Row],[quantity]]*Table4[[#This Row],[unit_price]]</f>
        <v>43.15</v>
      </c>
      <c r="M2215">
        <f>COUNTIFS($C$2:$C$3934,Table4[[#This Row],[customer_id]])</f>
        <v>3</v>
      </c>
      <c r="N2215" t="str">
        <f>IF(Table4[[#This Row],[customer_order_count]]=1,"New Customer","Repeat Customer")</f>
        <v>Repeat Customer</v>
      </c>
    </row>
    <row r="2216" spans="1:14">
      <c r="A2216" t="s">
        <v>4717</v>
      </c>
      <c r="B2216" s="1">
        <v>45167</v>
      </c>
      <c r="C2216" t="s">
        <v>1888</v>
      </c>
      <c r="D2216" t="s">
        <v>1889</v>
      </c>
      <c r="E2216" t="s">
        <v>21</v>
      </c>
      <c r="F2216" t="s">
        <v>22</v>
      </c>
      <c r="G2216" t="s">
        <v>23</v>
      </c>
      <c r="H2216">
        <v>2</v>
      </c>
      <c r="I2216" s="3">
        <v>43.15</v>
      </c>
      <c r="J2216" t="s">
        <v>85</v>
      </c>
      <c r="K2216" t="s">
        <v>30</v>
      </c>
      <c r="L2216" s="4">
        <f>Table4[[#This Row],[quantity]]*Table4[[#This Row],[unit_price]]</f>
        <v>86.3</v>
      </c>
      <c r="M2216">
        <f>COUNTIFS($C$2:$C$3934,Table4[[#This Row],[customer_id]])</f>
        <v>6</v>
      </c>
      <c r="N2216" t="str">
        <f>IF(Table4[[#This Row],[customer_order_count]]=1,"New Customer","Repeat Customer")</f>
        <v>Repeat Customer</v>
      </c>
    </row>
    <row r="2217" spans="1:14">
      <c r="A2217" t="s">
        <v>2684</v>
      </c>
      <c r="B2217" s="1">
        <v>45245</v>
      </c>
      <c r="C2217" t="s">
        <v>895</v>
      </c>
      <c r="D2217" t="s">
        <v>149</v>
      </c>
      <c r="E2217" t="s">
        <v>21</v>
      </c>
      <c r="F2217" t="s">
        <v>70</v>
      </c>
      <c r="G2217" t="s">
        <v>526</v>
      </c>
      <c r="H2217">
        <v>1</v>
      </c>
      <c r="I2217" s="3">
        <v>43.2</v>
      </c>
      <c r="J2217" t="s">
        <v>85</v>
      </c>
      <c r="K2217" t="s">
        <v>17</v>
      </c>
      <c r="L2217" s="4">
        <f>Table4[[#This Row],[quantity]]*Table4[[#This Row],[unit_price]]</f>
        <v>43.2</v>
      </c>
      <c r="M2217">
        <f>COUNTIFS($C$2:$C$3934,Table4[[#This Row],[customer_id]])</f>
        <v>7</v>
      </c>
      <c r="N2217" t="str">
        <f>IF(Table4[[#This Row],[customer_order_count]]=1,"New Customer","Repeat Customer")</f>
        <v>Repeat Customer</v>
      </c>
    </row>
    <row r="2218" spans="1:14">
      <c r="A2218" t="s">
        <v>1055</v>
      </c>
      <c r="B2218" s="1">
        <v>45404</v>
      </c>
      <c r="C2218" t="s">
        <v>1056</v>
      </c>
      <c r="D2218" t="s">
        <v>1057</v>
      </c>
      <c r="E2218" t="s">
        <v>44</v>
      </c>
      <c r="F2218" t="s">
        <v>28</v>
      </c>
      <c r="G2218" t="s">
        <v>84</v>
      </c>
      <c r="H2218">
        <v>1</v>
      </c>
      <c r="I2218" s="3">
        <v>43.21</v>
      </c>
      <c r="J2218" t="s">
        <v>16</v>
      </c>
      <c r="K2218" t="s">
        <v>35</v>
      </c>
      <c r="L2218" s="4">
        <f>Table4[[#This Row],[quantity]]*Table4[[#This Row],[unit_price]]</f>
        <v>43.21</v>
      </c>
      <c r="M2218">
        <f>COUNTIFS($C$2:$C$3934,Table4[[#This Row],[customer_id]])</f>
        <v>4</v>
      </c>
      <c r="N2218" t="str">
        <f>IF(Table4[[#This Row],[customer_order_count]]=1,"New Customer","Repeat Customer")</f>
        <v>Repeat Customer</v>
      </c>
    </row>
    <row r="2219" spans="1:14">
      <c r="A2219" t="s">
        <v>3023</v>
      </c>
      <c r="B2219" s="1">
        <v>45305</v>
      </c>
      <c r="C2219" t="s">
        <v>921</v>
      </c>
      <c r="D2219" t="s">
        <v>181</v>
      </c>
      <c r="E2219" t="s">
        <v>21</v>
      </c>
      <c r="F2219" t="s">
        <v>14</v>
      </c>
      <c r="G2219" t="s">
        <v>100</v>
      </c>
      <c r="H2219">
        <v>1</v>
      </c>
      <c r="I2219" s="3">
        <v>43.22</v>
      </c>
      <c r="J2219" t="s">
        <v>85</v>
      </c>
      <c r="K2219" t="s">
        <v>30</v>
      </c>
      <c r="L2219" s="4">
        <f>Table4[[#This Row],[quantity]]*Table4[[#This Row],[unit_price]]</f>
        <v>43.22</v>
      </c>
      <c r="M2219">
        <f>COUNTIFS($C$2:$C$3934,Table4[[#This Row],[customer_id]])</f>
        <v>6</v>
      </c>
      <c r="N2219" t="str">
        <f>IF(Table4[[#This Row],[customer_order_count]]=1,"New Customer","Repeat Customer")</f>
        <v>Repeat Customer</v>
      </c>
    </row>
    <row r="2220" spans="1:14">
      <c r="A2220" t="s">
        <v>4144</v>
      </c>
      <c r="B2220" s="1">
        <v>45242</v>
      </c>
      <c r="C2220" t="s">
        <v>2236</v>
      </c>
      <c r="D2220" t="s">
        <v>2237</v>
      </c>
      <c r="E2220" t="s">
        <v>106</v>
      </c>
      <c r="F2220" t="s">
        <v>56</v>
      </c>
      <c r="G2220" t="s">
        <v>210</v>
      </c>
      <c r="H2220">
        <v>1</v>
      </c>
      <c r="I2220" s="3">
        <v>43.24</v>
      </c>
      <c r="J2220" t="s">
        <v>16</v>
      </c>
      <c r="K2220" t="s">
        <v>30</v>
      </c>
      <c r="L2220" s="4">
        <f>Table4[[#This Row],[quantity]]*Table4[[#This Row],[unit_price]]</f>
        <v>43.24</v>
      </c>
      <c r="M2220">
        <f>COUNTIFS($C$2:$C$3934,Table4[[#This Row],[customer_id]])</f>
        <v>2</v>
      </c>
      <c r="N2220" t="str">
        <f>IF(Table4[[#This Row],[customer_order_count]]=1,"New Customer","Repeat Customer")</f>
        <v>Repeat Customer</v>
      </c>
    </row>
    <row r="2221" spans="1:14">
      <c r="A2221" t="s">
        <v>701</v>
      </c>
      <c r="B2221" s="1">
        <v>45458</v>
      </c>
      <c r="C2221" t="s">
        <v>702</v>
      </c>
      <c r="D2221" t="s">
        <v>20</v>
      </c>
      <c r="E2221" t="s">
        <v>21</v>
      </c>
      <c r="F2221" t="s">
        <v>14</v>
      </c>
      <c r="G2221" t="s">
        <v>62</v>
      </c>
      <c r="H2221">
        <v>1</v>
      </c>
      <c r="I2221" s="3">
        <v>43.25</v>
      </c>
      <c r="J2221" t="s">
        <v>16</v>
      </c>
      <c r="K2221" t="s">
        <v>17</v>
      </c>
      <c r="L2221" s="4">
        <f>Table4[[#This Row],[quantity]]*Table4[[#This Row],[unit_price]]</f>
        <v>43.25</v>
      </c>
      <c r="M2221">
        <f>COUNTIFS($C$2:$C$3934,Table4[[#This Row],[customer_id]])</f>
        <v>5</v>
      </c>
      <c r="N2221" t="str">
        <f>IF(Table4[[#This Row],[customer_order_count]]=1,"New Customer","Repeat Customer")</f>
        <v>Repeat Customer</v>
      </c>
    </row>
    <row r="2222" spans="1:14">
      <c r="A2222" t="s">
        <v>826</v>
      </c>
      <c r="B2222" s="1">
        <v>45504</v>
      </c>
      <c r="C2222" t="s">
        <v>827</v>
      </c>
      <c r="D2222" t="s">
        <v>828</v>
      </c>
      <c r="E2222" t="s">
        <v>21</v>
      </c>
      <c r="F2222" t="s">
        <v>22</v>
      </c>
      <c r="G2222" t="s">
        <v>135</v>
      </c>
      <c r="H2222">
        <v>2</v>
      </c>
      <c r="I2222" s="3">
        <v>43.26</v>
      </c>
      <c r="J2222" t="s">
        <v>16</v>
      </c>
      <c r="K2222" t="s">
        <v>40</v>
      </c>
      <c r="L2222" s="4">
        <f>Table4[[#This Row],[quantity]]*Table4[[#This Row],[unit_price]]</f>
        <v>86.52</v>
      </c>
      <c r="M2222">
        <f>COUNTIFS($C$2:$C$3934,Table4[[#This Row],[customer_id]])</f>
        <v>6</v>
      </c>
      <c r="N2222" t="str">
        <f>IF(Table4[[#This Row],[customer_order_count]]=1,"New Customer","Repeat Customer")</f>
        <v>Repeat Customer</v>
      </c>
    </row>
    <row r="2223" spans="1:14">
      <c r="A2223" t="s">
        <v>1167</v>
      </c>
      <c r="B2223" s="1">
        <v>45116</v>
      </c>
      <c r="C2223" t="s">
        <v>1168</v>
      </c>
      <c r="D2223" t="s">
        <v>452</v>
      </c>
      <c r="E2223" t="s">
        <v>21</v>
      </c>
      <c r="F2223" t="s">
        <v>70</v>
      </c>
      <c r="G2223" t="s">
        <v>526</v>
      </c>
      <c r="H2223">
        <v>1</v>
      </c>
      <c r="I2223" s="3">
        <v>43.3</v>
      </c>
      <c r="J2223" t="s">
        <v>16</v>
      </c>
      <c r="K2223" t="s">
        <v>17</v>
      </c>
      <c r="L2223" s="4">
        <f>Table4[[#This Row],[quantity]]*Table4[[#This Row],[unit_price]]</f>
        <v>43.3</v>
      </c>
      <c r="M2223">
        <f>COUNTIFS($C$2:$C$3934,Table4[[#This Row],[customer_id]])</f>
        <v>5</v>
      </c>
      <c r="N2223" t="str">
        <f>IF(Table4[[#This Row],[customer_order_count]]=1,"New Customer","Repeat Customer")</f>
        <v>Repeat Customer</v>
      </c>
    </row>
    <row r="2224" spans="1:14">
      <c r="A2224" t="s">
        <v>2163</v>
      </c>
      <c r="B2224" s="1">
        <v>45419</v>
      </c>
      <c r="C2224" t="s">
        <v>1243</v>
      </c>
      <c r="D2224" t="s">
        <v>1244</v>
      </c>
      <c r="E2224" t="s">
        <v>21</v>
      </c>
      <c r="F2224" t="s">
        <v>14</v>
      </c>
      <c r="G2224" t="s">
        <v>39</v>
      </c>
      <c r="H2224">
        <v>2</v>
      </c>
      <c r="I2224" s="3">
        <v>43.31</v>
      </c>
      <c r="J2224" t="s">
        <v>16</v>
      </c>
      <c r="K2224" t="s">
        <v>35</v>
      </c>
      <c r="L2224" s="4">
        <f>Table4[[#This Row],[quantity]]*Table4[[#This Row],[unit_price]]</f>
        <v>86.62</v>
      </c>
      <c r="M2224">
        <f>COUNTIFS($C$2:$C$3934,Table4[[#This Row],[customer_id]])</f>
        <v>6</v>
      </c>
      <c r="N2224" t="str">
        <f>IF(Table4[[#This Row],[customer_order_count]]=1,"New Customer","Repeat Customer")</f>
        <v>Repeat Customer</v>
      </c>
    </row>
    <row r="2225" spans="1:14">
      <c r="A2225" t="s">
        <v>2441</v>
      </c>
      <c r="B2225" s="1">
        <v>44967</v>
      </c>
      <c r="C2225" t="s">
        <v>2442</v>
      </c>
      <c r="D2225" t="s">
        <v>13</v>
      </c>
      <c r="E2225" t="s">
        <v>21</v>
      </c>
      <c r="F2225" t="s">
        <v>70</v>
      </c>
      <c r="G2225" t="s">
        <v>110</v>
      </c>
      <c r="H2225">
        <v>2</v>
      </c>
      <c r="I2225" s="3">
        <v>43.35</v>
      </c>
      <c r="J2225" t="s">
        <v>16</v>
      </c>
      <c r="K2225" t="s">
        <v>30</v>
      </c>
      <c r="L2225" s="4">
        <f>Table4[[#This Row],[quantity]]*Table4[[#This Row],[unit_price]]</f>
        <v>86.7</v>
      </c>
      <c r="M2225">
        <f>COUNTIFS($C$2:$C$3934,Table4[[#This Row],[customer_id]])</f>
        <v>2</v>
      </c>
      <c r="N2225" t="str">
        <f>IF(Table4[[#This Row],[customer_order_count]]=1,"New Customer","Repeat Customer")</f>
        <v>Repeat Customer</v>
      </c>
    </row>
    <row r="2226" spans="1:14">
      <c r="A2226" t="s">
        <v>3922</v>
      </c>
      <c r="B2226" s="1">
        <v>45078</v>
      </c>
      <c r="C2226" t="s">
        <v>1161</v>
      </c>
      <c r="D2226" t="s">
        <v>725</v>
      </c>
      <c r="E2226" t="s">
        <v>44</v>
      </c>
      <c r="F2226" t="s">
        <v>14</v>
      </c>
      <c r="G2226" t="s">
        <v>100</v>
      </c>
      <c r="H2226">
        <v>1</v>
      </c>
      <c r="I2226" s="3">
        <v>43.36</v>
      </c>
      <c r="J2226" t="s">
        <v>16</v>
      </c>
      <c r="K2226" t="s">
        <v>17</v>
      </c>
      <c r="L2226" s="4">
        <f>Table4[[#This Row],[quantity]]*Table4[[#This Row],[unit_price]]</f>
        <v>43.36</v>
      </c>
      <c r="M2226">
        <f>COUNTIFS($C$2:$C$3934,Table4[[#This Row],[customer_id]])</f>
        <v>3</v>
      </c>
      <c r="N2226" t="str">
        <f>IF(Table4[[#This Row],[customer_order_count]]=1,"New Customer","Repeat Customer")</f>
        <v>Repeat Customer</v>
      </c>
    </row>
    <row r="2227" spans="1:14">
      <c r="A2227" t="s">
        <v>430</v>
      </c>
      <c r="B2227" s="1">
        <v>45289</v>
      </c>
      <c r="C2227" t="s">
        <v>431</v>
      </c>
      <c r="D2227" t="s">
        <v>432</v>
      </c>
      <c r="E2227" t="s">
        <v>21</v>
      </c>
      <c r="F2227" t="s">
        <v>28</v>
      </c>
      <c r="G2227" t="s">
        <v>29</v>
      </c>
      <c r="H2227">
        <v>1</v>
      </c>
      <c r="I2227" s="3">
        <v>43.39</v>
      </c>
      <c r="J2227" t="s">
        <v>24</v>
      </c>
      <c r="K2227" t="s">
        <v>40</v>
      </c>
      <c r="L2227" s="4">
        <f>Table4[[#This Row],[quantity]]*Table4[[#This Row],[unit_price]]</f>
        <v>43.39</v>
      </c>
      <c r="M2227">
        <f>COUNTIFS($C$2:$C$3934,Table4[[#This Row],[customer_id]])</f>
        <v>7</v>
      </c>
      <c r="N2227" t="str">
        <f>IF(Table4[[#This Row],[customer_order_count]]=1,"New Customer","Repeat Customer")</f>
        <v>Repeat Customer</v>
      </c>
    </row>
    <row r="2228" spans="1:14">
      <c r="A2228" t="s">
        <v>2744</v>
      </c>
      <c r="B2228" s="1">
        <v>45395</v>
      </c>
      <c r="C2228" t="s">
        <v>1271</v>
      </c>
      <c r="D2228" t="s">
        <v>1272</v>
      </c>
      <c r="E2228" t="s">
        <v>21</v>
      </c>
      <c r="F2228" t="s">
        <v>28</v>
      </c>
      <c r="G2228" t="s">
        <v>29</v>
      </c>
      <c r="H2228">
        <v>1</v>
      </c>
      <c r="I2228" s="3">
        <v>43.42</v>
      </c>
      <c r="J2228" t="s">
        <v>24</v>
      </c>
      <c r="K2228" t="s">
        <v>40</v>
      </c>
      <c r="L2228" s="4">
        <f>Table4[[#This Row],[quantity]]*Table4[[#This Row],[unit_price]]</f>
        <v>43.42</v>
      </c>
      <c r="M2228">
        <f>COUNTIFS($C$2:$C$3934,Table4[[#This Row],[customer_id]])</f>
        <v>6</v>
      </c>
      <c r="N2228" t="str">
        <f>IF(Table4[[#This Row],[customer_order_count]]=1,"New Customer","Repeat Customer")</f>
        <v>Repeat Customer</v>
      </c>
    </row>
    <row r="2229" spans="1:14">
      <c r="A2229" t="s">
        <v>2728</v>
      </c>
      <c r="B2229" s="1">
        <v>45586</v>
      </c>
      <c r="C2229" t="s">
        <v>1743</v>
      </c>
      <c r="D2229" t="s">
        <v>20</v>
      </c>
      <c r="E2229" t="s">
        <v>21</v>
      </c>
      <c r="F2229" t="s">
        <v>14</v>
      </c>
      <c r="G2229" t="s">
        <v>100</v>
      </c>
      <c r="H2229">
        <v>2</v>
      </c>
      <c r="I2229" s="3">
        <v>43.44</v>
      </c>
      <c r="J2229" t="s">
        <v>16</v>
      </c>
      <c r="K2229" t="s">
        <v>17</v>
      </c>
      <c r="L2229" s="4">
        <f>Table4[[#This Row],[quantity]]*Table4[[#This Row],[unit_price]]</f>
        <v>86.88</v>
      </c>
      <c r="M2229">
        <f>COUNTIFS($C$2:$C$3934,Table4[[#This Row],[customer_id]])</f>
        <v>8</v>
      </c>
      <c r="N2229" t="str">
        <f>IF(Table4[[#This Row],[customer_order_count]]=1,"New Customer","Repeat Customer")</f>
        <v>Repeat Customer</v>
      </c>
    </row>
    <row r="2230" spans="1:14">
      <c r="A2230" t="s">
        <v>3472</v>
      </c>
      <c r="B2230" s="1">
        <v>45406</v>
      </c>
      <c r="C2230" t="s">
        <v>2239</v>
      </c>
      <c r="D2230" t="s">
        <v>95</v>
      </c>
      <c r="E2230" t="s">
        <v>21</v>
      </c>
      <c r="F2230" t="s">
        <v>70</v>
      </c>
      <c r="G2230" t="s">
        <v>337</v>
      </c>
      <c r="H2230">
        <v>1</v>
      </c>
      <c r="I2230" s="3">
        <v>43.467125000000003</v>
      </c>
      <c r="J2230" t="s">
        <v>85</v>
      </c>
      <c r="K2230" t="s">
        <v>40</v>
      </c>
      <c r="L2230" s="4">
        <f>Table4[[#This Row],[quantity]]*Table4[[#This Row],[unit_price]]</f>
        <v>43.467125000000003</v>
      </c>
      <c r="M2230">
        <f>COUNTIFS($C$2:$C$3934,Table4[[#This Row],[customer_id]])</f>
        <v>10</v>
      </c>
      <c r="N2230" t="str">
        <f>IF(Table4[[#This Row],[customer_order_count]]=1,"New Customer","Repeat Customer")</f>
        <v>Repeat Customer</v>
      </c>
    </row>
    <row r="2231" spans="1:14">
      <c r="A2231" t="s">
        <v>1287</v>
      </c>
      <c r="B2231" s="1">
        <v>45559</v>
      </c>
      <c r="C2231" t="s">
        <v>1288</v>
      </c>
      <c r="D2231" t="s">
        <v>1050</v>
      </c>
      <c r="E2231" t="s">
        <v>44</v>
      </c>
      <c r="F2231" t="s">
        <v>70</v>
      </c>
      <c r="G2231" t="s">
        <v>337</v>
      </c>
      <c r="H2231">
        <v>2</v>
      </c>
      <c r="I2231" s="3">
        <v>43.467125000000003</v>
      </c>
      <c r="J2231" t="s">
        <v>24</v>
      </c>
      <c r="K2231" t="s">
        <v>40</v>
      </c>
      <c r="L2231" s="4">
        <f>Table4[[#This Row],[quantity]]*Table4[[#This Row],[unit_price]]</f>
        <v>86.934250000000006</v>
      </c>
      <c r="M2231">
        <f>COUNTIFS($C$2:$C$3934,Table4[[#This Row],[customer_id]])</f>
        <v>2</v>
      </c>
      <c r="N2231" t="str">
        <f>IF(Table4[[#This Row],[customer_order_count]]=1,"New Customer","Repeat Customer")</f>
        <v>Repeat Customer</v>
      </c>
    </row>
    <row r="2232" spans="1:14">
      <c r="A2232" t="s">
        <v>5217</v>
      </c>
      <c r="B2232" s="1">
        <v>45292</v>
      </c>
      <c r="C2232" t="s">
        <v>1421</v>
      </c>
      <c r="D2232" t="s">
        <v>340</v>
      </c>
      <c r="E2232" t="s">
        <v>21</v>
      </c>
      <c r="F2232" t="s">
        <v>79</v>
      </c>
      <c r="G2232" t="s">
        <v>541</v>
      </c>
      <c r="H2232">
        <v>4</v>
      </c>
      <c r="I2232" s="3">
        <v>43.48</v>
      </c>
      <c r="J2232" t="s">
        <v>16</v>
      </c>
      <c r="K2232" t="s">
        <v>30</v>
      </c>
      <c r="L2232" s="4">
        <f>Table4[[#This Row],[quantity]]*Table4[[#This Row],[unit_price]]</f>
        <v>173.92</v>
      </c>
      <c r="M2232">
        <f>COUNTIFS($C$2:$C$3934,Table4[[#This Row],[customer_id]])</f>
        <v>3</v>
      </c>
      <c r="N2232" t="str">
        <f>IF(Table4[[#This Row],[customer_order_count]]=1,"New Customer","Repeat Customer")</f>
        <v>Repeat Customer</v>
      </c>
    </row>
    <row r="2233" spans="1:14">
      <c r="A2233" t="s">
        <v>3786</v>
      </c>
      <c r="B2233" s="1">
        <v>45121</v>
      </c>
      <c r="C2233" t="s">
        <v>780</v>
      </c>
      <c r="D2233" t="s">
        <v>237</v>
      </c>
      <c r="E2233" t="s">
        <v>44</v>
      </c>
      <c r="F2233" t="s">
        <v>22</v>
      </c>
      <c r="G2233" t="s">
        <v>142</v>
      </c>
      <c r="H2233">
        <v>2</v>
      </c>
      <c r="I2233" s="3">
        <v>43.51</v>
      </c>
      <c r="J2233" t="s">
        <v>16</v>
      </c>
      <c r="K2233" t="s">
        <v>35</v>
      </c>
      <c r="L2233" s="4">
        <f>Table4[[#This Row],[quantity]]*Table4[[#This Row],[unit_price]]</f>
        <v>87.02</v>
      </c>
      <c r="M2233">
        <f>COUNTIFS($C$2:$C$3934,Table4[[#This Row],[customer_id]])</f>
        <v>6</v>
      </c>
      <c r="N2233" t="str">
        <f>IF(Table4[[#This Row],[customer_order_count]]=1,"New Customer","Repeat Customer")</f>
        <v>Repeat Customer</v>
      </c>
    </row>
    <row r="2234" spans="1:14">
      <c r="A2234" t="s">
        <v>4890</v>
      </c>
      <c r="B2234" s="1">
        <v>45633</v>
      </c>
      <c r="C2234" t="s">
        <v>3394</v>
      </c>
      <c r="D2234" t="s">
        <v>196</v>
      </c>
      <c r="E2234" t="s">
        <v>61</v>
      </c>
      <c r="F2234" t="s">
        <v>70</v>
      </c>
      <c r="G2234" t="s">
        <v>526</v>
      </c>
      <c r="H2234">
        <v>1</v>
      </c>
      <c r="I2234" s="3">
        <v>43.61</v>
      </c>
      <c r="J2234" t="s">
        <v>16</v>
      </c>
      <c r="K2234" t="s">
        <v>17</v>
      </c>
      <c r="L2234" s="4">
        <f>Table4[[#This Row],[quantity]]*Table4[[#This Row],[unit_price]]</f>
        <v>43.61</v>
      </c>
      <c r="M2234">
        <f>COUNTIFS($C$2:$C$3934,Table4[[#This Row],[customer_id]])</f>
        <v>2</v>
      </c>
      <c r="N2234" t="str">
        <f>IF(Table4[[#This Row],[customer_order_count]]=1,"New Customer","Repeat Customer")</f>
        <v>Repeat Customer</v>
      </c>
    </row>
    <row r="2235" spans="1:14">
      <c r="A2235" t="s">
        <v>954</v>
      </c>
      <c r="B2235" s="1">
        <v>45548</v>
      </c>
      <c r="C2235" t="s">
        <v>955</v>
      </c>
      <c r="D2235" t="s">
        <v>956</v>
      </c>
      <c r="E2235" t="s">
        <v>21</v>
      </c>
      <c r="F2235" t="s">
        <v>70</v>
      </c>
      <c r="G2235" t="s">
        <v>337</v>
      </c>
      <c r="H2235">
        <v>1</v>
      </c>
      <c r="I2235" s="3">
        <v>43.65</v>
      </c>
      <c r="J2235" t="s">
        <v>16</v>
      </c>
      <c r="K2235" t="s">
        <v>35</v>
      </c>
      <c r="L2235" s="4">
        <f>Table4[[#This Row],[quantity]]*Table4[[#This Row],[unit_price]]</f>
        <v>43.65</v>
      </c>
      <c r="M2235">
        <f>COUNTIFS($C$2:$C$3934,Table4[[#This Row],[customer_id]])</f>
        <v>5</v>
      </c>
      <c r="N2235" t="str">
        <f>IF(Table4[[#This Row],[customer_order_count]]=1,"New Customer","Repeat Customer")</f>
        <v>Repeat Customer</v>
      </c>
    </row>
    <row r="2236" spans="1:14">
      <c r="A2236" t="s">
        <v>3558</v>
      </c>
      <c r="B2236" s="1">
        <v>45097</v>
      </c>
      <c r="C2236" t="s">
        <v>1532</v>
      </c>
      <c r="D2236" t="s">
        <v>1533</v>
      </c>
      <c r="E2236" t="s">
        <v>44</v>
      </c>
      <c r="F2236" t="s">
        <v>70</v>
      </c>
      <c r="G2236" t="s">
        <v>146</v>
      </c>
      <c r="H2236">
        <v>1</v>
      </c>
      <c r="I2236" s="3">
        <v>43.65</v>
      </c>
      <c r="J2236" t="s">
        <v>16</v>
      </c>
      <c r="K2236" t="s">
        <v>40</v>
      </c>
      <c r="L2236" s="4">
        <f>Table4[[#This Row],[quantity]]*Table4[[#This Row],[unit_price]]</f>
        <v>43.65</v>
      </c>
      <c r="M2236">
        <f>COUNTIFS($C$2:$C$3934,Table4[[#This Row],[customer_id]])</f>
        <v>9</v>
      </c>
      <c r="N2236" t="str">
        <f>IF(Table4[[#This Row],[customer_order_count]]=1,"New Customer","Repeat Customer")</f>
        <v>Repeat Customer</v>
      </c>
    </row>
    <row r="2237" spans="1:14">
      <c r="A2237" t="s">
        <v>3468</v>
      </c>
      <c r="B2237" s="1">
        <v>44939</v>
      </c>
      <c r="C2237" t="s">
        <v>1705</v>
      </c>
      <c r="D2237" t="s">
        <v>1706</v>
      </c>
      <c r="E2237" t="s">
        <v>44</v>
      </c>
      <c r="F2237" t="s">
        <v>70</v>
      </c>
      <c r="G2237" t="s">
        <v>89</v>
      </c>
      <c r="H2237">
        <v>1</v>
      </c>
      <c r="I2237" s="3">
        <v>43.65</v>
      </c>
      <c r="J2237" t="s">
        <v>16</v>
      </c>
      <c r="K2237" t="s">
        <v>17</v>
      </c>
      <c r="L2237" s="4">
        <f>Table4[[#This Row],[quantity]]*Table4[[#This Row],[unit_price]]</f>
        <v>43.65</v>
      </c>
      <c r="M2237">
        <f>COUNTIFS($C$2:$C$3934,Table4[[#This Row],[customer_id]])</f>
        <v>7</v>
      </c>
      <c r="N2237" t="str">
        <f>IF(Table4[[#This Row],[customer_order_count]]=1,"New Customer","Repeat Customer")</f>
        <v>Repeat Customer</v>
      </c>
    </row>
    <row r="2238" spans="1:14">
      <c r="A2238" t="s">
        <v>2939</v>
      </c>
      <c r="B2238" s="1">
        <v>45382</v>
      </c>
      <c r="C2238" t="s">
        <v>54</v>
      </c>
      <c r="D2238" t="s">
        <v>55</v>
      </c>
      <c r="E2238" t="s">
        <v>21</v>
      </c>
      <c r="F2238" t="s">
        <v>22</v>
      </c>
      <c r="G2238" t="s">
        <v>23</v>
      </c>
      <c r="H2238">
        <v>2</v>
      </c>
      <c r="I2238" s="3">
        <v>43.67</v>
      </c>
      <c r="J2238" t="s">
        <v>16</v>
      </c>
      <c r="K2238" t="s">
        <v>17</v>
      </c>
      <c r="L2238" s="4">
        <f>Table4[[#This Row],[quantity]]*Table4[[#This Row],[unit_price]]</f>
        <v>87.34</v>
      </c>
      <c r="M2238">
        <f>COUNTIFS($C$2:$C$3934,Table4[[#This Row],[customer_id]])</f>
        <v>6</v>
      </c>
      <c r="N2238" t="str">
        <f>IF(Table4[[#This Row],[customer_order_count]]=1,"New Customer","Repeat Customer")</f>
        <v>Repeat Customer</v>
      </c>
    </row>
    <row r="2239" spans="1:14">
      <c r="A2239" t="s">
        <v>4201</v>
      </c>
      <c r="B2239" s="1">
        <v>45376</v>
      </c>
      <c r="C2239" t="s">
        <v>2903</v>
      </c>
      <c r="D2239" t="s">
        <v>1736</v>
      </c>
      <c r="E2239" t="s">
        <v>44</v>
      </c>
      <c r="F2239" t="s">
        <v>70</v>
      </c>
      <c r="G2239" t="s">
        <v>170</v>
      </c>
      <c r="H2239">
        <v>1</v>
      </c>
      <c r="I2239" s="3">
        <v>43.68</v>
      </c>
      <c r="J2239" t="s">
        <v>16</v>
      </c>
      <c r="K2239" t="s">
        <v>35</v>
      </c>
      <c r="L2239" s="4">
        <f>Table4[[#This Row],[quantity]]*Table4[[#This Row],[unit_price]]</f>
        <v>43.68</v>
      </c>
      <c r="M2239">
        <f>COUNTIFS($C$2:$C$3934,Table4[[#This Row],[customer_id]])</f>
        <v>3</v>
      </c>
      <c r="N2239" t="str">
        <f>IF(Table4[[#This Row],[customer_order_count]]=1,"New Customer","Repeat Customer")</f>
        <v>Repeat Customer</v>
      </c>
    </row>
    <row r="2240" spans="1:14">
      <c r="A2240" t="s">
        <v>1544</v>
      </c>
      <c r="B2240" s="1">
        <v>45167</v>
      </c>
      <c r="C2240" t="s">
        <v>1545</v>
      </c>
      <c r="D2240" t="s">
        <v>778</v>
      </c>
      <c r="E2240" t="s">
        <v>44</v>
      </c>
      <c r="F2240" t="s">
        <v>28</v>
      </c>
      <c r="G2240" t="s">
        <v>29</v>
      </c>
      <c r="H2240">
        <v>1</v>
      </c>
      <c r="I2240" s="3">
        <v>43.68</v>
      </c>
      <c r="J2240" t="s">
        <v>16</v>
      </c>
      <c r="K2240" t="s">
        <v>35</v>
      </c>
      <c r="L2240" s="4">
        <f>Table4[[#This Row],[quantity]]*Table4[[#This Row],[unit_price]]</f>
        <v>43.68</v>
      </c>
      <c r="M2240">
        <f>COUNTIFS($C$2:$C$3934,Table4[[#This Row],[customer_id]])</f>
        <v>5</v>
      </c>
      <c r="N2240" t="str">
        <f>IF(Table4[[#This Row],[customer_order_count]]=1,"New Customer","Repeat Customer")</f>
        <v>Repeat Customer</v>
      </c>
    </row>
    <row r="2241" spans="1:14">
      <c r="A2241" t="s">
        <v>1782</v>
      </c>
      <c r="B2241" s="1">
        <v>45286</v>
      </c>
      <c r="C2241" t="s">
        <v>1783</v>
      </c>
      <c r="D2241" t="s">
        <v>333</v>
      </c>
      <c r="E2241" t="s">
        <v>61</v>
      </c>
      <c r="F2241" t="s">
        <v>28</v>
      </c>
      <c r="G2241" t="s">
        <v>45</v>
      </c>
      <c r="H2241">
        <v>2</v>
      </c>
      <c r="I2241" s="3">
        <v>43.69</v>
      </c>
      <c r="J2241" t="s">
        <v>16</v>
      </c>
      <c r="K2241" t="s">
        <v>30</v>
      </c>
      <c r="L2241" s="4">
        <f>Table4[[#This Row],[quantity]]*Table4[[#This Row],[unit_price]]</f>
        <v>87.38</v>
      </c>
      <c r="M2241">
        <f>COUNTIFS($C$2:$C$3934,Table4[[#This Row],[customer_id]])</f>
        <v>3</v>
      </c>
      <c r="N2241" t="str">
        <f>IF(Table4[[#This Row],[customer_order_count]]=1,"New Customer","Repeat Customer")</f>
        <v>Repeat Customer</v>
      </c>
    </row>
    <row r="2242" spans="1:14">
      <c r="A2242" t="s">
        <v>1346</v>
      </c>
      <c r="B2242" s="1">
        <v>45076</v>
      </c>
      <c r="C2242" t="s">
        <v>1347</v>
      </c>
      <c r="D2242" t="s">
        <v>1348</v>
      </c>
      <c r="E2242" t="s">
        <v>21</v>
      </c>
      <c r="F2242" t="s">
        <v>28</v>
      </c>
      <c r="G2242" t="s">
        <v>139</v>
      </c>
      <c r="H2242">
        <v>1</v>
      </c>
      <c r="I2242" s="3">
        <v>43.7</v>
      </c>
      <c r="J2242" t="s">
        <v>16</v>
      </c>
      <c r="K2242" t="s">
        <v>40</v>
      </c>
      <c r="L2242" s="4">
        <f>Table4[[#This Row],[quantity]]*Table4[[#This Row],[unit_price]]</f>
        <v>43.7</v>
      </c>
      <c r="M2242">
        <f>COUNTIFS($C$2:$C$3934,Table4[[#This Row],[customer_id]])</f>
        <v>2</v>
      </c>
      <c r="N2242" t="str">
        <f>IF(Table4[[#This Row],[customer_order_count]]=1,"New Customer","Repeat Customer")</f>
        <v>Repeat Customer</v>
      </c>
    </row>
    <row r="2243" spans="1:14">
      <c r="A2243" t="s">
        <v>3395</v>
      </c>
      <c r="B2243" s="1">
        <v>45657</v>
      </c>
      <c r="C2243" t="s">
        <v>1532</v>
      </c>
      <c r="D2243" t="s">
        <v>1533</v>
      </c>
      <c r="E2243" t="s">
        <v>44</v>
      </c>
      <c r="F2243" t="s">
        <v>28</v>
      </c>
      <c r="G2243" t="s">
        <v>45</v>
      </c>
      <c r="H2243">
        <v>1</v>
      </c>
      <c r="I2243" s="3">
        <v>43.7</v>
      </c>
      <c r="J2243" t="s">
        <v>16</v>
      </c>
      <c r="K2243" t="s">
        <v>40</v>
      </c>
      <c r="L2243" s="4">
        <f>Table4[[#This Row],[quantity]]*Table4[[#This Row],[unit_price]]</f>
        <v>43.7</v>
      </c>
      <c r="M2243">
        <f>COUNTIFS($C$2:$C$3934,Table4[[#This Row],[customer_id]])</f>
        <v>9</v>
      </c>
      <c r="N2243" t="str">
        <f>IF(Table4[[#This Row],[customer_order_count]]=1,"New Customer","Repeat Customer")</f>
        <v>Repeat Customer</v>
      </c>
    </row>
    <row r="2244" spans="1:14">
      <c r="A2244" t="s">
        <v>1768</v>
      </c>
      <c r="B2244" s="1">
        <v>45616</v>
      </c>
      <c r="C2244" t="s">
        <v>700</v>
      </c>
      <c r="D2244" t="s">
        <v>1264</v>
      </c>
      <c r="E2244" t="s">
        <v>21</v>
      </c>
      <c r="F2244" t="s">
        <v>14</v>
      </c>
      <c r="G2244" t="s">
        <v>62</v>
      </c>
      <c r="H2244">
        <v>1</v>
      </c>
      <c r="I2244" s="3">
        <v>43.71</v>
      </c>
      <c r="J2244" t="s">
        <v>16</v>
      </c>
      <c r="K2244" t="s">
        <v>30</v>
      </c>
      <c r="L2244" s="4">
        <f>Table4[[#This Row],[quantity]]*Table4[[#This Row],[unit_price]]</f>
        <v>43.71</v>
      </c>
      <c r="M2244">
        <f>COUNTIFS($C$2:$C$3934,Table4[[#This Row],[customer_id]])</f>
        <v>5</v>
      </c>
      <c r="N2244" t="str">
        <f>IF(Table4[[#This Row],[customer_order_count]]=1,"New Customer","Repeat Customer")</f>
        <v>Repeat Customer</v>
      </c>
    </row>
    <row r="2245" spans="1:14">
      <c r="A2245" t="s">
        <v>4898</v>
      </c>
      <c r="B2245" s="1">
        <v>45241</v>
      </c>
      <c r="C2245" t="s">
        <v>1837</v>
      </c>
      <c r="D2245" t="s">
        <v>1838</v>
      </c>
      <c r="E2245" t="s">
        <v>21</v>
      </c>
      <c r="F2245" t="s">
        <v>14</v>
      </c>
      <c r="G2245" t="s">
        <v>258</v>
      </c>
      <c r="H2245">
        <v>3</v>
      </c>
      <c r="I2245" s="3">
        <v>43.71</v>
      </c>
      <c r="J2245" t="s">
        <v>16</v>
      </c>
      <c r="K2245" t="s">
        <v>40</v>
      </c>
      <c r="L2245" s="4">
        <f>Table4[[#This Row],[quantity]]*Table4[[#This Row],[unit_price]]</f>
        <v>131.13</v>
      </c>
      <c r="M2245">
        <f>COUNTIFS($C$2:$C$3934,Table4[[#This Row],[customer_id]])</f>
        <v>9</v>
      </c>
      <c r="N2245" t="str">
        <f>IF(Table4[[#This Row],[customer_order_count]]=1,"New Customer","Repeat Customer")</f>
        <v>Repeat Customer</v>
      </c>
    </row>
    <row r="2246" spans="1:14">
      <c r="A2246" t="s">
        <v>2166</v>
      </c>
      <c r="B2246" s="1">
        <v>45038</v>
      </c>
      <c r="C2246" t="s">
        <v>1131</v>
      </c>
      <c r="D2246" t="s">
        <v>962</v>
      </c>
      <c r="E2246" t="s">
        <v>21</v>
      </c>
      <c r="F2246" t="s">
        <v>70</v>
      </c>
      <c r="G2246" t="s">
        <v>89</v>
      </c>
      <c r="H2246">
        <v>2</v>
      </c>
      <c r="I2246" s="3">
        <v>43.73</v>
      </c>
      <c r="J2246" t="s">
        <v>24</v>
      </c>
      <c r="K2246" t="s">
        <v>17</v>
      </c>
      <c r="L2246" s="4">
        <f>Table4[[#This Row],[quantity]]*Table4[[#This Row],[unit_price]]</f>
        <v>87.46</v>
      </c>
      <c r="M2246">
        <f>COUNTIFS($C$2:$C$3934,Table4[[#This Row],[customer_id]])</f>
        <v>8</v>
      </c>
      <c r="N2246" t="str">
        <f>IF(Table4[[#This Row],[customer_order_count]]=1,"New Customer","Repeat Customer")</f>
        <v>Repeat Customer</v>
      </c>
    </row>
    <row r="2247" spans="1:14">
      <c r="A2247" t="s">
        <v>1683</v>
      </c>
      <c r="B2247" s="1">
        <v>45076</v>
      </c>
      <c r="C2247" t="s">
        <v>946</v>
      </c>
      <c r="D2247" t="s">
        <v>947</v>
      </c>
      <c r="E2247" t="s">
        <v>21</v>
      </c>
      <c r="F2247" t="s">
        <v>14</v>
      </c>
      <c r="G2247" t="s">
        <v>258</v>
      </c>
      <c r="H2247">
        <v>2</v>
      </c>
      <c r="I2247" s="3">
        <v>43.74</v>
      </c>
      <c r="J2247" t="s">
        <v>16</v>
      </c>
      <c r="K2247" t="s">
        <v>35</v>
      </c>
      <c r="L2247" s="4">
        <f>Table4[[#This Row],[quantity]]*Table4[[#This Row],[unit_price]]</f>
        <v>87.48</v>
      </c>
      <c r="M2247">
        <f>COUNTIFS($C$2:$C$3934,Table4[[#This Row],[customer_id]])</f>
        <v>4</v>
      </c>
      <c r="N2247" t="str">
        <f>IF(Table4[[#This Row],[customer_order_count]]=1,"New Customer","Repeat Customer")</f>
        <v>Repeat Customer</v>
      </c>
    </row>
    <row r="2248" spans="1:14">
      <c r="A2248" t="s">
        <v>4209</v>
      </c>
      <c r="B2248" s="1">
        <v>45410</v>
      </c>
      <c r="C2248" t="s">
        <v>587</v>
      </c>
      <c r="D2248" t="s">
        <v>475</v>
      </c>
      <c r="E2248" t="s">
        <v>21</v>
      </c>
      <c r="F2248" t="s">
        <v>70</v>
      </c>
      <c r="G2248" t="s">
        <v>146</v>
      </c>
      <c r="H2248">
        <v>1</v>
      </c>
      <c r="I2248" s="3">
        <v>43.76</v>
      </c>
      <c r="J2248" t="s">
        <v>16</v>
      </c>
      <c r="K2248" t="s">
        <v>35</v>
      </c>
      <c r="L2248" s="4">
        <f>Table4[[#This Row],[quantity]]*Table4[[#This Row],[unit_price]]</f>
        <v>43.76</v>
      </c>
      <c r="M2248">
        <f>COUNTIFS($C$2:$C$3934,Table4[[#This Row],[customer_id]])</f>
        <v>6</v>
      </c>
      <c r="N2248" t="str">
        <f>IF(Table4[[#This Row],[customer_order_count]]=1,"New Customer","Repeat Customer")</f>
        <v>Repeat Customer</v>
      </c>
    </row>
    <row r="2249" spans="1:14">
      <c r="A2249" t="s">
        <v>2100</v>
      </c>
      <c r="B2249" s="1">
        <v>45625</v>
      </c>
      <c r="C2249" t="s">
        <v>1492</v>
      </c>
      <c r="D2249" t="s">
        <v>1070</v>
      </c>
      <c r="E2249" t="s">
        <v>44</v>
      </c>
      <c r="F2249" t="s">
        <v>14</v>
      </c>
      <c r="G2249" t="s">
        <v>15</v>
      </c>
      <c r="H2249">
        <v>1</v>
      </c>
      <c r="I2249" s="3">
        <v>43.76</v>
      </c>
      <c r="J2249" t="s">
        <v>255</v>
      </c>
      <c r="K2249" t="s">
        <v>35</v>
      </c>
      <c r="L2249" s="4">
        <f>Table4[[#This Row],[quantity]]*Table4[[#This Row],[unit_price]]</f>
        <v>43.76</v>
      </c>
      <c r="M2249">
        <f>COUNTIFS($C$2:$C$3934,Table4[[#This Row],[customer_id]])</f>
        <v>5</v>
      </c>
      <c r="N2249" t="str">
        <f>IF(Table4[[#This Row],[customer_order_count]]=1,"New Customer","Repeat Customer")</f>
        <v>Repeat Customer</v>
      </c>
    </row>
    <row r="2250" spans="1:14">
      <c r="A2250" t="s">
        <v>4463</v>
      </c>
      <c r="B2250" s="1">
        <v>45027</v>
      </c>
      <c r="C2250" t="s">
        <v>859</v>
      </c>
      <c r="D2250" t="s">
        <v>444</v>
      </c>
      <c r="E2250" t="s">
        <v>21</v>
      </c>
      <c r="F2250" t="s">
        <v>28</v>
      </c>
      <c r="G2250" t="s">
        <v>29</v>
      </c>
      <c r="H2250">
        <v>1</v>
      </c>
      <c r="I2250" s="3">
        <v>43.8</v>
      </c>
      <c r="J2250" t="s">
        <v>16</v>
      </c>
      <c r="K2250" t="s">
        <v>17</v>
      </c>
      <c r="L2250" s="4">
        <f>Table4[[#This Row],[quantity]]*Table4[[#This Row],[unit_price]]</f>
        <v>43.8</v>
      </c>
      <c r="M2250">
        <f>COUNTIFS($C$2:$C$3934,Table4[[#This Row],[customer_id]])</f>
        <v>4</v>
      </c>
      <c r="N2250" t="str">
        <f>IF(Table4[[#This Row],[customer_order_count]]=1,"New Customer","Repeat Customer")</f>
        <v>Repeat Customer</v>
      </c>
    </row>
    <row r="2251" spans="1:14">
      <c r="A2251" t="s">
        <v>4629</v>
      </c>
      <c r="B2251" s="1">
        <v>45298</v>
      </c>
      <c r="C2251" t="s">
        <v>312</v>
      </c>
      <c r="D2251" t="s">
        <v>313</v>
      </c>
      <c r="E2251" t="s">
        <v>21</v>
      </c>
      <c r="F2251" t="s">
        <v>70</v>
      </c>
      <c r="G2251" t="s">
        <v>110</v>
      </c>
      <c r="H2251">
        <v>1</v>
      </c>
      <c r="I2251" s="3">
        <v>43.81</v>
      </c>
      <c r="J2251" t="s">
        <v>16</v>
      </c>
      <c r="K2251" t="s">
        <v>35</v>
      </c>
      <c r="L2251" s="4">
        <f>Table4[[#This Row],[quantity]]*Table4[[#This Row],[unit_price]]</f>
        <v>43.81</v>
      </c>
      <c r="M2251">
        <f>COUNTIFS($C$2:$C$3934,Table4[[#This Row],[customer_id]])</f>
        <v>7</v>
      </c>
      <c r="N2251" t="str">
        <f>IF(Table4[[#This Row],[customer_order_count]]=1,"New Customer","Repeat Customer")</f>
        <v>Repeat Customer</v>
      </c>
    </row>
    <row r="2252" spans="1:14">
      <c r="A2252" t="s">
        <v>2760</v>
      </c>
      <c r="B2252" s="1">
        <v>45378</v>
      </c>
      <c r="C2252" t="s">
        <v>1318</v>
      </c>
      <c r="D2252" t="s">
        <v>1027</v>
      </c>
      <c r="E2252" t="s">
        <v>44</v>
      </c>
      <c r="F2252" t="s">
        <v>22</v>
      </c>
      <c r="G2252" t="s">
        <v>264</v>
      </c>
      <c r="H2252">
        <v>1</v>
      </c>
      <c r="I2252" s="3">
        <v>43.83</v>
      </c>
      <c r="J2252" t="s">
        <v>16</v>
      </c>
      <c r="K2252" t="s">
        <v>35</v>
      </c>
      <c r="L2252" s="4">
        <f>Table4[[#This Row],[quantity]]*Table4[[#This Row],[unit_price]]</f>
        <v>43.83</v>
      </c>
      <c r="M2252">
        <f>COUNTIFS($C$2:$C$3934,Table4[[#This Row],[customer_id]])</f>
        <v>5</v>
      </c>
      <c r="N2252" t="str">
        <f>IF(Table4[[#This Row],[customer_order_count]]=1,"New Customer","Repeat Customer")</f>
        <v>Repeat Customer</v>
      </c>
    </row>
    <row r="2253" spans="1:14">
      <c r="A2253" t="s">
        <v>3971</v>
      </c>
      <c r="B2253" s="1">
        <v>45186</v>
      </c>
      <c r="C2253" t="s">
        <v>2395</v>
      </c>
      <c r="D2253" t="s">
        <v>92</v>
      </c>
      <c r="E2253" t="s">
        <v>21</v>
      </c>
      <c r="F2253" t="s">
        <v>14</v>
      </c>
      <c r="G2253" t="s">
        <v>62</v>
      </c>
      <c r="H2253">
        <v>3</v>
      </c>
      <c r="I2253" s="3">
        <v>43.83</v>
      </c>
      <c r="J2253" t="s">
        <v>16</v>
      </c>
      <c r="K2253" t="s">
        <v>30</v>
      </c>
      <c r="L2253" s="4">
        <f>Table4[[#This Row],[quantity]]*Table4[[#This Row],[unit_price]]</f>
        <v>131.49</v>
      </c>
      <c r="M2253">
        <f>COUNTIFS($C$2:$C$3934,Table4[[#This Row],[customer_id]])</f>
        <v>7</v>
      </c>
      <c r="N2253" t="str">
        <f>IF(Table4[[#This Row],[customer_order_count]]=1,"New Customer","Repeat Customer")</f>
        <v>Repeat Customer</v>
      </c>
    </row>
    <row r="2254" spans="1:14">
      <c r="A2254" t="s">
        <v>4179</v>
      </c>
      <c r="B2254" s="1">
        <v>45646</v>
      </c>
      <c r="C2254" t="s">
        <v>1766</v>
      </c>
      <c r="D2254" t="s">
        <v>1767</v>
      </c>
      <c r="E2254" t="s">
        <v>21</v>
      </c>
      <c r="F2254" t="s">
        <v>22</v>
      </c>
      <c r="G2254" t="s">
        <v>162</v>
      </c>
      <c r="H2254">
        <v>1</v>
      </c>
      <c r="I2254" s="3">
        <v>43.87</v>
      </c>
      <c r="J2254" t="s">
        <v>16</v>
      </c>
      <c r="K2254" t="s">
        <v>30</v>
      </c>
      <c r="L2254" s="4">
        <f>Table4[[#This Row],[quantity]]*Table4[[#This Row],[unit_price]]</f>
        <v>43.87</v>
      </c>
      <c r="M2254">
        <f>COUNTIFS($C$2:$C$3934,Table4[[#This Row],[customer_id]])</f>
        <v>7</v>
      </c>
      <c r="N2254" t="str">
        <f>IF(Table4[[#This Row],[customer_order_count]]=1,"New Customer","Repeat Customer")</f>
        <v>Repeat Customer</v>
      </c>
    </row>
    <row r="2255" spans="1:14">
      <c r="A2255" t="s">
        <v>2515</v>
      </c>
      <c r="B2255" s="1">
        <v>45223</v>
      </c>
      <c r="C2255" t="s">
        <v>2239</v>
      </c>
      <c r="D2255" t="s">
        <v>95</v>
      </c>
      <c r="E2255" t="s">
        <v>21</v>
      </c>
      <c r="F2255" t="s">
        <v>22</v>
      </c>
      <c r="G2255" t="s">
        <v>264</v>
      </c>
      <c r="H2255">
        <v>1</v>
      </c>
      <c r="I2255" s="3">
        <v>43.92</v>
      </c>
      <c r="J2255" t="s">
        <v>16</v>
      </c>
      <c r="K2255" t="s">
        <v>35</v>
      </c>
      <c r="L2255" s="4">
        <f>Table4[[#This Row],[quantity]]*Table4[[#This Row],[unit_price]]</f>
        <v>43.92</v>
      </c>
      <c r="M2255">
        <f>COUNTIFS($C$2:$C$3934,Table4[[#This Row],[customer_id]])</f>
        <v>10</v>
      </c>
      <c r="N2255" t="str">
        <f>IF(Table4[[#This Row],[customer_order_count]]=1,"New Customer","Repeat Customer")</f>
        <v>Repeat Customer</v>
      </c>
    </row>
    <row r="2256" spans="1:14">
      <c r="A2256" t="s">
        <v>5181</v>
      </c>
      <c r="B2256" s="1">
        <v>45610</v>
      </c>
      <c r="C2256" t="s">
        <v>599</v>
      </c>
      <c r="D2256" t="s">
        <v>432</v>
      </c>
      <c r="E2256" t="s">
        <v>21</v>
      </c>
      <c r="F2256" t="s">
        <v>56</v>
      </c>
      <c r="G2256" t="s">
        <v>210</v>
      </c>
      <c r="H2256">
        <v>2</v>
      </c>
      <c r="I2256" s="3">
        <v>43.94</v>
      </c>
      <c r="J2256" t="s">
        <v>16</v>
      </c>
      <c r="K2256" t="s">
        <v>35</v>
      </c>
      <c r="L2256" s="4">
        <f>Table4[[#This Row],[quantity]]*Table4[[#This Row],[unit_price]]</f>
        <v>87.88</v>
      </c>
      <c r="M2256">
        <f>COUNTIFS($C$2:$C$3934,Table4[[#This Row],[customer_id]])</f>
        <v>5</v>
      </c>
      <c r="N2256" t="str">
        <f>IF(Table4[[#This Row],[customer_order_count]]=1,"New Customer","Repeat Customer")</f>
        <v>Repeat Customer</v>
      </c>
    </row>
    <row r="2257" spans="1:14">
      <c r="A2257" t="s">
        <v>3641</v>
      </c>
      <c r="B2257" s="1">
        <v>44967</v>
      </c>
      <c r="C2257" t="s">
        <v>2643</v>
      </c>
      <c r="D2257" t="s">
        <v>1336</v>
      </c>
      <c r="E2257" t="s">
        <v>21</v>
      </c>
      <c r="F2257" t="s">
        <v>28</v>
      </c>
      <c r="G2257" t="s">
        <v>84</v>
      </c>
      <c r="H2257">
        <v>1</v>
      </c>
      <c r="I2257" s="3">
        <v>43.96</v>
      </c>
      <c r="J2257" t="s">
        <v>16</v>
      </c>
      <c r="K2257" t="s">
        <v>35</v>
      </c>
      <c r="L2257" s="4">
        <f>Table4[[#This Row],[quantity]]*Table4[[#This Row],[unit_price]]</f>
        <v>43.96</v>
      </c>
      <c r="M2257">
        <f>COUNTIFS($C$2:$C$3934,Table4[[#This Row],[customer_id]])</f>
        <v>7</v>
      </c>
      <c r="N2257" t="str">
        <f>IF(Table4[[#This Row],[customer_order_count]]=1,"New Customer","Repeat Customer")</f>
        <v>Repeat Customer</v>
      </c>
    </row>
    <row r="2258" spans="1:14">
      <c r="A2258" t="s">
        <v>2920</v>
      </c>
      <c r="B2258" s="1">
        <v>45048</v>
      </c>
      <c r="C2258" t="s">
        <v>1456</v>
      </c>
      <c r="D2258" t="s">
        <v>20</v>
      </c>
      <c r="E2258" t="s">
        <v>21</v>
      </c>
      <c r="F2258" t="s">
        <v>79</v>
      </c>
      <c r="G2258" t="s">
        <v>398</v>
      </c>
      <c r="H2258">
        <v>1</v>
      </c>
      <c r="I2258" s="3">
        <v>43.98</v>
      </c>
      <c r="J2258" t="s">
        <v>85</v>
      </c>
      <c r="K2258" t="s">
        <v>35</v>
      </c>
      <c r="L2258" s="4">
        <f>Table4[[#This Row],[quantity]]*Table4[[#This Row],[unit_price]]</f>
        <v>43.98</v>
      </c>
      <c r="M2258">
        <f>COUNTIFS($C$2:$C$3934,Table4[[#This Row],[customer_id]])</f>
        <v>4</v>
      </c>
      <c r="N2258" t="str">
        <f>IF(Table4[[#This Row],[customer_order_count]]=1,"New Customer","Repeat Customer")</f>
        <v>Repeat Customer</v>
      </c>
    </row>
    <row r="2259" spans="1:14">
      <c r="A2259" t="s">
        <v>3221</v>
      </c>
      <c r="B2259" s="1">
        <v>45576</v>
      </c>
      <c r="C2259" t="s">
        <v>1834</v>
      </c>
      <c r="D2259" t="s">
        <v>359</v>
      </c>
      <c r="E2259" t="s">
        <v>21</v>
      </c>
      <c r="F2259" t="s">
        <v>70</v>
      </c>
      <c r="G2259" t="s">
        <v>170</v>
      </c>
      <c r="H2259">
        <v>1</v>
      </c>
      <c r="I2259" s="3">
        <v>44</v>
      </c>
      <c r="J2259" t="s">
        <v>16</v>
      </c>
      <c r="K2259" t="s">
        <v>30</v>
      </c>
      <c r="L2259" s="4">
        <f>Table4[[#This Row],[quantity]]*Table4[[#This Row],[unit_price]]</f>
        <v>44</v>
      </c>
      <c r="M2259">
        <f>COUNTIFS($C$2:$C$3934,Table4[[#This Row],[customer_id]])</f>
        <v>7</v>
      </c>
      <c r="N2259" t="str">
        <f>IF(Table4[[#This Row],[customer_order_count]]=1,"New Customer","Repeat Customer")</f>
        <v>Repeat Customer</v>
      </c>
    </row>
    <row r="2260" spans="1:14">
      <c r="A2260" t="s">
        <v>1675</v>
      </c>
      <c r="B2260" s="1">
        <v>45087</v>
      </c>
      <c r="C2260" t="s">
        <v>978</v>
      </c>
      <c r="D2260" t="s">
        <v>292</v>
      </c>
      <c r="E2260" t="s">
        <v>21</v>
      </c>
      <c r="F2260" t="s">
        <v>22</v>
      </c>
      <c r="G2260" t="s">
        <v>162</v>
      </c>
      <c r="H2260">
        <v>1</v>
      </c>
      <c r="I2260" s="3">
        <v>44.03</v>
      </c>
      <c r="J2260" t="s">
        <v>16</v>
      </c>
      <c r="K2260" t="s">
        <v>35</v>
      </c>
      <c r="L2260" s="4">
        <f>Table4[[#This Row],[quantity]]*Table4[[#This Row],[unit_price]]</f>
        <v>44.03</v>
      </c>
      <c r="M2260">
        <f>COUNTIFS($C$2:$C$3934,Table4[[#This Row],[customer_id]])</f>
        <v>9</v>
      </c>
      <c r="N2260" t="str">
        <f>IF(Table4[[#This Row],[customer_order_count]]=1,"New Customer","Repeat Customer")</f>
        <v>Repeat Customer</v>
      </c>
    </row>
    <row r="2261" spans="1:14">
      <c r="A2261" t="s">
        <v>208</v>
      </c>
      <c r="B2261" s="1">
        <v>45441</v>
      </c>
      <c r="C2261" t="s">
        <v>209</v>
      </c>
      <c r="D2261" t="s">
        <v>181</v>
      </c>
      <c r="E2261" t="s">
        <v>21</v>
      </c>
      <c r="F2261" t="s">
        <v>56</v>
      </c>
      <c r="G2261" t="s">
        <v>210</v>
      </c>
      <c r="H2261">
        <v>1</v>
      </c>
      <c r="I2261" s="3">
        <v>44.1</v>
      </c>
      <c r="J2261" t="s">
        <v>16</v>
      </c>
      <c r="K2261" t="s">
        <v>30</v>
      </c>
      <c r="L2261" s="4">
        <f>Table4[[#This Row],[quantity]]*Table4[[#This Row],[unit_price]]</f>
        <v>44.1</v>
      </c>
      <c r="M2261">
        <f>COUNTIFS($C$2:$C$3934,Table4[[#This Row],[customer_id]])</f>
        <v>5</v>
      </c>
      <c r="N2261" t="str">
        <f>IF(Table4[[#This Row],[customer_order_count]]=1,"New Customer","Repeat Customer")</f>
        <v>Repeat Customer</v>
      </c>
    </row>
    <row r="2262" spans="1:14">
      <c r="A2262" t="s">
        <v>4092</v>
      </c>
      <c r="B2262" s="1">
        <v>45418</v>
      </c>
      <c r="C2262" t="s">
        <v>1763</v>
      </c>
      <c r="D2262" t="s">
        <v>1103</v>
      </c>
      <c r="E2262" t="s">
        <v>21</v>
      </c>
      <c r="F2262" t="s">
        <v>70</v>
      </c>
      <c r="G2262" t="s">
        <v>337</v>
      </c>
      <c r="H2262">
        <v>2</v>
      </c>
      <c r="I2262" s="3">
        <v>44.11</v>
      </c>
      <c r="J2262" t="s">
        <v>255</v>
      </c>
      <c r="K2262" t="s">
        <v>17</v>
      </c>
      <c r="L2262" s="4">
        <f>Table4[[#This Row],[quantity]]*Table4[[#This Row],[unit_price]]</f>
        <v>88.22</v>
      </c>
      <c r="M2262">
        <f>COUNTIFS($C$2:$C$3934,Table4[[#This Row],[customer_id]])</f>
        <v>8</v>
      </c>
      <c r="N2262" t="str">
        <f>IF(Table4[[#This Row],[customer_order_count]]=1,"New Customer","Repeat Customer")</f>
        <v>Repeat Customer</v>
      </c>
    </row>
    <row r="2263" spans="1:14">
      <c r="A2263" t="s">
        <v>3149</v>
      </c>
      <c r="B2263" s="1">
        <v>45425</v>
      </c>
      <c r="C2263" t="s">
        <v>2536</v>
      </c>
      <c r="D2263" t="s">
        <v>1514</v>
      </c>
      <c r="E2263" t="s">
        <v>21</v>
      </c>
      <c r="F2263" t="s">
        <v>56</v>
      </c>
      <c r="G2263" t="s">
        <v>254</v>
      </c>
      <c r="H2263">
        <v>1</v>
      </c>
      <c r="I2263" s="3">
        <v>44.12</v>
      </c>
      <c r="J2263" t="s">
        <v>16</v>
      </c>
      <c r="K2263" t="s">
        <v>30</v>
      </c>
      <c r="L2263" s="4">
        <f>Table4[[#This Row],[quantity]]*Table4[[#This Row],[unit_price]]</f>
        <v>44.12</v>
      </c>
      <c r="M2263">
        <f>COUNTIFS($C$2:$C$3934,Table4[[#This Row],[customer_id]])</f>
        <v>5</v>
      </c>
      <c r="N2263" t="str">
        <f>IF(Table4[[#This Row],[customer_order_count]]=1,"New Customer","Repeat Customer")</f>
        <v>Repeat Customer</v>
      </c>
    </row>
    <row r="2264" spans="1:14">
      <c r="A2264" t="s">
        <v>4892</v>
      </c>
      <c r="B2264" s="1">
        <v>45623</v>
      </c>
      <c r="C2264" t="s">
        <v>2536</v>
      </c>
      <c r="D2264" t="s">
        <v>1514</v>
      </c>
      <c r="E2264" t="s">
        <v>21</v>
      </c>
      <c r="F2264" t="s">
        <v>22</v>
      </c>
      <c r="G2264" t="s">
        <v>135</v>
      </c>
      <c r="H2264">
        <v>3</v>
      </c>
      <c r="I2264" s="3">
        <v>44.15</v>
      </c>
      <c r="J2264" t="s">
        <v>16</v>
      </c>
      <c r="K2264" t="s">
        <v>30</v>
      </c>
      <c r="L2264" s="4">
        <f>Table4[[#This Row],[quantity]]*Table4[[#This Row],[unit_price]]</f>
        <v>132.44999999999999</v>
      </c>
      <c r="M2264">
        <f>COUNTIFS($C$2:$C$3934,Table4[[#This Row],[customer_id]])</f>
        <v>5</v>
      </c>
      <c r="N2264" t="str">
        <f>IF(Table4[[#This Row],[customer_order_count]]=1,"New Customer","Repeat Customer")</f>
        <v>Repeat Customer</v>
      </c>
    </row>
    <row r="2265" spans="1:14">
      <c r="A2265" t="s">
        <v>2836</v>
      </c>
      <c r="B2265" s="1">
        <v>44960</v>
      </c>
      <c r="C2265" t="s">
        <v>509</v>
      </c>
      <c r="D2265" t="s">
        <v>510</v>
      </c>
      <c r="E2265" t="s">
        <v>21</v>
      </c>
      <c r="F2265" t="s">
        <v>28</v>
      </c>
      <c r="G2265" t="s">
        <v>84</v>
      </c>
      <c r="H2265">
        <v>1</v>
      </c>
      <c r="I2265" s="3">
        <v>44.19</v>
      </c>
      <c r="J2265" t="s">
        <v>16</v>
      </c>
      <c r="K2265" t="s">
        <v>17</v>
      </c>
      <c r="L2265" s="4">
        <f>Table4[[#This Row],[quantity]]*Table4[[#This Row],[unit_price]]</f>
        <v>44.19</v>
      </c>
      <c r="M2265">
        <f>COUNTIFS($C$2:$C$3934,Table4[[#This Row],[customer_id]])</f>
        <v>6</v>
      </c>
      <c r="N2265" t="str">
        <f>IF(Table4[[#This Row],[customer_order_count]]=1,"New Customer","Repeat Customer")</f>
        <v>Repeat Customer</v>
      </c>
    </row>
    <row r="2266" spans="1:14">
      <c r="A2266" t="s">
        <v>1357</v>
      </c>
      <c r="B2266" s="1">
        <v>45351</v>
      </c>
      <c r="C2266" t="s">
        <v>704</v>
      </c>
      <c r="D2266" t="s">
        <v>705</v>
      </c>
      <c r="E2266" t="s">
        <v>21</v>
      </c>
      <c r="F2266" t="s">
        <v>22</v>
      </c>
      <c r="G2266" t="s">
        <v>142</v>
      </c>
      <c r="H2266">
        <v>1</v>
      </c>
      <c r="I2266" s="3">
        <v>44.2</v>
      </c>
      <c r="J2266" t="s">
        <v>16</v>
      </c>
      <c r="K2266" t="s">
        <v>35</v>
      </c>
      <c r="L2266" s="4">
        <f>Table4[[#This Row],[quantity]]*Table4[[#This Row],[unit_price]]</f>
        <v>44.2</v>
      </c>
      <c r="M2266">
        <f>COUNTIFS($C$2:$C$3934,Table4[[#This Row],[customer_id]])</f>
        <v>5</v>
      </c>
      <c r="N2266" t="str">
        <f>IF(Table4[[#This Row],[customer_order_count]]=1,"New Customer","Repeat Customer")</f>
        <v>Repeat Customer</v>
      </c>
    </row>
    <row r="2267" spans="1:14">
      <c r="A2267" t="s">
        <v>2555</v>
      </c>
      <c r="B2267" s="1">
        <v>45649</v>
      </c>
      <c r="C2267" t="s">
        <v>2486</v>
      </c>
      <c r="D2267" t="s">
        <v>253</v>
      </c>
      <c r="E2267" t="s">
        <v>44</v>
      </c>
      <c r="F2267" t="s">
        <v>28</v>
      </c>
      <c r="G2267" t="s">
        <v>84</v>
      </c>
      <c r="H2267">
        <v>1</v>
      </c>
      <c r="I2267" s="3">
        <v>44.22</v>
      </c>
      <c r="J2267" t="s">
        <v>16</v>
      </c>
      <c r="K2267" t="s">
        <v>17</v>
      </c>
      <c r="L2267" s="4">
        <f>Table4[[#This Row],[quantity]]*Table4[[#This Row],[unit_price]]</f>
        <v>44.22</v>
      </c>
      <c r="M2267">
        <f>COUNTIFS($C$2:$C$3934,Table4[[#This Row],[customer_id]])</f>
        <v>3</v>
      </c>
      <c r="N2267" t="str">
        <f>IF(Table4[[#This Row],[customer_order_count]]=1,"New Customer","Repeat Customer")</f>
        <v>Repeat Customer</v>
      </c>
    </row>
    <row r="2268" spans="1:14">
      <c r="A2268" t="s">
        <v>1819</v>
      </c>
      <c r="B2268" s="1">
        <v>45001</v>
      </c>
      <c r="C2268" t="s">
        <v>1820</v>
      </c>
      <c r="D2268" t="s">
        <v>464</v>
      </c>
      <c r="E2268" t="s">
        <v>21</v>
      </c>
      <c r="F2268" t="s">
        <v>28</v>
      </c>
      <c r="G2268" t="s">
        <v>29</v>
      </c>
      <c r="H2268">
        <v>1</v>
      </c>
      <c r="I2268" s="3">
        <v>44.22</v>
      </c>
      <c r="J2268" t="s">
        <v>16</v>
      </c>
      <c r="K2268" t="s">
        <v>35</v>
      </c>
      <c r="L2268" s="4">
        <f>Table4[[#This Row],[quantity]]*Table4[[#This Row],[unit_price]]</f>
        <v>44.22</v>
      </c>
      <c r="M2268">
        <f>COUNTIFS($C$2:$C$3934,Table4[[#This Row],[customer_id]])</f>
        <v>4</v>
      </c>
      <c r="N2268" t="str">
        <f>IF(Table4[[#This Row],[customer_order_count]]=1,"New Customer","Repeat Customer")</f>
        <v>Repeat Customer</v>
      </c>
    </row>
    <row r="2269" spans="1:14">
      <c r="A2269" t="s">
        <v>2227</v>
      </c>
      <c r="B2269" s="1">
        <v>45290</v>
      </c>
      <c r="C2269" t="s">
        <v>599</v>
      </c>
      <c r="D2269" t="s">
        <v>432</v>
      </c>
      <c r="E2269" t="s">
        <v>21</v>
      </c>
      <c r="F2269" t="s">
        <v>28</v>
      </c>
      <c r="G2269" t="s">
        <v>139</v>
      </c>
      <c r="H2269">
        <v>1</v>
      </c>
      <c r="I2269" s="3">
        <v>44.27</v>
      </c>
      <c r="J2269" t="s">
        <v>16</v>
      </c>
      <c r="K2269" t="s">
        <v>30</v>
      </c>
      <c r="L2269" s="4">
        <f>Table4[[#This Row],[quantity]]*Table4[[#This Row],[unit_price]]</f>
        <v>44.27</v>
      </c>
      <c r="M2269">
        <f>COUNTIFS($C$2:$C$3934,Table4[[#This Row],[customer_id]])</f>
        <v>5</v>
      </c>
      <c r="N2269" t="str">
        <f>IF(Table4[[#This Row],[customer_order_count]]=1,"New Customer","Repeat Customer")</f>
        <v>Repeat Customer</v>
      </c>
    </row>
    <row r="2270" spans="1:14">
      <c r="A2270" t="s">
        <v>1058</v>
      </c>
      <c r="B2270" s="1">
        <v>45579</v>
      </c>
      <c r="C2270" t="s">
        <v>1059</v>
      </c>
      <c r="D2270" t="s">
        <v>425</v>
      </c>
      <c r="E2270" t="s">
        <v>61</v>
      </c>
      <c r="F2270" t="s">
        <v>56</v>
      </c>
      <c r="G2270" t="s">
        <v>210</v>
      </c>
      <c r="H2270">
        <v>1</v>
      </c>
      <c r="I2270" s="3">
        <v>44.28</v>
      </c>
      <c r="J2270" t="s">
        <v>16</v>
      </c>
      <c r="K2270" t="s">
        <v>30</v>
      </c>
      <c r="L2270" s="4">
        <f>Table4[[#This Row],[quantity]]*Table4[[#This Row],[unit_price]]</f>
        <v>44.28</v>
      </c>
      <c r="M2270">
        <f>COUNTIFS($C$2:$C$3934,Table4[[#This Row],[customer_id]])</f>
        <v>2</v>
      </c>
      <c r="N2270" t="str">
        <f>IF(Table4[[#This Row],[customer_order_count]]=1,"New Customer","Repeat Customer")</f>
        <v>Repeat Customer</v>
      </c>
    </row>
    <row r="2271" spans="1:14">
      <c r="A2271" t="s">
        <v>3359</v>
      </c>
      <c r="B2271" s="1">
        <v>45607</v>
      </c>
      <c r="C2271" t="s">
        <v>1108</v>
      </c>
      <c r="D2271" t="s">
        <v>372</v>
      </c>
      <c r="E2271" t="s">
        <v>44</v>
      </c>
      <c r="F2271" t="s">
        <v>70</v>
      </c>
      <c r="G2271" t="s">
        <v>71</v>
      </c>
      <c r="H2271">
        <v>3</v>
      </c>
      <c r="I2271" s="3">
        <v>44.29</v>
      </c>
      <c r="J2271" t="s">
        <v>24</v>
      </c>
      <c r="K2271" t="s">
        <v>17</v>
      </c>
      <c r="L2271" s="4">
        <f>Table4[[#This Row],[quantity]]*Table4[[#This Row],[unit_price]]</f>
        <v>132.87</v>
      </c>
      <c r="M2271">
        <f>COUNTIFS($C$2:$C$3934,Table4[[#This Row],[customer_id]])</f>
        <v>3</v>
      </c>
      <c r="N2271" t="str">
        <f>IF(Table4[[#This Row],[customer_order_count]]=1,"New Customer","Repeat Customer")</f>
        <v>Repeat Customer</v>
      </c>
    </row>
    <row r="2272" spans="1:14">
      <c r="A2272" t="s">
        <v>5085</v>
      </c>
      <c r="B2272" s="1">
        <v>45611</v>
      </c>
      <c r="C2272" t="s">
        <v>1941</v>
      </c>
      <c r="D2272" t="s">
        <v>1942</v>
      </c>
      <c r="E2272" t="s">
        <v>61</v>
      </c>
      <c r="F2272" t="s">
        <v>79</v>
      </c>
      <c r="G2272" t="s">
        <v>541</v>
      </c>
      <c r="H2272">
        <v>1</v>
      </c>
      <c r="I2272" s="3">
        <v>44.31</v>
      </c>
      <c r="J2272" t="s">
        <v>16</v>
      </c>
      <c r="K2272" t="s">
        <v>17</v>
      </c>
      <c r="L2272" s="4">
        <f>Table4[[#This Row],[quantity]]*Table4[[#This Row],[unit_price]]</f>
        <v>44.31</v>
      </c>
      <c r="M2272">
        <f>COUNTIFS($C$2:$C$3934,Table4[[#This Row],[customer_id]])</f>
        <v>4</v>
      </c>
      <c r="N2272" t="str">
        <f>IF(Table4[[#This Row],[customer_order_count]]=1,"New Customer","Repeat Customer")</f>
        <v>Repeat Customer</v>
      </c>
    </row>
    <row r="2273" spans="1:14">
      <c r="A2273" t="s">
        <v>450</v>
      </c>
      <c r="B2273" s="1">
        <v>45253</v>
      </c>
      <c r="C2273" t="s">
        <v>451</v>
      </c>
      <c r="D2273" t="s">
        <v>452</v>
      </c>
      <c r="E2273" t="s">
        <v>44</v>
      </c>
      <c r="F2273" t="s">
        <v>28</v>
      </c>
      <c r="G2273" t="s">
        <v>29</v>
      </c>
      <c r="H2273">
        <v>4</v>
      </c>
      <c r="I2273" s="3">
        <v>44.32</v>
      </c>
      <c r="J2273" t="s">
        <v>16</v>
      </c>
      <c r="K2273" t="s">
        <v>40</v>
      </c>
      <c r="L2273" s="4">
        <f>Table4[[#This Row],[quantity]]*Table4[[#This Row],[unit_price]]</f>
        <v>177.28</v>
      </c>
      <c r="M2273">
        <f>COUNTIFS($C$2:$C$3934,Table4[[#This Row],[customer_id]])</f>
        <v>8</v>
      </c>
      <c r="N2273" t="str">
        <f>IF(Table4[[#This Row],[customer_order_count]]=1,"New Customer","Repeat Customer")</f>
        <v>Repeat Customer</v>
      </c>
    </row>
    <row r="2274" spans="1:14">
      <c r="A2274" t="s">
        <v>2207</v>
      </c>
      <c r="B2274" s="1">
        <v>45640</v>
      </c>
      <c r="C2274" t="s">
        <v>578</v>
      </c>
      <c r="D2274" t="s">
        <v>579</v>
      </c>
      <c r="E2274" t="s">
        <v>21</v>
      </c>
      <c r="F2274" t="s">
        <v>22</v>
      </c>
      <c r="G2274" t="s">
        <v>23</v>
      </c>
      <c r="H2274">
        <v>1</v>
      </c>
      <c r="I2274" s="3">
        <v>44.36</v>
      </c>
      <c r="J2274" t="s">
        <v>16</v>
      </c>
      <c r="K2274" s="2" t="s">
        <v>5256</v>
      </c>
      <c r="L2274" s="4">
        <f>Table4[[#This Row],[quantity]]*Table4[[#This Row],[unit_price]]</f>
        <v>44.36</v>
      </c>
      <c r="M2274">
        <f>COUNTIFS($C$2:$C$3934,Table4[[#This Row],[customer_id]])</f>
        <v>10</v>
      </c>
      <c r="N2274" t="str">
        <f>IF(Table4[[#This Row],[customer_order_count]]=1,"New Customer","Repeat Customer")</f>
        <v>Repeat Customer</v>
      </c>
    </row>
    <row r="2275" spans="1:14">
      <c r="A2275" t="s">
        <v>4984</v>
      </c>
      <c r="B2275" s="1">
        <v>45184</v>
      </c>
      <c r="C2275" t="s">
        <v>291</v>
      </c>
      <c r="D2275" t="s">
        <v>292</v>
      </c>
      <c r="E2275" t="s">
        <v>21</v>
      </c>
      <c r="F2275" t="s">
        <v>56</v>
      </c>
      <c r="G2275" t="s">
        <v>118</v>
      </c>
      <c r="H2275">
        <v>1</v>
      </c>
      <c r="I2275" s="3">
        <v>44.38</v>
      </c>
      <c r="J2275" t="s">
        <v>16</v>
      </c>
      <c r="K2275" s="5" t="s">
        <v>30</v>
      </c>
      <c r="L2275" s="4">
        <f>Table4[[#This Row],[quantity]]*Table4[[#This Row],[unit_price]]</f>
        <v>44.38</v>
      </c>
      <c r="M2275">
        <f>COUNTIFS($C$2:$C$3934,Table4[[#This Row],[customer_id]])</f>
        <v>5</v>
      </c>
      <c r="N2275" t="str">
        <f>IF(Table4[[#This Row],[customer_order_count]]=1,"New Customer","Repeat Customer")</f>
        <v>Repeat Customer</v>
      </c>
    </row>
    <row r="2276" spans="1:14">
      <c r="A2276" t="s">
        <v>3876</v>
      </c>
      <c r="B2276" s="1">
        <v>45364</v>
      </c>
      <c r="C2276" t="s">
        <v>507</v>
      </c>
      <c r="D2276" t="s">
        <v>275</v>
      </c>
      <c r="E2276" t="s">
        <v>21</v>
      </c>
      <c r="F2276" t="s">
        <v>56</v>
      </c>
      <c r="G2276" t="s">
        <v>153</v>
      </c>
      <c r="H2276">
        <v>1</v>
      </c>
      <c r="I2276" s="3">
        <v>44.4</v>
      </c>
      <c r="J2276" t="s">
        <v>16</v>
      </c>
      <c r="K2276" t="s">
        <v>17</v>
      </c>
      <c r="L2276" s="4">
        <f>Table4[[#This Row],[quantity]]*Table4[[#This Row],[unit_price]]</f>
        <v>44.4</v>
      </c>
      <c r="M2276">
        <f>COUNTIFS($C$2:$C$3934,Table4[[#This Row],[customer_id]])</f>
        <v>3</v>
      </c>
      <c r="N2276" t="str">
        <f>IF(Table4[[#This Row],[customer_order_count]]=1,"New Customer","Repeat Customer")</f>
        <v>Repeat Customer</v>
      </c>
    </row>
    <row r="2277" spans="1:14">
      <c r="A2277" t="s">
        <v>3512</v>
      </c>
      <c r="B2277" s="1">
        <v>45427</v>
      </c>
      <c r="C2277" t="s">
        <v>2643</v>
      </c>
      <c r="D2277" t="s">
        <v>1336</v>
      </c>
      <c r="E2277" t="s">
        <v>21</v>
      </c>
      <c r="F2277" t="s">
        <v>28</v>
      </c>
      <c r="G2277" t="s">
        <v>114</v>
      </c>
      <c r="H2277">
        <v>2</v>
      </c>
      <c r="I2277" s="3">
        <v>44.4</v>
      </c>
      <c r="J2277" t="s">
        <v>16</v>
      </c>
      <c r="K2277" t="s">
        <v>30</v>
      </c>
      <c r="L2277" s="4">
        <f>Table4[[#This Row],[quantity]]*Table4[[#This Row],[unit_price]]</f>
        <v>88.8</v>
      </c>
      <c r="M2277">
        <f>COUNTIFS($C$2:$C$3934,Table4[[#This Row],[customer_id]])</f>
        <v>7</v>
      </c>
      <c r="N2277" t="str">
        <f>IF(Table4[[#This Row],[customer_order_count]]=1,"New Customer","Repeat Customer")</f>
        <v>Repeat Customer</v>
      </c>
    </row>
    <row r="2278" spans="1:14">
      <c r="A2278" t="s">
        <v>4598</v>
      </c>
      <c r="B2278" s="1">
        <v>45081</v>
      </c>
      <c r="C2278" t="s">
        <v>4338</v>
      </c>
      <c r="D2278" t="s">
        <v>2594</v>
      </c>
      <c r="E2278" t="s">
        <v>44</v>
      </c>
      <c r="F2278" t="s">
        <v>28</v>
      </c>
      <c r="G2278" t="s">
        <v>114</v>
      </c>
      <c r="H2278">
        <v>1</v>
      </c>
      <c r="I2278" s="3">
        <v>44.42</v>
      </c>
      <c r="J2278" t="s">
        <v>85</v>
      </c>
      <c r="K2278" t="s">
        <v>30</v>
      </c>
      <c r="L2278" s="4">
        <f>Table4[[#This Row],[quantity]]*Table4[[#This Row],[unit_price]]</f>
        <v>44.42</v>
      </c>
      <c r="M2278">
        <f>COUNTIFS($C$2:$C$3934,Table4[[#This Row],[customer_id]])</f>
        <v>3</v>
      </c>
      <c r="N2278" t="str">
        <f>IF(Table4[[#This Row],[customer_order_count]]=1,"New Customer","Repeat Customer")</f>
        <v>Repeat Customer</v>
      </c>
    </row>
    <row r="2279" spans="1:14">
      <c r="A2279" t="s">
        <v>3967</v>
      </c>
      <c r="B2279" s="1">
        <v>45171</v>
      </c>
      <c r="C2279" t="s">
        <v>799</v>
      </c>
      <c r="D2279" t="s">
        <v>43</v>
      </c>
      <c r="E2279" t="s">
        <v>21</v>
      </c>
      <c r="F2279" t="s">
        <v>28</v>
      </c>
      <c r="G2279" t="s">
        <v>29</v>
      </c>
      <c r="H2279">
        <v>2</v>
      </c>
      <c r="I2279" s="3">
        <v>44.42</v>
      </c>
      <c r="J2279" t="s">
        <v>16</v>
      </c>
      <c r="K2279" t="s">
        <v>17</v>
      </c>
      <c r="L2279" s="4">
        <f>Table4[[#This Row],[quantity]]*Table4[[#This Row],[unit_price]]</f>
        <v>88.84</v>
      </c>
      <c r="M2279">
        <f>COUNTIFS($C$2:$C$3934,Table4[[#This Row],[customer_id]])</f>
        <v>8</v>
      </c>
      <c r="N2279" t="str">
        <f>IF(Table4[[#This Row],[customer_order_count]]=1,"New Customer","Repeat Customer")</f>
        <v>Repeat Customer</v>
      </c>
    </row>
    <row r="2280" spans="1:14">
      <c r="A2280" t="s">
        <v>1953</v>
      </c>
      <c r="B2280" s="1">
        <v>45641</v>
      </c>
      <c r="C2280" t="s">
        <v>108</v>
      </c>
      <c r="D2280" t="s">
        <v>109</v>
      </c>
      <c r="E2280" t="s">
        <v>106</v>
      </c>
      <c r="F2280" t="s">
        <v>28</v>
      </c>
      <c r="G2280" t="s">
        <v>114</v>
      </c>
      <c r="H2280">
        <v>2</v>
      </c>
      <c r="I2280" s="3">
        <v>44.45</v>
      </c>
      <c r="J2280" t="s">
        <v>16</v>
      </c>
      <c r="K2280" s="2" t="s">
        <v>5256</v>
      </c>
      <c r="L2280" s="4">
        <f>Table4[[#This Row],[quantity]]*Table4[[#This Row],[unit_price]]</f>
        <v>88.9</v>
      </c>
      <c r="M2280">
        <f>COUNTIFS($C$2:$C$3934,Table4[[#This Row],[customer_id]])</f>
        <v>4</v>
      </c>
      <c r="N2280" t="str">
        <f>IF(Table4[[#This Row],[customer_order_count]]=1,"New Customer","Repeat Customer")</f>
        <v>Repeat Customer</v>
      </c>
    </row>
    <row r="2281" spans="1:14">
      <c r="A2281" t="s">
        <v>4592</v>
      </c>
      <c r="B2281" s="1">
        <v>45369</v>
      </c>
      <c r="C2281" t="s">
        <v>2993</v>
      </c>
      <c r="D2281" t="s">
        <v>1065</v>
      </c>
      <c r="E2281" t="s">
        <v>21</v>
      </c>
      <c r="F2281" t="s">
        <v>70</v>
      </c>
      <c r="G2281" t="s">
        <v>110</v>
      </c>
      <c r="H2281">
        <v>2</v>
      </c>
      <c r="I2281" s="3">
        <v>44.48</v>
      </c>
      <c r="J2281" t="s">
        <v>16</v>
      </c>
      <c r="K2281" s="5" t="s">
        <v>30</v>
      </c>
      <c r="L2281" s="4">
        <f>Table4[[#This Row],[quantity]]*Table4[[#This Row],[unit_price]]</f>
        <v>88.96</v>
      </c>
      <c r="M2281">
        <f>COUNTIFS($C$2:$C$3934,Table4[[#This Row],[customer_id]])</f>
        <v>5</v>
      </c>
      <c r="N2281" t="str">
        <f>IF(Table4[[#This Row],[customer_order_count]]=1,"New Customer","Repeat Customer")</f>
        <v>Repeat Customer</v>
      </c>
    </row>
    <row r="2282" spans="1:14">
      <c r="A2282" t="s">
        <v>3534</v>
      </c>
      <c r="B2282" s="1">
        <v>45034</v>
      </c>
      <c r="C2282" t="s">
        <v>822</v>
      </c>
      <c r="D2282" t="s">
        <v>496</v>
      </c>
      <c r="E2282" t="s">
        <v>21</v>
      </c>
      <c r="F2282" t="s">
        <v>28</v>
      </c>
      <c r="G2282" t="s">
        <v>45</v>
      </c>
      <c r="H2282">
        <v>1</v>
      </c>
      <c r="I2282" s="3">
        <v>44.49</v>
      </c>
      <c r="J2282" t="s">
        <v>85</v>
      </c>
      <c r="K2282" t="s">
        <v>30</v>
      </c>
      <c r="L2282" s="4">
        <f>Table4[[#This Row],[quantity]]*Table4[[#This Row],[unit_price]]</f>
        <v>44.49</v>
      </c>
      <c r="M2282">
        <f>COUNTIFS($C$2:$C$3934,Table4[[#This Row],[customer_id]])</f>
        <v>6</v>
      </c>
      <c r="N2282" t="str">
        <f>IF(Table4[[#This Row],[customer_order_count]]=1,"New Customer","Repeat Customer")</f>
        <v>Repeat Customer</v>
      </c>
    </row>
    <row r="2283" spans="1:14">
      <c r="A2283" t="s">
        <v>1495</v>
      </c>
      <c r="B2283" s="1">
        <v>44999</v>
      </c>
      <c r="C2283" t="s">
        <v>737</v>
      </c>
      <c r="D2283" t="s">
        <v>612</v>
      </c>
      <c r="E2283" t="s">
        <v>21</v>
      </c>
      <c r="F2283" t="s">
        <v>22</v>
      </c>
      <c r="G2283" t="s">
        <v>23</v>
      </c>
      <c r="H2283">
        <v>1</v>
      </c>
      <c r="I2283" s="3">
        <v>44.55</v>
      </c>
      <c r="J2283" t="s">
        <v>16</v>
      </c>
      <c r="K2283" t="s">
        <v>35</v>
      </c>
      <c r="L2283" s="4">
        <f>Table4[[#This Row],[quantity]]*Table4[[#This Row],[unit_price]]</f>
        <v>44.55</v>
      </c>
      <c r="M2283">
        <f>COUNTIFS($C$2:$C$3934,Table4[[#This Row],[customer_id]])</f>
        <v>5</v>
      </c>
      <c r="N2283" t="str">
        <f>IF(Table4[[#This Row],[customer_order_count]]=1,"New Customer","Repeat Customer")</f>
        <v>Repeat Customer</v>
      </c>
    </row>
    <row r="2284" spans="1:14">
      <c r="A2284" t="s">
        <v>2716</v>
      </c>
      <c r="B2284" s="1">
        <v>45483</v>
      </c>
      <c r="C2284" t="s">
        <v>2717</v>
      </c>
      <c r="D2284" t="s">
        <v>173</v>
      </c>
      <c r="E2284" t="s">
        <v>21</v>
      </c>
      <c r="F2284" t="s">
        <v>22</v>
      </c>
      <c r="G2284" t="s">
        <v>162</v>
      </c>
      <c r="H2284">
        <v>2</v>
      </c>
      <c r="I2284" s="3">
        <v>44.56</v>
      </c>
      <c r="J2284" t="s">
        <v>16</v>
      </c>
      <c r="K2284" t="s">
        <v>35</v>
      </c>
      <c r="L2284" s="4">
        <f>Table4[[#This Row],[quantity]]*Table4[[#This Row],[unit_price]]</f>
        <v>89.12</v>
      </c>
      <c r="M2284">
        <f>COUNTIFS($C$2:$C$3934,Table4[[#This Row],[customer_id]])</f>
        <v>4</v>
      </c>
      <c r="N2284" t="str">
        <f>IF(Table4[[#This Row],[customer_order_count]]=1,"New Customer","Repeat Customer")</f>
        <v>Repeat Customer</v>
      </c>
    </row>
    <row r="2285" spans="1:14">
      <c r="A2285" t="s">
        <v>3466</v>
      </c>
      <c r="B2285" s="1">
        <v>44998</v>
      </c>
      <c r="C2285" t="s">
        <v>1516</v>
      </c>
      <c r="D2285" t="s">
        <v>1517</v>
      </c>
      <c r="E2285" t="s">
        <v>21</v>
      </c>
      <c r="F2285" t="s">
        <v>22</v>
      </c>
      <c r="G2285" t="s">
        <v>162</v>
      </c>
      <c r="H2285">
        <v>2</v>
      </c>
      <c r="I2285" s="3">
        <v>44.57</v>
      </c>
      <c r="J2285" t="s">
        <v>16</v>
      </c>
      <c r="K2285" t="s">
        <v>30</v>
      </c>
      <c r="L2285" s="4">
        <f>Table4[[#This Row],[quantity]]*Table4[[#This Row],[unit_price]]</f>
        <v>89.14</v>
      </c>
      <c r="M2285">
        <f>COUNTIFS($C$2:$C$3934,Table4[[#This Row],[customer_id]])</f>
        <v>6</v>
      </c>
      <c r="N2285" t="str">
        <f>IF(Table4[[#This Row],[customer_order_count]]=1,"New Customer","Repeat Customer")</f>
        <v>Repeat Customer</v>
      </c>
    </row>
    <row r="2286" spans="1:14">
      <c r="A2286" t="s">
        <v>936</v>
      </c>
      <c r="B2286" s="1">
        <v>45497</v>
      </c>
      <c r="C2286" t="s">
        <v>937</v>
      </c>
      <c r="D2286" t="s">
        <v>566</v>
      </c>
      <c r="E2286" t="s">
        <v>21</v>
      </c>
      <c r="F2286" t="s">
        <v>79</v>
      </c>
      <c r="G2286" t="s">
        <v>230</v>
      </c>
      <c r="H2286">
        <v>1</v>
      </c>
      <c r="I2286" s="3">
        <v>44.62</v>
      </c>
      <c r="J2286" t="s">
        <v>16</v>
      </c>
      <c r="K2286" t="s">
        <v>17</v>
      </c>
      <c r="L2286" s="4">
        <f>Table4[[#This Row],[quantity]]*Table4[[#This Row],[unit_price]]</f>
        <v>44.62</v>
      </c>
      <c r="M2286">
        <f>COUNTIFS($C$2:$C$3934,Table4[[#This Row],[customer_id]])</f>
        <v>7</v>
      </c>
      <c r="N2286" t="str">
        <f>IF(Table4[[#This Row],[customer_order_count]]=1,"New Customer","Repeat Customer")</f>
        <v>Repeat Customer</v>
      </c>
    </row>
    <row r="2287" spans="1:14">
      <c r="A2287" t="s">
        <v>1568</v>
      </c>
      <c r="B2287" s="1">
        <v>45378</v>
      </c>
      <c r="C2287" t="s">
        <v>228</v>
      </c>
      <c r="D2287" t="s">
        <v>229</v>
      </c>
      <c r="E2287" t="s">
        <v>21</v>
      </c>
      <c r="F2287" t="s">
        <v>22</v>
      </c>
      <c r="G2287" t="s">
        <v>142</v>
      </c>
      <c r="H2287">
        <v>1</v>
      </c>
      <c r="I2287" s="3">
        <v>44.66</v>
      </c>
      <c r="J2287" t="s">
        <v>16</v>
      </c>
      <c r="K2287" t="s">
        <v>35</v>
      </c>
      <c r="L2287" s="4">
        <f>Table4[[#This Row],[quantity]]*Table4[[#This Row],[unit_price]]</f>
        <v>44.66</v>
      </c>
      <c r="M2287">
        <f>COUNTIFS($C$2:$C$3934,Table4[[#This Row],[customer_id]])</f>
        <v>5</v>
      </c>
      <c r="N2287" t="str">
        <f>IF(Table4[[#This Row],[customer_order_count]]=1,"New Customer","Repeat Customer")</f>
        <v>Repeat Customer</v>
      </c>
    </row>
    <row r="2288" spans="1:14">
      <c r="A2288" t="s">
        <v>3292</v>
      </c>
      <c r="B2288" s="1">
        <v>45162</v>
      </c>
      <c r="C2288" t="s">
        <v>98</v>
      </c>
      <c r="D2288" t="s">
        <v>99</v>
      </c>
      <c r="E2288" t="s">
        <v>21</v>
      </c>
      <c r="F2288" t="s">
        <v>28</v>
      </c>
      <c r="G2288" t="s">
        <v>114</v>
      </c>
      <c r="H2288">
        <v>2</v>
      </c>
      <c r="I2288" s="3">
        <v>44.71</v>
      </c>
      <c r="J2288" t="s">
        <v>16</v>
      </c>
      <c r="K2288" t="s">
        <v>40</v>
      </c>
      <c r="L2288" s="4">
        <f>Table4[[#This Row],[quantity]]*Table4[[#This Row],[unit_price]]</f>
        <v>89.42</v>
      </c>
      <c r="M2288">
        <f>COUNTIFS($C$2:$C$3934,Table4[[#This Row],[customer_id]])</f>
        <v>7</v>
      </c>
      <c r="N2288" t="str">
        <f>IF(Table4[[#This Row],[customer_order_count]]=1,"New Customer","Repeat Customer")</f>
        <v>Repeat Customer</v>
      </c>
    </row>
    <row r="2289" spans="1:14">
      <c r="A2289" t="s">
        <v>2134</v>
      </c>
      <c r="B2289" s="1">
        <v>45192</v>
      </c>
      <c r="C2289" t="s">
        <v>1005</v>
      </c>
      <c r="D2289" t="s">
        <v>1006</v>
      </c>
      <c r="E2289" t="s">
        <v>21</v>
      </c>
      <c r="F2289" t="s">
        <v>28</v>
      </c>
      <c r="G2289" t="s">
        <v>114</v>
      </c>
      <c r="H2289">
        <v>4</v>
      </c>
      <c r="I2289" s="3">
        <v>44.74</v>
      </c>
      <c r="J2289" t="s">
        <v>16</v>
      </c>
      <c r="K2289" t="s">
        <v>17</v>
      </c>
      <c r="L2289" s="4">
        <f>Table4[[#This Row],[quantity]]*Table4[[#This Row],[unit_price]]</f>
        <v>178.96</v>
      </c>
      <c r="M2289">
        <f>COUNTIFS($C$2:$C$3934,Table4[[#This Row],[customer_id]])</f>
        <v>6</v>
      </c>
      <c r="N2289" t="str">
        <f>IF(Table4[[#This Row],[customer_order_count]]=1,"New Customer","Repeat Customer")</f>
        <v>Repeat Customer</v>
      </c>
    </row>
    <row r="2290" spans="1:14">
      <c r="A2290" t="s">
        <v>4071</v>
      </c>
      <c r="B2290" s="1">
        <v>45243</v>
      </c>
      <c r="C2290" t="s">
        <v>440</v>
      </c>
      <c r="D2290" t="s">
        <v>441</v>
      </c>
      <c r="E2290" t="s">
        <v>21</v>
      </c>
      <c r="F2290" t="s">
        <v>28</v>
      </c>
      <c r="G2290" t="s">
        <v>139</v>
      </c>
      <c r="H2290">
        <v>3</v>
      </c>
      <c r="I2290" s="3">
        <v>44.77</v>
      </c>
      <c r="J2290" t="s">
        <v>16</v>
      </c>
      <c r="K2290" t="s">
        <v>40</v>
      </c>
      <c r="L2290" s="4">
        <f>Table4[[#This Row],[quantity]]*Table4[[#This Row],[unit_price]]</f>
        <v>134.31</v>
      </c>
      <c r="M2290">
        <f>COUNTIFS($C$2:$C$3934,Table4[[#This Row],[customer_id]])</f>
        <v>5</v>
      </c>
      <c r="N2290" t="str">
        <f>IF(Table4[[#This Row],[customer_order_count]]=1,"New Customer","Repeat Customer")</f>
        <v>Repeat Customer</v>
      </c>
    </row>
    <row r="2291" spans="1:14">
      <c r="A2291" t="s">
        <v>154</v>
      </c>
      <c r="B2291" s="1">
        <v>45542</v>
      </c>
      <c r="C2291" t="s">
        <v>155</v>
      </c>
      <c r="D2291" t="s">
        <v>99</v>
      </c>
      <c r="E2291" t="s">
        <v>21</v>
      </c>
      <c r="F2291" t="s">
        <v>28</v>
      </c>
      <c r="G2291" t="s">
        <v>84</v>
      </c>
      <c r="H2291">
        <v>2</v>
      </c>
      <c r="I2291" s="3">
        <v>44.8</v>
      </c>
      <c r="J2291" t="s">
        <v>16</v>
      </c>
      <c r="K2291" t="s">
        <v>40</v>
      </c>
      <c r="L2291" s="4">
        <f>Table4[[#This Row],[quantity]]*Table4[[#This Row],[unit_price]]</f>
        <v>89.6</v>
      </c>
      <c r="M2291">
        <f>COUNTIFS($C$2:$C$3934,Table4[[#This Row],[customer_id]])</f>
        <v>6</v>
      </c>
      <c r="N2291" t="str">
        <f>IF(Table4[[#This Row],[customer_order_count]]=1,"New Customer","Repeat Customer")</f>
        <v>Repeat Customer</v>
      </c>
    </row>
    <row r="2292" spans="1:14">
      <c r="A2292" t="s">
        <v>4653</v>
      </c>
      <c r="B2292" s="1">
        <v>45305</v>
      </c>
      <c r="C2292" t="s">
        <v>3179</v>
      </c>
      <c r="D2292" t="s">
        <v>313</v>
      </c>
      <c r="E2292" t="s">
        <v>21</v>
      </c>
      <c r="F2292" t="s">
        <v>56</v>
      </c>
      <c r="G2292" t="s">
        <v>153</v>
      </c>
      <c r="H2292">
        <v>1</v>
      </c>
      <c r="I2292" s="3">
        <v>44.85</v>
      </c>
      <c r="J2292" t="s">
        <v>16</v>
      </c>
      <c r="K2292" t="s">
        <v>30</v>
      </c>
      <c r="L2292" s="4">
        <f>Table4[[#This Row],[quantity]]*Table4[[#This Row],[unit_price]]</f>
        <v>44.85</v>
      </c>
      <c r="M2292">
        <f>COUNTIFS($C$2:$C$3934,Table4[[#This Row],[customer_id]])</f>
        <v>4</v>
      </c>
      <c r="N2292" t="str">
        <f>IF(Table4[[#This Row],[customer_order_count]]=1,"New Customer","Repeat Customer")</f>
        <v>Repeat Customer</v>
      </c>
    </row>
    <row r="2293" spans="1:14">
      <c r="A2293" t="s">
        <v>4567</v>
      </c>
      <c r="B2293" s="1">
        <v>45371</v>
      </c>
      <c r="C2293" t="s">
        <v>2251</v>
      </c>
      <c r="D2293" t="s">
        <v>1748</v>
      </c>
      <c r="E2293" t="s">
        <v>61</v>
      </c>
      <c r="F2293" t="s">
        <v>70</v>
      </c>
      <c r="G2293" t="s">
        <v>146</v>
      </c>
      <c r="H2293">
        <v>1</v>
      </c>
      <c r="I2293" s="3">
        <v>44.85</v>
      </c>
      <c r="J2293" t="s">
        <v>16</v>
      </c>
      <c r="K2293" t="s">
        <v>40</v>
      </c>
      <c r="L2293" s="4">
        <f>Table4[[#This Row],[quantity]]*Table4[[#This Row],[unit_price]]</f>
        <v>44.85</v>
      </c>
      <c r="M2293">
        <f>COUNTIFS($C$2:$C$3934,Table4[[#This Row],[customer_id]])</f>
        <v>3</v>
      </c>
      <c r="N2293" t="str">
        <f>IF(Table4[[#This Row],[customer_order_count]]=1,"New Customer","Repeat Customer")</f>
        <v>Repeat Customer</v>
      </c>
    </row>
    <row r="2294" spans="1:14">
      <c r="A2294" t="s">
        <v>3086</v>
      </c>
      <c r="B2294" s="1">
        <v>45475</v>
      </c>
      <c r="C2294" t="s">
        <v>249</v>
      </c>
      <c r="D2294" t="s">
        <v>250</v>
      </c>
      <c r="E2294" t="s">
        <v>21</v>
      </c>
      <c r="F2294" t="s">
        <v>28</v>
      </c>
      <c r="G2294" t="s">
        <v>84</v>
      </c>
      <c r="H2294">
        <v>5</v>
      </c>
      <c r="I2294" s="3">
        <v>44.87</v>
      </c>
      <c r="J2294" t="s">
        <v>16</v>
      </c>
      <c r="K2294" t="s">
        <v>40</v>
      </c>
      <c r="L2294" s="4">
        <f>Table4[[#This Row],[quantity]]*Table4[[#This Row],[unit_price]]</f>
        <v>224.35</v>
      </c>
      <c r="M2294">
        <f>COUNTIFS($C$2:$C$3934,Table4[[#This Row],[customer_id]])</f>
        <v>12</v>
      </c>
      <c r="N2294" t="str">
        <f>IF(Table4[[#This Row],[customer_order_count]]=1,"New Customer","Repeat Customer")</f>
        <v>Repeat Customer</v>
      </c>
    </row>
    <row r="2295" spans="1:14">
      <c r="A2295" t="s">
        <v>4504</v>
      </c>
      <c r="B2295" s="1">
        <v>45332</v>
      </c>
      <c r="C2295" t="s">
        <v>4505</v>
      </c>
      <c r="D2295" t="s">
        <v>1103</v>
      </c>
      <c r="E2295" t="s">
        <v>21</v>
      </c>
      <c r="F2295" t="s">
        <v>70</v>
      </c>
      <c r="G2295" t="s">
        <v>526</v>
      </c>
      <c r="H2295">
        <v>1</v>
      </c>
      <c r="I2295" s="3">
        <v>44.88</v>
      </c>
      <c r="J2295" t="s">
        <v>16</v>
      </c>
      <c r="K2295" t="s">
        <v>17</v>
      </c>
      <c r="L2295" s="4">
        <f>Table4[[#This Row],[quantity]]*Table4[[#This Row],[unit_price]]</f>
        <v>44.88</v>
      </c>
      <c r="M2295">
        <f>COUNTIFS($C$2:$C$3934,Table4[[#This Row],[customer_id]])</f>
        <v>3</v>
      </c>
      <c r="N2295" t="str">
        <f>IF(Table4[[#This Row],[customer_order_count]]=1,"New Customer","Repeat Customer")</f>
        <v>Repeat Customer</v>
      </c>
    </row>
    <row r="2296" spans="1:14">
      <c r="A2296" t="s">
        <v>4858</v>
      </c>
      <c r="B2296" s="1">
        <v>45127</v>
      </c>
      <c r="C2296" t="s">
        <v>2209</v>
      </c>
      <c r="D2296" t="s">
        <v>1080</v>
      </c>
      <c r="E2296" t="s">
        <v>21</v>
      </c>
      <c r="F2296" t="s">
        <v>70</v>
      </c>
      <c r="G2296" t="s">
        <v>170</v>
      </c>
      <c r="H2296">
        <v>1</v>
      </c>
      <c r="I2296" s="3">
        <v>44.89</v>
      </c>
      <c r="J2296" t="s">
        <v>16</v>
      </c>
      <c r="K2296" s="2" t="s">
        <v>5256</v>
      </c>
      <c r="L2296" s="4">
        <f>Table4[[#This Row],[quantity]]*Table4[[#This Row],[unit_price]]</f>
        <v>44.89</v>
      </c>
      <c r="M2296">
        <f>COUNTIFS($C$2:$C$3934,Table4[[#This Row],[customer_id]])</f>
        <v>6</v>
      </c>
      <c r="N2296" t="str">
        <f>IF(Table4[[#This Row],[customer_order_count]]=1,"New Customer","Repeat Customer")</f>
        <v>Repeat Customer</v>
      </c>
    </row>
    <row r="2297" spans="1:14">
      <c r="A2297" t="s">
        <v>3343</v>
      </c>
      <c r="B2297" s="1">
        <v>45231</v>
      </c>
      <c r="C2297" t="s">
        <v>3344</v>
      </c>
      <c r="D2297" t="s">
        <v>725</v>
      </c>
      <c r="E2297" t="s">
        <v>44</v>
      </c>
      <c r="F2297" t="s">
        <v>14</v>
      </c>
      <c r="G2297" t="s">
        <v>100</v>
      </c>
      <c r="H2297">
        <v>1</v>
      </c>
      <c r="I2297" s="3">
        <v>44.89</v>
      </c>
      <c r="J2297" t="s">
        <v>16</v>
      </c>
      <c r="K2297" s="5" t="s">
        <v>17</v>
      </c>
      <c r="L2297" s="4">
        <f>Table4[[#This Row],[quantity]]*Table4[[#This Row],[unit_price]]</f>
        <v>44.89</v>
      </c>
      <c r="M2297">
        <f>COUNTIFS($C$2:$C$3934,Table4[[#This Row],[customer_id]])</f>
        <v>4</v>
      </c>
      <c r="N2297" t="str">
        <f>IF(Table4[[#This Row],[customer_order_count]]=1,"New Customer","Repeat Customer")</f>
        <v>Repeat Customer</v>
      </c>
    </row>
    <row r="2298" spans="1:14">
      <c r="A2298" t="s">
        <v>3000</v>
      </c>
      <c r="B2298" s="1">
        <v>45387</v>
      </c>
      <c r="C2298" t="s">
        <v>2340</v>
      </c>
      <c r="D2298" t="s">
        <v>1000</v>
      </c>
      <c r="E2298" t="s">
        <v>44</v>
      </c>
      <c r="F2298" t="s">
        <v>28</v>
      </c>
      <c r="G2298" t="s">
        <v>114</v>
      </c>
      <c r="H2298">
        <v>1</v>
      </c>
      <c r="I2298" s="3">
        <v>44.9</v>
      </c>
      <c r="J2298" t="s">
        <v>16</v>
      </c>
      <c r="K2298" t="s">
        <v>40</v>
      </c>
      <c r="L2298" s="4">
        <f>Table4[[#This Row],[quantity]]*Table4[[#This Row],[unit_price]]</f>
        <v>44.9</v>
      </c>
      <c r="M2298">
        <f>COUNTIFS($C$2:$C$3934,Table4[[#This Row],[customer_id]])</f>
        <v>4</v>
      </c>
      <c r="N2298" t="str">
        <f>IF(Table4[[#This Row],[customer_order_count]]=1,"New Customer","Repeat Customer")</f>
        <v>Repeat Customer</v>
      </c>
    </row>
    <row r="2299" spans="1:14">
      <c r="A2299" t="s">
        <v>4569</v>
      </c>
      <c r="B2299" s="1">
        <v>45135</v>
      </c>
      <c r="C2299" t="s">
        <v>1937</v>
      </c>
      <c r="D2299" t="s">
        <v>1938</v>
      </c>
      <c r="E2299" t="s">
        <v>44</v>
      </c>
      <c r="F2299" t="s">
        <v>56</v>
      </c>
      <c r="G2299" t="s">
        <v>75</v>
      </c>
      <c r="H2299">
        <v>3</v>
      </c>
      <c r="I2299" s="3">
        <v>44.91</v>
      </c>
      <c r="J2299" t="s">
        <v>16</v>
      </c>
      <c r="K2299" t="s">
        <v>30</v>
      </c>
      <c r="L2299" s="4">
        <f>Table4[[#This Row],[quantity]]*Table4[[#This Row],[unit_price]]</f>
        <v>134.72999999999999</v>
      </c>
      <c r="M2299">
        <f>COUNTIFS($C$2:$C$3934,Table4[[#This Row],[customer_id]])</f>
        <v>4</v>
      </c>
      <c r="N2299" t="str">
        <f>IF(Table4[[#This Row],[customer_order_count]]=1,"New Customer","Repeat Customer")</f>
        <v>Repeat Customer</v>
      </c>
    </row>
    <row r="2300" spans="1:14">
      <c r="A2300" t="s">
        <v>3018</v>
      </c>
      <c r="B2300" s="1">
        <v>45560</v>
      </c>
      <c r="C2300" t="s">
        <v>1064</v>
      </c>
      <c r="D2300" t="s">
        <v>1065</v>
      </c>
      <c r="E2300" t="s">
        <v>21</v>
      </c>
      <c r="F2300" t="s">
        <v>28</v>
      </c>
      <c r="G2300" t="s">
        <v>114</v>
      </c>
      <c r="H2300">
        <v>1</v>
      </c>
      <c r="I2300" s="3">
        <v>44.94</v>
      </c>
      <c r="J2300" t="s">
        <v>16</v>
      </c>
      <c r="K2300" t="s">
        <v>17</v>
      </c>
      <c r="L2300" s="4">
        <f>Table4[[#This Row],[quantity]]*Table4[[#This Row],[unit_price]]</f>
        <v>44.94</v>
      </c>
      <c r="M2300">
        <f>COUNTIFS($C$2:$C$3934,Table4[[#This Row],[customer_id]])</f>
        <v>7</v>
      </c>
      <c r="N2300" t="str">
        <f>IF(Table4[[#This Row],[customer_order_count]]=1,"New Customer","Repeat Customer")</f>
        <v>Repeat Customer</v>
      </c>
    </row>
    <row r="2301" spans="1:14">
      <c r="A2301" t="s">
        <v>3328</v>
      </c>
      <c r="B2301" s="1">
        <v>45407</v>
      </c>
      <c r="C2301" t="s">
        <v>2331</v>
      </c>
      <c r="D2301" t="s">
        <v>165</v>
      </c>
      <c r="E2301" t="s">
        <v>21</v>
      </c>
      <c r="F2301" t="s">
        <v>22</v>
      </c>
      <c r="G2301" t="s">
        <v>162</v>
      </c>
      <c r="H2301">
        <v>1</v>
      </c>
      <c r="I2301" s="3">
        <v>44.95</v>
      </c>
      <c r="J2301" t="s">
        <v>16</v>
      </c>
      <c r="K2301" t="s">
        <v>17</v>
      </c>
      <c r="L2301" s="4">
        <f>Table4[[#This Row],[quantity]]*Table4[[#This Row],[unit_price]]</f>
        <v>44.95</v>
      </c>
      <c r="M2301">
        <f>COUNTIFS($C$2:$C$3934,Table4[[#This Row],[customer_id]])</f>
        <v>5</v>
      </c>
      <c r="N2301" t="str">
        <f>IF(Table4[[#This Row],[customer_order_count]]=1,"New Customer","Repeat Customer")</f>
        <v>Repeat Customer</v>
      </c>
    </row>
    <row r="2302" spans="1:14">
      <c r="A2302" t="s">
        <v>4340</v>
      </c>
      <c r="B2302" s="1">
        <v>45535</v>
      </c>
      <c r="C2302" t="s">
        <v>37</v>
      </c>
      <c r="D2302" t="s">
        <v>38</v>
      </c>
      <c r="E2302" t="s">
        <v>44</v>
      </c>
      <c r="F2302" t="s">
        <v>56</v>
      </c>
      <c r="G2302" t="s">
        <v>422</v>
      </c>
      <c r="H2302">
        <v>1</v>
      </c>
      <c r="I2302" s="3">
        <v>44.99</v>
      </c>
      <c r="J2302" t="s">
        <v>16</v>
      </c>
      <c r="K2302" t="s">
        <v>30</v>
      </c>
      <c r="L2302" s="4">
        <f>Table4[[#This Row],[quantity]]*Table4[[#This Row],[unit_price]]</f>
        <v>44.99</v>
      </c>
      <c r="M2302">
        <f>COUNTIFS($C$2:$C$3934,Table4[[#This Row],[customer_id]])</f>
        <v>7</v>
      </c>
      <c r="N2302" t="str">
        <f>IF(Table4[[#This Row],[customer_order_count]]=1,"New Customer","Repeat Customer")</f>
        <v>Repeat Customer</v>
      </c>
    </row>
    <row r="2303" spans="1:14">
      <c r="A2303" t="s">
        <v>2094</v>
      </c>
      <c r="B2303" s="1">
        <v>45347</v>
      </c>
      <c r="C2303" t="s">
        <v>1815</v>
      </c>
      <c r="D2303" t="s">
        <v>684</v>
      </c>
      <c r="E2303" t="s">
        <v>21</v>
      </c>
      <c r="F2303" t="s">
        <v>22</v>
      </c>
      <c r="G2303" t="s">
        <v>23</v>
      </c>
      <c r="H2303">
        <v>2</v>
      </c>
      <c r="I2303" s="3">
        <v>44.99</v>
      </c>
      <c r="J2303" t="s">
        <v>16</v>
      </c>
      <c r="K2303" t="s">
        <v>40</v>
      </c>
      <c r="L2303" s="4">
        <f>Table4[[#This Row],[quantity]]*Table4[[#This Row],[unit_price]]</f>
        <v>89.98</v>
      </c>
      <c r="M2303">
        <f>COUNTIFS($C$2:$C$3934,Table4[[#This Row],[customer_id]])</f>
        <v>8</v>
      </c>
      <c r="N2303" t="str">
        <f>IF(Table4[[#This Row],[customer_order_count]]=1,"New Customer","Repeat Customer")</f>
        <v>Repeat Customer</v>
      </c>
    </row>
    <row r="2304" spans="1:14">
      <c r="A2304" t="s">
        <v>2367</v>
      </c>
      <c r="B2304" s="1">
        <v>45636</v>
      </c>
      <c r="C2304" t="s">
        <v>1790</v>
      </c>
      <c r="D2304" t="s">
        <v>452</v>
      </c>
      <c r="E2304" t="s">
        <v>21</v>
      </c>
      <c r="F2304" t="s">
        <v>56</v>
      </c>
      <c r="G2304" t="s">
        <v>422</v>
      </c>
      <c r="H2304">
        <v>1</v>
      </c>
      <c r="I2304" s="3">
        <v>45.02</v>
      </c>
      <c r="J2304" t="s">
        <v>16</v>
      </c>
      <c r="K2304" t="s">
        <v>17</v>
      </c>
      <c r="L2304" s="4">
        <f>Table4[[#This Row],[quantity]]*Table4[[#This Row],[unit_price]]</f>
        <v>45.02</v>
      </c>
      <c r="M2304">
        <f>COUNTIFS($C$2:$C$3934,Table4[[#This Row],[customer_id]])</f>
        <v>2</v>
      </c>
      <c r="N2304" t="str">
        <f>IF(Table4[[#This Row],[customer_order_count]]=1,"New Customer","Repeat Customer")</f>
        <v>Repeat Customer</v>
      </c>
    </row>
    <row r="2305" spans="1:14">
      <c r="A2305" t="s">
        <v>3977</v>
      </c>
      <c r="B2305" s="1">
        <v>45176</v>
      </c>
      <c r="C2305" t="s">
        <v>657</v>
      </c>
      <c r="D2305" t="s">
        <v>609</v>
      </c>
      <c r="E2305" t="s">
        <v>21</v>
      </c>
      <c r="F2305" t="s">
        <v>70</v>
      </c>
      <c r="G2305" t="s">
        <v>89</v>
      </c>
      <c r="H2305">
        <v>2</v>
      </c>
      <c r="I2305" s="3">
        <v>45.02</v>
      </c>
      <c r="J2305" t="s">
        <v>16</v>
      </c>
      <c r="K2305" t="s">
        <v>40</v>
      </c>
      <c r="L2305" s="4">
        <f>Table4[[#This Row],[quantity]]*Table4[[#This Row],[unit_price]]</f>
        <v>90.04</v>
      </c>
      <c r="M2305">
        <f>COUNTIFS($C$2:$C$3934,Table4[[#This Row],[customer_id]])</f>
        <v>5</v>
      </c>
      <c r="N2305" t="str">
        <f>IF(Table4[[#This Row],[customer_order_count]]=1,"New Customer","Repeat Customer")</f>
        <v>Repeat Customer</v>
      </c>
    </row>
    <row r="2306" spans="1:14">
      <c r="A2306" t="s">
        <v>753</v>
      </c>
      <c r="B2306" s="1">
        <v>45366</v>
      </c>
      <c r="C2306" t="s">
        <v>168</v>
      </c>
      <c r="D2306" s="2" t="s">
        <v>5257</v>
      </c>
      <c r="E2306" t="s">
        <v>21</v>
      </c>
      <c r="F2306" t="s">
        <v>14</v>
      </c>
      <c r="G2306" t="s">
        <v>39</v>
      </c>
      <c r="H2306">
        <v>3</v>
      </c>
      <c r="I2306" s="3">
        <v>45.06</v>
      </c>
      <c r="J2306" t="s">
        <v>16</v>
      </c>
      <c r="K2306" t="s">
        <v>40</v>
      </c>
      <c r="L2306" s="4">
        <f>Table4[[#This Row],[quantity]]*Table4[[#This Row],[unit_price]]</f>
        <v>135.18</v>
      </c>
      <c r="M2306">
        <f>COUNTIFS($C$2:$C$3934,Table4[[#This Row],[customer_id]])</f>
        <v>6</v>
      </c>
      <c r="N2306" t="str">
        <f>IF(Table4[[#This Row],[customer_order_count]]=1,"New Customer","Repeat Customer")</f>
        <v>Repeat Customer</v>
      </c>
    </row>
    <row r="2307" spans="1:14">
      <c r="A2307" t="s">
        <v>1438</v>
      </c>
      <c r="B2307" s="1">
        <v>45230</v>
      </c>
      <c r="C2307" t="s">
        <v>1439</v>
      </c>
      <c r="D2307" s="5" t="s">
        <v>1440</v>
      </c>
      <c r="E2307" t="s">
        <v>21</v>
      </c>
      <c r="F2307" t="s">
        <v>70</v>
      </c>
      <c r="G2307" t="s">
        <v>526</v>
      </c>
      <c r="H2307">
        <v>4</v>
      </c>
      <c r="I2307" s="3">
        <v>45.07</v>
      </c>
      <c r="J2307" t="s">
        <v>16</v>
      </c>
      <c r="K2307" t="s">
        <v>17</v>
      </c>
      <c r="L2307" s="4">
        <f>Table4[[#This Row],[quantity]]*Table4[[#This Row],[unit_price]]</f>
        <v>180.28</v>
      </c>
      <c r="M2307">
        <f>COUNTIFS($C$2:$C$3934,Table4[[#This Row],[customer_id]])</f>
        <v>5</v>
      </c>
      <c r="N2307" t="str">
        <f>IF(Table4[[#This Row],[customer_order_count]]=1,"New Customer","Repeat Customer")</f>
        <v>Repeat Customer</v>
      </c>
    </row>
    <row r="2308" spans="1:14">
      <c r="A2308" t="s">
        <v>3880</v>
      </c>
      <c r="B2308" s="1">
        <v>45029</v>
      </c>
      <c r="C2308" t="s">
        <v>3179</v>
      </c>
      <c r="D2308" t="s">
        <v>313</v>
      </c>
      <c r="E2308" t="s">
        <v>21</v>
      </c>
      <c r="F2308" t="s">
        <v>14</v>
      </c>
      <c r="G2308" t="s">
        <v>100</v>
      </c>
      <c r="H2308">
        <v>2</v>
      </c>
      <c r="I2308" s="3">
        <v>45.1</v>
      </c>
      <c r="J2308" t="s">
        <v>24</v>
      </c>
      <c r="K2308" t="s">
        <v>35</v>
      </c>
      <c r="L2308" s="4">
        <f>Table4[[#This Row],[quantity]]*Table4[[#This Row],[unit_price]]</f>
        <v>90.2</v>
      </c>
      <c r="M2308">
        <f>COUNTIFS($C$2:$C$3934,Table4[[#This Row],[customer_id]])</f>
        <v>4</v>
      </c>
      <c r="N2308" t="str">
        <f>IF(Table4[[#This Row],[customer_order_count]]=1,"New Customer","Repeat Customer")</f>
        <v>Repeat Customer</v>
      </c>
    </row>
    <row r="2309" spans="1:14">
      <c r="A2309" t="s">
        <v>3217</v>
      </c>
      <c r="B2309" s="1">
        <v>44928</v>
      </c>
      <c r="C2309" t="s">
        <v>2448</v>
      </c>
      <c r="D2309" t="s">
        <v>903</v>
      </c>
      <c r="E2309" t="s">
        <v>44</v>
      </c>
      <c r="F2309" t="s">
        <v>70</v>
      </c>
      <c r="G2309" t="s">
        <v>146</v>
      </c>
      <c r="H2309">
        <v>2</v>
      </c>
      <c r="I2309" s="3">
        <v>45.14</v>
      </c>
      <c r="J2309" t="s">
        <v>16</v>
      </c>
      <c r="K2309" t="s">
        <v>40</v>
      </c>
      <c r="L2309" s="4">
        <f>Table4[[#This Row],[quantity]]*Table4[[#This Row],[unit_price]]</f>
        <v>90.28</v>
      </c>
      <c r="M2309">
        <f>COUNTIFS($C$2:$C$3934,Table4[[#This Row],[customer_id]])</f>
        <v>4</v>
      </c>
      <c r="N2309" t="str">
        <f>IF(Table4[[#This Row],[customer_order_count]]=1,"New Customer","Repeat Customer")</f>
        <v>Repeat Customer</v>
      </c>
    </row>
    <row r="2310" spans="1:14">
      <c r="A2310" t="s">
        <v>685</v>
      </c>
      <c r="B2310" s="1">
        <v>45291</v>
      </c>
      <c r="C2310" t="s">
        <v>551</v>
      </c>
      <c r="D2310" t="s">
        <v>220</v>
      </c>
      <c r="E2310" t="s">
        <v>21</v>
      </c>
      <c r="F2310" t="s">
        <v>79</v>
      </c>
      <c r="G2310" t="s">
        <v>166</v>
      </c>
      <c r="H2310">
        <v>5</v>
      </c>
      <c r="I2310" s="3">
        <v>45.14</v>
      </c>
      <c r="J2310" t="s">
        <v>85</v>
      </c>
      <c r="K2310" t="s">
        <v>35</v>
      </c>
      <c r="L2310" s="4">
        <f>Table4[[#This Row],[quantity]]*Table4[[#This Row],[unit_price]]</f>
        <v>225.7</v>
      </c>
      <c r="M2310">
        <f>COUNTIFS($C$2:$C$3934,Table4[[#This Row],[customer_id]])</f>
        <v>8</v>
      </c>
      <c r="N2310" t="str">
        <f>IF(Table4[[#This Row],[customer_order_count]]=1,"New Customer","Repeat Customer")</f>
        <v>Repeat Customer</v>
      </c>
    </row>
    <row r="2311" spans="1:14">
      <c r="A2311" t="s">
        <v>3680</v>
      </c>
      <c r="B2311" s="1">
        <v>45381</v>
      </c>
      <c r="C2311" t="s">
        <v>696</v>
      </c>
      <c r="D2311" t="s">
        <v>582</v>
      </c>
      <c r="E2311" t="s">
        <v>21</v>
      </c>
      <c r="F2311" t="s">
        <v>14</v>
      </c>
      <c r="G2311" t="s">
        <v>100</v>
      </c>
      <c r="H2311">
        <v>1</v>
      </c>
      <c r="I2311" s="3">
        <v>45.16</v>
      </c>
      <c r="J2311" t="s">
        <v>16</v>
      </c>
      <c r="K2311" t="s">
        <v>40</v>
      </c>
      <c r="L2311" s="4">
        <f>Table4[[#This Row],[quantity]]*Table4[[#This Row],[unit_price]]</f>
        <v>45.16</v>
      </c>
      <c r="M2311">
        <f>COUNTIFS($C$2:$C$3934,Table4[[#This Row],[customer_id]])</f>
        <v>12</v>
      </c>
      <c r="N2311" t="str">
        <f>IF(Table4[[#This Row],[customer_order_count]]=1,"New Customer","Repeat Customer")</f>
        <v>Repeat Customer</v>
      </c>
    </row>
    <row r="2312" spans="1:14">
      <c r="A2312" t="s">
        <v>1883</v>
      </c>
      <c r="B2312" s="1">
        <v>45448</v>
      </c>
      <c r="C2312" t="s">
        <v>1884</v>
      </c>
      <c r="D2312" t="s">
        <v>478</v>
      </c>
      <c r="E2312" t="s">
        <v>21</v>
      </c>
      <c r="F2312" t="s">
        <v>70</v>
      </c>
      <c r="G2312" t="s">
        <v>170</v>
      </c>
      <c r="H2312">
        <v>1</v>
      </c>
      <c r="I2312" s="3">
        <v>45.18</v>
      </c>
      <c r="J2312" t="s">
        <v>16</v>
      </c>
      <c r="K2312" t="s">
        <v>30</v>
      </c>
      <c r="L2312" s="4">
        <f>Table4[[#This Row],[quantity]]*Table4[[#This Row],[unit_price]]</f>
        <v>45.18</v>
      </c>
      <c r="M2312">
        <f>COUNTIFS($C$2:$C$3934,Table4[[#This Row],[customer_id]])</f>
        <v>6</v>
      </c>
      <c r="N2312" t="str">
        <f>IF(Table4[[#This Row],[customer_order_count]]=1,"New Customer","Repeat Customer")</f>
        <v>Repeat Customer</v>
      </c>
    </row>
    <row r="2313" spans="1:14">
      <c r="A2313" t="s">
        <v>182</v>
      </c>
      <c r="B2313" s="1">
        <v>45581</v>
      </c>
      <c r="C2313" t="s">
        <v>183</v>
      </c>
      <c r="D2313" s="2" t="s">
        <v>5257</v>
      </c>
      <c r="E2313" t="s">
        <v>21</v>
      </c>
      <c r="F2313" t="s">
        <v>70</v>
      </c>
      <c r="G2313" t="s">
        <v>170</v>
      </c>
      <c r="H2313">
        <v>2</v>
      </c>
      <c r="I2313" s="3">
        <v>45.196624999999997</v>
      </c>
      <c r="J2313" t="s">
        <v>16</v>
      </c>
      <c r="K2313" t="s">
        <v>35</v>
      </c>
      <c r="L2313" s="4">
        <f>Table4[[#This Row],[quantity]]*Table4[[#This Row],[unit_price]]</f>
        <v>90.393249999999995</v>
      </c>
      <c r="M2313">
        <f>COUNTIFS($C$2:$C$3934,Table4[[#This Row],[customer_id]])</f>
        <v>7</v>
      </c>
      <c r="N2313" t="str">
        <f>IF(Table4[[#This Row],[customer_order_count]]=1,"New Customer","Repeat Customer")</f>
        <v>Repeat Customer</v>
      </c>
    </row>
    <row r="2314" spans="1:14">
      <c r="A2314" t="s">
        <v>4442</v>
      </c>
      <c r="B2314" s="1">
        <v>45315</v>
      </c>
      <c r="C2314" t="s">
        <v>780</v>
      </c>
      <c r="D2314" s="5" t="s">
        <v>237</v>
      </c>
      <c r="E2314" t="s">
        <v>44</v>
      </c>
      <c r="F2314" t="s">
        <v>79</v>
      </c>
      <c r="G2314" t="s">
        <v>200</v>
      </c>
      <c r="H2314">
        <v>1</v>
      </c>
      <c r="I2314" s="3">
        <v>45.21</v>
      </c>
      <c r="J2314" t="s">
        <v>85</v>
      </c>
      <c r="K2314" t="s">
        <v>35</v>
      </c>
      <c r="L2314" s="4">
        <f>Table4[[#This Row],[quantity]]*Table4[[#This Row],[unit_price]]</f>
        <v>45.21</v>
      </c>
      <c r="M2314">
        <f>COUNTIFS($C$2:$C$3934,Table4[[#This Row],[customer_id]])</f>
        <v>6</v>
      </c>
      <c r="N2314" t="str">
        <f>IF(Table4[[#This Row],[customer_order_count]]=1,"New Customer","Repeat Customer")</f>
        <v>Repeat Customer</v>
      </c>
    </row>
    <row r="2315" spans="1:14">
      <c r="A2315" t="s">
        <v>2252</v>
      </c>
      <c r="B2315" s="1">
        <v>44998</v>
      </c>
      <c r="C2315" t="s">
        <v>2253</v>
      </c>
      <c r="D2315" t="s">
        <v>986</v>
      </c>
      <c r="E2315" t="s">
        <v>44</v>
      </c>
      <c r="F2315" t="s">
        <v>14</v>
      </c>
      <c r="G2315" t="s">
        <v>62</v>
      </c>
      <c r="H2315">
        <v>1</v>
      </c>
      <c r="I2315" s="3">
        <v>45.28</v>
      </c>
      <c r="J2315" t="s">
        <v>16</v>
      </c>
      <c r="K2315" t="s">
        <v>40</v>
      </c>
      <c r="L2315" s="4">
        <f>Table4[[#This Row],[quantity]]*Table4[[#This Row],[unit_price]]</f>
        <v>45.28</v>
      </c>
      <c r="M2315">
        <f>COUNTIFS($C$2:$C$3934,Table4[[#This Row],[customer_id]])</f>
        <v>3</v>
      </c>
      <c r="N2315" t="str">
        <f>IF(Table4[[#This Row],[customer_order_count]]=1,"New Customer","Repeat Customer")</f>
        <v>Repeat Customer</v>
      </c>
    </row>
    <row r="2316" spans="1:14">
      <c r="A2316" t="s">
        <v>3849</v>
      </c>
      <c r="B2316" s="1">
        <v>45168</v>
      </c>
      <c r="C2316" t="s">
        <v>528</v>
      </c>
      <c r="D2316" t="s">
        <v>529</v>
      </c>
      <c r="E2316" t="s">
        <v>21</v>
      </c>
      <c r="F2316" t="s">
        <v>70</v>
      </c>
      <c r="G2316" t="s">
        <v>337</v>
      </c>
      <c r="H2316">
        <v>1</v>
      </c>
      <c r="I2316" s="3">
        <v>45.29</v>
      </c>
      <c r="J2316" t="s">
        <v>16</v>
      </c>
      <c r="K2316" t="s">
        <v>35</v>
      </c>
      <c r="L2316" s="4">
        <f>Table4[[#This Row],[quantity]]*Table4[[#This Row],[unit_price]]</f>
        <v>45.29</v>
      </c>
      <c r="M2316">
        <f>COUNTIFS($C$2:$C$3934,Table4[[#This Row],[customer_id]])</f>
        <v>3</v>
      </c>
      <c r="N2316" t="str">
        <f>IF(Table4[[#This Row],[customer_order_count]]=1,"New Customer","Repeat Customer")</f>
        <v>Repeat Customer</v>
      </c>
    </row>
    <row r="2317" spans="1:14">
      <c r="A2317" t="s">
        <v>4963</v>
      </c>
      <c r="B2317" s="1">
        <v>45631</v>
      </c>
      <c r="C2317" t="s">
        <v>916</v>
      </c>
      <c r="D2317" t="s">
        <v>917</v>
      </c>
      <c r="E2317" t="s">
        <v>21</v>
      </c>
      <c r="F2317" t="s">
        <v>14</v>
      </c>
      <c r="G2317" t="s">
        <v>258</v>
      </c>
      <c r="H2317">
        <v>1</v>
      </c>
      <c r="I2317" s="3">
        <v>45.35</v>
      </c>
      <c r="J2317" t="s">
        <v>16</v>
      </c>
      <c r="K2317" t="s">
        <v>30</v>
      </c>
      <c r="L2317" s="4">
        <f>Table4[[#This Row],[quantity]]*Table4[[#This Row],[unit_price]]</f>
        <v>45.35</v>
      </c>
      <c r="M2317">
        <f>COUNTIFS($C$2:$C$3934,Table4[[#This Row],[customer_id]])</f>
        <v>3</v>
      </c>
      <c r="N2317" t="str">
        <f>IF(Table4[[#This Row],[customer_order_count]]=1,"New Customer","Repeat Customer")</f>
        <v>Repeat Customer</v>
      </c>
    </row>
    <row r="2318" spans="1:14">
      <c r="A2318" t="s">
        <v>1559</v>
      </c>
      <c r="B2318" s="1">
        <v>45331</v>
      </c>
      <c r="C2318" t="s">
        <v>591</v>
      </c>
      <c r="D2318" t="s">
        <v>592</v>
      </c>
      <c r="E2318" t="s">
        <v>21</v>
      </c>
      <c r="F2318" t="s">
        <v>56</v>
      </c>
      <c r="G2318" t="s">
        <v>254</v>
      </c>
      <c r="H2318">
        <v>1</v>
      </c>
      <c r="I2318" s="3">
        <v>45.43</v>
      </c>
      <c r="J2318" t="s">
        <v>255</v>
      </c>
      <c r="K2318" t="s">
        <v>40</v>
      </c>
      <c r="L2318" s="4">
        <f>Table4[[#This Row],[quantity]]*Table4[[#This Row],[unit_price]]</f>
        <v>45.43</v>
      </c>
      <c r="M2318">
        <f>COUNTIFS($C$2:$C$3934,Table4[[#This Row],[customer_id]])</f>
        <v>6</v>
      </c>
      <c r="N2318" t="str">
        <f>IF(Table4[[#This Row],[customer_order_count]]=1,"New Customer","Repeat Customer")</f>
        <v>Repeat Customer</v>
      </c>
    </row>
    <row r="2319" spans="1:14">
      <c r="A2319" t="s">
        <v>5119</v>
      </c>
      <c r="B2319" s="1">
        <v>45337</v>
      </c>
      <c r="C2319" t="s">
        <v>3209</v>
      </c>
      <c r="D2319" t="s">
        <v>1430</v>
      </c>
      <c r="E2319" t="s">
        <v>21</v>
      </c>
      <c r="F2319" t="s">
        <v>56</v>
      </c>
      <c r="G2319" t="s">
        <v>422</v>
      </c>
      <c r="H2319">
        <v>1</v>
      </c>
      <c r="I2319" s="3">
        <v>45.44</v>
      </c>
      <c r="J2319" t="s">
        <v>16</v>
      </c>
      <c r="K2319" t="s">
        <v>30</v>
      </c>
      <c r="L2319" s="4">
        <f>Table4[[#This Row],[quantity]]*Table4[[#This Row],[unit_price]]</f>
        <v>45.44</v>
      </c>
      <c r="M2319">
        <f>COUNTIFS($C$2:$C$3934,Table4[[#This Row],[customer_id]])</f>
        <v>7</v>
      </c>
      <c r="N2319" t="str">
        <f>IF(Table4[[#This Row],[customer_order_count]]=1,"New Customer","Repeat Customer")</f>
        <v>Repeat Customer</v>
      </c>
    </row>
    <row r="2320" spans="1:14">
      <c r="A2320" t="s">
        <v>1978</v>
      </c>
      <c r="B2320" s="1">
        <v>45521</v>
      </c>
      <c r="C2320" t="s">
        <v>752</v>
      </c>
      <c r="D2320" t="s">
        <v>452</v>
      </c>
      <c r="E2320" t="s">
        <v>21</v>
      </c>
      <c r="F2320" t="s">
        <v>56</v>
      </c>
      <c r="G2320" t="s">
        <v>118</v>
      </c>
      <c r="H2320">
        <v>1</v>
      </c>
      <c r="I2320" s="3">
        <v>45.45</v>
      </c>
      <c r="J2320" t="s">
        <v>85</v>
      </c>
      <c r="K2320" t="s">
        <v>30</v>
      </c>
      <c r="L2320" s="4">
        <f>Table4[[#This Row],[quantity]]*Table4[[#This Row],[unit_price]]</f>
        <v>45.45</v>
      </c>
      <c r="M2320">
        <f>COUNTIFS($C$2:$C$3934,Table4[[#This Row],[customer_id]])</f>
        <v>7</v>
      </c>
      <c r="N2320" t="str">
        <f>IF(Table4[[#This Row],[customer_order_count]]=1,"New Customer","Repeat Customer")</f>
        <v>Repeat Customer</v>
      </c>
    </row>
    <row r="2321" spans="1:14">
      <c r="A2321" t="s">
        <v>3323</v>
      </c>
      <c r="B2321" s="1">
        <v>45414</v>
      </c>
      <c r="C2321" t="s">
        <v>3324</v>
      </c>
      <c r="D2321" t="s">
        <v>213</v>
      </c>
      <c r="E2321" t="s">
        <v>21</v>
      </c>
      <c r="F2321" t="s">
        <v>14</v>
      </c>
      <c r="G2321" t="s">
        <v>34</v>
      </c>
      <c r="H2321">
        <v>1</v>
      </c>
      <c r="I2321" s="3">
        <v>45.45</v>
      </c>
      <c r="J2321" t="s">
        <v>16</v>
      </c>
      <c r="K2321" t="s">
        <v>40</v>
      </c>
      <c r="L2321" s="4">
        <f>Table4[[#This Row],[quantity]]*Table4[[#This Row],[unit_price]]</f>
        <v>45.45</v>
      </c>
      <c r="M2321">
        <f>COUNTIFS($C$2:$C$3934,Table4[[#This Row],[customer_id]])</f>
        <v>5</v>
      </c>
      <c r="N2321" t="str">
        <f>IF(Table4[[#This Row],[customer_order_count]]=1,"New Customer","Repeat Customer")</f>
        <v>Repeat Customer</v>
      </c>
    </row>
    <row r="2322" spans="1:14">
      <c r="A2322" t="s">
        <v>673</v>
      </c>
      <c r="B2322" s="1">
        <v>45573</v>
      </c>
      <c r="C2322" t="s">
        <v>37</v>
      </c>
      <c r="D2322" t="s">
        <v>38</v>
      </c>
      <c r="E2322" t="s">
        <v>44</v>
      </c>
      <c r="F2322" t="s">
        <v>22</v>
      </c>
      <c r="G2322" t="s">
        <v>162</v>
      </c>
      <c r="H2322">
        <v>4</v>
      </c>
      <c r="I2322" s="3">
        <v>45.45</v>
      </c>
      <c r="J2322" t="s">
        <v>16</v>
      </c>
      <c r="K2322" t="s">
        <v>30</v>
      </c>
      <c r="L2322" s="4">
        <f>Table4[[#This Row],[quantity]]*Table4[[#This Row],[unit_price]]</f>
        <v>181.8</v>
      </c>
      <c r="M2322">
        <f>COUNTIFS($C$2:$C$3934,Table4[[#This Row],[customer_id]])</f>
        <v>7</v>
      </c>
      <c r="N2322" t="str">
        <f>IF(Table4[[#This Row],[customer_order_count]]=1,"New Customer","Repeat Customer")</f>
        <v>Repeat Customer</v>
      </c>
    </row>
    <row r="2323" spans="1:14">
      <c r="A2323" t="s">
        <v>1749</v>
      </c>
      <c r="B2323" s="1">
        <v>45238</v>
      </c>
      <c r="C2323" t="s">
        <v>893</v>
      </c>
      <c r="D2323" t="s">
        <v>659</v>
      </c>
      <c r="E2323" t="s">
        <v>21</v>
      </c>
      <c r="F2323" t="s">
        <v>22</v>
      </c>
      <c r="G2323" t="s">
        <v>23</v>
      </c>
      <c r="H2323">
        <v>2</v>
      </c>
      <c r="I2323" s="3">
        <v>45.48</v>
      </c>
      <c r="J2323" t="s">
        <v>16</v>
      </c>
      <c r="K2323" t="s">
        <v>40</v>
      </c>
      <c r="L2323" s="4">
        <f>Table4[[#This Row],[quantity]]*Table4[[#This Row],[unit_price]]</f>
        <v>90.96</v>
      </c>
      <c r="M2323">
        <f>COUNTIFS($C$2:$C$3934,Table4[[#This Row],[customer_id]])</f>
        <v>12</v>
      </c>
      <c r="N2323" t="str">
        <f>IF(Table4[[#This Row],[customer_order_count]]=1,"New Customer","Repeat Customer")</f>
        <v>Repeat Customer</v>
      </c>
    </row>
    <row r="2324" spans="1:14">
      <c r="A2324" t="s">
        <v>972</v>
      </c>
      <c r="B2324" s="1">
        <v>45111</v>
      </c>
      <c r="C2324" t="s">
        <v>973</v>
      </c>
      <c r="D2324" s="2" t="s">
        <v>5257</v>
      </c>
      <c r="E2324" t="s">
        <v>21</v>
      </c>
      <c r="F2324" t="s">
        <v>79</v>
      </c>
      <c r="G2324" t="s">
        <v>541</v>
      </c>
      <c r="H2324">
        <v>1</v>
      </c>
      <c r="I2324" s="3">
        <v>45.5</v>
      </c>
      <c r="J2324" t="s">
        <v>16</v>
      </c>
      <c r="K2324" t="s">
        <v>30</v>
      </c>
      <c r="L2324" s="4">
        <f>Table4[[#This Row],[quantity]]*Table4[[#This Row],[unit_price]]</f>
        <v>45.5</v>
      </c>
      <c r="M2324">
        <f>COUNTIFS($C$2:$C$3934,Table4[[#This Row],[customer_id]])</f>
        <v>5</v>
      </c>
      <c r="N2324" t="str">
        <f>IF(Table4[[#This Row],[customer_order_count]]=1,"New Customer","Repeat Customer")</f>
        <v>Repeat Customer</v>
      </c>
    </row>
    <row r="2325" spans="1:14">
      <c r="A2325" t="s">
        <v>4467</v>
      </c>
      <c r="B2325" s="1">
        <v>44975</v>
      </c>
      <c r="C2325" t="s">
        <v>1814</v>
      </c>
      <c r="D2325" s="2" t="s">
        <v>5257</v>
      </c>
      <c r="E2325" t="s">
        <v>21</v>
      </c>
      <c r="F2325" t="s">
        <v>70</v>
      </c>
      <c r="G2325" t="s">
        <v>170</v>
      </c>
      <c r="H2325">
        <v>1</v>
      </c>
      <c r="I2325" s="3">
        <v>45.5</v>
      </c>
      <c r="J2325" t="s">
        <v>16</v>
      </c>
      <c r="K2325" t="s">
        <v>17</v>
      </c>
      <c r="L2325" s="4">
        <f>Table4[[#This Row],[quantity]]*Table4[[#This Row],[unit_price]]</f>
        <v>45.5</v>
      </c>
      <c r="M2325">
        <f>COUNTIFS($C$2:$C$3934,Table4[[#This Row],[customer_id]])</f>
        <v>8</v>
      </c>
      <c r="N2325" t="str">
        <f>IF(Table4[[#This Row],[customer_order_count]]=1,"New Customer","Repeat Customer")</f>
        <v>Repeat Customer</v>
      </c>
    </row>
    <row r="2326" spans="1:14">
      <c r="A2326" t="s">
        <v>3299</v>
      </c>
      <c r="B2326" s="1">
        <v>44956</v>
      </c>
      <c r="C2326" t="s">
        <v>1780</v>
      </c>
      <c r="D2326" s="5" t="s">
        <v>169</v>
      </c>
      <c r="E2326" t="s">
        <v>44</v>
      </c>
      <c r="F2326" t="s">
        <v>56</v>
      </c>
      <c r="G2326" t="s">
        <v>210</v>
      </c>
      <c r="H2326">
        <v>1</v>
      </c>
      <c r="I2326" s="3">
        <v>45.52</v>
      </c>
      <c r="J2326" t="s">
        <v>16</v>
      </c>
      <c r="K2326" t="s">
        <v>40</v>
      </c>
      <c r="L2326" s="4">
        <f>Table4[[#This Row],[quantity]]*Table4[[#This Row],[unit_price]]</f>
        <v>45.52</v>
      </c>
      <c r="M2326">
        <f>COUNTIFS($C$2:$C$3934,Table4[[#This Row],[customer_id]])</f>
        <v>6</v>
      </c>
      <c r="N2326" t="str">
        <f>IF(Table4[[#This Row],[customer_order_count]]=1,"New Customer","Repeat Customer")</f>
        <v>Repeat Customer</v>
      </c>
    </row>
    <row r="2327" spans="1:14">
      <c r="A2327" t="s">
        <v>1206</v>
      </c>
      <c r="B2327" s="1">
        <v>45483</v>
      </c>
      <c r="C2327" t="s">
        <v>1207</v>
      </c>
      <c r="D2327" t="s">
        <v>1208</v>
      </c>
      <c r="E2327" t="s">
        <v>21</v>
      </c>
      <c r="F2327" t="s">
        <v>70</v>
      </c>
      <c r="G2327" t="s">
        <v>71</v>
      </c>
      <c r="H2327">
        <v>1</v>
      </c>
      <c r="I2327" s="3">
        <v>45.54</v>
      </c>
      <c r="J2327" t="s">
        <v>16</v>
      </c>
      <c r="K2327" t="s">
        <v>40</v>
      </c>
      <c r="L2327" s="4">
        <f>Table4[[#This Row],[quantity]]*Table4[[#This Row],[unit_price]]</f>
        <v>45.54</v>
      </c>
      <c r="M2327">
        <f>COUNTIFS($C$2:$C$3934,Table4[[#This Row],[customer_id]])</f>
        <v>3</v>
      </c>
      <c r="N2327" t="str">
        <f>IF(Table4[[#This Row],[customer_order_count]]=1,"New Customer","Repeat Customer")</f>
        <v>Repeat Customer</v>
      </c>
    </row>
    <row r="2328" spans="1:14">
      <c r="A2328" t="s">
        <v>2005</v>
      </c>
      <c r="B2328" s="1">
        <v>45070</v>
      </c>
      <c r="C2328" t="s">
        <v>2006</v>
      </c>
      <c r="D2328" t="s">
        <v>13</v>
      </c>
      <c r="E2328" t="s">
        <v>44</v>
      </c>
      <c r="F2328" t="s">
        <v>79</v>
      </c>
      <c r="G2328" t="s">
        <v>398</v>
      </c>
      <c r="H2328">
        <v>2</v>
      </c>
      <c r="I2328" s="3">
        <v>45.68</v>
      </c>
      <c r="J2328" t="s">
        <v>16</v>
      </c>
      <c r="K2328" t="s">
        <v>35</v>
      </c>
      <c r="L2328" s="4">
        <f>Table4[[#This Row],[quantity]]*Table4[[#This Row],[unit_price]]</f>
        <v>91.36</v>
      </c>
      <c r="M2328">
        <f>COUNTIFS($C$2:$C$3934,Table4[[#This Row],[customer_id]])</f>
        <v>3</v>
      </c>
      <c r="N2328" t="str">
        <f>IF(Table4[[#This Row],[customer_order_count]]=1,"New Customer","Repeat Customer")</f>
        <v>Repeat Customer</v>
      </c>
    </row>
    <row r="2329" spans="1:14">
      <c r="A2329" t="s">
        <v>3842</v>
      </c>
      <c r="B2329" s="1">
        <v>45540</v>
      </c>
      <c r="C2329" t="s">
        <v>309</v>
      </c>
      <c r="D2329" t="s">
        <v>310</v>
      </c>
      <c r="E2329" t="s">
        <v>44</v>
      </c>
      <c r="F2329" t="s">
        <v>56</v>
      </c>
      <c r="G2329" t="s">
        <v>118</v>
      </c>
      <c r="H2329">
        <v>2</v>
      </c>
      <c r="I2329" s="3">
        <v>45.68</v>
      </c>
      <c r="J2329" t="s">
        <v>16</v>
      </c>
      <c r="K2329" s="2" t="s">
        <v>5256</v>
      </c>
      <c r="L2329" s="4">
        <f>Table4[[#This Row],[quantity]]*Table4[[#This Row],[unit_price]]</f>
        <v>91.36</v>
      </c>
      <c r="M2329">
        <f>COUNTIFS($C$2:$C$3934,Table4[[#This Row],[customer_id]])</f>
        <v>8</v>
      </c>
      <c r="N2329" t="str">
        <f>IF(Table4[[#This Row],[customer_order_count]]=1,"New Customer","Repeat Customer")</f>
        <v>Repeat Customer</v>
      </c>
    </row>
    <row r="2330" spans="1:14">
      <c r="A2330" t="s">
        <v>4080</v>
      </c>
      <c r="B2330" s="1">
        <v>45493</v>
      </c>
      <c r="C2330" t="s">
        <v>2086</v>
      </c>
      <c r="D2330" s="2" t="s">
        <v>5257</v>
      </c>
      <c r="E2330" t="s">
        <v>44</v>
      </c>
      <c r="F2330" t="s">
        <v>70</v>
      </c>
      <c r="G2330" t="s">
        <v>146</v>
      </c>
      <c r="H2330">
        <v>1</v>
      </c>
      <c r="I2330" s="3">
        <v>45.78</v>
      </c>
      <c r="J2330" t="s">
        <v>16</v>
      </c>
      <c r="K2330" s="5" t="s">
        <v>40</v>
      </c>
      <c r="L2330" s="4">
        <f>Table4[[#This Row],[quantity]]*Table4[[#This Row],[unit_price]]</f>
        <v>45.78</v>
      </c>
      <c r="M2330">
        <f>COUNTIFS($C$2:$C$3934,Table4[[#This Row],[customer_id]])</f>
        <v>7</v>
      </c>
      <c r="N2330" t="str">
        <f>IF(Table4[[#This Row],[customer_order_count]]=1,"New Customer","Repeat Customer")</f>
        <v>Repeat Customer</v>
      </c>
    </row>
    <row r="2331" spans="1:14">
      <c r="A2331" t="s">
        <v>1663</v>
      </c>
      <c r="B2331" s="1">
        <v>45155</v>
      </c>
      <c r="C2331" t="s">
        <v>1545</v>
      </c>
      <c r="D2331" s="5" t="s">
        <v>778</v>
      </c>
      <c r="E2331" t="s">
        <v>44</v>
      </c>
      <c r="F2331" t="s">
        <v>70</v>
      </c>
      <c r="G2331" t="s">
        <v>110</v>
      </c>
      <c r="H2331">
        <v>3</v>
      </c>
      <c r="I2331" s="3">
        <v>45.79</v>
      </c>
      <c r="J2331" t="s">
        <v>16</v>
      </c>
      <c r="K2331" t="s">
        <v>40</v>
      </c>
      <c r="L2331" s="4">
        <f>Table4[[#This Row],[quantity]]*Table4[[#This Row],[unit_price]]</f>
        <v>137.37</v>
      </c>
      <c r="M2331">
        <f>COUNTIFS($C$2:$C$3934,Table4[[#This Row],[customer_id]])</f>
        <v>5</v>
      </c>
      <c r="N2331" t="str">
        <f>IF(Table4[[#This Row],[customer_order_count]]=1,"New Customer","Repeat Customer")</f>
        <v>Repeat Customer</v>
      </c>
    </row>
    <row r="2332" spans="1:14">
      <c r="A2332" t="s">
        <v>3201</v>
      </c>
      <c r="B2332" s="1">
        <v>44983</v>
      </c>
      <c r="C2332" t="s">
        <v>626</v>
      </c>
      <c r="D2332" s="2" t="s">
        <v>5257</v>
      </c>
      <c r="E2332" t="s">
        <v>21</v>
      </c>
      <c r="F2332" t="s">
        <v>14</v>
      </c>
      <c r="G2332" t="s">
        <v>34</v>
      </c>
      <c r="H2332">
        <v>1</v>
      </c>
      <c r="I2332" s="3">
        <v>45.8</v>
      </c>
      <c r="J2332" t="s">
        <v>255</v>
      </c>
      <c r="K2332" t="s">
        <v>35</v>
      </c>
      <c r="L2332" s="4">
        <f>Table4[[#This Row],[quantity]]*Table4[[#This Row],[unit_price]]</f>
        <v>45.8</v>
      </c>
      <c r="M2332">
        <f>COUNTIFS($C$2:$C$3934,Table4[[#This Row],[customer_id]])</f>
        <v>4</v>
      </c>
      <c r="N2332" t="str">
        <f>IF(Table4[[#This Row],[customer_order_count]]=1,"New Customer","Repeat Customer")</f>
        <v>Repeat Customer</v>
      </c>
    </row>
    <row r="2333" spans="1:14">
      <c r="A2333" t="s">
        <v>2287</v>
      </c>
      <c r="B2333" s="1">
        <v>45366</v>
      </c>
      <c r="C2333" t="s">
        <v>2288</v>
      </c>
      <c r="D2333" s="5" t="s">
        <v>740</v>
      </c>
      <c r="E2333" t="s">
        <v>21</v>
      </c>
      <c r="F2333" t="s">
        <v>22</v>
      </c>
      <c r="G2333" t="s">
        <v>23</v>
      </c>
      <c r="H2333">
        <v>1</v>
      </c>
      <c r="I2333" s="3">
        <v>45.81</v>
      </c>
      <c r="J2333" t="s">
        <v>16</v>
      </c>
      <c r="K2333" t="s">
        <v>35</v>
      </c>
      <c r="L2333" s="4">
        <f>Table4[[#This Row],[quantity]]*Table4[[#This Row],[unit_price]]</f>
        <v>45.81</v>
      </c>
      <c r="M2333">
        <f>COUNTIFS($C$2:$C$3934,Table4[[#This Row],[customer_id]])</f>
        <v>5</v>
      </c>
      <c r="N2333" t="str">
        <f>IF(Table4[[#This Row],[customer_order_count]]=1,"New Customer","Repeat Customer")</f>
        <v>Repeat Customer</v>
      </c>
    </row>
    <row r="2334" spans="1:14">
      <c r="A2334" t="s">
        <v>4054</v>
      </c>
      <c r="B2334" s="1">
        <v>45488</v>
      </c>
      <c r="C2334" t="s">
        <v>3920</v>
      </c>
      <c r="D2334" t="s">
        <v>1523</v>
      </c>
      <c r="E2334" t="s">
        <v>61</v>
      </c>
      <c r="F2334" t="s">
        <v>14</v>
      </c>
      <c r="G2334" t="s">
        <v>34</v>
      </c>
      <c r="H2334">
        <v>3</v>
      </c>
      <c r="I2334" s="3">
        <v>45.83</v>
      </c>
      <c r="J2334" t="s">
        <v>16</v>
      </c>
      <c r="K2334" t="s">
        <v>30</v>
      </c>
      <c r="L2334" s="4">
        <f>Table4[[#This Row],[quantity]]*Table4[[#This Row],[unit_price]]</f>
        <v>137.49</v>
      </c>
      <c r="M2334">
        <f>COUNTIFS($C$2:$C$3934,Table4[[#This Row],[customer_id]])</f>
        <v>3</v>
      </c>
      <c r="N2334" t="str">
        <f>IF(Table4[[#This Row],[customer_order_count]]=1,"New Customer","Repeat Customer")</f>
        <v>Repeat Customer</v>
      </c>
    </row>
    <row r="2335" spans="1:14">
      <c r="A2335" t="s">
        <v>4206</v>
      </c>
      <c r="B2335" s="1">
        <v>45298</v>
      </c>
      <c r="C2335" t="s">
        <v>2160</v>
      </c>
      <c r="D2335" t="s">
        <v>1164</v>
      </c>
      <c r="E2335" t="s">
        <v>21</v>
      </c>
      <c r="F2335" t="s">
        <v>70</v>
      </c>
      <c r="G2335" t="s">
        <v>170</v>
      </c>
      <c r="H2335">
        <v>1</v>
      </c>
      <c r="I2335" s="3">
        <v>45.85</v>
      </c>
      <c r="J2335" t="s">
        <v>16</v>
      </c>
      <c r="K2335" t="s">
        <v>17</v>
      </c>
      <c r="L2335" s="4">
        <f>Table4[[#This Row],[quantity]]*Table4[[#This Row],[unit_price]]</f>
        <v>45.85</v>
      </c>
      <c r="M2335">
        <f>COUNTIFS($C$2:$C$3934,Table4[[#This Row],[customer_id]])</f>
        <v>4</v>
      </c>
      <c r="N2335" t="str">
        <f>IF(Table4[[#This Row],[customer_order_count]]=1,"New Customer","Repeat Customer")</f>
        <v>Repeat Customer</v>
      </c>
    </row>
    <row r="2336" spans="1:14">
      <c r="A2336" t="s">
        <v>5104</v>
      </c>
      <c r="B2336" s="1">
        <v>45616</v>
      </c>
      <c r="C2336" t="s">
        <v>2110</v>
      </c>
      <c r="D2336" t="s">
        <v>2111</v>
      </c>
      <c r="E2336" t="s">
        <v>21</v>
      </c>
      <c r="F2336" t="s">
        <v>22</v>
      </c>
      <c r="G2336" t="s">
        <v>23</v>
      </c>
      <c r="H2336">
        <v>1</v>
      </c>
      <c r="I2336" s="3">
        <v>45.87</v>
      </c>
      <c r="J2336" t="s">
        <v>16</v>
      </c>
      <c r="K2336" t="s">
        <v>35</v>
      </c>
      <c r="L2336" s="4">
        <f>Table4[[#This Row],[quantity]]*Table4[[#This Row],[unit_price]]</f>
        <v>45.87</v>
      </c>
      <c r="M2336">
        <f>COUNTIFS($C$2:$C$3934,Table4[[#This Row],[customer_id]])</f>
        <v>5</v>
      </c>
      <c r="N2336" t="str">
        <f>IF(Table4[[#This Row],[customer_order_count]]=1,"New Customer","Repeat Customer")</f>
        <v>Repeat Customer</v>
      </c>
    </row>
    <row r="2337" spans="1:14">
      <c r="A2337" t="s">
        <v>2305</v>
      </c>
      <c r="B2337" s="1">
        <v>45129</v>
      </c>
      <c r="C2337" t="s">
        <v>2306</v>
      </c>
      <c r="D2337" t="s">
        <v>2307</v>
      </c>
      <c r="E2337" t="s">
        <v>21</v>
      </c>
      <c r="F2337" t="s">
        <v>70</v>
      </c>
      <c r="G2337" t="s">
        <v>71</v>
      </c>
      <c r="H2337">
        <v>4</v>
      </c>
      <c r="I2337" s="3">
        <v>45.89</v>
      </c>
      <c r="J2337" t="s">
        <v>85</v>
      </c>
      <c r="K2337" t="s">
        <v>35</v>
      </c>
      <c r="L2337" s="4">
        <f>Table4[[#This Row],[quantity]]*Table4[[#This Row],[unit_price]]</f>
        <v>183.56</v>
      </c>
      <c r="M2337">
        <f>COUNTIFS($C$2:$C$3934,Table4[[#This Row],[customer_id]])</f>
        <v>2</v>
      </c>
      <c r="N2337" t="str">
        <f>IF(Table4[[#This Row],[customer_order_count]]=1,"New Customer","Repeat Customer")</f>
        <v>Repeat Customer</v>
      </c>
    </row>
    <row r="2338" spans="1:14">
      <c r="A2338" t="s">
        <v>2735</v>
      </c>
      <c r="B2338" s="1">
        <v>45579</v>
      </c>
      <c r="C2338" t="s">
        <v>1210</v>
      </c>
      <c r="D2338" t="s">
        <v>1211</v>
      </c>
      <c r="E2338" t="s">
        <v>106</v>
      </c>
      <c r="F2338" t="s">
        <v>22</v>
      </c>
      <c r="G2338" t="s">
        <v>135</v>
      </c>
      <c r="H2338">
        <v>2</v>
      </c>
      <c r="I2338" s="3">
        <v>45.9</v>
      </c>
      <c r="J2338" t="s">
        <v>16</v>
      </c>
      <c r="K2338" t="s">
        <v>17</v>
      </c>
      <c r="L2338" s="4">
        <f>Table4[[#This Row],[quantity]]*Table4[[#This Row],[unit_price]]</f>
        <v>91.8</v>
      </c>
      <c r="M2338">
        <f>COUNTIFS($C$2:$C$3934,Table4[[#This Row],[customer_id]])</f>
        <v>3</v>
      </c>
      <c r="N2338" t="str">
        <f>IF(Table4[[#This Row],[customer_order_count]]=1,"New Customer","Repeat Customer")</f>
        <v>Repeat Customer</v>
      </c>
    </row>
    <row r="2339" spans="1:14">
      <c r="A2339" t="s">
        <v>2491</v>
      </c>
      <c r="B2339" s="1">
        <v>45573</v>
      </c>
      <c r="C2339" t="s">
        <v>1035</v>
      </c>
      <c r="D2339" t="s">
        <v>1036</v>
      </c>
      <c r="E2339" t="s">
        <v>21</v>
      </c>
      <c r="F2339" t="s">
        <v>14</v>
      </c>
      <c r="G2339" t="s">
        <v>39</v>
      </c>
      <c r="H2339">
        <v>2</v>
      </c>
      <c r="I2339" s="3">
        <v>45.9</v>
      </c>
      <c r="J2339" t="s">
        <v>16</v>
      </c>
      <c r="K2339" t="s">
        <v>30</v>
      </c>
      <c r="L2339" s="4">
        <f>Table4[[#This Row],[quantity]]*Table4[[#This Row],[unit_price]]</f>
        <v>91.8</v>
      </c>
      <c r="M2339">
        <f>COUNTIFS($C$2:$C$3934,Table4[[#This Row],[customer_id]])</f>
        <v>5</v>
      </c>
      <c r="N2339" t="str">
        <f>IF(Table4[[#This Row],[customer_order_count]]=1,"New Customer","Repeat Customer")</f>
        <v>Repeat Customer</v>
      </c>
    </row>
    <row r="2340" spans="1:14">
      <c r="A2340" t="s">
        <v>3253</v>
      </c>
      <c r="B2340" s="1">
        <v>45626</v>
      </c>
      <c r="C2340" t="s">
        <v>2144</v>
      </c>
      <c r="D2340" t="s">
        <v>27</v>
      </c>
      <c r="E2340" t="s">
        <v>21</v>
      </c>
      <c r="F2340" t="s">
        <v>70</v>
      </c>
      <c r="G2340" t="s">
        <v>110</v>
      </c>
      <c r="H2340">
        <v>1</v>
      </c>
      <c r="I2340" s="3">
        <v>45.973243243243232</v>
      </c>
      <c r="J2340" t="s">
        <v>16</v>
      </c>
      <c r="K2340" t="s">
        <v>35</v>
      </c>
      <c r="L2340" s="4">
        <f>Table4[[#This Row],[quantity]]*Table4[[#This Row],[unit_price]]</f>
        <v>45.973243243243232</v>
      </c>
      <c r="M2340">
        <f>COUNTIFS($C$2:$C$3934,Table4[[#This Row],[customer_id]])</f>
        <v>10</v>
      </c>
      <c r="N2340" t="str">
        <f>IF(Table4[[#This Row],[customer_order_count]]=1,"New Customer","Repeat Customer")</f>
        <v>Repeat Customer</v>
      </c>
    </row>
    <row r="2341" spans="1:14">
      <c r="A2341" t="s">
        <v>4609</v>
      </c>
      <c r="B2341" s="1">
        <v>45221</v>
      </c>
      <c r="C2341" t="s">
        <v>985</v>
      </c>
      <c r="D2341" t="s">
        <v>986</v>
      </c>
      <c r="E2341" t="s">
        <v>44</v>
      </c>
      <c r="F2341" t="s">
        <v>70</v>
      </c>
      <c r="G2341" t="s">
        <v>110</v>
      </c>
      <c r="H2341">
        <v>1</v>
      </c>
      <c r="I2341" s="3">
        <v>45.973243243243232</v>
      </c>
      <c r="J2341" t="s">
        <v>16</v>
      </c>
      <c r="K2341" t="s">
        <v>40</v>
      </c>
      <c r="L2341" s="4">
        <f>Table4[[#This Row],[quantity]]*Table4[[#This Row],[unit_price]]</f>
        <v>45.973243243243232</v>
      </c>
      <c r="M2341">
        <f>COUNTIFS($C$2:$C$3934,Table4[[#This Row],[customer_id]])</f>
        <v>3</v>
      </c>
      <c r="N2341" t="str">
        <f>IF(Table4[[#This Row],[customer_order_count]]=1,"New Customer","Repeat Customer")</f>
        <v>Repeat Customer</v>
      </c>
    </row>
    <row r="2342" spans="1:14">
      <c r="A2342" t="s">
        <v>2888</v>
      </c>
      <c r="B2342" s="1">
        <v>45042</v>
      </c>
      <c r="C2342" t="s">
        <v>1155</v>
      </c>
      <c r="D2342" t="s">
        <v>1156</v>
      </c>
      <c r="E2342" t="s">
        <v>21</v>
      </c>
      <c r="F2342" t="s">
        <v>70</v>
      </c>
      <c r="G2342" t="s">
        <v>110</v>
      </c>
      <c r="H2342">
        <v>1</v>
      </c>
      <c r="I2342" s="3">
        <v>45.973243243243232</v>
      </c>
      <c r="J2342" t="s">
        <v>24</v>
      </c>
      <c r="K2342" t="s">
        <v>40</v>
      </c>
      <c r="L2342" s="4">
        <f>Table4[[#This Row],[quantity]]*Table4[[#This Row],[unit_price]]</f>
        <v>45.973243243243232</v>
      </c>
      <c r="M2342">
        <f>COUNTIFS($C$2:$C$3934,Table4[[#This Row],[customer_id]])</f>
        <v>4</v>
      </c>
      <c r="N2342" t="str">
        <f>IF(Table4[[#This Row],[customer_order_count]]=1,"New Customer","Repeat Customer")</f>
        <v>Repeat Customer</v>
      </c>
    </row>
    <row r="2343" spans="1:14">
      <c r="A2343" t="s">
        <v>4632</v>
      </c>
      <c r="B2343" s="1">
        <v>45048</v>
      </c>
      <c r="C2343" t="s">
        <v>346</v>
      </c>
      <c r="D2343" s="2" t="s">
        <v>5257</v>
      </c>
      <c r="E2343" t="s">
        <v>21</v>
      </c>
      <c r="F2343" t="s">
        <v>70</v>
      </c>
      <c r="G2343" t="s">
        <v>110</v>
      </c>
      <c r="H2343">
        <v>1</v>
      </c>
      <c r="I2343" s="3">
        <v>45.973243243243232</v>
      </c>
      <c r="J2343" t="s">
        <v>16</v>
      </c>
      <c r="K2343" t="s">
        <v>30</v>
      </c>
      <c r="L2343" s="4">
        <f>Table4[[#This Row],[quantity]]*Table4[[#This Row],[unit_price]]</f>
        <v>45.973243243243232</v>
      </c>
      <c r="M2343">
        <f>COUNTIFS($C$2:$C$3934,Table4[[#This Row],[customer_id]])</f>
        <v>7</v>
      </c>
      <c r="N2343" t="str">
        <f>IF(Table4[[#This Row],[customer_order_count]]=1,"New Customer","Repeat Customer")</f>
        <v>Repeat Customer</v>
      </c>
    </row>
    <row r="2344" spans="1:14">
      <c r="A2344" t="s">
        <v>2915</v>
      </c>
      <c r="B2344" s="1">
        <v>45466</v>
      </c>
      <c r="C2344" t="s">
        <v>704</v>
      </c>
      <c r="D2344" s="5" t="s">
        <v>705</v>
      </c>
      <c r="E2344" t="s">
        <v>21</v>
      </c>
      <c r="F2344" t="s">
        <v>22</v>
      </c>
      <c r="G2344" t="s">
        <v>264</v>
      </c>
      <c r="H2344">
        <v>1</v>
      </c>
      <c r="I2344" s="3">
        <v>45.99</v>
      </c>
      <c r="J2344" t="s">
        <v>85</v>
      </c>
      <c r="K2344" t="s">
        <v>35</v>
      </c>
      <c r="L2344" s="4">
        <f>Table4[[#This Row],[quantity]]*Table4[[#This Row],[unit_price]]</f>
        <v>45.99</v>
      </c>
      <c r="M2344">
        <f>COUNTIFS($C$2:$C$3934,Table4[[#This Row],[customer_id]])</f>
        <v>5</v>
      </c>
      <c r="N2344" t="str">
        <f>IF(Table4[[#This Row],[customer_order_count]]=1,"New Customer","Repeat Customer")</f>
        <v>Repeat Customer</v>
      </c>
    </row>
    <row r="2345" spans="1:14">
      <c r="A2345" t="s">
        <v>1927</v>
      </c>
      <c r="B2345" s="1">
        <v>45179</v>
      </c>
      <c r="C2345" t="s">
        <v>1928</v>
      </c>
      <c r="D2345" t="s">
        <v>1444</v>
      </c>
      <c r="E2345" t="s">
        <v>21</v>
      </c>
      <c r="F2345" t="s">
        <v>70</v>
      </c>
      <c r="G2345" t="s">
        <v>526</v>
      </c>
      <c r="H2345">
        <v>1</v>
      </c>
      <c r="I2345" s="3">
        <v>46</v>
      </c>
      <c r="J2345" t="s">
        <v>16</v>
      </c>
      <c r="K2345" t="s">
        <v>30</v>
      </c>
      <c r="L2345" s="4">
        <f>Table4[[#This Row],[quantity]]*Table4[[#This Row],[unit_price]]</f>
        <v>46</v>
      </c>
      <c r="M2345">
        <f>COUNTIFS($C$2:$C$3934,Table4[[#This Row],[customer_id]])</f>
        <v>7</v>
      </c>
      <c r="N2345" t="str">
        <f>IF(Table4[[#This Row],[customer_order_count]]=1,"New Customer","Repeat Customer")</f>
        <v>Repeat Customer</v>
      </c>
    </row>
    <row r="2346" spans="1:14">
      <c r="A2346" t="s">
        <v>4459</v>
      </c>
      <c r="B2346" s="1">
        <v>45523</v>
      </c>
      <c r="C2346" t="s">
        <v>3008</v>
      </c>
      <c r="D2346" t="s">
        <v>99</v>
      </c>
      <c r="E2346" t="s">
        <v>21</v>
      </c>
      <c r="F2346" t="s">
        <v>22</v>
      </c>
      <c r="G2346" t="s">
        <v>162</v>
      </c>
      <c r="H2346">
        <v>3</v>
      </c>
      <c r="I2346" s="3">
        <v>46</v>
      </c>
      <c r="J2346" t="s">
        <v>16</v>
      </c>
      <c r="K2346" s="2" t="s">
        <v>5256</v>
      </c>
      <c r="L2346" s="4">
        <f>Table4[[#This Row],[quantity]]*Table4[[#This Row],[unit_price]]</f>
        <v>138</v>
      </c>
      <c r="M2346">
        <f>COUNTIFS($C$2:$C$3934,Table4[[#This Row],[customer_id]])</f>
        <v>3</v>
      </c>
      <c r="N2346" t="str">
        <f>IF(Table4[[#This Row],[customer_order_count]]=1,"New Customer","Repeat Customer")</f>
        <v>Repeat Customer</v>
      </c>
    </row>
    <row r="2347" spans="1:14">
      <c r="A2347" t="s">
        <v>1845</v>
      </c>
      <c r="B2347" s="1">
        <v>45047</v>
      </c>
      <c r="C2347" t="s">
        <v>633</v>
      </c>
      <c r="D2347" t="s">
        <v>634</v>
      </c>
      <c r="E2347" t="s">
        <v>21</v>
      </c>
      <c r="F2347" t="s">
        <v>56</v>
      </c>
      <c r="G2347" t="s">
        <v>118</v>
      </c>
      <c r="H2347">
        <v>1</v>
      </c>
      <c r="I2347" s="3">
        <v>46.01</v>
      </c>
      <c r="J2347" t="s">
        <v>85</v>
      </c>
      <c r="K2347" s="5" t="s">
        <v>30</v>
      </c>
      <c r="L2347" s="4">
        <f>Table4[[#This Row],[quantity]]*Table4[[#This Row],[unit_price]]</f>
        <v>46.01</v>
      </c>
      <c r="M2347">
        <f>COUNTIFS($C$2:$C$3934,Table4[[#This Row],[customer_id]])</f>
        <v>4</v>
      </c>
      <c r="N2347" t="str">
        <f>IF(Table4[[#This Row],[customer_order_count]]=1,"New Customer","Repeat Customer")</f>
        <v>Repeat Customer</v>
      </c>
    </row>
    <row r="2348" spans="1:14">
      <c r="A2348" t="s">
        <v>5099</v>
      </c>
      <c r="B2348" s="1">
        <v>45055</v>
      </c>
      <c r="C2348" t="s">
        <v>1725</v>
      </c>
      <c r="D2348" t="s">
        <v>650</v>
      </c>
      <c r="E2348" t="s">
        <v>44</v>
      </c>
      <c r="F2348" t="s">
        <v>14</v>
      </c>
      <c r="G2348" t="s">
        <v>39</v>
      </c>
      <c r="H2348">
        <v>1</v>
      </c>
      <c r="I2348" s="3">
        <v>46.05</v>
      </c>
      <c r="J2348" t="s">
        <v>16</v>
      </c>
      <c r="K2348" t="s">
        <v>40</v>
      </c>
      <c r="L2348" s="4">
        <f>Table4[[#This Row],[quantity]]*Table4[[#This Row],[unit_price]]</f>
        <v>46.05</v>
      </c>
      <c r="M2348">
        <f>COUNTIFS($C$2:$C$3934,Table4[[#This Row],[customer_id]])</f>
        <v>4</v>
      </c>
      <c r="N2348" t="str">
        <f>IF(Table4[[#This Row],[customer_order_count]]=1,"New Customer","Repeat Customer")</f>
        <v>Repeat Customer</v>
      </c>
    </row>
    <row r="2349" spans="1:14">
      <c r="A2349" t="s">
        <v>3769</v>
      </c>
      <c r="B2349" s="1">
        <v>45286</v>
      </c>
      <c r="C2349" t="s">
        <v>2643</v>
      </c>
      <c r="D2349" t="s">
        <v>1336</v>
      </c>
      <c r="E2349" t="s">
        <v>21</v>
      </c>
      <c r="F2349" t="s">
        <v>79</v>
      </c>
      <c r="G2349" t="s">
        <v>96</v>
      </c>
      <c r="H2349">
        <v>2</v>
      </c>
      <c r="I2349" s="3">
        <v>46.16</v>
      </c>
      <c r="J2349" t="s">
        <v>16</v>
      </c>
      <c r="K2349" t="s">
        <v>30</v>
      </c>
      <c r="L2349" s="4">
        <f>Table4[[#This Row],[quantity]]*Table4[[#This Row],[unit_price]]</f>
        <v>92.32</v>
      </c>
      <c r="M2349">
        <f>COUNTIFS($C$2:$C$3934,Table4[[#This Row],[customer_id]])</f>
        <v>7</v>
      </c>
      <c r="N2349" t="str">
        <f>IF(Table4[[#This Row],[customer_order_count]]=1,"New Customer","Repeat Customer")</f>
        <v>Repeat Customer</v>
      </c>
    </row>
    <row r="2350" spans="1:14">
      <c r="A2350" t="s">
        <v>2210</v>
      </c>
      <c r="B2350" s="1">
        <v>45412</v>
      </c>
      <c r="C2350" t="s">
        <v>2211</v>
      </c>
      <c r="D2350" t="s">
        <v>1412</v>
      </c>
      <c r="E2350" t="s">
        <v>21</v>
      </c>
      <c r="F2350" t="s">
        <v>70</v>
      </c>
      <c r="G2350" t="s">
        <v>146</v>
      </c>
      <c r="H2350">
        <v>1</v>
      </c>
      <c r="I2350" s="3">
        <v>46.17</v>
      </c>
      <c r="J2350" t="s">
        <v>85</v>
      </c>
      <c r="K2350" t="s">
        <v>40</v>
      </c>
      <c r="L2350" s="4">
        <f>Table4[[#This Row],[quantity]]*Table4[[#This Row],[unit_price]]</f>
        <v>46.17</v>
      </c>
      <c r="M2350">
        <f>COUNTIFS($C$2:$C$3934,Table4[[#This Row],[customer_id]])</f>
        <v>6</v>
      </c>
      <c r="N2350" t="str">
        <f>IF(Table4[[#This Row],[customer_order_count]]=1,"New Customer","Repeat Customer")</f>
        <v>Repeat Customer</v>
      </c>
    </row>
    <row r="2351" spans="1:14">
      <c r="A2351" t="s">
        <v>2808</v>
      </c>
      <c r="B2351" s="1">
        <v>44935</v>
      </c>
      <c r="C2351" t="s">
        <v>1516</v>
      </c>
      <c r="D2351" t="s">
        <v>1517</v>
      </c>
      <c r="E2351" t="s">
        <v>21</v>
      </c>
      <c r="F2351" t="s">
        <v>56</v>
      </c>
      <c r="G2351" t="s">
        <v>422</v>
      </c>
      <c r="H2351">
        <v>1</v>
      </c>
      <c r="I2351" s="3">
        <v>46.18</v>
      </c>
      <c r="J2351" t="s">
        <v>16</v>
      </c>
      <c r="K2351" t="s">
        <v>17</v>
      </c>
      <c r="L2351" s="4">
        <f>Table4[[#This Row],[quantity]]*Table4[[#This Row],[unit_price]]</f>
        <v>46.18</v>
      </c>
      <c r="M2351">
        <f>COUNTIFS($C$2:$C$3934,Table4[[#This Row],[customer_id]])</f>
        <v>6</v>
      </c>
      <c r="N2351" t="str">
        <f>IF(Table4[[#This Row],[customer_order_count]]=1,"New Customer","Repeat Customer")</f>
        <v>Repeat Customer</v>
      </c>
    </row>
    <row r="2352" spans="1:14">
      <c r="A2352" t="s">
        <v>122</v>
      </c>
      <c r="B2352" s="1">
        <v>45477</v>
      </c>
      <c r="C2352" t="s">
        <v>123</v>
      </c>
      <c r="D2352" t="s">
        <v>124</v>
      </c>
      <c r="E2352" t="s">
        <v>44</v>
      </c>
      <c r="F2352" t="s">
        <v>70</v>
      </c>
      <c r="G2352" t="s">
        <v>89</v>
      </c>
      <c r="H2352">
        <v>1</v>
      </c>
      <c r="I2352" s="3">
        <v>46.19</v>
      </c>
      <c r="J2352" t="s">
        <v>16</v>
      </c>
      <c r="K2352" t="s">
        <v>35</v>
      </c>
      <c r="L2352" s="4">
        <f>Table4[[#This Row],[quantity]]*Table4[[#This Row],[unit_price]]</f>
        <v>46.19</v>
      </c>
      <c r="M2352">
        <f>COUNTIFS($C$2:$C$3934,Table4[[#This Row],[customer_id]])</f>
        <v>4</v>
      </c>
      <c r="N2352" t="str">
        <f>IF(Table4[[#This Row],[customer_order_count]]=1,"New Customer","Repeat Customer")</f>
        <v>Repeat Customer</v>
      </c>
    </row>
    <row r="2353" spans="1:14">
      <c r="A2353" t="s">
        <v>4029</v>
      </c>
      <c r="B2353" s="1">
        <v>45074</v>
      </c>
      <c r="C2353" t="s">
        <v>288</v>
      </c>
      <c r="D2353" s="2" t="s">
        <v>5257</v>
      </c>
      <c r="E2353" t="s">
        <v>21</v>
      </c>
      <c r="F2353" t="s">
        <v>70</v>
      </c>
      <c r="G2353" t="s">
        <v>170</v>
      </c>
      <c r="H2353">
        <v>1</v>
      </c>
      <c r="I2353" s="3">
        <v>46.2</v>
      </c>
      <c r="J2353" t="s">
        <v>16</v>
      </c>
      <c r="K2353" t="s">
        <v>40</v>
      </c>
      <c r="L2353" s="4">
        <f>Table4[[#This Row],[quantity]]*Table4[[#This Row],[unit_price]]</f>
        <v>46.2</v>
      </c>
      <c r="M2353">
        <f>COUNTIFS($C$2:$C$3934,Table4[[#This Row],[customer_id]])</f>
        <v>6</v>
      </c>
      <c r="N2353" t="str">
        <f>IF(Table4[[#This Row],[customer_order_count]]=1,"New Customer","Repeat Customer")</f>
        <v>Repeat Customer</v>
      </c>
    </row>
    <row r="2354" spans="1:14">
      <c r="A2354" t="s">
        <v>2432</v>
      </c>
      <c r="B2354" s="1">
        <v>45453</v>
      </c>
      <c r="C2354" t="s">
        <v>933</v>
      </c>
      <c r="D2354" s="5" t="s">
        <v>934</v>
      </c>
      <c r="E2354" t="s">
        <v>44</v>
      </c>
      <c r="F2354" t="s">
        <v>70</v>
      </c>
      <c r="G2354" t="s">
        <v>89</v>
      </c>
      <c r="H2354">
        <v>2</v>
      </c>
      <c r="I2354" s="3">
        <v>46.21</v>
      </c>
      <c r="J2354" t="s">
        <v>16</v>
      </c>
      <c r="K2354" t="s">
        <v>17</v>
      </c>
      <c r="L2354" s="4">
        <f>Table4[[#This Row],[quantity]]*Table4[[#This Row],[unit_price]]</f>
        <v>92.42</v>
      </c>
      <c r="M2354">
        <f>COUNTIFS($C$2:$C$3934,Table4[[#This Row],[customer_id]])</f>
        <v>7</v>
      </c>
      <c r="N2354" t="str">
        <f>IF(Table4[[#This Row],[customer_order_count]]=1,"New Customer","Repeat Customer")</f>
        <v>Repeat Customer</v>
      </c>
    </row>
    <row r="2355" spans="1:14">
      <c r="A2355" t="s">
        <v>2311</v>
      </c>
      <c r="B2355" s="1">
        <v>45161</v>
      </c>
      <c r="C2355" t="s">
        <v>456</v>
      </c>
      <c r="D2355" t="s">
        <v>181</v>
      </c>
      <c r="E2355" t="s">
        <v>44</v>
      </c>
      <c r="F2355" t="s">
        <v>79</v>
      </c>
      <c r="G2355" t="s">
        <v>80</v>
      </c>
      <c r="H2355">
        <v>1</v>
      </c>
      <c r="I2355" s="3">
        <v>46.23</v>
      </c>
      <c r="J2355" t="s">
        <v>16</v>
      </c>
      <c r="K2355" t="s">
        <v>40</v>
      </c>
      <c r="L2355" s="4">
        <f>Table4[[#This Row],[quantity]]*Table4[[#This Row],[unit_price]]</f>
        <v>46.23</v>
      </c>
      <c r="M2355">
        <f>COUNTIFS($C$2:$C$3934,Table4[[#This Row],[customer_id]])</f>
        <v>4</v>
      </c>
      <c r="N2355" t="str">
        <f>IF(Table4[[#This Row],[customer_order_count]]=1,"New Customer","Repeat Customer")</f>
        <v>Repeat Customer</v>
      </c>
    </row>
    <row r="2356" spans="1:14">
      <c r="A2356" t="s">
        <v>3293</v>
      </c>
      <c r="B2356" s="1">
        <v>45092</v>
      </c>
      <c r="C2356" t="s">
        <v>708</v>
      </c>
      <c r="D2356" t="s">
        <v>709</v>
      </c>
      <c r="E2356" t="s">
        <v>21</v>
      </c>
      <c r="F2356" t="s">
        <v>70</v>
      </c>
      <c r="G2356" t="s">
        <v>110</v>
      </c>
      <c r="H2356">
        <v>3</v>
      </c>
      <c r="I2356" s="3">
        <v>46.23</v>
      </c>
      <c r="J2356" t="s">
        <v>16</v>
      </c>
      <c r="K2356" t="s">
        <v>40</v>
      </c>
      <c r="L2356" s="4">
        <f>Table4[[#This Row],[quantity]]*Table4[[#This Row],[unit_price]]</f>
        <v>138.69</v>
      </c>
      <c r="M2356">
        <f>COUNTIFS($C$2:$C$3934,Table4[[#This Row],[customer_id]])</f>
        <v>7</v>
      </c>
      <c r="N2356" t="str">
        <f>IF(Table4[[#This Row],[customer_order_count]]=1,"New Customer","Repeat Customer")</f>
        <v>Repeat Customer</v>
      </c>
    </row>
    <row r="2357" spans="1:14">
      <c r="A2357" t="s">
        <v>2514</v>
      </c>
      <c r="B2357" s="1">
        <v>45581</v>
      </c>
      <c r="C2357" t="s">
        <v>853</v>
      </c>
      <c r="D2357" t="s">
        <v>854</v>
      </c>
      <c r="E2357" t="s">
        <v>21</v>
      </c>
      <c r="F2357" t="s">
        <v>70</v>
      </c>
      <c r="G2357" t="s">
        <v>337</v>
      </c>
      <c r="H2357">
        <v>1</v>
      </c>
      <c r="I2357" s="3">
        <v>46.25</v>
      </c>
      <c r="J2357" t="s">
        <v>16</v>
      </c>
      <c r="K2357" t="s">
        <v>17</v>
      </c>
      <c r="L2357" s="4">
        <f>Table4[[#This Row],[quantity]]*Table4[[#This Row],[unit_price]]</f>
        <v>46.25</v>
      </c>
      <c r="M2357">
        <f>COUNTIFS($C$2:$C$3934,Table4[[#This Row],[customer_id]])</f>
        <v>9</v>
      </c>
      <c r="N2357" t="str">
        <f>IF(Table4[[#This Row],[customer_order_count]]=1,"New Customer","Repeat Customer")</f>
        <v>Repeat Customer</v>
      </c>
    </row>
    <row r="2358" spans="1:14">
      <c r="A2358" t="s">
        <v>5032</v>
      </c>
      <c r="B2358" s="1">
        <v>45614</v>
      </c>
      <c r="C2358" t="s">
        <v>225</v>
      </c>
      <c r="D2358" t="s">
        <v>226</v>
      </c>
      <c r="E2358" t="s">
        <v>21</v>
      </c>
      <c r="F2358" t="s">
        <v>14</v>
      </c>
      <c r="G2358" t="s">
        <v>62</v>
      </c>
      <c r="H2358">
        <v>3</v>
      </c>
      <c r="I2358" s="3">
        <v>46.25</v>
      </c>
      <c r="J2358" t="s">
        <v>16</v>
      </c>
      <c r="K2358" t="s">
        <v>35</v>
      </c>
      <c r="L2358" s="4">
        <f>Table4[[#This Row],[quantity]]*Table4[[#This Row],[unit_price]]</f>
        <v>138.75</v>
      </c>
      <c r="M2358">
        <f>COUNTIFS($C$2:$C$3934,Table4[[#This Row],[customer_id]])</f>
        <v>7</v>
      </c>
      <c r="N2358" t="str">
        <f>IF(Table4[[#This Row],[customer_order_count]]=1,"New Customer","Repeat Customer")</f>
        <v>Repeat Customer</v>
      </c>
    </row>
    <row r="2359" spans="1:14">
      <c r="A2359" t="s">
        <v>2821</v>
      </c>
      <c r="B2359" s="1">
        <v>45226</v>
      </c>
      <c r="C2359" t="s">
        <v>2046</v>
      </c>
      <c r="D2359" t="s">
        <v>414</v>
      </c>
      <c r="E2359" t="s">
        <v>61</v>
      </c>
      <c r="F2359" t="s">
        <v>70</v>
      </c>
      <c r="G2359" t="s">
        <v>146</v>
      </c>
      <c r="H2359">
        <v>1</v>
      </c>
      <c r="I2359" s="3">
        <v>46.29</v>
      </c>
      <c r="J2359" t="s">
        <v>16</v>
      </c>
      <c r="K2359" t="s">
        <v>17</v>
      </c>
      <c r="L2359" s="4">
        <f>Table4[[#This Row],[quantity]]*Table4[[#This Row],[unit_price]]</f>
        <v>46.29</v>
      </c>
      <c r="M2359">
        <f>COUNTIFS($C$2:$C$3934,Table4[[#This Row],[customer_id]])</f>
        <v>3</v>
      </c>
      <c r="N2359" t="str">
        <f>IF(Table4[[#This Row],[customer_order_count]]=1,"New Customer","Repeat Customer")</f>
        <v>Repeat Customer</v>
      </c>
    </row>
    <row r="2360" spans="1:14">
      <c r="A2360" t="s">
        <v>18</v>
      </c>
      <c r="B2360" s="1">
        <v>44999</v>
      </c>
      <c r="C2360" t="s">
        <v>19</v>
      </c>
      <c r="D2360" t="s">
        <v>20</v>
      </c>
      <c r="E2360" t="s">
        <v>21</v>
      </c>
      <c r="F2360" t="s">
        <v>22</v>
      </c>
      <c r="G2360" t="s">
        <v>23</v>
      </c>
      <c r="H2360">
        <v>2</v>
      </c>
      <c r="I2360" s="3">
        <v>46.3</v>
      </c>
      <c r="J2360" t="s">
        <v>24</v>
      </c>
      <c r="K2360" t="s">
        <v>17</v>
      </c>
      <c r="L2360" s="4">
        <f>Table4[[#This Row],[quantity]]*Table4[[#This Row],[unit_price]]</f>
        <v>92.6</v>
      </c>
      <c r="M2360">
        <f>COUNTIFS($C$2:$C$3934,Table4[[#This Row],[customer_id]])</f>
        <v>3</v>
      </c>
      <c r="N2360" t="str">
        <f>IF(Table4[[#This Row],[customer_order_count]]=1,"New Customer","Repeat Customer")</f>
        <v>Repeat Customer</v>
      </c>
    </row>
    <row r="2361" spans="1:14">
      <c r="A2361" t="s">
        <v>1863</v>
      </c>
      <c r="B2361" s="1">
        <v>44927</v>
      </c>
      <c r="C2361" t="s">
        <v>1864</v>
      </c>
      <c r="D2361" t="s">
        <v>1244</v>
      </c>
      <c r="E2361" t="s">
        <v>21</v>
      </c>
      <c r="F2361" t="s">
        <v>79</v>
      </c>
      <c r="G2361" t="s">
        <v>200</v>
      </c>
      <c r="H2361">
        <v>1</v>
      </c>
      <c r="I2361" s="3">
        <v>46.4</v>
      </c>
      <c r="J2361" t="s">
        <v>16</v>
      </c>
      <c r="K2361" t="s">
        <v>35</v>
      </c>
      <c r="L2361" s="4">
        <f>Table4[[#This Row],[quantity]]*Table4[[#This Row],[unit_price]]</f>
        <v>46.4</v>
      </c>
      <c r="M2361">
        <f>COUNTIFS($C$2:$C$3934,Table4[[#This Row],[customer_id]])</f>
        <v>5</v>
      </c>
      <c r="N2361" t="str">
        <f>IF(Table4[[#This Row],[customer_order_count]]=1,"New Customer","Repeat Customer")</f>
        <v>Repeat Customer</v>
      </c>
    </row>
    <row r="2362" spans="1:14">
      <c r="A2362" t="s">
        <v>2719</v>
      </c>
      <c r="B2362" s="1">
        <v>45521</v>
      </c>
      <c r="C2362" t="s">
        <v>1213</v>
      </c>
      <c r="D2362" t="s">
        <v>582</v>
      </c>
      <c r="E2362" t="s">
        <v>44</v>
      </c>
      <c r="F2362" t="s">
        <v>56</v>
      </c>
      <c r="G2362" t="s">
        <v>57</v>
      </c>
      <c r="H2362">
        <v>2</v>
      </c>
      <c r="I2362" s="3">
        <v>46.49</v>
      </c>
      <c r="J2362" t="s">
        <v>16</v>
      </c>
      <c r="K2362" t="s">
        <v>30</v>
      </c>
      <c r="L2362" s="4">
        <f>Table4[[#This Row],[quantity]]*Table4[[#This Row],[unit_price]]</f>
        <v>92.98</v>
      </c>
      <c r="M2362">
        <f>COUNTIFS($C$2:$C$3934,Table4[[#This Row],[customer_id]])</f>
        <v>3</v>
      </c>
      <c r="N2362" t="str">
        <f>IF(Table4[[#This Row],[customer_order_count]]=1,"New Customer","Repeat Customer")</f>
        <v>Repeat Customer</v>
      </c>
    </row>
    <row r="2363" spans="1:14">
      <c r="A2363" t="s">
        <v>1073</v>
      </c>
      <c r="B2363" s="1">
        <v>45145</v>
      </c>
      <c r="C2363" t="s">
        <v>1074</v>
      </c>
      <c r="D2363" t="s">
        <v>281</v>
      </c>
      <c r="E2363" t="s">
        <v>21</v>
      </c>
      <c r="F2363" t="s">
        <v>70</v>
      </c>
      <c r="G2363" t="s">
        <v>146</v>
      </c>
      <c r="H2363">
        <v>2</v>
      </c>
      <c r="I2363" s="3">
        <v>46.5</v>
      </c>
      <c r="J2363" t="s">
        <v>16</v>
      </c>
      <c r="K2363" t="s">
        <v>30</v>
      </c>
      <c r="L2363" s="4">
        <f>Table4[[#This Row],[quantity]]*Table4[[#This Row],[unit_price]]</f>
        <v>93</v>
      </c>
      <c r="M2363">
        <f>COUNTIFS($C$2:$C$3934,Table4[[#This Row],[customer_id]])</f>
        <v>6</v>
      </c>
      <c r="N2363" t="str">
        <f>IF(Table4[[#This Row],[customer_order_count]]=1,"New Customer","Repeat Customer")</f>
        <v>Repeat Customer</v>
      </c>
    </row>
    <row r="2364" spans="1:14">
      <c r="A2364" t="s">
        <v>5123</v>
      </c>
      <c r="B2364" s="1">
        <v>45157</v>
      </c>
      <c r="C2364" t="s">
        <v>1181</v>
      </c>
      <c r="D2364" t="s">
        <v>1000</v>
      </c>
      <c r="E2364" t="s">
        <v>21</v>
      </c>
      <c r="F2364" t="s">
        <v>22</v>
      </c>
      <c r="G2364" t="s">
        <v>23</v>
      </c>
      <c r="H2364">
        <v>1</v>
      </c>
      <c r="I2364" s="3">
        <v>46.63</v>
      </c>
      <c r="J2364" t="s">
        <v>16</v>
      </c>
      <c r="K2364" t="s">
        <v>40</v>
      </c>
      <c r="L2364" s="4">
        <f>Table4[[#This Row],[quantity]]*Table4[[#This Row],[unit_price]]</f>
        <v>46.63</v>
      </c>
      <c r="M2364">
        <f>COUNTIFS($C$2:$C$3934,Table4[[#This Row],[customer_id]])</f>
        <v>6</v>
      </c>
      <c r="N2364" t="str">
        <f>IF(Table4[[#This Row],[customer_order_count]]=1,"New Customer","Repeat Customer")</f>
        <v>Repeat Customer</v>
      </c>
    </row>
    <row r="2365" spans="1:14">
      <c r="A2365" t="s">
        <v>5253</v>
      </c>
      <c r="B2365" s="1">
        <v>44999</v>
      </c>
      <c r="C2365" t="s">
        <v>1470</v>
      </c>
      <c r="D2365" t="s">
        <v>769</v>
      </c>
      <c r="E2365" t="s">
        <v>106</v>
      </c>
      <c r="F2365" t="s">
        <v>79</v>
      </c>
      <c r="G2365" t="s">
        <v>230</v>
      </c>
      <c r="H2365">
        <v>1</v>
      </c>
      <c r="I2365" s="3">
        <v>46.64</v>
      </c>
      <c r="J2365" t="s">
        <v>255</v>
      </c>
      <c r="K2365" t="s">
        <v>17</v>
      </c>
      <c r="L2365" s="4">
        <f>Table4[[#This Row],[quantity]]*Table4[[#This Row],[unit_price]]</f>
        <v>46.64</v>
      </c>
      <c r="M2365">
        <f>COUNTIFS($C$2:$C$3934,Table4[[#This Row],[customer_id]])</f>
        <v>2</v>
      </c>
      <c r="N2365" t="str">
        <f>IF(Table4[[#This Row],[customer_order_count]]=1,"New Customer","Repeat Customer")</f>
        <v>Repeat Customer</v>
      </c>
    </row>
    <row r="2366" spans="1:14">
      <c r="A2366" t="s">
        <v>3078</v>
      </c>
      <c r="B2366" s="1">
        <v>45018</v>
      </c>
      <c r="C2366" t="s">
        <v>191</v>
      </c>
      <c r="D2366" t="s">
        <v>78</v>
      </c>
      <c r="E2366" t="s">
        <v>21</v>
      </c>
      <c r="F2366" t="s">
        <v>70</v>
      </c>
      <c r="G2366" t="s">
        <v>71</v>
      </c>
      <c r="H2366">
        <v>1</v>
      </c>
      <c r="I2366" s="3">
        <v>46.64</v>
      </c>
      <c r="J2366" t="s">
        <v>16</v>
      </c>
      <c r="K2366" t="s">
        <v>40</v>
      </c>
      <c r="L2366" s="4">
        <f>Table4[[#This Row],[quantity]]*Table4[[#This Row],[unit_price]]</f>
        <v>46.64</v>
      </c>
      <c r="M2366">
        <f>COUNTIFS($C$2:$C$3934,Table4[[#This Row],[customer_id]])</f>
        <v>6</v>
      </c>
      <c r="N2366" t="str">
        <f>IF(Table4[[#This Row],[customer_order_count]]=1,"New Customer","Repeat Customer")</f>
        <v>Repeat Customer</v>
      </c>
    </row>
    <row r="2367" spans="1:14">
      <c r="A2367" t="s">
        <v>3758</v>
      </c>
      <c r="B2367" s="1">
        <v>45331</v>
      </c>
      <c r="C2367" t="s">
        <v>589</v>
      </c>
      <c r="D2367" t="s">
        <v>406</v>
      </c>
      <c r="E2367" t="s">
        <v>21</v>
      </c>
      <c r="F2367" t="s">
        <v>14</v>
      </c>
      <c r="G2367" t="s">
        <v>258</v>
      </c>
      <c r="H2367">
        <v>1</v>
      </c>
      <c r="I2367" s="3">
        <v>46.65</v>
      </c>
      <c r="J2367" t="s">
        <v>16</v>
      </c>
      <c r="K2367" s="2" t="s">
        <v>5256</v>
      </c>
      <c r="L2367" s="4">
        <f>Table4[[#This Row],[quantity]]*Table4[[#This Row],[unit_price]]</f>
        <v>46.65</v>
      </c>
      <c r="M2367">
        <f>COUNTIFS($C$2:$C$3934,Table4[[#This Row],[customer_id]])</f>
        <v>9</v>
      </c>
      <c r="N2367" t="str">
        <f>IF(Table4[[#This Row],[customer_order_count]]=1,"New Customer","Repeat Customer")</f>
        <v>Repeat Customer</v>
      </c>
    </row>
    <row r="2368" spans="1:14">
      <c r="A2368" t="s">
        <v>205</v>
      </c>
      <c r="B2368" s="1">
        <v>44971</v>
      </c>
      <c r="C2368" t="s">
        <v>206</v>
      </c>
      <c r="D2368" t="s">
        <v>207</v>
      </c>
      <c r="E2368" t="s">
        <v>21</v>
      </c>
      <c r="F2368" t="s">
        <v>22</v>
      </c>
      <c r="G2368" t="s">
        <v>162</v>
      </c>
      <c r="H2368">
        <v>2</v>
      </c>
      <c r="I2368" s="3">
        <v>46.65</v>
      </c>
      <c r="J2368" t="s">
        <v>16</v>
      </c>
      <c r="K2368" s="5" t="s">
        <v>40</v>
      </c>
      <c r="L2368" s="4">
        <f>Table4[[#This Row],[quantity]]*Table4[[#This Row],[unit_price]]</f>
        <v>93.3</v>
      </c>
      <c r="M2368">
        <f>COUNTIFS($C$2:$C$3934,Table4[[#This Row],[customer_id]])</f>
        <v>3</v>
      </c>
      <c r="N2368" t="str">
        <f>IF(Table4[[#This Row],[customer_order_count]]=1,"New Customer","Repeat Customer")</f>
        <v>Repeat Customer</v>
      </c>
    </row>
    <row r="2369" spans="1:14">
      <c r="A2369" t="s">
        <v>3426</v>
      </c>
      <c r="B2369" s="1">
        <v>45395</v>
      </c>
      <c r="C2369" t="s">
        <v>721</v>
      </c>
      <c r="D2369" t="s">
        <v>722</v>
      </c>
      <c r="E2369" t="s">
        <v>21</v>
      </c>
      <c r="F2369" t="s">
        <v>70</v>
      </c>
      <c r="G2369" t="s">
        <v>337</v>
      </c>
      <c r="H2369">
        <v>2</v>
      </c>
      <c r="I2369" s="3">
        <v>46.66</v>
      </c>
      <c r="J2369" t="s">
        <v>16</v>
      </c>
      <c r="K2369" t="s">
        <v>40</v>
      </c>
      <c r="L2369" s="4">
        <f>Table4[[#This Row],[quantity]]*Table4[[#This Row],[unit_price]]</f>
        <v>93.32</v>
      </c>
      <c r="M2369">
        <f>COUNTIFS($C$2:$C$3934,Table4[[#This Row],[customer_id]])</f>
        <v>6</v>
      </c>
      <c r="N2369" t="str">
        <f>IF(Table4[[#This Row],[customer_order_count]]=1,"New Customer","Repeat Customer")</f>
        <v>Repeat Customer</v>
      </c>
    </row>
    <row r="2370" spans="1:14">
      <c r="A2370" t="s">
        <v>2757</v>
      </c>
      <c r="B2370" s="1">
        <v>45606</v>
      </c>
      <c r="C2370" t="s">
        <v>215</v>
      </c>
      <c r="D2370" t="s">
        <v>216</v>
      </c>
      <c r="E2370" t="s">
        <v>21</v>
      </c>
      <c r="F2370" t="s">
        <v>56</v>
      </c>
      <c r="G2370" t="s">
        <v>210</v>
      </c>
      <c r="H2370">
        <v>1</v>
      </c>
      <c r="I2370" s="3">
        <v>46.74</v>
      </c>
      <c r="J2370" t="s">
        <v>16</v>
      </c>
      <c r="K2370" t="s">
        <v>17</v>
      </c>
      <c r="L2370" s="4">
        <f>Table4[[#This Row],[quantity]]*Table4[[#This Row],[unit_price]]</f>
        <v>46.74</v>
      </c>
      <c r="M2370">
        <f>COUNTIFS($C$2:$C$3934,Table4[[#This Row],[customer_id]])</f>
        <v>8</v>
      </c>
      <c r="N2370" t="str">
        <f>IF(Table4[[#This Row],[customer_order_count]]=1,"New Customer","Repeat Customer")</f>
        <v>Repeat Customer</v>
      </c>
    </row>
    <row r="2371" spans="1:14">
      <c r="A2371" t="s">
        <v>4391</v>
      </c>
      <c r="B2371" s="1">
        <v>45308</v>
      </c>
      <c r="C2371" t="s">
        <v>280</v>
      </c>
      <c r="D2371" s="2" t="s">
        <v>5257</v>
      </c>
      <c r="E2371" t="s">
        <v>44</v>
      </c>
      <c r="F2371" t="s">
        <v>14</v>
      </c>
      <c r="G2371" t="s">
        <v>258</v>
      </c>
      <c r="H2371">
        <v>2</v>
      </c>
      <c r="I2371" s="3">
        <v>46.81</v>
      </c>
      <c r="J2371" t="s">
        <v>16</v>
      </c>
      <c r="K2371" t="s">
        <v>30</v>
      </c>
      <c r="L2371" s="4">
        <f>Table4[[#This Row],[quantity]]*Table4[[#This Row],[unit_price]]</f>
        <v>93.62</v>
      </c>
      <c r="M2371">
        <f>COUNTIFS($C$2:$C$3934,Table4[[#This Row],[customer_id]])</f>
        <v>6</v>
      </c>
      <c r="N2371" t="str">
        <f>IF(Table4[[#This Row],[customer_order_count]]=1,"New Customer","Repeat Customer")</f>
        <v>Repeat Customer</v>
      </c>
    </row>
    <row r="2372" spans="1:14">
      <c r="A2372" t="s">
        <v>4795</v>
      </c>
      <c r="B2372" s="1">
        <v>45317</v>
      </c>
      <c r="C2372" t="s">
        <v>1587</v>
      </c>
      <c r="D2372" s="5" t="s">
        <v>1588</v>
      </c>
      <c r="E2372" t="s">
        <v>21</v>
      </c>
      <c r="F2372" t="s">
        <v>22</v>
      </c>
      <c r="G2372" t="s">
        <v>142</v>
      </c>
      <c r="H2372">
        <v>2</v>
      </c>
      <c r="I2372" s="3">
        <v>46.82</v>
      </c>
      <c r="J2372" t="s">
        <v>16</v>
      </c>
      <c r="K2372" t="s">
        <v>40</v>
      </c>
      <c r="L2372" s="4">
        <f>Table4[[#This Row],[quantity]]*Table4[[#This Row],[unit_price]]</f>
        <v>93.64</v>
      </c>
      <c r="M2372">
        <f>COUNTIFS($C$2:$C$3934,Table4[[#This Row],[customer_id]])</f>
        <v>8</v>
      </c>
      <c r="N2372" t="str">
        <f>IF(Table4[[#This Row],[customer_order_count]]=1,"New Customer","Repeat Customer")</f>
        <v>Repeat Customer</v>
      </c>
    </row>
    <row r="2373" spans="1:14">
      <c r="A2373" t="s">
        <v>4589</v>
      </c>
      <c r="B2373" s="1">
        <v>45622</v>
      </c>
      <c r="C2373" t="s">
        <v>2065</v>
      </c>
      <c r="D2373" t="s">
        <v>1412</v>
      </c>
      <c r="E2373" t="s">
        <v>21</v>
      </c>
      <c r="F2373" t="s">
        <v>79</v>
      </c>
      <c r="G2373" t="s">
        <v>541</v>
      </c>
      <c r="H2373">
        <v>2</v>
      </c>
      <c r="I2373" s="3">
        <v>46.9</v>
      </c>
      <c r="J2373" t="s">
        <v>16</v>
      </c>
      <c r="K2373" t="s">
        <v>40</v>
      </c>
      <c r="L2373" s="4">
        <f>Table4[[#This Row],[quantity]]*Table4[[#This Row],[unit_price]]</f>
        <v>93.8</v>
      </c>
      <c r="M2373">
        <f>COUNTIFS($C$2:$C$3934,Table4[[#This Row],[customer_id]])</f>
        <v>4</v>
      </c>
      <c r="N2373" t="str">
        <f>IF(Table4[[#This Row],[customer_order_count]]=1,"New Customer","Repeat Customer")</f>
        <v>Repeat Customer</v>
      </c>
    </row>
    <row r="2374" spans="1:14">
      <c r="A2374" t="s">
        <v>2778</v>
      </c>
      <c r="B2374" s="1">
        <v>45162</v>
      </c>
      <c r="C2374" t="s">
        <v>619</v>
      </c>
      <c r="D2374" t="s">
        <v>620</v>
      </c>
      <c r="E2374" t="s">
        <v>21</v>
      </c>
      <c r="F2374" t="s">
        <v>22</v>
      </c>
      <c r="G2374" t="s">
        <v>135</v>
      </c>
      <c r="H2374">
        <v>1</v>
      </c>
      <c r="I2374" s="3">
        <v>46.91</v>
      </c>
      <c r="J2374" t="s">
        <v>16</v>
      </c>
      <c r="K2374" t="s">
        <v>40</v>
      </c>
      <c r="L2374" s="4">
        <f>Table4[[#This Row],[quantity]]*Table4[[#This Row],[unit_price]]</f>
        <v>46.91</v>
      </c>
      <c r="M2374">
        <f>COUNTIFS($C$2:$C$3934,Table4[[#This Row],[customer_id]])</f>
        <v>4</v>
      </c>
      <c r="N2374" t="str">
        <f>IF(Table4[[#This Row],[customer_order_count]]=1,"New Customer","Repeat Customer")</f>
        <v>Repeat Customer</v>
      </c>
    </row>
    <row r="2375" spans="1:14">
      <c r="A2375" t="s">
        <v>2109</v>
      </c>
      <c r="B2375" s="1">
        <v>45453</v>
      </c>
      <c r="C2375" t="s">
        <v>2110</v>
      </c>
      <c r="D2375" t="s">
        <v>2111</v>
      </c>
      <c r="E2375" t="s">
        <v>21</v>
      </c>
      <c r="F2375" t="s">
        <v>70</v>
      </c>
      <c r="G2375" t="s">
        <v>337</v>
      </c>
      <c r="H2375">
        <v>2</v>
      </c>
      <c r="I2375" s="3">
        <v>46.91</v>
      </c>
      <c r="J2375" t="s">
        <v>16</v>
      </c>
      <c r="K2375" t="s">
        <v>40</v>
      </c>
      <c r="L2375" s="4">
        <f>Table4[[#This Row],[quantity]]*Table4[[#This Row],[unit_price]]</f>
        <v>93.82</v>
      </c>
      <c r="M2375">
        <f>COUNTIFS($C$2:$C$3934,Table4[[#This Row],[customer_id]])</f>
        <v>5</v>
      </c>
      <c r="N2375" t="str">
        <f>IF(Table4[[#This Row],[customer_order_count]]=1,"New Customer","Repeat Customer")</f>
        <v>Repeat Customer</v>
      </c>
    </row>
    <row r="2376" spans="1:14">
      <c r="A2376" t="s">
        <v>1481</v>
      </c>
      <c r="B2376" s="1">
        <v>45022</v>
      </c>
      <c r="C2376" t="s">
        <v>1482</v>
      </c>
      <c r="D2376" t="s">
        <v>269</v>
      </c>
      <c r="E2376" t="s">
        <v>21</v>
      </c>
      <c r="F2376" t="s">
        <v>14</v>
      </c>
      <c r="G2376" t="s">
        <v>258</v>
      </c>
      <c r="H2376">
        <v>2</v>
      </c>
      <c r="I2376" s="3">
        <v>46.93</v>
      </c>
      <c r="J2376" t="s">
        <v>85</v>
      </c>
      <c r="K2376" t="s">
        <v>40</v>
      </c>
      <c r="L2376" s="4">
        <f>Table4[[#This Row],[quantity]]*Table4[[#This Row],[unit_price]]</f>
        <v>93.86</v>
      </c>
      <c r="M2376">
        <f>COUNTIFS($C$2:$C$3934,Table4[[#This Row],[customer_id]])</f>
        <v>6</v>
      </c>
      <c r="N2376" t="str">
        <f>IF(Table4[[#This Row],[customer_order_count]]=1,"New Customer","Repeat Customer")</f>
        <v>Repeat Customer</v>
      </c>
    </row>
    <row r="2377" spans="1:14">
      <c r="A2377" t="s">
        <v>3846</v>
      </c>
      <c r="B2377" s="1">
        <v>45127</v>
      </c>
      <c r="C2377" t="s">
        <v>1761</v>
      </c>
      <c r="D2377" t="s">
        <v>797</v>
      </c>
      <c r="E2377" t="s">
        <v>21</v>
      </c>
      <c r="F2377" t="s">
        <v>22</v>
      </c>
      <c r="G2377" t="s">
        <v>23</v>
      </c>
      <c r="H2377">
        <v>1</v>
      </c>
      <c r="I2377" s="3">
        <v>47</v>
      </c>
      <c r="J2377" t="s">
        <v>16</v>
      </c>
      <c r="K2377" t="s">
        <v>17</v>
      </c>
      <c r="L2377" s="4">
        <f>Table4[[#This Row],[quantity]]*Table4[[#This Row],[unit_price]]</f>
        <v>47</v>
      </c>
      <c r="M2377">
        <f>COUNTIFS($C$2:$C$3934,Table4[[#This Row],[customer_id]])</f>
        <v>4</v>
      </c>
      <c r="N2377" t="str">
        <f>IF(Table4[[#This Row],[customer_order_count]]=1,"New Customer","Repeat Customer")</f>
        <v>Repeat Customer</v>
      </c>
    </row>
    <row r="2378" spans="1:14">
      <c r="A2378" t="s">
        <v>2419</v>
      </c>
      <c r="B2378" s="1">
        <v>45318</v>
      </c>
      <c r="C2378" t="s">
        <v>2412</v>
      </c>
      <c r="D2378" t="s">
        <v>2413</v>
      </c>
      <c r="E2378" t="s">
        <v>21</v>
      </c>
      <c r="F2378" t="s">
        <v>70</v>
      </c>
      <c r="G2378" t="s">
        <v>146</v>
      </c>
      <c r="H2378">
        <v>2</v>
      </c>
      <c r="I2378" s="3">
        <v>47.01</v>
      </c>
      <c r="J2378" t="s">
        <v>16</v>
      </c>
      <c r="K2378" t="s">
        <v>40</v>
      </c>
      <c r="L2378" s="4">
        <f>Table4[[#This Row],[quantity]]*Table4[[#This Row],[unit_price]]</f>
        <v>94.02</v>
      </c>
      <c r="M2378">
        <f>COUNTIFS($C$2:$C$3934,Table4[[#This Row],[customer_id]])</f>
        <v>4</v>
      </c>
      <c r="N2378" t="str">
        <f>IF(Table4[[#This Row],[customer_order_count]]=1,"New Customer","Repeat Customer")</f>
        <v>Repeat Customer</v>
      </c>
    </row>
    <row r="2379" spans="1:14">
      <c r="A2379" t="s">
        <v>4970</v>
      </c>
      <c r="B2379" s="1">
        <v>45601</v>
      </c>
      <c r="C2379" t="s">
        <v>804</v>
      </c>
      <c r="D2379" t="s">
        <v>805</v>
      </c>
      <c r="E2379" t="s">
        <v>21</v>
      </c>
      <c r="F2379" t="s">
        <v>79</v>
      </c>
      <c r="G2379" t="s">
        <v>166</v>
      </c>
      <c r="H2379">
        <v>1</v>
      </c>
      <c r="I2379" s="3">
        <v>47.07</v>
      </c>
      <c r="J2379" t="s">
        <v>16</v>
      </c>
      <c r="K2379" t="s">
        <v>40</v>
      </c>
      <c r="L2379" s="4">
        <f>Table4[[#This Row],[quantity]]*Table4[[#This Row],[unit_price]]</f>
        <v>47.07</v>
      </c>
      <c r="M2379">
        <f>COUNTIFS($C$2:$C$3934,Table4[[#This Row],[customer_id]])</f>
        <v>6</v>
      </c>
      <c r="N2379" t="str">
        <f>IF(Table4[[#This Row],[customer_order_count]]=1,"New Customer","Repeat Customer")</f>
        <v>Repeat Customer</v>
      </c>
    </row>
    <row r="2380" spans="1:14">
      <c r="A2380" t="s">
        <v>4219</v>
      </c>
      <c r="B2380" s="1">
        <v>45111</v>
      </c>
      <c r="C2380" t="s">
        <v>1148</v>
      </c>
      <c r="D2380" t="s">
        <v>857</v>
      </c>
      <c r="E2380" t="s">
        <v>21</v>
      </c>
      <c r="F2380" t="s">
        <v>14</v>
      </c>
      <c r="G2380" t="s">
        <v>34</v>
      </c>
      <c r="H2380">
        <v>2</v>
      </c>
      <c r="I2380" s="3">
        <v>47.14</v>
      </c>
      <c r="J2380" t="s">
        <v>16</v>
      </c>
      <c r="K2380" t="s">
        <v>17</v>
      </c>
      <c r="L2380" s="4">
        <f>Table4[[#This Row],[quantity]]*Table4[[#This Row],[unit_price]]</f>
        <v>94.28</v>
      </c>
      <c r="M2380">
        <f>COUNTIFS($C$2:$C$3934,Table4[[#This Row],[customer_id]])</f>
        <v>8</v>
      </c>
      <c r="N2380" t="str">
        <f>IF(Table4[[#This Row],[customer_order_count]]=1,"New Customer","Repeat Customer")</f>
        <v>Repeat Customer</v>
      </c>
    </row>
    <row r="2381" spans="1:14">
      <c r="A2381" t="s">
        <v>873</v>
      </c>
      <c r="B2381" s="1">
        <v>44960</v>
      </c>
      <c r="C2381" t="s">
        <v>364</v>
      </c>
      <c r="D2381" t="s">
        <v>365</v>
      </c>
      <c r="E2381" t="s">
        <v>21</v>
      </c>
      <c r="F2381" t="s">
        <v>56</v>
      </c>
      <c r="G2381" t="s">
        <v>153</v>
      </c>
      <c r="H2381">
        <v>1</v>
      </c>
      <c r="I2381" s="3">
        <v>47.19</v>
      </c>
      <c r="J2381" t="s">
        <v>16</v>
      </c>
      <c r="K2381" t="s">
        <v>35</v>
      </c>
      <c r="L2381" s="4">
        <f>Table4[[#This Row],[quantity]]*Table4[[#This Row],[unit_price]]</f>
        <v>47.19</v>
      </c>
      <c r="M2381">
        <f>COUNTIFS($C$2:$C$3934,Table4[[#This Row],[customer_id]])</f>
        <v>6</v>
      </c>
      <c r="N2381" t="str">
        <f>IF(Table4[[#This Row],[customer_order_count]]=1,"New Customer","Repeat Customer")</f>
        <v>Repeat Customer</v>
      </c>
    </row>
    <row r="2382" spans="1:14">
      <c r="A2382" t="s">
        <v>3851</v>
      </c>
      <c r="B2382" s="1">
        <v>45265</v>
      </c>
      <c r="C2382" t="s">
        <v>623</v>
      </c>
      <c r="D2382" t="s">
        <v>624</v>
      </c>
      <c r="E2382" t="s">
        <v>61</v>
      </c>
      <c r="F2382" t="s">
        <v>14</v>
      </c>
      <c r="G2382" t="s">
        <v>258</v>
      </c>
      <c r="H2382">
        <v>1</v>
      </c>
      <c r="I2382" s="3">
        <v>47.19</v>
      </c>
      <c r="J2382" t="s">
        <v>16</v>
      </c>
      <c r="K2382" t="s">
        <v>30</v>
      </c>
      <c r="L2382" s="4">
        <f>Table4[[#This Row],[quantity]]*Table4[[#This Row],[unit_price]]</f>
        <v>47.19</v>
      </c>
      <c r="M2382">
        <f>COUNTIFS($C$2:$C$3934,Table4[[#This Row],[customer_id]])</f>
        <v>3</v>
      </c>
      <c r="N2382" t="str">
        <f>IF(Table4[[#This Row],[customer_order_count]]=1,"New Customer","Repeat Customer")</f>
        <v>Repeat Customer</v>
      </c>
    </row>
    <row r="2383" spans="1:14">
      <c r="A2383" t="s">
        <v>4528</v>
      </c>
      <c r="B2383" s="1">
        <v>45001</v>
      </c>
      <c r="C2383" t="s">
        <v>1312</v>
      </c>
      <c r="D2383" t="s">
        <v>693</v>
      </c>
      <c r="E2383" t="s">
        <v>21</v>
      </c>
      <c r="F2383" t="s">
        <v>70</v>
      </c>
      <c r="G2383" t="s">
        <v>526</v>
      </c>
      <c r="H2383">
        <v>1</v>
      </c>
      <c r="I2383" s="3">
        <v>47.24</v>
      </c>
      <c r="J2383" t="s">
        <v>85</v>
      </c>
      <c r="K2383" t="s">
        <v>35</v>
      </c>
      <c r="L2383" s="4">
        <f>Table4[[#This Row],[quantity]]*Table4[[#This Row],[unit_price]]</f>
        <v>47.24</v>
      </c>
      <c r="M2383">
        <f>COUNTIFS($C$2:$C$3934,Table4[[#This Row],[customer_id]])</f>
        <v>5</v>
      </c>
      <c r="N2383" t="str">
        <f>IF(Table4[[#This Row],[customer_order_count]]=1,"New Customer","Repeat Customer")</f>
        <v>Repeat Customer</v>
      </c>
    </row>
    <row r="2384" spans="1:14">
      <c r="A2384" t="s">
        <v>3206</v>
      </c>
      <c r="B2384" s="1">
        <v>45238</v>
      </c>
      <c r="C2384" t="s">
        <v>342</v>
      </c>
      <c r="D2384" t="s">
        <v>343</v>
      </c>
      <c r="E2384" t="s">
        <v>44</v>
      </c>
      <c r="F2384" t="s">
        <v>22</v>
      </c>
      <c r="G2384" t="s">
        <v>142</v>
      </c>
      <c r="H2384">
        <v>3</v>
      </c>
      <c r="I2384" s="3">
        <v>47.24</v>
      </c>
      <c r="J2384" t="s">
        <v>16</v>
      </c>
      <c r="K2384" t="s">
        <v>30</v>
      </c>
      <c r="L2384" s="4">
        <f>Table4[[#This Row],[quantity]]*Table4[[#This Row],[unit_price]]</f>
        <v>141.72</v>
      </c>
      <c r="M2384">
        <f>COUNTIFS($C$2:$C$3934,Table4[[#This Row],[customer_id]])</f>
        <v>8</v>
      </c>
      <c r="N2384" t="str">
        <f>IF(Table4[[#This Row],[customer_order_count]]=1,"New Customer","Repeat Customer")</f>
        <v>Repeat Customer</v>
      </c>
    </row>
    <row r="2385" spans="1:14">
      <c r="A2385" t="s">
        <v>401</v>
      </c>
      <c r="B2385" s="1">
        <v>45465</v>
      </c>
      <c r="C2385" t="s">
        <v>402</v>
      </c>
      <c r="D2385" t="s">
        <v>403</v>
      </c>
      <c r="E2385" t="s">
        <v>21</v>
      </c>
      <c r="F2385" t="s">
        <v>22</v>
      </c>
      <c r="G2385" t="s">
        <v>142</v>
      </c>
      <c r="H2385">
        <v>1</v>
      </c>
      <c r="I2385" s="3">
        <v>47.25</v>
      </c>
      <c r="J2385" t="s">
        <v>16</v>
      </c>
      <c r="K2385" t="s">
        <v>40</v>
      </c>
      <c r="L2385" s="4">
        <f>Table4[[#This Row],[quantity]]*Table4[[#This Row],[unit_price]]</f>
        <v>47.25</v>
      </c>
      <c r="M2385">
        <f>COUNTIFS($C$2:$C$3934,Table4[[#This Row],[customer_id]])</f>
        <v>3</v>
      </c>
      <c r="N2385" t="str">
        <f>IF(Table4[[#This Row],[customer_order_count]]=1,"New Customer","Repeat Customer")</f>
        <v>Repeat Customer</v>
      </c>
    </row>
    <row r="2386" spans="1:14">
      <c r="A2386" t="s">
        <v>3340</v>
      </c>
      <c r="B2386" s="1">
        <v>45538</v>
      </c>
      <c r="C2386" t="s">
        <v>3341</v>
      </c>
      <c r="D2386" t="s">
        <v>681</v>
      </c>
      <c r="E2386" t="s">
        <v>44</v>
      </c>
      <c r="F2386" t="s">
        <v>14</v>
      </c>
      <c r="G2386" t="s">
        <v>39</v>
      </c>
      <c r="H2386">
        <v>2</v>
      </c>
      <c r="I2386" s="3">
        <v>47.25</v>
      </c>
      <c r="J2386" t="s">
        <v>16</v>
      </c>
      <c r="K2386" t="s">
        <v>40</v>
      </c>
      <c r="L2386" s="4">
        <f>Table4[[#This Row],[quantity]]*Table4[[#This Row],[unit_price]]</f>
        <v>94.5</v>
      </c>
      <c r="M2386">
        <f>COUNTIFS($C$2:$C$3934,Table4[[#This Row],[customer_id]])</f>
        <v>2</v>
      </c>
      <c r="N2386" t="str">
        <f>IF(Table4[[#This Row],[customer_order_count]]=1,"New Customer","Repeat Customer")</f>
        <v>Repeat Customer</v>
      </c>
    </row>
    <row r="2387" spans="1:14">
      <c r="A2387" t="s">
        <v>4343</v>
      </c>
      <c r="B2387" s="1">
        <v>45615</v>
      </c>
      <c r="C2387" t="s">
        <v>4344</v>
      </c>
      <c r="D2387" t="s">
        <v>4345</v>
      </c>
      <c r="E2387" t="s">
        <v>61</v>
      </c>
      <c r="F2387" t="s">
        <v>56</v>
      </c>
      <c r="G2387" t="s">
        <v>210</v>
      </c>
      <c r="H2387">
        <v>1</v>
      </c>
      <c r="I2387" s="3">
        <v>47.26</v>
      </c>
      <c r="J2387" t="s">
        <v>85</v>
      </c>
      <c r="K2387" s="2" t="s">
        <v>5256</v>
      </c>
      <c r="L2387" s="4">
        <f>Table4[[#This Row],[quantity]]*Table4[[#This Row],[unit_price]]</f>
        <v>47.26</v>
      </c>
      <c r="M2387">
        <f>COUNTIFS($C$2:$C$3934,Table4[[#This Row],[customer_id]])</f>
        <v>2</v>
      </c>
      <c r="N2387" t="str">
        <f>IF(Table4[[#This Row],[customer_order_count]]=1,"New Customer","Repeat Customer")</f>
        <v>Repeat Customer</v>
      </c>
    </row>
    <row r="2388" spans="1:14">
      <c r="A2388" t="s">
        <v>4987</v>
      </c>
      <c r="B2388" s="1">
        <v>45537</v>
      </c>
      <c r="C2388" t="s">
        <v>601</v>
      </c>
      <c r="D2388" t="s">
        <v>602</v>
      </c>
      <c r="E2388" t="s">
        <v>21</v>
      </c>
      <c r="F2388" t="s">
        <v>14</v>
      </c>
      <c r="G2388" t="s">
        <v>100</v>
      </c>
      <c r="H2388">
        <v>1</v>
      </c>
      <c r="I2388" s="3">
        <v>47.27</v>
      </c>
      <c r="J2388" t="s">
        <v>16</v>
      </c>
      <c r="K2388" s="5" t="s">
        <v>17</v>
      </c>
      <c r="L2388" s="4">
        <f>Table4[[#This Row],[quantity]]*Table4[[#This Row],[unit_price]]</f>
        <v>47.27</v>
      </c>
      <c r="M2388">
        <f>COUNTIFS($C$2:$C$3934,Table4[[#This Row],[customer_id]])</f>
        <v>2</v>
      </c>
      <c r="N2388" t="str">
        <f>IF(Table4[[#This Row],[customer_order_count]]=1,"New Customer","Repeat Customer")</f>
        <v>Repeat Customer</v>
      </c>
    </row>
    <row r="2389" spans="1:14">
      <c r="A2389" t="s">
        <v>4078</v>
      </c>
      <c r="B2389" s="1">
        <v>45314</v>
      </c>
      <c r="C2389" t="s">
        <v>680</v>
      </c>
      <c r="D2389" t="s">
        <v>681</v>
      </c>
      <c r="E2389" t="s">
        <v>21</v>
      </c>
      <c r="F2389" t="s">
        <v>22</v>
      </c>
      <c r="G2389" t="s">
        <v>142</v>
      </c>
      <c r="H2389">
        <v>4</v>
      </c>
      <c r="I2389" s="3">
        <v>47.3</v>
      </c>
      <c r="J2389" t="s">
        <v>16</v>
      </c>
      <c r="K2389" t="s">
        <v>35</v>
      </c>
      <c r="L2389" s="4">
        <f>Table4[[#This Row],[quantity]]*Table4[[#This Row],[unit_price]]</f>
        <v>189.2</v>
      </c>
      <c r="M2389">
        <f>COUNTIFS($C$2:$C$3934,Table4[[#This Row],[customer_id]])</f>
        <v>11</v>
      </c>
      <c r="N2389" t="str">
        <f>IF(Table4[[#This Row],[customer_order_count]]=1,"New Customer","Repeat Customer")</f>
        <v>Repeat Customer</v>
      </c>
    </row>
    <row r="2390" spans="1:14">
      <c r="A2390" t="s">
        <v>3409</v>
      </c>
      <c r="B2390" s="1">
        <v>45596</v>
      </c>
      <c r="C2390" t="s">
        <v>2197</v>
      </c>
      <c r="D2390" t="s">
        <v>2198</v>
      </c>
      <c r="E2390" t="s">
        <v>44</v>
      </c>
      <c r="F2390" t="s">
        <v>56</v>
      </c>
      <c r="G2390" t="s">
        <v>153</v>
      </c>
      <c r="H2390">
        <v>1</v>
      </c>
      <c r="I2390" s="3">
        <v>47.31</v>
      </c>
      <c r="J2390" t="s">
        <v>16</v>
      </c>
      <c r="K2390" t="s">
        <v>17</v>
      </c>
      <c r="L2390" s="4">
        <f>Table4[[#This Row],[quantity]]*Table4[[#This Row],[unit_price]]</f>
        <v>47.31</v>
      </c>
      <c r="M2390">
        <f>COUNTIFS($C$2:$C$3934,Table4[[#This Row],[customer_id]])</f>
        <v>3</v>
      </c>
      <c r="N2390" t="str">
        <f>IF(Table4[[#This Row],[customer_order_count]]=1,"New Customer","Repeat Customer")</f>
        <v>Repeat Customer</v>
      </c>
    </row>
    <row r="2391" spans="1:14">
      <c r="A2391" t="s">
        <v>5022</v>
      </c>
      <c r="B2391" s="1">
        <v>45297</v>
      </c>
      <c r="C2391" t="s">
        <v>626</v>
      </c>
      <c r="D2391" t="s">
        <v>627</v>
      </c>
      <c r="E2391" t="s">
        <v>21</v>
      </c>
      <c r="F2391" t="s">
        <v>56</v>
      </c>
      <c r="G2391" t="s">
        <v>118</v>
      </c>
      <c r="H2391">
        <v>1</v>
      </c>
      <c r="I2391" s="3">
        <v>47.31</v>
      </c>
      <c r="J2391" t="s">
        <v>16</v>
      </c>
      <c r="K2391" t="s">
        <v>35</v>
      </c>
      <c r="L2391" s="4">
        <f>Table4[[#This Row],[quantity]]*Table4[[#This Row],[unit_price]]</f>
        <v>47.31</v>
      </c>
      <c r="M2391">
        <f>COUNTIFS($C$2:$C$3934,Table4[[#This Row],[customer_id]])</f>
        <v>4</v>
      </c>
      <c r="N2391" t="str">
        <f>IF(Table4[[#This Row],[customer_order_count]]=1,"New Customer","Repeat Customer")</f>
        <v>Repeat Customer</v>
      </c>
    </row>
    <row r="2392" spans="1:14">
      <c r="A2392" t="s">
        <v>4060</v>
      </c>
      <c r="B2392" s="1">
        <v>45029</v>
      </c>
      <c r="C2392" t="s">
        <v>871</v>
      </c>
      <c r="D2392" t="s">
        <v>872</v>
      </c>
      <c r="E2392" t="s">
        <v>21</v>
      </c>
      <c r="F2392" t="s">
        <v>70</v>
      </c>
      <c r="G2392" t="s">
        <v>89</v>
      </c>
      <c r="H2392">
        <v>1</v>
      </c>
      <c r="I2392" s="3">
        <v>47.35</v>
      </c>
      <c r="J2392" t="s">
        <v>16</v>
      </c>
      <c r="K2392" t="s">
        <v>40</v>
      </c>
      <c r="L2392" s="4">
        <f>Table4[[#This Row],[quantity]]*Table4[[#This Row],[unit_price]]</f>
        <v>47.35</v>
      </c>
      <c r="M2392">
        <f>COUNTIFS($C$2:$C$3934,Table4[[#This Row],[customer_id]])</f>
        <v>5</v>
      </c>
      <c r="N2392" t="str">
        <f>IF(Table4[[#This Row],[customer_order_count]]=1,"New Customer","Repeat Customer")</f>
        <v>Repeat Customer</v>
      </c>
    </row>
    <row r="2393" spans="1:14">
      <c r="A2393" t="s">
        <v>3490</v>
      </c>
      <c r="B2393" s="1">
        <v>45463</v>
      </c>
      <c r="C2393" t="s">
        <v>1102</v>
      </c>
      <c r="D2393" t="s">
        <v>1103</v>
      </c>
      <c r="E2393" t="s">
        <v>21</v>
      </c>
      <c r="F2393" t="s">
        <v>79</v>
      </c>
      <c r="G2393" t="s">
        <v>541</v>
      </c>
      <c r="H2393">
        <v>2</v>
      </c>
      <c r="I2393" s="3">
        <v>47.35</v>
      </c>
      <c r="J2393" t="s">
        <v>16</v>
      </c>
      <c r="K2393" t="s">
        <v>40</v>
      </c>
      <c r="L2393" s="4">
        <f>Table4[[#This Row],[quantity]]*Table4[[#This Row],[unit_price]]</f>
        <v>94.7</v>
      </c>
      <c r="M2393">
        <f>COUNTIFS($C$2:$C$3934,Table4[[#This Row],[customer_id]])</f>
        <v>6</v>
      </c>
      <c r="N2393" t="str">
        <f>IF(Table4[[#This Row],[customer_order_count]]=1,"New Customer","Repeat Customer")</f>
        <v>Repeat Customer</v>
      </c>
    </row>
    <row r="2394" spans="1:14">
      <c r="A2394" t="s">
        <v>1039</v>
      </c>
      <c r="B2394" s="1">
        <v>45654</v>
      </c>
      <c r="C2394" t="s">
        <v>1040</v>
      </c>
      <c r="D2394" t="s">
        <v>962</v>
      </c>
      <c r="E2394" t="s">
        <v>61</v>
      </c>
      <c r="F2394" t="s">
        <v>70</v>
      </c>
      <c r="G2394" t="s">
        <v>146</v>
      </c>
      <c r="H2394">
        <v>3</v>
      </c>
      <c r="I2394" s="3">
        <v>47.38</v>
      </c>
      <c r="J2394" t="s">
        <v>85</v>
      </c>
      <c r="K2394" t="s">
        <v>40</v>
      </c>
      <c r="L2394" s="4">
        <f>Table4[[#This Row],[quantity]]*Table4[[#This Row],[unit_price]]</f>
        <v>142.14000000000001</v>
      </c>
      <c r="M2394">
        <f>COUNTIFS($C$2:$C$3934,Table4[[#This Row],[customer_id]])</f>
        <v>3</v>
      </c>
      <c r="N2394" t="str">
        <f>IF(Table4[[#This Row],[customer_order_count]]=1,"New Customer","Repeat Customer")</f>
        <v>Repeat Customer</v>
      </c>
    </row>
    <row r="2395" spans="1:14">
      <c r="A2395" t="s">
        <v>1798</v>
      </c>
      <c r="B2395" s="1">
        <v>45591</v>
      </c>
      <c r="C2395" t="s">
        <v>1799</v>
      </c>
      <c r="D2395" t="s">
        <v>186</v>
      </c>
      <c r="E2395" t="s">
        <v>21</v>
      </c>
      <c r="F2395" t="s">
        <v>14</v>
      </c>
      <c r="G2395" t="s">
        <v>34</v>
      </c>
      <c r="H2395">
        <v>5</v>
      </c>
      <c r="I2395" s="3">
        <v>47.39</v>
      </c>
      <c r="J2395" t="s">
        <v>16</v>
      </c>
      <c r="K2395" t="s">
        <v>35</v>
      </c>
      <c r="L2395" s="4">
        <f>Table4[[#This Row],[quantity]]*Table4[[#This Row],[unit_price]]</f>
        <v>236.95</v>
      </c>
      <c r="M2395">
        <f>COUNTIFS($C$2:$C$3934,Table4[[#This Row],[customer_id]])</f>
        <v>4</v>
      </c>
      <c r="N2395" t="str">
        <f>IF(Table4[[#This Row],[customer_order_count]]=1,"New Customer","Repeat Customer")</f>
        <v>Repeat Customer</v>
      </c>
    </row>
    <row r="2396" spans="1:14">
      <c r="A2396" t="s">
        <v>2164</v>
      </c>
      <c r="B2396" s="1">
        <v>45390</v>
      </c>
      <c r="C2396" t="s">
        <v>683</v>
      </c>
      <c r="D2396" t="s">
        <v>684</v>
      </c>
      <c r="E2396" t="s">
        <v>44</v>
      </c>
      <c r="F2396" t="s">
        <v>79</v>
      </c>
      <c r="G2396" t="s">
        <v>204</v>
      </c>
      <c r="H2396">
        <v>1</v>
      </c>
      <c r="I2396" s="3">
        <v>47.41</v>
      </c>
      <c r="J2396" t="s">
        <v>85</v>
      </c>
      <c r="K2396" t="s">
        <v>17</v>
      </c>
      <c r="L2396" s="4">
        <f>Table4[[#This Row],[quantity]]*Table4[[#This Row],[unit_price]]</f>
        <v>47.41</v>
      </c>
      <c r="M2396">
        <f>COUNTIFS($C$2:$C$3934,Table4[[#This Row],[customer_id]])</f>
        <v>4</v>
      </c>
      <c r="N2396" t="str">
        <f>IF(Table4[[#This Row],[customer_order_count]]=1,"New Customer","Repeat Customer")</f>
        <v>Repeat Customer</v>
      </c>
    </row>
    <row r="2397" spans="1:14">
      <c r="A2397" t="s">
        <v>2938</v>
      </c>
      <c r="B2397" s="1">
        <v>45584</v>
      </c>
      <c r="C2397" t="s">
        <v>553</v>
      </c>
      <c r="D2397" t="s">
        <v>554</v>
      </c>
      <c r="E2397" t="s">
        <v>21</v>
      </c>
      <c r="F2397" t="s">
        <v>22</v>
      </c>
      <c r="G2397" t="s">
        <v>264</v>
      </c>
      <c r="H2397">
        <v>1</v>
      </c>
      <c r="I2397" s="3">
        <v>47.45</v>
      </c>
      <c r="J2397" t="s">
        <v>255</v>
      </c>
      <c r="K2397" t="s">
        <v>35</v>
      </c>
      <c r="L2397" s="4">
        <f>Table4[[#This Row],[quantity]]*Table4[[#This Row],[unit_price]]</f>
        <v>47.45</v>
      </c>
      <c r="M2397">
        <f>COUNTIFS($C$2:$C$3934,Table4[[#This Row],[customer_id]])</f>
        <v>5</v>
      </c>
      <c r="N2397" t="str">
        <f>IF(Table4[[#This Row],[customer_order_count]]=1,"New Customer","Repeat Customer")</f>
        <v>Repeat Customer</v>
      </c>
    </row>
    <row r="2398" spans="1:14">
      <c r="A2398" t="s">
        <v>3146</v>
      </c>
      <c r="B2398" s="1">
        <v>45476</v>
      </c>
      <c r="C2398" t="s">
        <v>1425</v>
      </c>
      <c r="D2398" t="s">
        <v>519</v>
      </c>
      <c r="E2398" t="s">
        <v>21</v>
      </c>
      <c r="F2398" t="s">
        <v>70</v>
      </c>
      <c r="G2398" t="s">
        <v>526</v>
      </c>
      <c r="H2398">
        <v>1</v>
      </c>
      <c r="I2398" s="3">
        <v>47.45</v>
      </c>
      <c r="J2398" t="s">
        <v>16</v>
      </c>
      <c r="K2398" t="s">
        <v>40</v>
      </c>
      <c r="L2398" s="4">
        <f>Table4[[#This Row],[quantity]]*Table4[[#This Row],[unit_price]]</f>
        <v>47.45</v>
      </c>
      <c r="M2398">
        <f>COUNTIFS($C$2:$C$3934,Table4[[#This Row],[customer_id]])</f>
        <v>5</v>
      </c>
      <c r="N2398" t="str">
        <f>IF(Table4[[#This Row],[customer_order_count]]=1,"New Customer","Repeat Customer")</f>
        <v>Repeat Customer</v>
      </c>
    </row>
    <row r="2399" spans="1:14">
      <c r="A2399" t="s">
        <v>4524</v>
      </c>
      <c r="B2399" s="1">
        <v>45428</v>
      </c>
      <c r="C2399" t="s">
        <v>263</v>
      </c>
      <c r="D2399" t="s">
        <v>78</v>
      </c>
      <c r="E2399" t="s">
        <v>21</v>
      </c>
      <c r="F2399" t="s">
        <v>14</v>
      </c>
      <c r="G2399" t="s">
        <v>258</v>
      </c>
      <c r="H2399">
        <v>1</v>
      </c>
      <c r="I2399" s="3">
        <v>47.46</v>
      </c>
      <c r="J2399" t="s">
        <v>16</v>
      </c>
      <c r="K2399" t="s">
        <v>17</v>
      </c>
      <c r="L2399" s="4">
        <f>Table4[[#This Row],[quantity]]*Table4[[#This Row],[unit_price]]</f>
        <v>47.46</v>
      </c>
      <c r="M2399">
        <f>COUNTIFS($C$2:$C$3934,Table4[[#This Row],[customer_id]])</f>
        <v>5</v>
      </c>
      <c r="N2399" t="str">
        <f>IF(Table4[[#This Row],[customer_order_count]]=1,"New Customer","Repeat Customer")</f>
        <v>Repeat Customer</v>
      </c>
    </row>
    <row r="2400" spans="1:14">
      <c r="A2400" t="s">
        <v>3305</v>
      </c>
      <c r="B2400" s="1">
        <v>45306</v>
      </c>
      <c r="C2400" t="s">
        <v>3306</v>
      </c>
      <c r="D2400" t="s">
        <v>669</v>
      </c>
      <c r="E2400" t="s">
        <v>44</v>
      </c>
      <c r="F2400" t="s">
        <v>22</v>
      </c>
      <c r="G2400" t="s">
        <v>135</v>
      </c>
      <c r="H2400">
        <v>1</v>
      </c>
      <c r="I2400" s="3">
        <v>47.48</v>
      </c>
      <c r="J2400" t="s">
        <v>16</v>
      </c>
      <c r="K2400" t="s">
        <v>17</v>
      </c>
      <c r="L2400" s="4">
        <f>Table4[[#This Row],[quantity]]*Table4[[#This Row],[unit_price]]</f>
        <v>47.48</v>
      </c>
      <c r="M2400">
        <f>COUNTIFS($C$2:$C$3934,Table4[[#This Row],[customer_id]])</f>
        <v>4</v>
      </c>
      <c r="N2400" t="str">
        <f>IF(Table4[[#This Row],[customer_order_count]]=1,"New Customer","Repeat Customer")</f>
        <v>Repeat Customer</v>
      </c>
    </row>
    <row r="2401" spans="1:14">
      <c r="A2401" t="s">
        <v>3057</v>
      </c>
      <c r="B2401" s="1">
        <v>45184</v>
      </c>
      <c r="C2401" t="s">
        <v>1246</v>
      </c>
      <c r="D2401" t="s">
        <v>947</v>
      </c>
      <c r="E2401" t="s">
        <v>21</v>
      </c>
      <c r="F2401" t="s">
        <v>70</v>
      </c>
      <c r="G2401" t="s">
        <v>110</v>
      </c>
      <c r="H2401">
        <v>1</v>
      </c>
      <c r="I2401" s="3">
        <v>47.5</v>
      </c>
      <c r="J2401" t="s">
        <v>16</v>
      </c>
      <c r="K2401" t="s">
        <v>17</v>
      </c>
      <c r="L2401" s="4">
        <f>Table4[[#This Row],[quantity]]*Table4[[#This Row],[unit_price]]</f>
        <v>47.5</v>
      </c>
      <c r="M2401">
        <f>COUNTIFS($C$2:$C$3934,Table4[[#This Row],[customer_id]])</f>
        <v>8</v>
      </c>
      <c r="N2401" t="str">
        <f>IF(Table4[[#This Row],[customer_order_count]]=1,"New Customer","Repeat Customer")</f>
        <v>Repeat Customer</v>
      </c>
    </row>
    <row r="2402" spans="1:14">
      <c r="A2402" t="s">
        <v>4839</v>
      </c>
      <c r="B2402" s="1">
        <v>45107</v>
      </c>
      <c r="C2402" t="s">
        <v>2249</v>
      </c>
      <c r="D2402" t="s">
        <v>1164</v>
      </c>
      <c r="E2402" t="s">
        <v>21</v>
      </c>
      <c r="F2402" t="s">
        <v>22</v>
      </c>
      <c r="G2402" t="s">
        <v>162</v>
      </c>
      <c r="H2402">
        <v>1</v>
      </c>
      <c r="I2402" s="3">
        <v>47.53</v>
      </c>
      <c r="J2402" t="s">
        <v>16</v>
      </c>
      <c r="K2402" t="s">
        <v>17</v>
      </c>
      <c r="L2402" s="4">
        <f>Table4[[#This Row],[quantity]]*Table4[[#This Row],[unit_price]]</f>
        <v>47.53</v>
      </c>
      <c r="M2402">
        <f>COUNTIFS($C$2:$C$3934,Table4[[#This Row],[customer_id]])</f>
        <v>3</v>
      </c>
      <c r="N2402" t="str">
        <f>IF(Table4[[#This Row],[customer_order_count]]=1,"New Customer","Repeat Customer")</f>
        <v>Repeat Customer</v>
      </c>
    </row>
    <row r="2403" spans="1:14">
      <c r="A2403" t="s">
        <v>2513</v>
      </c>
      <c r="B2403" s="1">
        <v>45280</v>
      </c>
      <c r="C2403" t="s">
        <v>1136</v>
      </c>
      <c r="D2403" t="s">
        <v>525</v>
      </c>
      <c r="E2403" t="s">
        <v>44</v>
      </c>
      <c r="F2403" t="s">
        <v>56</v>
      </c>
      <c r="G2403" t="s">
        <v>210</v>
      </c>
      <c r="H2403">
        <v>3</v>
      </c>
      <c r="I2403" s="3">
        <v>47.53</v>
      </c>
      <c r="J2403" t="s">
        <v>24</v>
      </c>
      <c r="K2403" s="2" t="s">
        <v>5256</v>
      </c>
      <c r="L2403" s="4">
        <f>Table4[[#This Row],[quantity]]*Table4[[#This Row],[unit_price]]</f>
        <v>142.59</v>
      </c>
      <c r="M2403">
        <f>COUNTIFS($C$2:$C$3934,Table4[[#This Row],[customer_id]])</f>
        <v>8</v>
      </c>
      <c r="N2403" t="str">
        <f>IF(Table4[[#This Row],[customer_order_count]]=1,"New Customer","Repeat Customer")</f>
        <v>Repeat Customer</v>
      </c>
    </row>
    <row r="2404" spans="1:14">
      <c r="A2404" t="s">
        <v>3202</v>
      </c>
      <c r="B2404" s="1">
        <v>45573</v>
      </c>
      <c r="C2404" t="s">
        <v>266</v>
      </c>
      <c r="D2404" t="s">
        <v>152</v>
      </c>
      <c r="E2404" t="s">
        <v>21</v>
      </c>
      <c r="F2404" t="s">
        <v>14</v>
      </c>
      <c r="G2404" t="s">
        <v>39</v>
      </c>
      <c r="H2404">
        <v>1</v>
      </c>
      <c r="I2404" s="3">
        <v>47.59</v>
      </c>
      <c r="J2404" t="s">
        <v>16</v>
      </c>
      <c r="K2404" s="5" t="s">
        <v>30</v>
      </c>
      <c r="L2404" s="4">
        <f>Table4[[#This Row],[quantity]]*Table4[[#This Row],[unit_price]]</f>
        <v>47.59</v>
      </c>
      <c r="M2404">
        <f>COUNTIFS($C$2:$C$3934,Table4[[#This Row],[customer_id]])</f>
        <v>6</v>
      </c>
      <c r="N2404" t="str">
        <f>IF(Table4[[#This Row],[customer_order_count]]=1,"New Customer","Repeat Customer")</f>
        <v>Repeat Customer</v>
      </c>
    </row>
    <row r="2405" spans="1:14">
      <c r="A2405" t="s">
        <v>4738</v>
      </c>
      <c r="B2405" s="1">
        <v>45551</v>
      </c>
      <c r="C2405" t="s">
        <v>1163</v>
      </c>
      <c r="D2405" t="s">
        <v>1164</v>
      </c>
      <c r="E2405" t="s">
        <v>21</v>
      </c>
      <c r="F2405" t="s">
        <v>22</v>
      </c>
      <c r="G2405" t="s">
        <v>264</v>
      </c>
      <c r="H2405">
        <v>1</v>
      </c>
      <c r="I2405" s="3">
        <v>47.6</v>
      </c>
      <c r="J2405" t="s">
        <v>16</v>
      </c>
      <c r="K2405" t="s">
        <v>17</v>
      </c>
      <c r="L2405" s="4">
        <f>Table4[[#This Row],[quantity]]*Table4[[#This Row],[unit_price]]</f>
        <v>47.6</v>
      </c>
      <c r="M2405">
        <f>COUNTIFS($C$2:$C$3934,Table4[[#This Row],[customer_id]])</f>
        <v>6</v>
      </c>
      <c r="N2405" t="str">
        <f>IF(Table4[[#This Row],[customer_order_count]]=1,"New Customer","Repeat Customer")</f>
        <v>Repeat Customer</v>
      </c>
    </row>
    <row r="2406" spans="1:14">
      <c r="A2406" t="s">
        <v>2753</v>
      </c>
      <c r="B2406" s="1">
        <v>45508</v>
      </c>
      <c r="C2406" t="s">
        <v>838</v>
      </c>
      <c r="D2406" t="s">
        <v>839</v>
      </c>
      <c r="E2406" t="s">
        <v>44</v>
      </c>
      <c r="F2406" t="s">
        <v>56</v>
      </c>
      <c r="G2406" t="s">
        <v>75</v>
      </c>
      <c r="H2406">
        <v>2</v>
      </c>
      <c r="I2406" s="3">
        <v>47.62</v>
      </c>
      <c r="J2406" t="s">
        <v>16</v>
      </c>
      <c r="K2406" t="s">
        <v>30</v>
      </c>
      <c r="L2406" s="4">
        <f>Table4[[#This Row],[quantity]]*Table4[[#This Row],[unit_price]]</f>
        <v>95.24</v>
      </c>
      <c r="M2406">
        <f>COUNTIFS($C$2:$C$3934,Table4[[#This Row],[customer_id]])</f>
        <v>5</v>
      </c>
      <c r="N2406" t="str">
        <f>IF(Table4[[#This Row],[customer_order_count]]=1,"New Customer","Repeat Customer")</f>
        <v>Repeat Customer</v>
      </c>
    </row>
    <row r="2407" spans="1:14">
      <c r="A2407" t="s">
        <v>2501</v>
      </c>
      <c r="B2407" s="1">
        <v>45607</v>
      </c>
      <c r="C2407" t="s">
        <v>1100</v>
      </c>
      <c r="D2407" t="s">
        <v>950</v>
      </c>
      <c r="E2407" t="s">
        <v>61</v>
      </c>
      <c r="F2407" t="s">
        <v>56</v>
      </c>
      <c r="G2407" t="s">
        <v>422</v>
      </c>
      <c r="H2407">
        <v>1</v>
      </c>
      <c r="I2407" s="3">
        <v>47.63</v>
      </c>
      <c r="J2407" t="s">
        <v>16</v>
      </c>
      <c r="K2407" t="s">
        <v>35</v>
      </c>
      <c r="L2407" s="4">
        <f>Table4[[#This Row],[quantity]]*Table4[[#This Row],[unit_price]]</f>
        <v>47.63</v>
      </c>
      <c r="M2407">
        <f>COUNTIFS($C$2:$C$3934,Table4[[#This Row],[customer_id]])</f>
        <v>4</v>
      </c>
      <c r="N2407" t="str">
        <f>IF(Table4[[#This Row],[customer_order_count]]=1,"New Customer","Repeat Customer")</f>
        <v>Repeat Customer</v>
      </c>
    </row>
    <row r="2408" spans="1:14">
      <c r="A2408" t="s">
        <v>2565</v>
      </c>
      <c r="B2408" s="1">
        <v>45095</v>
      </c>
      <c r="C2408" t="s">
        <v>2566</v>
      </c>
      <c r="D2408" t="s">
        <v>981</v>
      </c>
      <c r="E2408" t="s">
        <v>21</v>
      </c>
      <c r="F2408" t="s">
        <v>70</v>
      </c>
      <c r="G2408" t="s">
        <v>146</v>
      </c>
      <c r="H2408">
        <v>1</v>
      </c>
      <c r="I2408" s="3">
        <v>47.63</v>
      </c>
      <c r="J2408" t="s">
        <v>16</v>
      </c>
      <c r="K2408" t="s">
        <v>17</v>
      </c>
      <c r="L2408" s="4">
        <f>Table4[[#This Row],[quantity]]*Table4[[#This Row],[unit_price]]</f>
        <v>47.63</v>
      </c>
      <c r="M2408">
        <f>COUNTIFS($C$2:$C$3934,Table4[[#This Row],[customer_id]])</f>
        <v>5</v>
      </c>
      <c r="N2408" t="str">
        <f>IF(Table4[[#This Row],[customer_order_count]]=1,"New Customer","Repeat Customer")</f>
        <v>Repeat Customer</v>
      </c>
    </row>
    <row r="2409" spans="1:14">
      <c r="A2409" t="s">
        <v>2963</v>
      </c>
      <c r="B2409" s="1">
        <v>45587</v>
      </c>
      <c r="C2409" t="s">
        <v>2964</v>
      </c>
      <c r="D2409" t="s">
        <v>1828</v>
      </c>
      <c r="E2409" t="s">
        <v>44</v>
      </c>
      <c r="F2409" t="s">
        <v>70</v>
      </c>
      <c r="G2409" t="s">
        <v>337</v>
      </c>
      <c r="H2409">
        <v>4</v>
      </c>
      <c r="I2409" s="3">
        <v>47.65</v>
      </c>
      <c r="J2409" t="s">
        <v>16</v>
      </c>
      <c r="K2409" t="s">
        <v>17</v>
      </c>
      <c r="L2409" s="4">
        <f>Table4[[#This Row],[quantity]]*Table4[[#This Row],[unit_price]]</f>
        <v>190.6</v>
      </c>
      <c r="M2409">
        <f>COUNTIFS($C$2:$C$3934,Table4[[#This Row],[customer_id]])</f>
        <v>3</v>
      </c>
      <c r="N2409" t="str">
        <f>IF(Table4[[#This Row],[customer_order_count]]=1,"New Customer","Repeat Customer")</f>
        <v>Repeat Customer</v>
      </c>
    </row>
    <row r="2410" spans="1:14">
      <c r="A2410" t="s">
        <v>4394</v>
      </c>
      <c r="B2410" s="1">
        <v>45641</v>
      </c>
      <c r="C2410" t="s">
        <v>249</v>
      </c>
      <c r="D2410" t="s">
        <v>250</v>
      </c>
      <c r="E2410" t="s">
        <v>21</v>
      </c>
      <c r="F2410" t="s">
        <v>79</v>
      </c>
      <c r="G2410" t="s">
        <v>96</v>
      </c>
      <c r="H2410">
        <v>3</v>
      </c>
      <c r="I2410" s="3">
        <v>47.67</v>
      </c>
      <c r="J2410" t="s">
        <v>24</v>
      </c>
      <c r="K2410" t="s">
        <v>40</v>
      </c>
      <c r="L2410" s="4">
        <f>Table4[[#This Row],[quantity]]*Table4[[#This Row],[unit_price]]</f>
        <v>143.01</v>
      </c>
      <c r="M2410">
        <f>COUNTIFS($C$2:$C$3934,Table4[[#This Row],[customer_id]])</f>
        <v>12</v>
      </c>
      <c r="N2410" t="str">
        <f>IF(Table4[[#This Row],[customer_order_count]]=1,"New Customer","Repeat Customer")</f>
        <v>Repeat Customer</v>
      </c>
    </row>
    <row r="2411" spans="1:14">
      <c r="A2411" t="s">
        <v>1858</v>
      </c>
      <c r="B2411" s="1">
        <v>45548</v>
      </c>
      <c r="C2411" t="s">
        <v>997</v>
      </c>
      <c r="D2411" t="s">
        <v>887</v>
      </c>
      <c r="E2411" t="s">
        <v>44</v>
      </c>
      <c r="F2411" t="s">
        <v>14</v>
      </c>
      <c r="G2411" t="s">
        <v>34</v>
      </c>
      <c r="H2411">
        <v>1</v>
      </c>
      <c r="I2411" s="3">
        <v>47.71</v>
      </c>
      <c r="J2411" t="s">
        <v>16</v>
      </c>
      <c r="K2411" t="s">
        <v>30</v>
      </c>
      <c r="L2411" s="4">
        <f>Table4[[#This Row],[quantity]]*Table4[[#This Row],[unit_price]]</f>
        <v>47.71</v>
      </c>
      <c r="M2411">
        <f>COUNTIFS($C$2:$C$3934,Table4[[#This Row],[customer_id]])</f>
        <v>2</v>
      </c>
      <c r="N2411" t="str">
        <f>IF(Table4[[#This Row],[customer_order_count]]=1,"New Customer","Repeat Customer")</f>
        <v>Repeat Customer</v>
      </c>
    </row>
    <row r="2412" spans="1:14">
      <c r="A2412" t="s">
        <v>1764</v>
      </c>
      <c r="B2412" s="1">
        <v>45626</v>
      </c>
      <c r="C2412" t="s">
        <v>868</v>
      </c>
      <c r="D2412" t="s">
        <v>869</v>
      </c>
      <c r="E2412" t="s">
        <v>21</v>
      </c>
      <c r="F2412" t="s">
        <v>22</v>
      </c>
      <c r="G2412" t="s">
        <v>162</v>
      </c>
      <c r="H2412">
        <v>1</v>
      </c>
      <c r="I2412" s="3">
        <v>47.73</v>
      </c>
      <c r="J2412" t="s">
        <v>16</v>
      </c>
      <c r="K2412" t="s">
        <v>17</v>
      </c>
      <c r="L2412" s="4">
        <f>Table4[[#This Row],[quantity]]*Table4[[#This Row],[unit_price]]</f>
        <v>47.73</v>
      </c>
      <c r="M2412">
        <f>COUNTIFS($C$2:$C$3934,Table4[[#This Row],[customer_id]])</f>
        <v>7</v>
      </c>
      <c r="N2412" t="str">
        <f>IF(Table4[[#This Row],[customer_order_count]]=1,"New Customer","Repeat Customer")</f>
        <v>Repeat Customer</v>
      </c>
    </row>
    <row r="2413" spans="1:14">
      <c r="A2413" t="s">
        <v>2750</v>
      </c>
      <c r="B2413" s="1">
        <v>44993</v>
      </c>
      <c r="C2413" t="s">
        <v>1561</v>
      </c>
      <c r="D2413" t="s">
        <v>60</v>
      </c>
      <c r="E2413" t="s">
        <v>21</v>
      </c>
      <c r="F2413" t="s">
        <v>14</v>
      </c>
      <c r="G2413" t="s">
        <v>34</v>
      </c>
      <c r="H2413">
        <v>2</v>
      </c>
      <c r="I2413" s="3">
        <v>47.75</v>
      </c>
      <c r="J2413" t="s">
        <v>16</v>
      </c>
      <c r="K2413" t="s">
        <v>40</v>
      </c>
      <c r="L2413" s="4">
        <f>Table4[[#This Row],[quantity]]*Table4[[#This Row],[unit_price]]</f>
        <v>95.5</v>
      </c>
      <c r="M2413">
        <f>COUNTIFS($C$2:$C$3934,Table4[[#This Row],[customer_id]])</f>
        <v>6</v>
      </c>
      <c r="N2413" t="str">
        <f>IF(Table4[[#This Row],[customer_order_count]]=1,"New Customer","Repeat Customer")</f>
        <v>Repeat Customer</v>
      </c>
    </row>
    <row r="2414" spans="1:14">
      <c r="A2414" t="s">
        <v>439</v>
      </c>
      <c r="B2414" s="1">
        <v>45385</v>
      </c>
      <c r="C2414" t="s">
        <v>440</v>
      </c>
      <c r="D2414" t="s">
        <v>441</v>
      </c>
      <c r="E2414" t="s">
        <v>21</v>
      </c>
      <c r="F2414" t="s">
        <v>22</v>
      </c>
      <c r="G2414" t="s">
        <v>142</v>
      </c>
      <c r="H2414">
        <v>1</v>
      </c>
      <c r="I2414" s="3">
        <v>47.76</v>
      </c>
      <c r="J2414" t="s">
        <v>16</v>
      </c>
      <c r="K2414" t="s">
        <v>17</v>
      </c>
      <c r="L2414" s="4">
        <f>Table4[[#This Row],[quantity]]*Table4[[#This Row],[unit_price]]</f>
        <v>47.76</v>
      </c>
      <c r="M2414">
        <f>COUNTIFS($C$2:$C$3934,Table4[[#This Row],[customer_id]])</f>
        <v>5</v>
      </c>
      <c r="N2414" t="str">
        <f>IF(Table4[[#This Row],[customer_order_count]]=1,"New Customer","Repeat Customer")</f>
        <v>Repeat Customer</v>
      </c>
    </row>
    <row r="2415" spans="1:14">
      <c r="A2415" t="s">
        <v>357</v>
      </c>
      <c r="B2415" s="1">
        <v>45396</v>
      </c>
      <c r="C2415" t="s">
        <v>358</v>
      </c>
      <c r="D2415" t="s">
        <v>359</v>
      </c>
      <c r="E2415" t="s">
        <v>44</v>
      </c>
      <c r="F2415" t="s">
        <v>22</v>
      </c>
      <c r="G2415" t="s">
        <v>135</v>
      </c>
      <c r="H2415">
        <v>1</v>
      </c>
      <c r="I2415" s="3">
        <v>47.79</v>
      </c>
      <c r="J2415" t="s">
        <v>85</v>
      </c>
      <c r="K2415" t="s">
        <v>17</v>
      </c>
      <c r="L2415" s="4">
        <f>Table4[[#This Row],[quantity]]*Table4[[#This Row],[unit_price]]</f>
        <v>47.79</v>
      </c>
      <c r="M2415">
        <f>COUNTIFS($C$2:$C$3934,Table4[[#This Row],[customer_id]])</f>
        <v>4</v>
      </c>
      <c r="N2415" t="str">
        <f>IF(Table4[[#This Row],[customer_order_count]]=1,"New Customer","Repeat Customer")</f>
        <v>Repeat Customer</v>
      </c>
    </row>
    <row r="2416" spans="1:14">
      <c r="A2416" t="s">
        <v>2781</v>
      </c>
      <c r="B2416" s="1">
        <v>45254</v>
      </c>
      <c r="C2416" t="s">
        <v>2137</v>
      </c>
      <c r="D2416" t="s">
        <v>1686</v>
      </c>
      <c r="E2416" t="s">
        <v>21</v>
      </c>
      <c r="F2416" t="s">
        <v>70</v>
      </c>
      <c r="G2416" t="s">
        <v>71</v>
      </c>
      <c r="H2416">
        <v>1</v>
      </c>
      <c r="I2416" s="3">
        <v>47.86</v>
      </c>
      <c r="J2416" t="s">
        <v>16</v>
      </c>
      <c r="K2416" t="s">
        <v>40</v>
      </c>
      <c r="L2416" s="4">
        <f>Table4[[#This Row],[quantity]]*Table4[[#This Row],[unit_price]]</f>
        <v>47.86</v>
      </c>
      <c r="M2416">
        <f>COUNTIFS($C$2:$C$3934,Table4[[#This Row],[customer_id]])</f>
        <v>4</v>
      </c>
      <c r="N2416" t="str">
        <f>IF(Table4[[#This Row],[customer_order_count]]=1,"New Customer","Repeat Customer")</f>
        <v>Repeat Customer</v>
      </c>
    </row>
    <row r="2417" spans="1:14">
      <c r="A2417" t="s">
        <v>1324</v>
      </c>
      <c r="B2417" s="1">
        <v>45016</v>
      </c>
      <c r="C2417" t="s">
        <v>1325</v>
      </c>
      <c r="D2417" t="s">
        <v>693</v>
      </c>
      <c r="E2417" t="s">
        <v>21</v>
      </c>
      <c r="F2417" t="s">
        <v>56</v>
      </c>
      <c r="G2417" t="s">
        <v>57</v>
      </c>
      <c r="H2417">
        <v>1</v>
      </c>
      <c r="I2417" s="3">
        <v>47.88</v>
      </c>
      <c r="J2417" t="s">
        <v>16</v>
      </c>
      <c r="K2417" t="s">
        <v>40</v>
      </c>
      <c r="L2417" s="4">
        <f>Table4[[#This Row],[quantity]]*Table4[[#This Row],[unit_price]]</f>
        <v>47.88</v>
      </c>
      <c r="M2417">
        <f>COUNTIFS($C$2:$C$3934,Table4[[#This Row],[customer_id]])</f>
        <v>5</v>
      </c>
      <c r="N2417" t="str">
        <f>IF(Table4[[#This Row],[customer_order_count]]=1,"New Customer","Repeat Customer")</f>
        <v>Repeat Customer</v>
      </c>
    </row>
    <row r="2418" spans="1:14">
      <c r="A2418" t="s">
        <v>3347</v>
      </c>
      <c r="B2418" s="1">
        <v>45116</v>
      </c>
      <c r="C2418" t="s">
        <v>518</v>
      </c>
      <c r="D2418" t="s">
        <v>519</v>
      </c>
      <c r="E2418" t="s">
        <v>21</v>
      </c>
      <c r="F2418" t="s">
        <v>56</v>
      </c>
      <c r="G2418" t="s">
        <v>75</v>
      </c>
      <c r="H2418">
        <v>1</v>
      </c>
      <c r="I2418" s="3">
        <v>47.88</v>
      </c>
      <c r="J2418" t="s">
        <v>16</v>
      </c>
      <c r="K2418" t="s">
        <v>17</v>
      </c>
      <c r="L2418" s="4">
        <f>Table4[[#This Row],[quantity]]*Table4[[#This Row],[unit_price]]</f>
        <v>47.88</v>
      </c>
      <c r="M2418">
        <f>COUNTIFS($C$2:$C$3934,Table4[[#This Row],[customer_id]])</f>
        <v>7</v>
      </c>
      <c r="N2418" t="str">
        <f>IF(Table4[[#This Row],[customer_order_count]]=1,"New Customer","Repeat Customer")</f>
        <v>Repeat Customer</v>
      </c>
    </row>
    <row r="2419" spans="1:14">
      <c r="A2419" t="s">
        <v>2443</v>
      </c>
      <c r="B2419" s="1">
        <v>45561</v>
      </c>
      <c r="C2419" t="s">
        <v>2444</v>
      </c>
      <c r="D2419" t="s">
        <v>1057</v>
      </c>
      <c r="E2419" t="s">
        <v>21</v>
      </c>
      <c r="F2419" t="s">
        <v>70</v>
      </c>
      <c r="G2419" t="s">
        <v>526</v>
      </c>
      <c r="H2419">
        <v>2</v>
      </c>
      <c r="I2419" s="3">
        <v>47.93</v>
      </c>
      <c r="J2419" t="s">
        <v>16</v>
      </c>
      <c r="K2419" t="s">
        <v>40</v>
      </c>
      <c r="L2419" s="4">
        <f>Table4[[#This Row],[quantity]]*Table4[[#This Row],[unit_price]]</f>
        <v>95.86</v>
      </c>
      <c r="M2419">
        <f>COUNTIFS($C$2:$C$3934,Table4[[#This Row],[customer_id]])</f>
        <v>4</v>
      </c>
      <c r="N2419" t="str">
        <f>IF(Table4[[#This Row],[customer_order_count]]=1,"New Customer","Repeat Customer")</f>
        <v>Repeat Customer</v>
      </c>
    </row>
    <row r="2420" spans="1:14">
      <c r="A2420" t="s">
        <v>2981</v>
      </c>
      <c r="B2420" s="1">
        <v>44972</v>
      </c>
      <c r="C2420" t="s">
        <v>1624</v>
      </c>
      <c r="D2420" t="s">
        <v>1625</v>
      </c>
      <c r="E2420" t="s">
        <v>21</v>
      </c>
      <c r="F2420" t="s">
        <v>70</v>
      </c>
      <c r="G2420" t="s">
        <v>110</v>
      </c>
      <c r="H2420">
        <v>3</v>
      </c>
      <c r="I2420" s="3">
        <v>48.06</v>
      </c>
      <c r="J2420" t="s">
        <v>16</v>
      </c>
      <c r="K2420" s="2" t="s">
        <v>5256</v>
      </c>
      <c r="L2420" s="4">
        <f>Table4[[#This Row],[quantity]]*Table4[[#This Row],[unit_price]]</f>
        <v>144.18</v>
      </c>
      <c r="M2420">
        <f>COUNTIFS($C$2:$C$3934,Table4[[#This Row],[customer_id]])</f>
        <v>8</v>
      </c>
      <c r="N2420" t="str">
        <f>IF(Table4[[#This Row],[customer_order_count]]=1,"New Customer","Repeat Customer")</f>
        <v>Repeat Customer</v>
      </c>
    </row>
    <row r="2421" spans="1:14">
      <c r="A2421" t="s">
        <v>1750</v>
      </c>
      <c r="B2421" s="1">
        <v>45014</v>
      </c>
      <c r="C2421" t="s">
        <v>742</v>
      </c>
      <c r="D2421" t="s">
        <v>743</v>
      </c>
      <c r="E2421" t="s">
        <v>21</v>
      </c>
      <c r="F2421" t="s">
        <v>56</v>
      </c>
      <c r="G2421" t="s">
        <v>254</v>
      </c>
      <c r="H2421">
        <v>5</v>
      </c>
      <c r="I2421" s="3">
        <v>48.07</v>
      </c>
      <c r="J2421" t="s">
        <v>16</v>
      </c>
      <c r="K2421" s="5" t="s">
        <v>30</v>
      </c>
      <c r="L2421" s="4">
        <f>Table4[[#This Row],[quantity]]*Table4[[#This Row],[unit_price]]</f>
        <v>240.35</v>
      </c>
      <c r="M2421">
        <f>COUNTIFS($C$2:$C$3934,Table4[[#This Row],[customer_id]])</f>
        <v>8</v>
      </c>
      <c r="N2421" t="str">
        <f>IF(Table4[[#This Row],[customer_order_count]]=1,"New Customer","Repeat Customer")</f>
        <v>Repeat Customer</v>
      </c>
    </row>
    <row r="2422" spans="1:14">
      <c r="A2422" t="s">
        <v>3611</v>
      </c>
      <c r="B2422" s="1">
        <v>45435</v>
      </c>
      <c r="C2422" t="s">
        <v>164</v>
      </c>
      <c r="D2422" t="s">
        <v>165</v>
      </c>
      <c r="E2422" t="s">
        <v>44</v>
      </c>
      <c r="F2422" t="s">
        <v>14</v>
      </c>
      <c r="G2422" t="s">
        <v>15</v>
      </c>
      <c r="H2422">
        <v>1</v>
      </c>
      <c r="I2422" s="3">
        <v>48.11</v>
      </c>
      <c r="J2422" t="s">
        <v>16</v>
      </c>
      <c r="K2422" t="s">
        <v>17</v>
      </c>
      <c r="L2422" s="4">
        <f>Table4[[#This Row],[quantity]]*Table4[[#This Row],[unit_price]]</f>
        <v>48.11</v>
      </c>
      <c r="M2422">
        <f>COUNTIFS($C$2:$C$3934,Table4[[#This Row],[customer_id]])</f>
        <v>6</v>
      </c>
      <c r="N2422" t="str">
        <f>IF(Table4[[#This Row],[customer_order_count]]=1,"New Customer","Repeat Customer")</f>
        <v>Repeat Customer</v>
      </c>
    </row>
    <row r="2423" spans="1:14">
      <c r="A2423" t="s">
        <v>2670</v>
      </c>
      <c r="B2423" s="1">
        <v>45231</v>
      </c>
      <c r="C2423" t="s">
        <v>848</v>
      </c>
      <c r="D2423" t="s">
        <v>340</v>
      </c>
      <c r="E2423" t="s">
        <v>21</v>
      </c>
      <c r="F2423" t="s">
        <v>22</v>
      </c>
      <c r="G2423" t="s">
        <v>135</v>
      </c>
      <c r="H2423">
        <v>1</v>
      </c>
      <c r="I2423" s="3">
        <v>48.13</v>
      </c>
      <c r="J2423" t="s">
        <v>16</v>
      </c>
      <c r="K2423" t="s">
        <v>30</v>
      </c>
      <c r="L2423" s="4">
        <f>Table4[[#This Row],[quantity]]*Table4[[#This Row],[unit_price]]</f>
        <v>48.13</v>
      </c>
      <c r="M2423">
        <f>COUNTIFS($C$2:$C$3934,Table4[[#This Row],[customer_id]])</f>
        <v>9</v>
      </c>
      <c r="N2423" t="str">
        <f>IF(Table4[[#This Row],[customer_order_count]]=1,"New Customer","Repeat Customer")</f>
        <v>Repeat Customer</v>
      </c>
    </row>
    <row r="2424" spans="1:14">
      <c r="A2424" t="s">
        <v>1771</v>
      </c>
      <c r="B2424" s="1">
        <v>45071</v>
      </c>
      <c r="C2424" t="s">
        <v>1772</v>
      </c>
      <c r="D2424" t="s">
        <v>452</v>
      </c>
      <c r="E2424" t="s">
        <v>21</v>
      </c>
      <c r="F2424" t="s">
        <v>56</v>
      </c>
      <c r="G2424" t="s">
        <v>422</v>
      </c>
      <c r="H2424">
        <v>1</v>
      </c>
      <c r="I2424" s="3">
        <v>48.15</v>
      </c>
      <c r="J2424" t="s">
        <v>16</v>
      </c>
      <c r="K2424" t="s">
        <v>17</v>
      </c>
      <c r="L2424" s="4">
        <f>Table4[[#This Row],[quantity]]*Table4[[#This Row],[unit_price]]</f>
        <v>48.15</v>
      </c>
      <c r="M2424">
        <f>COUNTIFS($C$2:$C$3934,Table4[[#This Row],[customer_id]])</f>
        <v>4</v>
      </c>
      <c r="N2424" t="str">
        <f>IF(Table4[[#This Row],[customer_order_count]]=1,"New Customer","Repeat Customer")</f>
        <v>Repeat Customer</v>
      </c>
    </row>
    <row r="2425" spans="1:14">
      <c r="A2425" t="s">
        <v>2007</v>
      </c>
      <c r="B2425" s="1">
        <v>44987</v>
      </c>
      <c r="C2425" t="s">
        <v>2008</v>
      </c>
      <c r="D2425" t="s">
        <v>417</v>
      </c>
      <c r="E2425" t="s">
        <v>21</v>
      </c>
      <c r="F2425" t="s">
        <v>22</v>
      </c>
      <c r="G2425" t="s">
        <v>264</v>
      </c>
      <c r="H2425">
        <v>2</v>
      </c>
      <c r="I2425" s="3">
        <v>48.15</v>
      </c>
      <c r="J2425" t="s">
        <v>16</v>
      </c>
      <c r="K2425" t="s">
        <v>35</v>
      </c>
      <c r="L2425" s="4">
        <f>Table4[[#This Row],[quantity]]*Table4[[#This Row],[unit_price]]</f>
        <v>96.3</v>
      </c>
      <c r="M2425">
        <f>COUNTIFS($C$2:$C$3934,Table4[[#This Row],[customer_id]])</f>
        <v>7</v>
      </c>
      <c r="N2425" t="str">
        <f>IF(Table4[[#This Row],[customer_order_count]]=1,"New Customer","Repeat Customer")</f>
        <v>Repeat Customer</v>
      </c>
    </row>
    <row r="2426" spans="1:14">
      <c r="A2426" t="s">
        <v>4913</v>
      </c>
      <c r="B2426" s="1">
        <v>45594</v>
      </c>
      <c r="C2426" t="s">
        <v>3056</v>
      </c>
      <c r="D2426" t="s">
        <v>2953</v>
      </c>
      <c r="E2426" t="s">
        <v>61</v>
      </c>
      <c r="F2426" t="s">
        <v>56</v>
      </c>
      <c r="G2426" t="s">
        <v>422</v>
      </c>
      <c r="H2426">
        <v>1</v>
      </c>
      <c r="I2426" s="3">
        <v>48.17</v>
      </c>
      <c r="J2426" t="s">
        <v>255</v>
      </c>
      <c r="K2426" t="s">
        <v>35</v>
      </c>
      <c r="L2426" s="4">
        <f>Table4[[#This Row],[quantity]]*Table4[[#This Row],[unit_price]]</f>
        <v>48.17</v>
      </c>
      <c r="M2426">
        <f>COUNTIFS($C$2:$C$3934,Table4[[#This Row],[customer_id]])</f>
        <v>3</v>
      </c>
      <c r="N2426" t="str">
        <f>IF(Table4[[#This Row],[customer_order_count]]=1,"New Customer","Repeat Customer")</f>
        <v>Repeat Customer</v>
      </c>
    </row>
    <row r="2427" spans="1:14">
      <c r="A2427" t="s">
        <v>2484</v>
      </c>
      <c r="B2427" s="1">
        <v>45427</v>
      </c>
      <c r="C2427" t="s">
        <v>990</v>
      </c>
      <c r="D2427" t="s">
        <v>991</v>
      </c>
      <c r="E2427" t="s">
        <v>21</v>
      </c>
      <c r="F2427" t="s">
        <v>70</v>
      </c>
      <c r="G2427" t="s">
        <v>89</v>
      </c>
      <c r="H2427">
        <v>1</v>
      </c>
      <c r="I2427" s="3">
        <v>48.198750000000004</v>
      </c>
      <c r="J2427" t="s">
        <v>16</v>
      </c>
      <c r="K2427" t="s">
        <v>17</v>
      </c>
      <c r="L2427" s="4">
        <f>Table4[[#This Row],[quantity]]*Table4[[#This Row],[unit_price]]</f>
        <v>48.198750000000004</v>
      </c>
      <c r="M2427">
        <f>COUNTIFS($C$2:$C$3934,Table4[[#This Row],[customer_id]])</f>
        <v>5</v>
      </c>
      <c r="N2427" t="str">
        <f>IF(Table4[[#This Row],[customer_order_count]]=1,"New Customer","Repeat Customer")</f>
        <v>Repeat Customer</v>
      </c>
    </row>
    <row r="2428" spans="1:14">
      <c r="A2428" t="s">
        <v>4511</v>
      </c>
      <c r="B2428" s="1">
        <v>45553</v>
      </c>
      <c r="C2428" t="s">
        <v>3194</v>
      </c>
      <c r="D2428" s="2" t="s">
        <v>5257</v>
      </c>
      <c r="E2428" t="s">
        <v>61</v>
      </c>
      <c r="F2428" t="s">
        <v>70</v>
      </c>
      <c r="G2428" t="s">
        <v>89</v>
      </c>
      <c r="H2428">
        <v>1</v>
      </c>
      <c r="I2428" s="3">
        <v>48.198750000000004</v>
      </c>
      <c r="J2428" t="s">
        <v>24</v>
      </c>
      <c r="K2428" t="s">
        <v>30</v>
      </c>
      <c r="L2428" s="4">
        <f>Table4[[#This Row],[quantity]]*Table4[[#This Row],[unit_price]]</f>
        <v>48.198750000000004</v>
      </c>
      <c r="M2428">
        <f>COUNTIFS($C$2:$C$3934,Table4[[#This Row],[customer_id]])</f>
        <v>2</v>
      </c>
      <c r="N2428" t="str">
        <f>IF(Table4[[#This Row],[customer_order_count]]=1,"New Customer","Repeat Customer")</f>
        <v>Repeat Customer</v>
      </c>
    </row>
    <row r="2429" spans="1:14">
      <c r="A2429" t="s">
        <v>3832</v>
      </c>
      <c r="B2429" s="1">
        <v>45022</v>
      </c>
      <c r="C2429" t="s">
        <v>1318</v>
      </c>
      <c r="D2429" s="5" t="s">
        <v>1027</v>
      </c>
      <c r="E2429" t="s">
        <v>44</v>
      </c>
      <c r="F2429" t="s">
        <v>70</v>
      </c>
      <c r="G2429" t="s">
        <v>89</v>
      </c>
      <c r="H2429">
        <v>2</v>
      </c>
      <c r="I2429" s="3">
        <v>48.198750000000004</v>
      </c>
      <c r="J2429" t="s">
        <v>16</v>
      </c>
      <c r="K2429" t="s">
        <v>35</v>
      </c>
      <c r="L2429" s="4">
        <f>Table4[[#This Row],[quantity]]*Table4[[#This Row],[unit_price]]</f>
        <v>96.397500000000008</v>
      </c>
      <c r="M2429">
        <f>COUNTIFS($C$2:$C$3934,Table4[[#This Row],[customer_id]])</f>
        <v>5</v>
      </c>
      <c r="N2429" t="str">
        <f>IF(Table4[[#This Row],[customer_order_count]]=1,"New Customer","Repeat Customer")</f>
        <v>Repeat Customer</v>
      </c>
    </row>
    <row r="2430" spans="1:14">
      <c r="A2430" t="s">
        <v>171</v>
      </c>
      <c r="B2430" s="1">
        <v>45186</v>
      </c>
      <c r="C2430" t="s">
        <v>172</v>
      </c>
      <c r="D2430" t="s">
        <v>173</v>
      </c>
      <c r="E2430" t="s">
        <v>61</v>
      </c>
      <c r="F2430" t="s">
        <v>70</v>
      </c>
      <c r="G2430" t="s">
        <v>89</v>
      </c>
      <c r="H2430">
        <v>2</v>
      </c>
      <c r="I2430" s="3">
        <v>48.198750000000004</v>
      </c>
      <c r="J2430" t="s">
        <v>16</v>
      </c>
      <c r="K2430" t="s">
        <v>40</v>
      </c>
      <c r="L2430" s="4">
        <f>Table4[[#This Row],[quantity]]*Table4[[#This Row],[unit_price]]</f>
        <v>96.397500000000008</v>
      </c>
      <c r="M2430">
        <f>COUNTIFS($C$2:$C$3934,Table4[[#This Row],[customer_id]])</f>
        <v>3</v>
      </c>
      <c r="N2430" t="str">
        <f>IF(Table4[[#This Row],[customer_order_count]]=1,"New Customer","Repeat Customer")</f>
        <v>Repeat Customer</v>
      </c>
    </row>
    <row r="2431" spans="1:14">
      <c r="A2431" t="s">
        <v>4150</v>
      </c>
      <c r="B2431" s="1">
        <v>45041</v>
      </c>
      <c r="C2431" t="s">
        <v>26</v>
      </c>
      <c r="D2431" t="s">
        <v>27</v>
      </c>
      <c r="E2431" t="s">
        <v>44</v>
      </c>
      <c r="F2431" t="s">
        <v>56</v>
      </c>
      <c r="G2431" t="s">
        <v>210</v>
      </c>
      <c r="H2431">
        <v>1</v>
      </c>
      <c r="I2431" s="3">
        <v>48.21</v>
      </c>
      <c r="J2431" t="s">
        <v>16</v>
      </c>
      <c r="K2431" t="s">
        <v>17</v>
      </c>
      <c r="L2431" s="4">
        <f>Table4[[#This Row],[quantity]]*Table4[[#This Row],[unit_price]]</f>
        <v>48.21</v>
      </c>
      <c r="M2431">
        <f>COUNTIFS($C$2:$C$3934,Table4[[#This Row],[customer_id]])</f>
        <v>3</v>
      </c>
      <c r="N2431" t="str">
        <f>IF(Table4[[#This Row],[customer_order_count]]=1,"New Customer","Repeat Customer")</f>
        <v>Repeat Customer</v>
      </c>
    </row>
    <row r="2432" spans="1:14">
      <c r="A2432" t="s">
        <v>4530</v>
      </c>
      <c r="B2432" s="1">
        <v>45128</v>
      </c>
      <c r="C2432" t="s">
        <v>1113</v>
      </c>
      <c r="D2432" t="s">
        <v>1114</v>
      </c>
      <c r="E2432" t="s">
        <v>21</v>
      </c>
      <c r="F2432" t="s">
        <v>56</v>
      </c>
      <c r="G2432" t="s">
        <v>153</v>
      </c>
      <c r="H2432">
        <v>4</v>
      </c>
      <c r="I2432" s="3">
        <v>48.22</v>
      </c>
      <c r="J2432" t="s">
        <v>16</v>
      </c>
      <c r="K2432" t="s">
        <v>17</v>
      </c>
      <c r="L2432" s="4">
        <f>Table4[[#This Row],[quantity]]*Table4[[#This Row],[unit_price]]</f>
        <v>192.88</v>
      </c>
      <c r="M2432">
        <f>COUNTIFS($C$2:$C$3934,Table4[[#This Row],[customer_id]])</f>
        <v>7</v>
      </c>
      <c r="N2432" t="str">
        <f>IF(Table4[[#This Row],[customer_order_count]]=1,"New Customer","Repeat Customer")</f>
        <v>Repeat Customer</v>
      </c>
    </row>
    <row r="2433" spans="1:14">
      <c r="A2433" t="s">
        <v>3157</v>
      </c>
      <c r="B2433" s="1">
        <v>45617</v>
      </c>
      <c r="C2433" t="s">
        <v>108</v>
      </c>
      <c r="D2433" t="s">
        <v>109</v>
      </c>
      <c r="E2433" t="s">
        <v>106</v>
      </c>
      <c r="F2433" t="s">
        <v>22</v>
      </c>
      <c r="G2433" t="s">
        <v>23</v>
      </c>
      <c r="H2433">
        <v>4</v>
      </c>
      <c r="I2433" s="3">
        <v>48.25</v>
      </c>
      <c r="J2433" t="s">
        <v>16</v>
      </c>
      <c r="K2433" t="s">
        <v>17</v>
      </c>
      <c r="L2433" s="4">
        <f>Table4[[#This Row],[quantity]]*Table4[[#This Row],[unit_price]]</f>
        <v>193</v>
      </c>
      <c r="M2433">
        <f>COUNTIFS($C$2:$C$3934,Table4[[#This Row],[customer_id]])</f>
        <v>4</v>
      </c>
      <c r="N2433" t="str">
        <f>IF(Table4[[#This Row],[customer_order_count]]=1,"New Customer","Repeat Customer")</f>
        <v>Repeat Customer</v>
      </c>
    </row>
    <row r="2434" spans="1:14">
      <c r="A2434" t="s">
        <v>1847</v>
      </c>
      <c r="B2434" s="1">
        <v>44946</v>
      </c>
      <c r="C2434" t="s">
        <v>1848</v>
      </c>
      <c r="D2434" t="s">
        <v>105</v>
      </c>
      <c r="E2434" t="s">
        <v>21</v>
      </c>
      <c r="F2434" t="s">
        <v>14</v>
      </c>
      <c r="G2434" t="s">
        <v>258</v>
      </c>
      <c r="H2434">
        <v>2</v>
      </c>
      <c r="I2434" s="3">
        <v>48.26</v>
      </c>
      <c r="J2434" t="s">
        <v>16</v>
      </c>
      <c r="K2434" t="s">
        <v>30</v>
      </c>
      <c r="L2434" s="4">
        <f>Table4[[#This Row],[quantity]]*Table4[[#This Row],[unit_price]]</f>
        <v>96.52</v>
      </c>
      <c r="M2434">
        <f>COUNTIFS($C$2:$C$3934,Table4[[#This Row],[customer_id]])</f>
        <v>2</v>
      </c>
      <c r="N2434" t="str">
        <f>IF(Table4[[#This Row],[customer_order_count]]=1,"New Customer","Repeat Customer")</f>
        <v>Repeat Customer</v>
      </c>
    </row>
    <row r="2435" spans="1:14">
      <c r="A2435" t="s">
        <v>3664</v>
      </c>
      <c r="B2435" s="1">
        <v>45454</v>
      </c>
      <c r="C2435" t="s">
        <v>3665</v>
      </c>
      <c r="D2435" t="s">
        <v>3666</v>
      </c>
      <c r="E2435" t="s">
        <v>21</v>
      </c>
      <c r="F2435" t="s">
        <v>70</v>
      </c>
      <c r="G2435" t="s">
        <v>170</v>
      </c>
      <c r="H2435">
        <v>1</v>
      </c>
      <c r="I2435" s="3">
        <v>48.27</v>
      </c>
      <c r="J2435" t="s">
        <v>85</v>
      </c>
      <c r="K2435" t="s">
        <v>40</v>
      </c>
      <c r="L2435" s="4">
        <f>Table4[[#This Row],[quantity]]*Table4[[#This Row],[unit_price]]</f>
        <v>48.27</v>
      </c>
      <c r="M2435">
        <f>COUNTIFS($C$2:$C$3934,Table4[[#This Row],[customer_id]])</f>
        <v>4</v>
      </c>
      <c r="N2435" t="str">
        <f>IF(Table4[[#This Row],[customer_order_count]]=1,"New Customer","Repeat Customer")</f>
        <v>Repeat Customer</v>
      </c>
    </row>
    <row r="2436" spans="1:14">
      <c r="A2436" t="s">
        <v>4199</v>
      </c>
      <c r="B2436" s="1">
        <v>45586</v>
      </c>
      <c r="C2436" t="s">
        <v>2378</v>
      </c>
      <c r="D2436" t="s">
        <v>2379</v>
      </c>
      <c r="E2436" t="s">
        <v>21</v>
      </c>
      <c r="F2436" t="s">
        <v>79</v>
      </c>
      <c r="G2436" t="s">
        <v>166</v>
      </c>
      <c r="H2436">
        <v>1</v>
      </c>
      <c r="I2436" s="3">
        <v>48.3</v>
      </c>
      <c r="J2436" t="s">
        <v>16</v>
      </c>
      <c r="K2436" t="s">
        <v>30</v>
      </c>
      <c r="L2436" s="4">
        <f>Table4[[#This Row],[quantity]]*Table4[[#This Row],[unit_price]]</f>
        <v>48.3</v>
      </c>
      <c r="M2436">
        <f>COUNTIFS($C$2:$C$3934,Table4[[#This Row],[customer_id]])</f>
        <v>3</v>
      </c>
      <c r="N2436" t="str">
        <f>IF(Table4[[#This Row],[customer_order_count]]=1,"New Customer","Repeat Customer")</f>
        <v>Repeat Customer</v>
      </c>
    </row>
    <row r="2437" spans="1:14">
      <c r="A2437" t="s">
        <v>533</v>
      </c>
      <c r="B2437" s="1">
        <v>45125</v>
      </c>
      <c r="C2437" t="s">
        <v>534</v>
      </c>
      <c r="D2437" t="s">
        <v>535</v>
      </c>
      <c r="E2437" t="s">
        <v>21</v>
      </c>
      <c r="F2437" t="s">
        <v>22</v>
      </c>
      <c r="G2437" t="s">
        <v>142</v>
      </c>
      <c r="H2437">
        <v>2</v>
      </c>
      <c r="I2437" s="3">
        <v>48.39</v>
      </c>
      <c r="J2437" t="s">
        <v>16</v>
      </c>
      <c r="K2437" t="s">
        <v>30</v>
      </c>
      <c r="L2437" s="4">
        <f>Table4[[#This Row],[quantity]]*Table4[[#This Row],[unit_price]]</f>
        <v>96.78</v>
      </c>
      <c r="M2437">
        <f>COUNTIFS($C$2:$C$3934,Table4[[#This Row],[customer_id]])</f>
        <v>6</v>
      </c>
      <c r="N2437" t="str">
        <f>IF(Table4[[#This Row],[customer_order_count]]=1,"New Customer","Repeat Customer")</f>
        <v>Repeat Customer</v>
      </c>
    </row>
    <row r="2438" spans="1:14">
      <c r="A2438" t="s">
        <v>492</v>
      </c>
      <c r="B2438" s="1">
        <v>44943</v>
      </c>
      <c r="C2438" t="s">
        <v>493</v>
      </c>
      <c r="D2438" t="s">
        <v>327</v>
      </c>
      <c r="E2438" t="s">
        <v>44</v>
      </c>
      <c r="F2438" t="s">
        <v>22</v>
      </c>
      <c r="G2438" t="s">
        <v>264</v>
      </c>
      <c r="H2438">
        <v>5</v>
      </c>
      <c r="I2438" s="3">
        <v>48.39</v>
      </c>
      <c r="J2438" t="s">
        <v>16</v>
      </c>
      <c r="K2438" t="s">
        <v>35</v>
      </c>
      <c r="L2438" s="4">
        <f>Table4[[#This Row],[quantity]]*Table4[[#This Row],[unit_price]]</f>
        <v>241.95</v>
      </c>
      <c r="M2438">
        <f>COUNTIFS($C$2:$C$3934,Table4[[#This Row],[customer_id]])</f>
        <v>3</v>
      </c>
      <c r="N2438" t="str">
        <f>IF(Table4[[#This Row],[customer_order_count]]=1,"New Customer","Repeat Customer")</f>
        <v>Repeat Customer</v>
      </c>
    </row>
    <row r="2439" spans="1:14">
      <c r="A2439" t="s">
        <v>2044</v>
      </c>
      <c r="B2439" s="1">
        <v>45120</v>
      </c>
      <c r="C2439" t="s">
        <v>1482</v>
      </c>
      <c r="D2439" t="s">
        <v>269</v>
      </c>
      <c r="E2439" t="s">
        <v>21</v>
      </c>
      <c r="F2439" t="s">
        <v>22</v>
      </c>
      <c r="G2439" t="s">
        <v>162</v>
      </c>
      <c r="H2439">
        <v>2</v>
      </c>
      <c r="I2439" s="3">
        <v>48.41</v>
      </c>
      <c r="J2439" t="s">
        <v>16</v>
      </c>
      <c r="K2439" t="s">
        <v>40</v>
      </c>
      <c r="L2439" s="4">
        <f>Table4[[#This Row],[quantity]]*Table4[[#This Row],[unit_price]]</f>
        <v>96.82</v>
      </c>
      <c r="M2439">
        <f>COUNTIFS($C$2:$C$3934,Table4[[#This Row],[customer_id]])</f>
        <v>6</v>
      </c>
      <c r="N2439" t="str">
        <f>IF(Table4[[#This Row],[customer_order_count]]=1,"New Customer","Repeat Customer")</f>
        <v>Repeat Customer</v>
      </c>
    </row>
    <row r="2440" spans="1:14">
      <c r="A2440" t="s">
        <v>4718</v>
      </c>
      <c r="B2440" s="1">
        <v>45528</v>
      </c>
      <c r="C2440" t="s">
        <v>3412</v>
      </c>
      <c r="D2440" t="s">
        <v>3413</v>
      </c>
      <c r="E2440" t="s">
        <v>21</v>
      </c>
      <c r="F2440" t="s">
        <v>22</v>
      </c>
      <c r="G2440" t="s">
        <v>142</v>
      </c>
      <c r="H2440">
        <v>1</v>
      </c>
      <c r="I2440" s="3">
        <v>48.42</v>
      </c>
      <c r="J2440" t="s">
        <v>16</v>
      </c>
      <c r="K2440" t="s">
        <v>35</v>
      </c>
      <c r="L2440" s="4">
        <f>Table4[[#This Row],[quantity]]*Table4[[#This Row],[unit_price]]</f>
        <v>48.42</v>
      </c>
      <c r="M2440">
        <f>COUNTIFS($C$2:$C$3934,Table4[[#This Row],[customer_id]])</f>
        <v>6</v>
      </c>
      <c r="N2440" t="str">
        <f>IF(Table4[[#This Row],[customer_order_count]]=1,"New Customer","Repeat Customer")</f>
        <v>Repeat Customer</v>
      </c>
    </row>
    <row r="2441" spans="1:14">
      <c r="A2441" t="s">
        <v>2414</v>
      </c>
      <c r="B2441" s="1">
        <v>45035</v>
      </c>
      <c r="C2441" t="s">
        <v>1394</v>
      </c>
      <c r="D2441" t="s">
        <v>609</v>
      </c>
      <c r="E2441" t="s">
        <v>21</v>
      </c>
      <c r="F2441" t="s">
        <v>22</v>
      </c>
      <c r="G2441" t="s">
        <v>135</v>
      </c>
      <c r="H2441">
        <v>1</v>
      </c>
      <c r="I2441" s="3">
        <v>48.45</v>
      </c>
      <c r="J2441" t="s">
        <v>16</v>
      </c>
      <c r="K2441" t="s">
        <v>40</v>
      </c>
      <c r="L2441" s="4">
        <f>Table4[[#This Row],[quantity]]*Table4[[#This Row],[unit_price]]</f>
        <v>48.45</v>
      </c>
      <c r="M2441">
        <f>COUNTIFS($C$2:$C$3934,Table4[[#This Row],[customer_id]])</f>
        <v>5</v>
      </c>
      <c r="N2441" t="str">
        <f>IF(Table4[[#This Row],[customer_order_count]]=1,"New Customer","Repeat Customer")</f>
        <v>Repeat Customer</v>
      </c>
    </row>
    <row r="2442" spans="1:14">
      <c r="A2442" t="s">
        <v>1212</v>
      </c>
      <c r="B2442" s="1">
        <v>45042</v>
      </c>
      <c r="C2442" t="s">
        <v>1213</v>
      </c>
      <c r="D2442" t="s">
        <v>582</v>
      </c>
      <c r="E2442" t="s">
        <v>44</v>
      </c>
      <c r="F2442" t="s">
        <v>22</v>
      </c>
      <c r="G2442" t="s">
        <v>23</v>
      </c>
      <c r="H2442">
        <v>1</v>
      </c>
      <c r="I2442" s="3">
        <v>48.45</v>
      </c>
      <c r="J2442" t="s">
        <v>16</v>
      </c>
      <c r="K2442" t="s">
        <v>17</v>
      </c>
      <c r="L2442" s="4">
        <f>Table4[[#This Row],[quantity]]*Table4[[#This Row],[unit_price]]</f>
        <v>48.45</v>
      </c>
      <c r="M2442">
        <f>COUNTIFS($C$2:$C$3934,Table4[[#This Row],[customer_id]])</f>
        <v>3</v>
      </c>
      <c r="N2442" t="str">
        <f>IF(Table4[[#This Row],[customer_order_count]]=1,"New Customer","Repeat Customer")</f>
        <v>Repeat Customer</v>
      </c>
    </row>
    <row r="2443" spans="1:14">
      <c r="A2443" t="s">
        <v>2280</v>
      </c>
      <c r="B2443" s="1">
        <v>45418</v>
      </c>
      <c r="C2443" t="s">
        <v>1551</v>
      </c>
      <c r="D2443" t="s">
        <v>1552</v>
      </c>
      <c r="E2443" t="s">
        <v>44</v>
      </c>
      <c r="F2443" t="s">
        <v>22</v>
      </c>
      <c r="G2443" t="s">
        <v>135</v>
      </c>
      <c r="H2443">
        <v>2</v>
      </c>
      <c r="I2443" s="3">
        <v>48.46</v>
      </c>
      <c r="J2443" t="s">
        <v>16</v>
      </c>
      <c r="K2443" t="s">
        <v>30</v>
      </c>
      <c r="L2443" s="4">
        <f>Table4[[#This Row],[quantity]]*Table4[[#This Row],[unit_price]]</f>
        <v>96.92</v>
      </c>
      <c r="M2443">
        <f>COUNTIFS($C$2:$C$3934,Table4[[#This Row],[customer_id]])</f>
        <v>2</v>
      </c>
      <c r="N2443" t="str">
        <f>IF(Table4[[#This Row],[customer_order_count]]=1,"New Customer","Repeat Customer")</f>
        <v>Repeat Customer</v>
      </c>
    </row>
    <row r="2444" spans="1:14">
      <c r="A2444" t="s">
        <v>4832</v>
      </c>
      <c r="B2444" s="1">
        <v>45012</v>
      </c>
      <c r="C2444" t="s">
        <v>1522</v>
      </c>
      <c r="D2444" t="s">
        <v>1523</v>
      </c>
      <c r="E2444" t="s">
        <v>21</v>
      </c>
      <c r="F2444" t="s">
        <v>79</v>
      </c>
      <c r="G2444" t="s">
        <v>398</v>
      </c>
      <c r="H2444">
        <v>1</v>
      </c>
      <c r="I2444" s="3">
        <v>48.47</v>
      </c>
      <c r="J2444" t="s">
        <v>16</v>
      </c>
      <c r="K2444" t="s">
        <v>17</v>
      </c>
      <c r="L2444" s="4">
        <f>Table4[[#This Row],[quantity]]*Table4[[#This Row],[unit_price]]</f>
        <v>48.47</v>
      </c>
      <c r="M2444">
        <f>COUNTIFS($C$2:$C$3934,Table4[[#This Row],[customer_id]])</f>
        <v>11</v>
      </c>
      <c r="N2444" t="str">
        <f>IF(Table4[[#This Row],[customer_order_count]]=1,"New Customer","Repeat Customer")</f>
        <v>Repeat Customer</v>
      </c>
    </row>
    <row r="2445" spans="1:14">
      <c r="A2445" t="s">
        <v>2289</v>
      </c>
      <c r="B2445" s="1">
        <v>45615</v>
      </c>
      <c r="C2445" t="s">
        <v>1708</v>
      </c>
      <c r="D2445" t="s">
        <v>127</v>
      </c>
      <c r="E2445" t="s">
        <v>21</v>
      </c>
      <c r="F2445" t="s">
        <v>56</v>
      </c>
      <c r="G2445" t="s">
        <v>210</v>
      </c>
      <c r="H2445">
        <v>1</v>
      </c>
      <c r="I2445" s="3">
        <v>48.47</v>
      </c>
      <c r="J2445" t="s">
        <v>16</v>
      </c>
      <c r="K2445" t="s">
        <v>40</v>
      </c>
      <c r="L2445" s="4">
        <f>Table4[[#This Row],[quantity]]*Table4[[#This Row],[unit_price]]</f>
        <v>48.47</v>
      </c>
      <c r="M2445">
        <f>COUNTIFS($C$2:$C$3934,Table4[[#This Row],[customer_id]])</f>
        <v>9</v>
      </c>
      <c r="N2445" t="str">
        <f>IF(Table4[[#This Row],[customer_order_count]]=1,"New Customer","Repeat Customer")</f>
        <v>Repeat Customer</v>
      </c>
    </row>
    <row r="2446" spans="1:14">
      <c r="A2446" t="s">
        <v>3307</v>
      </c>
      <c r="B2446" s="1">
        <v>44953</v>
      </c>
      <c r="C2446" t="s">
        <v>471</v>
      </c>
      <c r="D2446" t="s">
        <v>472</v>
      </c>
      <c r="E2446" t="s">
        <v>21</v>
      </c>
      <c r="F2446" t="s">
        <v>14</v>
      </c>
      <c r="G2446" t="s">
        <v>100</v>
      </c>
      <c r="H2446">
        <v>1</v>
      </c>
      <c r="I2446" s="3">
        <v>48.49</v>
      </c>
      <c r="J2446" t="s">
        <v>16</v>
      </c>
      <c r="K2446" t="s">
        <v>30</v>
      </c>
      <c r="L2446" s="4">
        <f>Table4[[#This Row],[quantity]]*Table4[[#This Row],[unit_price]]</f>
        <v>48.49</v>
      </c>
      <c r="M2446">
        <f>COUNTIFS($C$2:$C$3934,Table4[[#This Row],[customer_id]])</f>
        <v>4</v>
      </c>
      <c r="N2446" t="str">
        <f>IF(Table4[[#This Row],[customer_order_count]]=1,"New Customer","Repeat Customer")</f>
        <v>Repeat Customer</v>
      </c>
    </row>
    <row r="2447" spans="1:14">
      <c r="A2447" t="s">
        <v>4612</v>
      </c>
      <c r="B2447" s="1">
        <v>45218</v>
      </c>
      <c r="C2447" t="s">
        <v>4613</v>
      </c>
      <c r="D2447" t="s">
        <v>250</v>
      </c>
      <c r="E2447" t="s">
        <v>61</v>
      </c>
      <c r="F2447" t="s">
        <v>22</v>
      </c>
      <c r="G2447" t="s">
        <v>264</v>
      </c>
      <c r="H2447">
        <v>1</v>
      </c>
      <c r="I2447" s="3">
        <v>48.51</v>
      </c>
      <c r="J2447" t="s">
        <v>16</v>
      </c>
      <c r="K2447" t="s">
        <v>30</v>
      </c>
      <c r="L2447" s="4">
        <f>Table4[[#This Row],[quantity]]*Table4[[#This Row],[unit_price]]</f>
        <v>48.51</v>
      </c>
      <c r="M2447">
        <f>COUNTIFS($C$2:$C$3934,Table4[[#This Row],[customer_id]])</f>
        <v>3</v>
      </c>
      <c r="N2447" t="str">
        <f>IF(Table4[[#This Row],[customer_order_count]]=1,"New Customer","Repeat Customer")</f>
        <v>Repeat Customer</v>
      </c>
    </row>
    <row r="2448" spans="1:14">
      <c r="A2448" t="s">
        <v>3362</v>
      </c>
      <c r="B2448" s="1">
        <v>45147</v>
      </c>
      <c r="C2448" t="s">
        <v>291</v>
      </c>
      <c r="D2448" t="s">
        <v>292</v>
      </c>
      <c r="E2448" t="s">
        <v>21</v>
      </c>
      <c r="F2448" t="s">
        <v>14</v>
      </c>
      <c r="G2448" t="s">
        <v>39</v>
      </c>
      <c r="H2448">
        <v>1</v>
      </c>
      <c r="I2448" s="3">
        <v>48.530909090909091</v>
      </c>
      <c r="J2448" t="s">
        <v>16</v>
      </c>
      <c r="K2448" t="s">
        <v>17</v>
      </c>
      <c r="L2448" s="4">
        <f>Table4[[#This Row],[quantity]]*Table4[[#This Row],[unit_price]]</f>
        <v>48.530909090909091</v>
      </c>
      <c r="M2448">
        <f>COUNTIFS($C$2:$C$3934,Table4[[#This Row],[customer_id]])</f>
        <v>5</v>
      </c>
      <c r="N2448" t="str">
        <f>IF(Table4[[#This Row],[customer_order_count]]=1,"New Customer","Repeat Customer")</f>
        <v>Repeat Customer</v>
      </c>
    </row>
    <row r="2449" spans="1:14">
      <c r="A2449" t="s">
        <v>2042</v>
      </c>
      <c r="B2449" s="1">
        <v>45372</v>
      </c>
      <c r="C2449" t="s">
        <v>1989</v>
      </c>
      <c r="D2449" t="s">
        <v>340</v>
      </c>
      <c r="E2449" t="s">
        <v>21</v>
      </c>
      <c r="F2449" t="s">
        <v>14</v>
      </c>
      <c r="G2449" t="s">
        <v>39</v>
      </c>
      <c r="H2449">
        <v>1</v>
      </c>
      <c r="I2449" s="3">
        <v>48.530909090909091</v>
      </c>
      <c r="J2449" t="s">
        <v>24</v>
      </c>
      <c r="K2449" t="s">
        <v>40</v>
      </c>
      <c r="L2449" s="4">
        <f>Table4[[#This Row],[quantity]]*Table4[[#This Row],[unit_price]]</f>
        <v>48.530909090909091</v>
      </c>
      <c r="M2449">
        <f>COUNTIFS($C$2:$C$3934,Table4[[#This Row],[customer_id]])</f>
        <v>8</v>
      </c>
      <c r="N2449" t="str">
        <f>IF(Table4[[#This Row],[customer_order_count]]=1,"New Customer","Repeat Customer")</f>
        <v>Repeat Customer</v>
      </c>
    </row>
    <row r="2450" spans="1:14">
      <c r="A2450" t="s">
        <v>1239</v>
      </c>
      <c r="B2450" s="1">
        <v>44961</v>
      </c>
      <c r="C2450" t="s">
        <v>1240</v>
      </c>
      <c r="D2450" t="s">
        <v>1241</v>
      </c>
      <c r="E2450" t="s">
        <v>21</v>
      </c>
      <c r="F2450" t="s">
        <v>14</v>
      </c>
      <c r="G2450" t="s">
        <v>39</v>
      </c>
      <c r="H2450">
        <v>2</v>
      </c>
      <c r="I2450" s="3">
        <v>48.530909090909091</v>
      </c>
      <c r="J2450" t="s">
        <v>16</v>
      </c>
      <c r="K2450" t="s">
        <v>17</v>
      </c>
      <c r="L2450" s="4">
        <f>Table4[[#This Row],[quantity]]*Table4[[#This Row],[unit_price]]</f>
        <v>97.061818181818182</v>
      </c>
      <c r="M2450">
        <f>COUNTIFS($C$2:$C$3934,Table4[[#This Row],[customer_id]])</f>
        <v>12</v>
      </c>
      <c r="N2450" t="str">
        <f>IF(Table4[[#This Row],[customer_order_count]]=1,"New Customer","Repeat Customer")</f>
        <v>Repeat Customer</v>
      </c>
    </row>
    <row r="2451" spans="1:14">
      <c r="A2451" t="s">
        <v>1295</v>
      </c>
      <c r="B2451" s="1">
        <v>45153</v>
      </c>
      <c r="C2451" t="s">
        <v>1296</v>
      </c>
      <c r="D2451" t="s">
        <v>1156</v>
      </c>
      <c r="E2451" t="s">
        <v>44</v>
      </c>
      <c r="F2451" t="s">
        <v>22</v>
      </c>
      <c r="G2451" t="s">
        <v>142</v>
      </c>
      <c r="H2451">
        <v>1</v>
      </c>
      <c r="I2451" s="3">
        <v>48.54</v>
      </c>
      <c r="J2451" t="s">
        <v>16</v>
      </c>
      <c r="K2451" t="s">
        <v>40</v>
      </c>
      <c r="L2451" s="4">
        <f>Table4[[#This Row],[quantity]]*Table4[[#This Row],[unit_price]]</f>
        <v>48.54</v>
      </c>
      <c r="M2451">
        <f>COUNTIFS($C$2:$C$3934,Table4[[#This Row],[customer_id]])</f>
        <v>4</v>
      </c>
      <c r="N2451" t="str">
        <f>IF(Table4[[#This Row],[customer_order_count]]=1,"New Customer","Repeat Customer")</f>
        <v>Repeat Customer</v>
      </c>
    </row>
    <row r="2452" spans="1:14">
      <c r="A2452" t="s">
        <v>3093</v>
      </c>
      <c r="B2452" s="1">
        <v>45152</v>
      </c>
      <c r="C2452" t="s">
        <v>393</v>
      </c>
      <c r="D2452" t="s">
        <v>33</v>
      </c>
      <c r="E2452" t="s">
        <v>61</v>
      </c>
      <c r="F2452" t="s">
        <v>56</v>
      </c>
      <c r="G2452" t="s">
        <v>118</v>
      </c>
      <c r="H2452">
        <v>1</v>
      </c>
      <c r="I2452" s="3">
        <v>48.58</v>
      </c>
      <c r="J2452" t="s">
        <v>16</v>
      </c>
      <c r="K2452" t="s">
        <v>35</v>
      </c>
      <c r="L2452" s="4">
        <f>Table4[[#This Row],[quantity]]*Table4[[#This Row],[unit_price]]</f>
        <v>48.58</v>
      </c>
      <c r="M2452">
        <f>COUNTIFS($C$2:$C$3934,Table4[[#This Row],[customer_id]])</f>
        <v>3</v>
      </c>
      <c r="N2452" t="str">
        <f>IF(Table4[[#This Row],[customer_order_count]]=1,"New Customer","Repeat Customer")</f>
        <v>Repeat Customer</v>
      </c>
    </row>
    <row r="2453" spans="1:14">
      <c r="A2453" t="s">
        <v>2730</v>
      </c>
      <c r="B2453" s="1">
        <v>45564</v>
      </c>
      <c r="C2453" t="s">
        <v>599</v>
      </c>
      <c r="D2453" t="s">
        <v>432</v>
      </c>
      <c r="E2453" t="s">
        <v>21</v>
      </c>
      <c r="F2453" t="s">
        <v>56</v>
      </c>
      <c r="G2453" t="s">
        <v>210</v>
      </c>
      <c r="H2453">
        <v>1</v>
      </c>
      <c r="I2453" s="3">
        <v>48.59</v>
      </c>
      <c r="J2453" t="s">
        <v>16</v>
      </c>
      <c r="K2453" t="s">
        <v>35</v>
      </c>
      <c r="L2453" s="4">
        <f>Table4[[#This Row],[quantity]]*Table4[[#This Row],[unit_price]]</f>
        <v>48.59</v>
      </c>
      <c r="M2453">
        <f>COUNTIFS($C$2:$C$3934,Table4[[#This Row],[customer_id]])</f>
        <v>5</v>
      </c>
      <c r="N2453" t="str">
        <f>IF(Table4[[#This Row],[customer_order_count]]=1,"New Customer","Repeat Customer")</f>
        <v>Repeat Customer</v>
      </c>
    </row>
    <row r="2454" spans="1:14">
      <c r="A2454" t="s">
        <v>3040</v>
      </c>
      <c r="B2454" s="1">
        <v>45446</v>
      </c>
      <c r="C2454" t="s">
        <v>1597</v>
      </c>
      <c r="D2454" t="s">
        <v>705</v>
      </c>
      <c r="E2454" t="s">
        <v>21</v>
      </c>
      <c r="F2454" t="s">
        <v>70</v>
      </c>
      <c r="G2454" t="s">
        <v>89</v>
      </c>
      <c r="H2454">
        <v>1</v>
      </c>
      <c r="I2454" s="3">
        <v>48.67</v>
      </c>
      <c r="J2454" t="s">
        <v>255</v>
      </c>
      <c r="K2454" t="s">
        <v>17</v>
      </c>
      <c r="L2454" s="4">
        <f>Table4[[#This Row],[quantity]]*Table4[[#This Row],[unit_price]]</f>
        <v>48.67</v>
      </c>
      <c r="M2454">
        <f>COUNTIFS($C$2:$C$3934,Table4[[#This Row],[customer_id]])</f>
        <v>2</v>
      </c>
      <c r="N2454" t="str">
        <f>IF(Table4[[#This Row],[customer_order_count]]=1,"New Customer","Repeat Customer")</f>
        <v>Repeat Customer</v>
      </c>
    </row>
    <row r="2455" spans="1:14">
      <c r="A2455" t="s">
        <v>1605</v>
      </c>
      <c r="B2455" s="1">
        <v>45340</v>
      </c>
      <c r="C2455" t="s">
        <v>971</v>
      </c>
      <c r="D2455" s="2" t="s">
        <v>5257</v>
      </c>
      <c r="E2455" t="s">
        <v>21</v>
      </c>
      <c r="F2455" t="s">
        <v>22</v>
      </c>
      <c r="G2455" t="s">
        <v>142</v>
      </c>
      <c r="H2455">
        <v>1</v>
      </c>
      <c r="I2455" s="3">
        <v>48.67</v>
      </c>
      <c r="J2455" t="s">
        <v>16</v>
      </c>
      <c r="K2455" t="s">
        <v>30</v>
      </c>
      <c r="L2455" s="4">
        <f>Table4[[#This Row],[quantity]]*Table4[[#This Row],[unit_price]]</f>
        <v>48.67</v>
      </c>
      <c r="M2455">
        <f>COUNTIFS($C$2:$C$3934,Table4[[#This Row],[customer_id]])</f>
        <v>7</v>
      </c>
      <c r="N2455" t="str">
        <f>IF(Table4[[#This Row],[customer_order_count]]=1,"New Customer","Repeat Customer")</f>
        <v>Repeat Customer</v>
      </c>
    </row>
    <row r="2456" spans="1:14">
      <c r="A2456" t="s">
        <v>2203</v>
      </c>
      <c r="B2456" s="1">
        <v>45049</v>
      </c>
      <c r="C2456" t="s">
        <v>2204</v>
      </c>
      <c r="D2456" s="5" t="s">
        <v>396</v>
      </c>
      <c r="E2456" t="s">
        <v>21</v>
      </c>
      <c r="F2456" t="s">
        <v>22</v>
      </c>
      <c r="G2456" t="s">
        <v>264</v>
      </c>
      <c r="H2456">
        <v>2</v>
      </c>
      <c r="I2456" s="3">
        <v>48.7</v>
      </c>
      <c r="J2456" t="s">
        <v>16</v>
      </c>
      <c r="K2456" t="s">
        <v>40</v>
      </c>
      <c r="L2456" s="4">
        <f>Table4[[#This Row],[quantity]]*Table4[[#This Row],[unit_price]]</f>
        <v>97.4</v>
      </c>
      <c r="M2456">
        <f>COUNTIFS($C$2:$C$3934,Table4[[#This Row],[customer_id]])</f>
        <v>4</v>
      </c>
      <c r="N2456" t="str">
        <f>IF(Table4[[#This Row],[customer_order_count]]=1,"New Customer","Repeat Customer")</f>
        <v>Repeat Customer</v>
      </c>
    </row>
    <row r="2457" spans="1:14">
      <c r="A2457" t="s">
        <v>4546</v>
      </c>
      <c r="B2457" s="1">
        <v>45504</v>
      </c>
      <c r="C2457" t="s">
        <v>501</v>
      </c>
      <c r="D2457" t="s">
        <v>502</v>
      </c>
      <c r="E2457" t="s">
        <v>21</v>
      </c>
      <c r="F2457" t="s">
        <v>70</v>
      </c>
      <c r="G2457" t="s">
        <v>526</v>
      </c>
      <c r="H2457">
        <v>2</v>
      </c>
      <c r="I2457" s="3">
        <v>48.71</v>
      </c>
      <c r="J2457" t="s">
        <v>16</v>
      </c>
      <c r="K2457" t="s">
        <v>17</v>
      </c>
      <c r="L2457" s="4">
        <f>Table4[[#This Row],[quantity]]*Table4[[#This Row],[unit_price]]</f>
        <v>97.42</v>
      </c>
      <c r="M2457">
        <f>COUNTIFS($C$2:$C$3934,Table4[[#This Row],[customer_id]])</f>
        <v>6</v>
      </c>
      <c r="N2457" t="str">
        <f>IF(Table4[[#This Row],[customer_order_count]]=1,"New Customer","Repeat Customer")</f>
        <v>Repeat Customer</v>
      </c>
    </row>
    <row r="2458" spans="1:14">
      <c r="A2458" t="s">
        <v>3145</v>
      </c>
      <c r="B2458" s="1">
        <v>45655</v>
      </c>
      <c r="C2458" t="s">
        <v>1476</v>
      </c>
      <c r="D2458" t="s">
        <v>1477</v>
      </c>
      <c r="E2458" t="s">
        <v>21</v>
      </c>
      <c r="F2458" t="s">
        <v>22</v>
      </c>
      <c r="G2458" t="s">
        <v>135</v>
      </c>
      <c r="H2458">
        <v>1</v>
      </c>
      <c r="I2458" s="3">
        <v>48.73</v>
      </c>
      <c r="J2458" t="s">
        <v>16</v>
      </c>
      <c r="K2458" t="s">
        <v>30</v>
      </c>
      <c r="L2458" s="4">
        <f>Table4[[#This Row],[quantity]]*Table4[[#This Row],[unit_price]]</f>
        <v>48.73</v>
      </c>
      <c r="M2458">
        <f>COUNTIFS($C$2:$C$3934,Table4[[#This Row],[customer_id]])</f>
        <v>5</v>
      </c>
      <c r="N2458" t="str">
        <f>IF(Table4[[#This Row],[customer_order_count]]=1,"New Customer","Repeat Customer")</f>
        <v>Repeat Customer</v>
      </c>
    </row>
    <row r="2459" spans="1:14">
      <c r="A2459" t="s">
        <v>3437</v>
      </c>
      <c r="B2459" s="1">
        <v>45441</v>
      </c>
      <c r="C2459" t="s">
        <v>427</v>
      </c>
      <c r="D2459" t="s">
        <v>428</v>
      </c>
      <c r="E2459" t="s">
        <v>21</v>
      </c>
      <c r="F2459" t="s">
        <v>22</v>
      </c>
      <c r="G2459" t="s">
        <v>264</v>
      </c>
      <c r="H2459">
        <v>1</v>
      </c>
      <c r="I2459" s="3">
        <v>48.74</v>
      </c>
      <c r="J2459" t="s">
        <v>16</v>
      </c>
      <c r="K2459" t="s">
        <v>17</v>
      </c>
      <c r="L2459" s="4">
        <f>Table4[[#This Row],[quantity]]*Table4[[#This Row],[unit_price]]</f>
        <v>48.74</v>
      </c>
      <c r="M2459">
        <f>COUNTIFS($C$2:$C$3934,Table4[[#This Row],[customer_id]])</f>
        <v>6</v>
      </c>
      <c r="N2459" t="str">
        <f>IF(Table4[[#This Row],[customer_order_count]]=1,"New Customer","Repeat Customer")</f>
        <v>Repeat Customer</v>
      </c>
    </row>
    <row r="2460" spans="1:14">
      <c r="A2460" t="s">
        <v>2339</v>
      </c>
      <c r="B2460" s="1">
        <v>45452</v>
      </c>
      <c r="C2460" t="s">
        <v>2340</v>
      </c>
      <c r="D2460" t="s">
        <v>1000</v>
      </c>
      <c r="E2460" t="s">
        <v>44</v>
      </c>
      <c r="F2460" t="s">
        <v>79</v>
      </c>
      <c r="G2460" t="s">
        <v>204</v>
      </c>
      <c r="H2460">
        <v>1</v>
      </c>
      <c r="I2460" s="3">
        <v>48.82</v>
      </c>
      <c r="J2460" t="s">
        <v>16</v>
      </c>
      <c r="K2460" t="s">
        <v>17</v>
      </c>
      <c r="L2460" s="4">
        <f>Table4[[#This Row],[quantity]]*Table4[[#This Row],[unit_price]]</f>
        <v>48.82</v>
      </c>
      <c r="M2460">
        <f>COUNTIFS($C$2:$C$3934,Table4[[#This Row],[customer_id]])</f>
        <v>4</v>
      </c>
      <c r="N2460" t="str">
        <f>IF(Table4[[#This Row],[customer_order_count]]=1,"New Customer","Repeat Customer")</f>
        <v>Repeat Customer</v>
      </c>
    </row>
    <row r="2461" spans="1:14">
      <c r="A2461" t="s">
        <v>2752</v>
      </c>
      <c r="B2461" s="1">
        <v>45428</v>
      </c>
      <c r="C2461" t="s">
        <v>177</v>
      </c>
      <c r="D2461" t="s">
        <v>178</v>
      </c>
      <c r="E2461" t="s">
        <v>21</v>
      </c>
      <c r="F2461" t="s">
        <v>14</v>
      </c>
      <c r="G2461" t="s">
        <v>34</v>
      </c>
      <c r="H2461">
        <v>1</v>
      </c>
      <c r="I2461" s="3">
        <v>48.86</v>
      </c>
      <c r="J2461" t="s">
        <v>16</v>
      </c>
      <c r="K2461" t="s">
        <v>17</v>
      </c>
      <c r="L2461" s="4">
        <f>Table4[[#This Row],[quantity]]*Table4[[#This Row],[unit_price]]</f>
        <v>48.86</v>
      </c>
      <c r="M2461">
        <f>COUNTIFS($C$2:$C$3934,Table4[[#This Row],[customer_id]])</f>
        <v>6</v>
      </c>
      <c r="N2461" t="str">
        <f>IF(Table4[[#This Row],[customer_order_count]]=1,"New Customer","Repeat Customer")</f>
        <v>Repeat Customer</v>
      </c>
    </row>
    <row r="2462" spans="1:14">
      <c r="A2462" t="s">
        <v>4814</v>
      </c>
      <c r="B2462" s="1">
        <v>45347</v>
      </c>
      <c r="C2462" t="s">
        <v>361</v>
      </c>
      <c r="D2462" t="s">
        <v>362</v>
      </c>
      <c r="E2462" t="s">
        <v>21</v>
      </c>
      <c r="F2462" t="s">
        <v>56</v>
      </c>
      <c r="G2462" t="s">
        <v>153</v>
      </c>
      <c r="H2462">
        <v>2</v>
      </c>
      <c r="I2462" s="3">
        <v>48.86</v>
      </c>
      <c r="J2462" t="s">
        <v>16</v>
      </c>
      <c r="K2462" t="s">
        <v>30</v>
      </c>
      <c r="L2462" s="4">
        <f>Table4[[#This Row],[quantity]]*Table4[[#This Row],[unit_price]]</f>
        <v>97.72</v>
      </c>
      <c r="M2462">
        <f>COUNTIFS($C$2:$C$3934,Table4[[#This Row],[customer_id]])</f>
        <v>8</v>
      </c>
      <c r="N2462" t="str">
        <f>IF(Table4[[#This Row],[customer_order_count]]=1,"New Customer","Repeat Customer")</f>
        <v>Repeat Customer</v>
      </c>
    </row>
    <row r="2463" spans="1:14">
      <c r="A2463" t="s">
        <v>3868</v>
      </c>
      <c r="B2463" s="1">
        <v>45250</v>
      </c>
      <c r="C2463" t="s">
        <v>1708</v>
      </c>
      <c r="D2463" t="s">
        <v>127</v>
      </c>
      <c r="E2463" t="s">
        <v>21</v>
      </c>
      <c r="F2463" t="s">
        <v>22</v>
      </c>
      <c r="G2463" t="s">
        <v>23</v>
      </c>
      <c r="H2463">
        <v>1</v>
      </c>
      <c r="I2463" s="3">
        <v>48.88</v>
      </c>
      <c r="J2463" t="s">
        <v>85</v>
      </c>
      <c r="K2463" t="s">
        <v>40</v>
      </c>
      <c r="L2463" s="4">
        <f>Table4[[#This Row],[quantity]]*Table4[[#This Row],[unit_price]]</f>
        <v>48.88</v>
      </c>
      <c r="M2463">
        <f>COUNTIFS($C$2:$C$3934,Table4[[#This Row],[customer_id]])</f>
        <v>9</v>
      </c>
      <c r="N2463" t="str">
        <f>IF(Table4[[#This Row],[customer_order_count]]=1,"New Customer","Repeat Customer")</f>
        <v>Repeat Customer</v>
      </c>
    </row>
    <row r="2464" spans="1:14">
      <c r="A2464" t="s">
        <v>3755</v>
      </c>
      <c r="B2464" s="1">
        <v>45431</v>
      </c>
      <c r="C2464" t="s">
        <v>1291</v>
      </c>
      <c r="D2464" t="s">
        <v>1292</v>
      </c>
      <c r="E2464" t="s">
        <v>21</v>
      </c>
      <c r="F2464" t="s">
        <v>56</v>
      </c>
      <c r="G2464" t="s">
        <v>153</v>
      </c>
      <c r="H2464">
        <v>1</v>
      </c>
      <c r="I2464" s="3">
        <v>48.93</v>
      </c>
      <c r="J2464" t="s">
        <v>16</v>
      </c>
      <c r="K2464" t="s">
        <v>17</v>
      </c>
      <c r="L2464" s="4">
        <f>Table4[[#This Row],[quantity]]*Table4[[#This Row],[unit_price]]</f>
        <v>48.93</v>
      </c>
      <c r="M2464">
        <f>COUNTIFS($C$2:$C$3934,Table4[[#This Row],[customer_id]])</f>
        <v>6</v>
      </c>
      <c r="N2464" t="str">
        <f>IF(Table4[[#This Row],[customer_order_count]]=1,"New Customer","Repeat Customer")</f>
        <v>Repeat Customer</v>
      </c>
    </row>
    <row r="2465" spans="1:14">
      <c r="A2465" t="s">
        <v>2723</v>
      </c>
      <c r="B2465" s="1">
        <v>45548</v>
      </c>
      <c r="C2465" t="s">
        <v>578</v>
      </c>
      <c r="D2465" t="s">
        <v>579</v>
      </c>
      <c r="E2465" t="s">
        <v>21</v>
      </c>
      <c r="F2465" t="s">
        <v>56</v>
      </c>
      <c r="G2465" t="s">
        <v>254</v>
      </c>
      <c r="H2465">
        <v>1</v>
      </c>
      <c r="I2465" s="3">
        <v>48.95</v>
      </c>
      <c r="J2465" t="s">
        <v>16</v>
      </c>
      <c r="K2465" s="2" t="s">
        <v>5256</v>
      </c>
      <c r="L2465" s="4">
        <f>Table4[[#This Row],[quantity]]*Table4[[#This Row],[unit_price]]</f>
        <v>48.95</v>
      </c>
      <c r="M2465">
        <f>COUNTIFS($C$2:$C$3934,Table4[[#This Row],[customer_id]])</f>
        <v>10</v>
      </c>
      <c r="N2465" t="str">
        <f>IF(Table4[[#This Row],[customer_order_count]]=1,"New Customer","Repeat Customer")</f>
        <v>Repeat Customer</v>
      </c>
    </row>
    <row r="2466" spans="1:14">
      <c r="A2466" t="s">
        <v>3855</v>
      </c>
      <c r="B2466" s="1">
        <v>44947</v>
      </c>
      <c r="C2466" t="s">
        <v>2292</v>
      </c>
      <c r="D2466" t="s">
        <v>714</v>
      </c>
      <c r="E2466" t="s">
        <v>21</v>
      </c>
      <c r="F2466" t="s">
        <v>70</v>
      </c>
      <c r="G2466" t="s">
        <v>170</v>
      </c>
      <c r="H2466">
        <v>2</v>
      </c>
      <c r="I2466" s="3">
        <v>49.01</v>
      </c>
      <c r="J2466" t="s">
        <v>16</v>
      </c>
      <c r="K2466" s="5" t="s">
        <v>40</v>
      </c>
      <c r="L2466" s="4">
        <f>Table4[[#This Row],[quantity]]*Table4[[#This Row],[unit_price]]</f>
        <v>98.02</v>
      </c>
      <c r="M2466">
        <f>COUNTIFS($C$2:$C$3934,Table4[[#This Row],[customer_id]])</f>
        <v>6</v>
      </c>
      <c r="N2466" t="str">
        <f>IF(Table4[[#This Row],[customer_order_count]]=1,"New Customer","Repeat Customer")</f>
        <v>Repeat Customer</v>
      </c>
    </row>
    <row r="2467" spans="1:14">
      <c r="A2467" t="s">
        <v>3218</v>
      </c>
      <c r="B2467" s="1">
        <v>45348</v>
      </c>
      <c r="C2467" t="s">
        <v>909</v>
      </c>
      <c r="D2467" t="s">
        <v>910</v>
      </c>
      <c r="E2467" t="s">
        <v>21</v>
      </c>
      <c r="F2467" t="s">
        <v>56</v>
      </c>
      <c r="G2467" t="s">
        <v>210</v>
      </c>
      <c r="H2467">
        <v>1</v>
      </c>
      <c r="I2467" s="3">
        <v>49.07</v>
      </c>
      <c r="J2467" t="s">
        <v>16</v>
      </c>
      <c r="K2467" t="s">
        <v>17</v>
      </c>
      <c r="L2467" s="4">
        <f>Table4[[#This Row],[quantity]]*Table4[[#This Row],[unit_price]]</f>
        <v>49.07</v>
      </c>
      <c r="M2467">
        <f>COUNTIFS($C$2:$C$3934,Table4[[#This Row],[customer_id]])</f>
        <v>7</v>
      </c>
      <c r="N2467" t="str">
        <f>IF(Table4[[#This Row],[customer_order_count]]=1,"New Customer","Repeat Customer")</f>
        <v>Repeat Customer</v>
      </c>
    </row>
    <row r="2468" spans="1:14">
      <c r="A2468" t="s">
        <v>3730</v>
      </c>
      <c r="B2468" s="1">
        <v>45374</v>
      </c>
      <c r="C2468" t="s">
        <v>141</v>
      </c>
      <c r="D2468" t="s">
        <v>105</v>
      </c>
      <c r="E2468" t="s">
        <v>21</v>
      </c>
      <c r="F2468" t="s">
        <v>70</v>
      </c>
      <c r="G2468" t="s">
        <v>526</v>
      </c>
      <c r="H2468">
        <v>2</v>
      </c>
      <c r="I2468" s="3">
        <v>49.19</v>
      </c>
      <c r="J2468" t="s">
        <v>16</v>
      </c>
      <c r="K2468" t="s">
        <v>35</v>
      </c>
      <c r="L2468" s="4">
        <f>Table4[[#This Row],[quantity]]*Table4[[#This Row],[unit_price]]</f>
        <v>98.38</v>
      </c>
      <c r="M2468">
        <f>COUNTIFS($C$2:$C$3934,Table4[[#This Row],[customer_id]])</f>
        <v>6</v>
      </c>
      <c r="N2468" t="str">
        <f>IF(Table4[[#This Row],[customer_order_count]]=1,"New Customer","Repeat Customer")</f>
        <v>Repeat Customer</v>
      </c>
    </row>
    <row r="2469" spans="1:14">
      <c r="A2469" t="s">
        <v>1432</v>
      </c>
      <c r="B2469" s="1">
        <v>45655</v>
      </c>
      <c r="C2469" t="s">
        <v>1433</v>
      </c>
      <c r="D2469" t="s">
        <v>734</v>
      </c>
      <c r="E2469" t="s">
        <v>21</v>
      </c>
      <c r="F2469" t="s">
        <v>14</v>
      </c>
      <c r="G2469" t="s">
        <v>15</v>
      </c>
      <c r="H2469">
        <v>1</v>
      </c>
      <c r="I2469" s="3">
        <v>49.24</v>
      </c>
      <c r="J2469" t="s">
        <v>16</v>
      </c>
      <c r="K2469" t="s">
        <v>30</v>
      </c>
      <c r="L2469" s="4">
        <f>Table4[[#This Row],[quantity]]*Table4[[#This Row],[unit_price]]</f>
        <v>49.24</v>
      </c>
      <c r="M2469">
        <f>COUNTIFS($C$2:$C$3934,Table4[[#This Row],[customer_id]])</f>
        <v>2</v>
      </c>
      <c r="N2469" t="str">
        <f>IF(Table4[[#This Row],[customer_order_count]]=1,"New Customer","Repeat Customer")</f>
        <v>Repeat Customer</v>
      </c>
    </row>
    <row r="2470" spans="1:14">
      <c r="A2470" t="s">
        <v>1416</v>
      </c>
      <c r="B2470" s="1">
        <v>45163</v>
      </c>
      <c r="C2470" t="s">
        <v>1202</v>
      </c>
      <c r="D2470" t="s">
        <v>1203</v>
      </c>
      <c r="E2470" t="s">
        <v>21</v>
      </c>
      <c r="F2470" t="s">
        <v>56</v>
      </c>
      <c r="G2470" t="s">
        <v>210</v>
      </c>
      <c r="H2470">
        <v>3</v>
      </c>
      <c r="I2470" s="3">
        <v>49.24</v>
      </c>
      <c r="J2470" t="s">
        <v>16</v>
      </c>
      <c r="K2470" t="s">
        <v>17</v>
      </c>
      <c r="L2470" s="4">
        <f>Table4[[#This Row],[quantity]]*Table4[[#This Row],[unit_price]]</f>
        <v>147.72</v>
      </c>
      <c r="M2470">
        <f>COUNTIFS($C$2:$C$3934,Table4[[#This Row],[customer_id]])</f>
        <v>4</v>
      </c>
      <c r="N2470" t="str">
        <f>IF(Table4[[#This Row],[customer_order_count]]=1,"New Customer","Repeat Customer")</f>
        <v>Repeat Customer</v>
      </c>
    </row>
    <row r="2471" spans="1:14">
      <c r="A2471" t="s">
        <v>1143</v>
      </c>
      <c r="B2471" s="1">
        <v>45520</v>
      </c>
      <c r="C2471" t="s">
        <v>1144</v>
      </c>
      <c r="D2471" t="s">
        <v>60</v>
      </c>
      <c r="E2471" t="s">
        <v>21</v>
      </c>
      <c r="F2471" t="s">
        <v>79</v>
      </c>
      <c r="G2471" t="s">
        <v>80</v>
      </c>
      <c r="H2471">
        <v>1</v>
      </c>
      <c r="I2471" s="3">
        <v>49.25</v>
      </c>
      <c r="J2471" t="s">
        <v>24</v>
      </c>
      <c r="K2471" t="s">
        <v>17</v>
      </c>
      <c r="L2471" s="4">
        <f>Table4[[#This Row],[quantity]]*Table4[[#This Row],[unit_price]]</f>
        <v>49.25</v>
      </c>
      <c r="M2471">
        <f>COUNTIFS($C$2:$C$3934,Table4[[#This Row],[customer_id]])</f>
        <v>7</v>
      </c>
      <c r="N2471" t="str">
        <f>IF(Table4[[#This Row],[customer_order_count]]=1,"New Customer","Repeat Customer")</f>
        <v>Repeat Customer</v>
      </c>
    </row>
    <row r="2472" spans="1:14">
      <c r="A2472" t="s">
        <v>1893</v>
      </c>
      <c r="B2472" s="1">
        <v>45331</v>
      </c>
      <c r="C2472" t="s">
        <v>1894</v>
      </c>
      <c r="D2472" t="s">
        <v>145</v>
      </c>
      <c r="E2472" t="s">
        <v>21</v>
      </c>
      <c r="F2472" t="s">
        <v>14</v>
      </c>
      <c r="G2472" t="s">
        <v>258</v>
      </c>
      <c r="H2472">
        <v>1</v>
      </c>
      <c r="I2472" s="3">
        <v>49.37</v>
      </c>
      <c r="J2472" t="s">
        <v>16</v>
      </c>
      <c r="K2472" t="s">
        <v>40</v>
      </c>
      <c r="L2472" s="4">
        <f>Table4[[#This Row],[quantity]]*Table4[[#This Row],[unit_price]]</f>
        <v>49.37</v>
      </c>
      <c r="M2472">
        <f>COUNTIFS($C$2:$C$3934,Table4[[#This Row],[customer_id]])</f>
        <v>6</v>
      </c>
      <c r="N2472" t="str">
        <f>IF(Table4[[#This Row],[customer_order_count]]=1,"New Customer","Repeat Customer")</f>
        <v>Repeat Customer</v>
      </c>
    </row>
    <row r="2473" spans="1:14">
      <c r="A2473" t="s">
        <v>5167</v>
      </c>
      <c r="B2473" s="1">
        <v>45242</v>
      </c>
      <c r="C2473" t="s">
        <v>3511</v>
      </c>
      <c r="D2473" t="s">
        <v>2033</v>
      </c>
      <c r="E2473" t="s">
        <v>44</v>
      </c>
      <c r="F2473" t="s">
        <v>79</v>
      </c>
      <c r="G2473" t="s">
        <v>80</v>
      </c>
      <c r="H2473">
        <v>1</v>
      </c>
      <c r="I2473" s="3">
        <v>49.4</v>
      </c>
      <c r="J2473" t="s">
        <v>16</v>
      </c>
      <c r="K2473" t="s">
        <v>35</v>
      </c>
      <c r="L2473" s="4">
        <f>Table4[[#This Row],[quantity]]*Table4[[#This Row],[unit_price]]</f>
        <v>49.4</v>
      </c>
      <c r="M2473">
        <f>COUNTIFS($C$2:$C$3934,Table4[[#This Row],[customer_id]])</f>
        <v>4</v>
      </c>
      <c r="N2473" t="str">
        <f>IF(Table4[[#This Row],[customer_order_count]]=1,"New Customer","Repeat Customer")</f>
        <v>Repeat Customer</v>
      </c>
    </row>
    <row r="2474" spans="1:14">
      <c r="A2474" t="s">
        <v>5105</v>
      </c>
      <c r="B2474" s="1">
        <v>45551</v>
      </c>
      <c r="C2474" t="s">
        <v>528</v>
      </c>
      <c r="D2474" t="s">
        <v>529</v>
      </c>
      <c r="E2474" t="s">
        <v>21</v>
      </c>
      <c r="F2474" t="s">
        <v>14</v>
      </c>
      <c r="G2474" t="s">
        <v>100</v>
      </c>
      <c r="H2474">
        <v>2</v>
      </c>
      <c r="I2474" s="3">
        <v>49.44</v>
      </c>
      <c r="J2474" t="s">
        <v>16</v>
      </c>
      <c r="K2474" t="s">
        <v>17</v>
      </c>
      <c r="L2474" s="4">
        <f>Table4[[#This Row],[quantity]]*Table4[[#This Row],[unit_price]]</f>
        <v>98.88</v>
      </c>
      <c r="M2474">
        <f>COUNTIFS($C$2:$C$3934,Table4[[#This Row],[customer_id]])</f>
        <v>3</v>
      </c>
      <c r="N2474" t="str">
        <f>IF(Table4[[#This Row],[customer_order_count]]=1,"New Customer","Repeat Customer")</f>
        <v>Repeat Customer</v>
      </c>
    </row>
    <row r="2475" spans="1:14">
      <c r="A2475" t="s">
        <v>938</v>
      </c>
      <c r="B2475" s="1">
        <v>45613</v>
      </c>
      <c r="C2475" t="s">
        <v>939</v>
      </c>
      <c r="D2475" t="s">
        <v>525</v>
      </c>
      <c r="E2475" t="s">
        <v>21</v>
      </c>
      <c r="F2475" t="s">
        <v>22</v>
      </c>
      <c r="G2475" t="s">
        <v>135</v>
      </c>
      <c r="H2475">
        <v>2</v>
      </c>
      <c r="I2475" s="3">
        <v>49.49</v>
      </c>
      <c r="J2475" t="s">
        <v>16</v>
      </c>
      <c r="K2475" t="s">
        <v>30</v>
      </c>
      <c r="L2475" s="4">
        <f>Table4[[#This Row],[quantity]]*Table4[[#This Row],[unit_price]]</f>
        <v>98.98</v>
      </c>
      <c r="M2475">
        <f>COUNTIFS($C$2:$C$3934,Table4[[#This Row],[customer_id]])</f>
        <v>3</v>
      </c>
      <c r="N2475" t="str">
        <f>IF(Table4[[#This Row],[customer_order_count]]=1,"New Customer","Repeat Customer")</f>
        <v>Repeat Customer</v>
      </c>
    </row>
    <row r="2476" spans="1:14">
      <c r="A2476" t="s">
        <v>3896</v>
      </c>
      <c r="B2476" s="1">
        <v>45468</v>
      </c>
      <c r="C2476" t="s">
        <v>2279</v>
      </c>
      <c r="D2476" t="s">
        <v>237</v>
      </c>
      <c r="E2476" t="s">
        <v>21</v>
      </c>
      <c r="F2476" t="s">
        <v>22</v>
      </c>
      <c r="G2476" t="s">
        <v>23</v>
      </c>
      <c r="H2476">
        <v>2</v>
      </c>
      <c r="I2476" s="3">
        <v>49.5</v>
      </c>
      <c r="J2476" t="s">
        <v>16</v>
      </c>
      <c r="K2476" t="s">
        <v>17</v>
      </c>
      <c r="L2476" s="4">
        <f>Table4[[#This Row],[quantity]]*Table4[[#This Row],[unit_price]]</f>
        <v>99</v>
      </c>
      <c r="M2476">
        <f>COUNTIFS($C$2:$C$3934,Table4[[#This Row],[customer_id]])</f>
        <v>5</v>
      </c>
      <c r="N2476" t="str">
        <f>IF(Table4[[#This Row],[customer_order_count]]=1,"New Customer","Repeat Customer")</f>
        <v>Repeat Customer</v>
      </c>
    </row>
    <row r="2477" spans="1:14">
      <c r="A2477" t="s">
        <v>2578</v>
      </c>
      <c r="B2477" s="1">
        <v>45249</v>
      </c>
      <c r="C2477" t="s">
        <v>309</v>
      </c>
      <c r="D2477" t="s">
        <v>310</v>
      </c>
      <c r="E2477" t="s">
        <v>44</v>
      </c>
      <c r="F2477" t="s">
        <v>70</v>
      </c>
      <c r="G2477" t="s">
        <v>110</v>
      </c>
      <c r="H2477">
        <v>1</v>
      </c>
      <c r="I2477" s="3">
        <v>49.54</v>
      </c>
      <c r="J2477" t="s">
        <v>24</v>
      </c>
      <c r="K2477" t="s">
        <v>30</v>
      </c>
      <c r="L2477" s="4">
        <f>Table4[[#This Row],[quantity]]*Table4[[#This Row],[unit_price]]</f>
        <v>49.54</v>
      </c>
      <c r="M2477">
        <f>COUNTIFS($C$2:$C$3934,Table4[[#This Row],[customer_id]])</f>
        <v>8</v>
      </c>
      <c r="N2477" t="str">
        <f>IF(Table4[[#This Row],[customer_order_count]]=1,"New Customer","Repeat Customer")</f>
        <v>Repeat Customer</v>
      </c>
    </row>
    <row r="2478" spans="1:14">
      <c r="A2478" t="s">
        <v>2696</v>
      </c>
      <c r="B2478" s="1">
        <v>44974</v>
      </c>
      <c r="C2478" t="s">
        <v>893</v>
      </c>
      <c r="D2478" t="s">
        <v>659</v>
      </c>
      <c r="E2478" t="s">
        <v>21</v>
      </c>
      <c r="F2478" t="s">
        <v>22</v>
      </c>
      <c r="G2478" t="s">
        <v>142</v>
      </c>
      <c r="H2478">
        <v>4</v>
      </c>
      <c r="I2478" s="3">
        <v>49.55</v>
      </c>
      <c r="J2478" t="s">
        <v>255</v>
      </c>
      <c r="K2478" t="s">
        <v>35</v>
      </c>
      <c r="L2478" s="4">
        <f>Table4[[#This Row],[quantity]]*Table4[[#This Row],[unit_price]]</f>
        <v>198.2</v>
      </c>
      <c r="M2478">
        <f>COUNTIFS($C$2:$C$3934,Table4[[#This Row],[customer_id]])</f>
        <v>12</v>
      </c>
      <c r="N2478" t="str">
        <f>IF(Table4[[#This Row],[customer_order_count]]=1,"New Customer","Repeat Customer")</f>
        <v>Repeat Customer</v>
      </c>
    </row>
    <row r="2479" spans="1:14">
      <c r="A2479" t="s">
        <v>2194</v>
      </c>
      <c r="B2479" s="1">
        <v>45031</v>
      </c>
      <c r="C2479" t="s">
        <v>374</v>
      </c>
      <c r="D2479" t="s">
        <v>121</v>
      </c>
      <c r="E2479" t="s">
        <v>21</v>
      </c>
      <c r="F2479" t="s">
        <v>14</v>
      </c>
      <c r="G2479" t="s">
        <v>62</v>
      </c>
      <c r="H2479">
        <v>1</v>
      </c>
      <c r="I2479" s="3">
        <v>49.63</v>
      </c>
      <c r="J2479" t="s">
        <v>16</v>
      </c>
      <c r="K2479" t="s">
        <v>17</v>
      </c>
      <c r="L2479" s="4">
        <f>Table4[[#This Row],[quantity]]*Table4[[#This Row],[unit_price]]</f>
        <v>49.63</v>
      </c>
      <c r="M2479">
        <f>COUNTIFS($C$2:$C$3934,Table4[[#This Row],[customer_id]])</f>
        <v>4</v>
      </c>
      <c r="N2479" t="str">
        <f>IF(Table4[[#This Row],[customer_order_count]]=1,"New Customer","Repeat Customer")</f>
        <v>Repeat Customer</v>
      </c>
    </row>
    <row r="2480" spans="1:14">
      <c r="A2480" t="s">
        <v>2546</v>
      </c>
      <c r="B2480" s="1">
        <v>45212</v>
      </c>
      <c r="C2480" t="s">
        <v>537</v>
      </c>
      <c r="D2480" t="s">
        <v>538</v>
      </c>
      <c r="E2480" t="s">
        <v>21</v>
      </c>
      <c r="F2480" t="s">
        <v>22</v>
      </c>
      <c r="G2480" t="s">
        <v>23</v>
      </c>
      <c r="H2480">
        <v>1</v>
      </c>
      <c r="I2480" s="3">
        <v>49.67</v>
      </c>
      <c r="J2480" t="s">
        <v>16</v>
      </c>
      <c r="K2480" t="s">
        <v>17</v>
      </c>
      <c r="L2480" s="4">
        <f>Table4[[#This Row],[quantity]]*Table4[[#This Row],[unit_price]]</f>
        <v>49.67</v>
      </c>
      <c r="M2480">
        <f>COUNTIFS($C$2:$C$3934,Table4[[#This Row],[customer_id]])</f>
        <v>9</v>
      </c>
      <c r="N2480" t="str">
        <f>IF(Table4[[#This Row],[customer_order_count]]=1,"New Customer","Repeat Customer")</f>
        <v>Repeat Customer</v>
      </c>
    </row>
    <row r="2481" spans="1:14">
      <c r="A2481" t="s">
        <v>103</v>
      </c>
      <c r="B2481" s="1">
        <v>45157</v>
      </c>
      <c r="C2481" t="s">
        <v>104</v>
      </c>
      <c r="D2481" t="s">
        <v>105</v>
      </c>
      <c r="E2481" t="s">
        <v>21</v>
      </c>
      <c r="F2481" t="s">
        <v>14</v>
      </c>
      <c r="G2481" t="s">
        <v>39</v>
      </c>
      <c r="H2481">
        <v>1</v>
      </c>
      <c r="I2481" s="3">
        <v>49.73</v>
      </c>
      <c r="J2481" t="s">
        <v>24</v>
      </c>
      <c r="K2481" t="s">
        <v>17</v>
      </c>
      <c r="L2481" s="4">
        <f>Table4[[#This Row],[quantity]]*Table4[[#This Row],[unit_price]]</f>
        <v>49.73</v>
      </c>
      <c r="M2481">
        <f>COUNTIFS($C$2:$C$3934,Table4[[#This Row],[customer_id]])</f>
        <v>9</v>
      </c>
      <c r="N2481" t="str">
        <f>IF(Table4[[#This Row],[customer_order_count]]=1,"New Customer","Repeat Customer")</f>
        <v>Repeat Customer</v>
      </c>
    </row>
    <row r="2482" spans="1:14">
      <c r="A2482" t="s">
        <v>1391</v>
      </c>
      <c r="B2482" s="1">
        <v>44998</v>
      </c>
      <c r="C2482" t="s">
        <v>1100</v>
      </c>
      <c r="D2482" t="s">
        <v>950</v>
      </c>
      <c r="E2482" t="s">
        <v>61</v>
      </c>
      <c r="F2482" t="s">
        <v>56</v>
      </c>
      <c r="G2482" t="s">
        <v>254</v>
      </c>
      <c r="H2482">
        <v>4</v>
      </c>
      <c r="I2482" s="3">
        <v>49.73</v>
      </c>
      <c r="J2482" t="s">
        <v>16</v>
      </c>
      <c r="K2482" t="s">
        <v>17</v>
      </c>
      <c r="L2482" s="4">
        <f>Table4[[#This Row],[quantity]]*Table4[[#This Row],[unit_price]]</f>
        <v>198.92</v>
      </c>
      <c r="M2482">
        <f>COUNTIFS($C$2:$C$3934,Table4[[#This Row],[customer_id]])</f>
        <v>4</v>
      </c>
      <c r="N2482" t="str">
        <f>IF(Table4[[#This Row],[customer_order_count]]=1,"New Customer","Repeat Customer")</f>
        <v>Repeat Customer</v>
      </c>
    </row>
    <row r="2483" spans="1:14">
      <c r="A2483" t="s">
        <v>2706</v>
      </c>
      <c r="B2483" s="1">
        <v>45168</v>
      </c>
      <c r="C2483" t="s">
        <v>782</v>
      </c>
      <c r="D2483" t="s">
        <v>783</v>
      </c>
      <c r="E2483" t="s">
        <v>21</v>
      </c>
      <c r="F2483" t="s">
        <v>56</v>
      </c>
      <c r="G2483" t="s">
        <v>153</v>
      </c>
      <c r="H2483">
        <v>2</v>
      </c>
      <c r="I2483" s="3">
        <v>49.81</v>
      </c>
      <c r="J2483" t="s">
        <v>16</v>
      </c>
      <c r="K2483" t="s">
        <v>40</v>
      </c>
      <c r="L2483" s="4">
        <f>Table4[[#This Row],[quantity]]*Table4[[#This Row],[unit_price]]</f>
        <v>99.62</v>
      </c>
      <c r="M2483">
        <f>COUNTIFS($C$2:$C$3934,Table4[[#This Row],[customer_id]])</f>
        <v>5</v>
      </c>
      <c r="N2483" t="str">
        <f>IF(Table4[[#This Row],[customer_order_count]]=1,"New Customer","Repeat Customer")</f>
        <v>Repeat Customer</v>
      </c>
    </row>
    <row r="2484" spans="1:14">
      <c r="A2484" t="s">
        <v>4235</v>
      </c>
      <c r="B2484" s="1">
        <v>45553</v>
      </c>
      <c r="C2484" t="s">
        <v>1557</v>
      </c>
      <c r="D2484" t="s">
        <v>92</v>
      </c>
      <c r="E2484" t="s">
        <v>21</v>
      </c>
      <c r="F2484" t="s">
        <v>70</v>
      </c>
      <c r="G2484" t="s">
        <v>110</v>
      </c>
      <c r="H2484">
        <v>1</v>
      </c>
      <c r="I2484" s="3">
        <v>49.87</v>
      </c>
      <c r="J2484" t="s">
        <v>16</v>
      </c>
      <c r="K2484" t="s">
        <v>30</v>
      </c>
      <c r="L2484" s="4">
        <f>Table4[[#This Row],[quantity]]*Table4[[#This Row],[unit_price]]</f>
        <v>49.87</v>
      </c>
      <c r="M2484">
        <f>COUNTIFS($C$2:$C$3934,Table4[[#This Row],[customer_id]])</f>
        <v>5</v>
      </c>
      <c r="N2484" t="str">
        <f>IF(Table4[[#This Row],[customer_order_count]]=1,"New Customer","Repeat Customer")</f>
        <v>Repeat Customer</v>
      </c>
    </row>
    <row r="2485" spans="1:14">
      <c r="A2485" t="s">
        <v>1388</v>
      </c>
      <c r="B2485" s="1">
        <v>45216</v>
      </c>
      <c r="C2485" t="s">
        <v>1389</v>
      </c>
      <c r="D2485" t="s">
        <v>1390</v>
      </c>
      <c r="E2485" t="s">
        <v>21</v>
      </c>
      <c r="F2485" t="s">
        <v>14</v>
      </c>
      <c r="G2485" t="s">
        <v>34</v>
      </c>
      <c r="H2485">
        <v>1</v>
      </c>
      <c r="I2485" s="3">
        <v>49.9</v>
      </c>
      <c r="J2485" t="s">
        <v>16</v>
      </c>
      <c r="K2485" t="s">
        <v>40</v>
      </c>
      <c r="L2485" s="4">
        <f>Table4[[#This Row],[quantity]]*Table4[[#This Row],[unit_price]]</f>
        <v>49.9</v>
      </c>
      <c r="M2485">
        <f>COUNTIFS($C$2:$C$3934,Table4[[#This Row],[customer_id]])</f>
        <v>5</v>
      </c>
      <c r="N2485" t="str">
        <f>IF(Table4[[#This Row],[customer_order_count]]=1,"New Customer","Repeat Customer")</f>
        <v>Repeat Customer</v>
      </c>
    </row>
    <row r="2486" spans="1:14">
      <c r="A2486" t="s">
        <v>3250</v>
      </c>
      <c r="B2486" s="1">
        <v>45545</v>
      </c>
      <c r="C2486" t="s">
        <v>2155</v>
      </c>
      <c r="D2486" t="s">
        <v>105</v>
      </c>
      <c r="E2486" t="s">
        <v>21</v>
      </c>
      <c r="F2486" t="s">
        <v>14</v>
      </c>
      <c r="G2486" t="s">
        <v>15</v>
      </c>
      <c r="H2486">
        <v>2</v>
      </c>
      <c r="I2486" s="3">
        <v>49.92</v>
      </c>
      <c r="J2486" t="s">
        <v>16</v>
      </c>
      <c r="K2486" t="s">
        <v>30</v>
      </c>
      <c r="L2486" s="4">
        <f>Table4[[#This Row],[quantity]]*Table4[[#This Row],[unit_price]]</f>
        <v>99.84</v>
      </c>
      <c r="M2486">
        <f>COUNTIFS($C$2:$C$3934,Table4[[#This Row],[customer_id]])</f>
        <v>5</v>
      </c>
      <c r="N2486" t="str">
        <f>IF(Table4[[#This Row],[customer_order_count]]=1,"New Customer","Repeat Customer")</f>
        <v>Repeat Customer</v>
      </c>
    </row>
    <row r="2487" spans="1:14">
      <c r="A2487" t="s">
        <v>4996</v>
      </c>
      <c r="B2487" s="1">
        <v>45303</v>
      </c>
      <c r="C2487" t="s">
        <v>1690</v>
      </c>
      <c r="D2487" t="s">
        <v>1691</v>
      </c>
      <c r="E2487" t="s">
        <v>44</v>
      </c>
      <c r="F2487" t="s">
        <v>70</v>
      </c>
      <c r="G2487" t="s">
        <v>337</v>
      </c>
      <c r="H2487">
        <v>2</v>
      </c>
      <c r="I2487" s="3">
        <v>49.92</v>
      </c>
      <c r="J2487" t="s">
        <v>16</v>
      </c>
      <c r="K2487" t="s">
        <v>30</v>
      </c>
      <c r="L2487" s="4">
        <f>Table4[[#This Row],[quantity]]*Table4[[#This Row],[unit_price]]</f>
        <v>99.84</v>
      </c>
      <c r="M2487">
        <f>COUNTIFS($C$2:$C$3934,Table4[[#This Row],[customer_id]])</f>
        <v>5</v>
      </c>
      <c r="N2487" t="str">
        <f>IF(Table4[[#This Row],[customer_order_count]]=1,"New Customer","Repeat Customer")</f>
        <v>Repeat Customer</v>
      </c>
    </row>
    <row r="2488" spans="1:14">
      <c r="A2488" t="s">
        <v>3654</v>
      </c>
      <c r="B2488" s="1">
        <v>45023</v>
      </c>
      <c r="C2488" t="s">
        <v>1708</v>
      </c>
      <c r="D2488" t="s">
        <v>127</v>
      </c>
      <c r="E2488" t="s">
        <v>21</v>
      </c>
      <c r="F2488" t="s">
        <v>70</v>
      </c>
      <c r="G2488" t="s">
        <v>89</v>
      </c>
      <c r="H2488">
        <v>2</v>
      </c>
      <c r="I2488" s="3">
        <v>49.92</v>
      </c>
      <c r="J2488" t="s">
        <v>16</v>
      </c>
      <c r="K2488" t="s">
        <v>40</v>
      </c>
      <c r="L2488" s="4">
        <f>Table4[[#This Row],[quantity]]*Table4[[#This Row],[unit_price]]</f>
        <v>99.84</v>
      </c>
      <c r="M2488">
        <f>COUNTIFS($C$2:$C$3934,Table4[[#This Row],[customer_id]])</f>
        <v>9</v>
      </c>
      <c r="N2488" t="str">
        <f>IF(Table4[[#This Row],[customer_order_count]]=1,"New Customer","Repeat Customer")</f>
        <v>Repeat Customer</v>
      </c>
    </row>
    <row r="2489" spans="1:14">
      <c r="A2489" t="s">
        <v>942</v>
      </c>
      <c r="B2489" s="1">
        <v>45046</v>
      </c>
      <c r="C2489" t="s">
        <v>298</v>
      </c>
      <c r="D2489" t="s">
        <v>299</v>
      </c>
      <c r="E2489" t="s">
        <v>21</v>
      </c>
      <c r="F2489" t="s">
        <v>14</v>
      </c>
      <c r="G2489" t="s">
        <v>34</v>
      </c>
      <c r="H2489">
        <v>1</v>
      </c>
      <c r="I2489" s="3">
        <v>50.01</v>
      </c>
      <c r="J2489" t="s">
        <v>16</v>
      </c>
      <c r="K2489" t="s">
        <v>40</v>
      </c>
      <c r="L2489" s="4">
        <f>Table4[[#This Row],[quantity]]*Table4[[#This Row],[unit_price]]</f>
        <v>50.01</v>
      </c>
      <c r="M2489">
        <f>COUNTIFS($C$2:$C$3934,Table4[[#This Row],[customer_id]])</f>
        <v>7</v>
      </c>
      <c r="N2489" t="str">
        <f>IF(Table4[[#This Row],[customer_order_count]]=1,"New Customer","Repeat Customer")</f>
        <v>Repeat Customer</v>
      </c>
    </row>
    <row r="2490" spans="1:14">
      <c r="A2490" t="s">
        <v>4921</v>
      </c>
      <c r="B2490" s="1">
        <v>45135</v>
      </c>
      <c r="C2490" t="s">
        <v>243</v>
      </c>
      <c r="D2490" t="s">
        <v>244</v>
      </c>
      <c r="E2490" t="s">
        <v>21</v>
      </c>
      <c r="F2490" t="s">
        <v>14</v>
      </c>
      <c r="G2490" t="s">
        <v>62</v>
      </c>
      <c r="H2490">
        <v>1</v>
      </c>
      <c r="I2490" s="3">
        <v>50.04</v>
      </c>
      <c r="J2490" t="s">
        <v>16</v>
      </c>
      <c r="K2490" t="s">
        <v>35</v>
      </c>
      <c r="L2490" s="4">
        <f>Table4[[#This Row],[quantity]]*Table4[[#This Row],[unit_price]]</f>
        <v>50.04</v>
      </c>
      <c r="M2490">
        <f>COUNTIFS($C$2:$C$3934,Table4[[#This Row],[customer_id]])</f>
        <v>8</v>
      </c>
      <c r="N2490" t="str">
        <f>IF(Table4[[#This Row],[customer_order_count]]=1,"New Customer","Repeat Customer")</f>
        <v>Repeat Customer</v>
      </c>
    </row>
    <row r="2491" spans="1:14">
      <c r="A2491" t="s">
        <v>4488</v>
      </c>
      <c r="B2491" s="1">
        <v>45084</v>
      </c>
      <c r="C2491" t="s">
        <v>964</v>
      </c>
      <c r="D2491" t="s">
        <v>965</v>
      </c>
      <c r="E2491" t="s">
        <v>21</v>
      </c>
      <c r="F2491" t="s">
        <v>14</v>
      </c>
      <c r="G2491" t="s">
        <v>62</v>
      </c>
      <c r="H2491">
        <v>1</v>
      </c>
      <c r="I2491" s="3">
        <v>50.05</v>
      </c>
      <c r="J2491" t="s">
        <v>16</v>
      </c>
      <c r="K2491" t="s">
        <v>40</v>
      </c>
      <c r="L2491" s="4">
        <f>Table4[[#This Row],[quantity]]*Table4[[#This Row],[unit_price]]</f>
        <v>50.05</v>
      </c>
      <c r="M2491">
        <f>COUNTIFS($C$2:$C$3934,Table4[[#This Row],[customer_id]])</f>
        <v>5</v>
      </c>
      <c r="N2491" t="str">
        <f>IF(Table4[[#This Row],[customer_order_count]]=1,"New Customer","Repeat Customer")</f>
        <v>Repeat Customer</v>
      </c>
    </row>
    <row r="2492" spans="1:14">
      <c r="A2492" t="s">
        <v>3546</v>
      </c>
      <c r="B2492" s="1">
        <v>45512</v>
      </c>
      <c r="C2492" t="s">
        <v>2204</v>
      </c>
      <c r="D2492" t="s">
        <v>396</v>
      </c>
      <c r="E2492" t="s">
        <v>21</v>
      </c>
      <c r="F2492" t="s">
        <v>79</v>
      </c>
      <c r="G2492" t="s">
        <v>80</v>
      </c>
      <c r="H2492">
        <v>1</v>
      </c>
      <c r="I2492" s="3">
        <v>50.07</v>
      </c>
      <c r="J2492" t="s">
        <v>16</v>
      </c>
      <c r="K2492" t="s">
        <v>40</v>
      </c>
      <c r="L2492" s="4">
        <f>Table4[[#This Row],[quantity]]*Table4[[#This Row],[unit_price]]</f>
        <v>50.07</v>
      </c>
      <c r="M2492">
        <f>COUNTIFS($C$2:$C$3934,Table4[[#This Row],[customer_id]])</f>
        <v>4</v>
      </c>
      <c r="N2492" t="str">
        <f>IF(Table4[[#This Row],[customer_order_count]]=1,"New Customer","Repeat Customer")</f>
        <v>Repeat Customer</v>
      </c>
    </row>
    <row r="2493" spans="1:14">
      <c r="A2493" t="s">
        <v>2835</v>
      </c>
      <c r="B2493" s="1">
        <v>44937</v>
      </c>
      <c r="C2493" t="s">
        <v>346</v>
      </c>
      <c r="D2493" t="s">
        <v>347</v>
      </c>
      <c r="E2493" t="s">
        <v>21</v>
      </c>
      <c r="F2493" t="s">
        <v>14</v>
      </c>
      <c r="G2493" t="s">
        <v>15</v>
      </c>
      <c r="H2493">
        <v>2</v>
      </c>
      <c r="I2493" s="3">
        <v>50.08</v>
      </c>
      <c r="J2493" t="s">
        <v>24</v>
      </c>
      <c r="K2493" s="2" t="s">
        <v>5256</v>
      </c>
      <c r="L2493" s="4">
        <f>Table4[[#This Row],[quantity]]*Table4[[#This Row],[unit_price]]</f>
        <v>100.16</v>
      </c>
      <c r="M2493">
        <f>COUNTIFS($C$2:$C$3934,Table4[[#This Row],[customer_id]])</f>
        <v>7</v>
      </c>
      <c r="N2493" t="str">
        <f>IF(Table4[[#This Row],[customer_order_count]]=1,"New Customer","Repeat Customer")</f>
        <v>Repeat Customer</v>
      </c>
    </row>
    <row r="2494" spans="1:14">
      <c r="A2494" t="s">
        <v>2182</v>
      </c>
      <c r="B2494" s="1">
        <v>45216</v>
      </c>
      <c r="C2494" t="s">
        <v>1163</v>
      </c>
      <c r="D2494" t="s">
        <v>1164</v>
      </c>
      <c r="E2494" t="s">
        <v>21</v>
      </c>
      <c r="F2494" t="s">
        <v>70</v>
      </c>
      <c r="G2494" t="s">
        <v>110</v>
      </c>
      <c r="H2494">
        <v>1</v>
      </c>
      <c r="I2494" s="3">
        <v>50.09</v>
      </c>
      <c r="J2494" t="s">
        <v>16</v>
      </c>
      <c r="K2494" s="5" t="s">
        <v>40</v>
      </c>
      <c r="L2494" s="4">
        <f>Table4[[#This Row],[quantity]]*Table4[[#This Row],[unit_price]]</f>
        <v>50.09</v>
      </c>
      <c r="M2494">
        <f>COUNTIFS($C$2:$C$3934,Table4[[#This Row],[customer_id]])</f>
        <v>6</v>
      </c>
      <c r="N2494" t="str">
        <f>IF(Table4[[#This Row],[customer_order_count]]=1,"New Customer","Repeat Customer")</f>
        <v>Repeat Customer</v>
      </c>
    </row>
    <row r="2495" spans="1:14">
      <c r="A2495" t="s">
        <v>4028</v>
      </c>
      <c r="B2495" s="1">
        <v>45421</v>
      </c>
      <c r="C2495" t="s">
        <v>42</v>
      </c>
      <c r="D2495" t="s">
        <v>43</v>
      </c>
      <c r="E2495" t="s">
        <v>21</v>
      </c>
      <c r="F2495" t="s">
        <v>14</v>
      </c>
      <c r="G2495" t="s">
        <v>62</v>
      </c>
      <c r="H2495">
        <v>1</v>
      </c>
      <c r="I2495" s="3">
        <v>50.14</v>
      </c>
      <c r="J2495" t="s">
        <v>16</v>
      </c>
      <c r="K2495" t="s">
        <v>40</v>
      </c>
      <c r="L2495" s="4">
        <f>Table4[[#This Row],[quantity]]*Table4[[#This Row],[unit_price]]</f>
        <v>50.14</v>
      </c>
      <c r="M2495">
        <f>COUNTIFS($C$2:$C$3934,Table4[[#This Row],[customer_id]])</f>
        <v>8</v>
      </c>
      <c r="N2495" t="str">
        <f>IF(Table4[[#This Row],[customer_order_count]]=1,"New Customer","Repeat Customer")</f>
        <v>Repeat Customer</v>
      </c>
    </row>
    <row r="2496" spans="1:14">
      <c r="A2496" t="s">
        <v>3620</v>
      </c>
      <c r="B2496" s="1">
        <v>45226</v>
      </c>
      <c r="C2496" t="s">
        <v>1757</v>
      </c>
      <c r="D2496" t="s">
        <v>1758</v>
      </c>
      <c r="E2496" t="s">
        <v>21</v>
      </c>
      <c r="F2496" t="s">
        <v>79</v>
      </c>
      <c r="G2496" t="s">
        <v>541</v>
      </c>
      <c r="H2496">
        <v>2</v>
      </c>
      <c r="I2496" s="3">
        <v>50.17</v>
      </c>
      <c r="J2496" t="s">
        <v>85</v>
      </c>
      <c r="K2496" t="s">
        <v>17</v>
      </c>
      <c r="L2496" s="4">
        <f>Table4[[#This Row],[quantity]]*Table4[[#This Row],[unit_price]]</f>
        <v>100.34</v>
      </c>
      <c r="M2496">
        <f>COUNTIFS($C$2:$C$3934,Table4[[#This Row],[customer_id]])</f>
        <v>9</v>
      </c>
      <c r="N2496" t="str">
        <f>IF(Table4[[#This Row],[customer_order_count]]=1,"New Customer","Repeat Customer")</f>
        <v>Repeat Customer</v>
      </c>
    </row>
    <row r="2497" spans="1:14">
      <c r="A2497" t="s">
        <v>664</v>
      </c>
      <c r="B2497" s="1">
        <v>45447</v>
      </c>
      <c r="C2497" t="s">
        <v>665</v>
      </c>
      <c r="D2497" t="s">
        <v>428</v>
      </c>
      <c r="E2497" t="s">
        <v>21</v>
      </c>
      <c r="F2497" t="s">
        <v>22</v>
      </c>
      <c r="G2497" t="s">
        <v>23</v>
      </c>
      <c r="H2497">
        <v>1</v>
      </c>
      <c r="I2497" s="3">
        <v>50.19</v>
      </c>
      <c r="J2497" t="s">
        <v>16</v>
      </c>
      <c r="K2497" t="s">
        <v>40</v>
      </c>
      <c r="L2497" s="4">
        <f>Table4[[#This Row],[quantity]]*Table4[[#This Row],[unit_price]]</f>
        <v>50.19</v>
      </c>
      <c r="M2497">
        <f>COUNTIFS($C$2:$C$3934,Table4[[#This Row],[customer_id]])</f>
        <v>2</v>
      </c>
      <c r="N2497" t="str">
        <f>IF(Table4[[#This Row],[customer_order_count]]=1,"New Customer","Repeat Customer")</f>
        <v>Repeat Customer</v>
      </c>
    </row>
    <row r="2498" spans="1:14">
      <c r="A2498" t="s">
        <v>2371</v>
      </c>
      <c r="B2498" s="1">
        <v>45168</v>
      </c>
      <c r="C2498" t="s">
        <v>2372</v>
      </c>
      <c r="D2498" t="s">
        <v>1453</v>
      </c>
      <c r="E2498" t="s">
        <v>21</v>
      </c>
      <c r="F2498" t="s">
        <v>22</v>
      </c>
      <c r="G2498" t="s">
        <v>23</v>
      </c>
      <c r="H2498">
        <v>1</v>
      </c>
      <c r="I2498" s="3">
        <v>50.19</v>
      </c>
      <c r="J2498" t="s">
        <v>16</v>
      </c>
      <c r="K2498" t="s">
        <v>30</v>
      </c>
      <c r="L2498" s="4">
        <f>Table4[[#This Row],[quantity]]*Table4[[#This Row],[unit_price]]</f>
        <v>50.19</v>
      </c>
      <c r="M2498">
        <f>COUNTIFS($C$2:$C$3934,Table4[[#This Row],[customer_id]])</f>
        <v>6</v>
      </c>
      <c r="N2498" t="str">
        <f>IF(Table4[[#This Row],[customer_order_count]]=1,"New Customer","Repeat Customer")</f>
        <v>Repeat Customer</v>
      </c>
    </row>
    <row r="2499" spans="1:14">
      <c r="A2499" t="s">
        <v>2677</v>
      </c>
      <c r="B2499" s="1">
        <v>45117</v>
      </c>
      <c r="C2499" t="s">
        <v>225</v>
      </c>
      <c r="D2499" t="s">
        <v>226</v>
      </c>
      <c r="E2499" t="s">
        <v>21</v>
      </c>
      <c r="F2499" t="s">
        <v>14</v>
      </c>
      <c r="G2499" t="s">
        <v>34</v>
      </c>
      <c r="H2499">
        <v>1</v>
      </c>
      <c r="I2499" s="3">
        <v>50.21</v>
      </c>
      <c r="J2499" t="s">
        <v>16</v>
      </c>
      <c r="K2499" t="s">
        <v>40</v>
      </c>
      <c r="L2499" s="4">
        <f>Table4[[#This Row],[quantity]]*Table4[[#This Row],[unit_price]]</f>
        <v>50.21</v>
      </c>
      <c r="M2499">
        <f>COUNTIFS($C$2:$C$3934,Table4[[#This Row],[customer_id]])</f>
        <v>7</v>
      </c>
      <c r="N2499" t="str">
        <f>IF(Table4[[#This Row],[customer_order_count]]=1,"New Customer","Repeat Customer")</f>
        <v>Repeat Customer</v>
      </c>
    </row>
    <row r="2500" spans="1:14">
      <c r="A2500" t="s">
        <v>2187</v>
      </c>
      <c r="B2500" s="1">
        <v>45577</v>
      </c>
      <c r="C2500" t="s">
        <v>202</v>
      </c>
      <c r="D2500" t="s">
        <v>203</v>
      </c>
      <c r="E2500" t="s">
        <v>21</v>
      </c>
      <c r="F2500" t="s">
        <v>56</v>
      </c>
      <c r="G2500" t="s">
        <v>210</v>
      </c>
      <c r="H2500">
        <v>1</v>
      </c>
      <c r="I2500" s="3">
        <v>50.22</v>
      </c>
      <c r="J2500" t="s">
        <v>16</v>
      </c>
      <c r="K2500" s="2" t="s">
        <v>5256</v>
      </c>
      <c r="L2500" s="4">
        <f>Table4[[#This Row],[quantity]]*Table4[[#This Row],[unit_price]]</f>
        <v>50.22</v>
      </c>
      <c r="M2500">
        <f>COUNTIFS($C$2:$C$3934,Table4[[#This Row],[customer_id]])</f>
        <v>8</v>
      </c>
      <c r="N2500" t="str">
        <f>IF(Table4[[#This Row],[customer_order_count]]=1,"New Customer","Repeat Customer")</f>
        <v>Repeat Customer</v>
      </c>
    </row>
    <row r="2501" spans="1:14">
      <c r="A2501" t="s">
        <v>1219</v>
      </c>
      <c r="B2501" s="1">
        <v>44943</v>
      </c>
      <c r="C2501" t="s">
        <v>361</v>
      </c>
      <c r="D2501" t="s">
        <v>362</v>
      </c>
      <c r="E2501" t="s">
        <v>21</v>
      </c>
      <c r="F2501" t="s">
        <v>22</v>
      </c>
      <c r="G2501" t="s">
        <v>162</v>
      </c>
      <c r="H2501">
        <v>2</v>
      </c>
      <c r="I2501" s="3">
        <v>50.28</v>
      </c>
      <c r="J2501" t="s">
        <v>16</v>
      </c>
      <c r="K2501" s="5" t="s">
        <v>30</v>
      </c>
      <c r="L2501" s="4">
        <f>Table4[[#This Row],[quantity]]*Table4[[#This Row],[unit_price]]</f>
        <v>100.56</v>
      </c>
      <c r="M2501">
        <f>COUNTIFS($C$2:$C$3934,Table4[[#This Row],[customer_id]])</f>
        <v>8</v>
      </c>
      <c r="N2501" t="str">
        <f>IF(Table4[[#This Row],[customer_order_count]]=1,"New Customer","Repeat Customer")</f>
        <v>Repeat Customer</v>
      </c>
    </row>
    <row r="2502" spans="1:14">
      <c r="A2502" t="s">
        <v>2857</v>
      </c>
      <c r="B2502" s="1">
        <v>45405</v>
      </c>
      <c r="C2502" t="s">
        <v>512</v>
      </c>
      <c r="D2502" t="s">
        <v>513</v>
      </c>
      <c r="E2502" t="s">
        <v>21</v>
      </c>
      <c r="F2502" t="s">
        <v>70</v>
      </c>
      <c r="G2502" t="s">
        <v>170</v>
      </c>
      <c r="H2502">
        <v>1</v>
      </c>
      <c r="I2502" s="3">
        <v>50.29</v>
      </c>
      <c r="J2502" t="s">
        <v>16</v>
      </c>
      <c r="K2502" t="s">
        <v>17</v>
      </c>
      <c r="L2502" s="4">
        <f>Table4[[#This Row],[quantity]]*Table4[[#This Row],[unit_price]]</f>
        <v>50.29</v>
      </c>
      <c r="M2502">
        <f>COUNTIFS($C$2:$C$3934,Table4[[#This Row],[customer_id]])</f>
        <v>5</v>
      </c>
      <c r="N2502" t="str">
        <f>IF(Table4[[#This Row],[customer_order_count]]=1,"New Customer","Repeat Customer")</f>
        <v>Repeat Customer</v>
      </c>
    </row>
    <row r="2503" spans="1:14">
      <c r="A2503" t="s">
        <v>3289</v>
      </c>
      <c r="B2503" s="1">
        <v>45245</v>
      </c>
      <c r="C2503" t="s">
        <v>1069</v>
      </c>
      <c r="D2503" t="s">
        <v>1070</v>
      </c>
      <c r="E2503" t="s">
        <v>21</v>
      </c>
      <c r="F2503" t="s">
        <v>22</v>
      </c>
      <c r="G2503" t="s">
        <v>23</v>
      </c>
      <c r="H2503">
        <v>1</v>
      </c>
      <c r="I2503" s="3">
        <v>50.34</v>
      </c>
      <c r="J2503" t="s">
        <v>16</v>
      </c>
      <c r="K2503" t="s">
        <v>30</v>
      </c>
      <c r="L2503" s="4">
        <f>Table4[[#This Row],[quantity]]*Table4[[#This Row],[unit_price]]</f>
        <v>50.34</v>
      </c>
      <c r="M2503">
        <f>COUNTIFS($C$2:$C$3934,Table4[[#This Row],[customer_id]])</f>
        <v>4</v>
      </c>
      <c r="N2503" t="str">
        <f>IF(Table4[[#This Row],[customer_order_count]]=1,"New Customer","Repeat Customer")</f>
        <v>Repeat Customer</v>
      </c>
    </row>
    <row r="2504" spans="1:14">
      <c r="A2504" t="s">
        <v>992</v>
      </c>
      <c r="B2504" s="1">
        <v>45124</v>
      </c>
      <c r="C2504" t="s">
        <v>993</v>
      </c>
      <c r="D2504" t="s">
        <v>117</v>
      </c>
      <c r="E2504" t="s">
        <v>21</v>
      </c>
      <c r="F2504" t="s">
        <v>14</v>
      </c>
      <c r="G2504" t="s">
        <v>34</v>
      </c>
      <c r="H2504">
        <v>2</v>
      </c>
      <c r="I2504" s="3">
        <v>50.35</v>
      </c>
      <c r="J2504" t="s">
        <v>16</v>
      </c>
      <c r="K2504" t="s">
        <v>30</v>
      </c>
      <c r="L2504" s="4">
        <f>Table4[[#This Row],[quantity]]*Table4[[#This Row],[unit_price]]</f>
        <v>100.7</v>
      </c>
      <c r="M2504">
        <f>COUNTIFS($C$2:$C$3934,Table4[[#This Row],[customer_id]])</f>
        <v>5</v>
      </c>
      <c r="N2504" t="str">
        <f>IF(Table4[[#This Row],[customer_order_count]]=1,"New Customer","Repeat Customer")</f>
        <v>Repeat Customer</v>
      </c>
    </row>
    <row r="2505" spans="1:14">
      <c r="A2505" t="s">
        <v>1665</v>
      </c>
      <c r="B2505" s="1">
        <v>45498</v>
      </c>
      <c r="C2505" t="s">
        <v>1666</v>
      </c>
      <c r="D2505" t="s">
        <v>1179</v>
      </c>
      <c r="E2505" t="s">
        <v>61</v>
      </c>
      <c r="F2505" t="s">
        <v>22</v>
      </c>
      <c r="G2505" t="s">
        <v>23</v>
      </c>
      <c r="H2505">
        <v>1</v>
      </c>
      <c r="I2505" s="3">
        <v>50.36</v>
      </c>
      <c r="J2505" t="s">
        <v>16</v>
      </c>
      <c r="K2505" t="s">
        <v>17</v>
      </c>
      <c r="L2505" s="4">
        <f>Table4[[#This Row],[quantity]]*Table4[[#This Row],[unit_price]]</f>
        <v>50.36</v>
      </c>
      <c r="M2505">
        <f>COUNTIFS($C$2:$C$3934,Table4[[#This Row],[customer_id]])</f>
        <v>3</v>
      </c>
      <c r="N2505" t="str">
        <f>IF(Table4[[#This Row],[customer_order_count]]=1,"New Customer","Repeat Customer")</f>
        <v>Repeat Customer</v>
      </c>
    </row>
    <row r="2506" spans="1:14">
      <c r="A2506" t="s">
        <v>5201</v>
      </c>
      <c r="B2506" s="1">
        <v>45347</v>
      </c>
      <c r="C2506" t="s">
        <v>833</v>
      </c>
      <c r="D2506" t="s">
        <v>834</v>
      </c>
      <c r="E2506" t="s">
        <v>44</v>
      </c>
      <c r="F2506" t="s">
        <v>22</v>
      </c>
      <c r="G2506" t="s">
        <v>23</v>
      </c>
      <c r="H2506">
        <v>1</v>
      </c>
      <c r="I2506" s="3">
        <v>50.37</v>
      </c>
      <c r="J2506" t="s">
        <v>16</v>
      </c>
      <c r="K2506" t="s">
        <v>35</v>
      </c>
      <c r="L2506" s="4">
        <f>Table4[[#This Row],[quantity]]*Table4[[#This Row],[unit_price]]</f>
        <v>50.37</v>
      </c>
      <c r="M2506">
        <f>COUNTIFS($C$2:$C$3934,Table4[[#This Row],[customer_id]])</f>
        <v>5</v>
      </c>
      <c r="N2506" t="str">
        <f>IF(Table4[[#This Row],[customer_order_count]]=1,"New Customer","Repeat Customer")</f>
        <v>Repeat Customer</v>
      </c>
    </row>
    <row r="2507" spans="1:14">
      <c r="A2507" t="s">
        <v>2146</v>
      </c>
      <c r="B2507" s="1">
        <v>45657</v>
      </c>
      <c r="C2507" t="s">
        <v>102</v>
      </c>
      <c r="D2507" t="s">
        <v>484</v>
      </c>
      <c r="E2507" t="s">
        <v>21</v>
      </c>
      <c r="F2507" t="s">
        <v>70</v>
      </c>
      <c r="G2507" t="s">
        <v>110</v>
      </c>
      <c r="H2507">
        <v>2</v>
      </c>
      <c r="I2507" s="3">
        <v>50.47</v>
      </c>
      <c r="J2507" t="s">
        <v>16</v>
      </c>
      <c r="K2507" t="s">
        <v>40</v>
      </c>
      <c r="L2507" s="4">
        <f>Table4[[#This Row],[quantity]]*Table4[[#This Row],[unit_price]]</f>
        <v>100.94</v>
      </c>
      <c r="M2507">
        <f>COUNTIFS($C$2:$C$3934,Table4[[#This Row],[customer_id]])</f>
        <v>6</v>
      </c>
      <c r="N2507" t="str">
        <f>IF(Table4[[#This Row],[customer_order_count]]=1,"New Customer","Repeat Customer")</f>
        <v>Repeat Customer</v>
      </c>
    </row>
    <row r="2508" spans="1:14">
      <c r="A2508" t="s">
        <v>2748</v>
      </c>
      <c r="B2508" s="1">
        <v>45229</v>
      </c>
      <c r="C2508" t="s">
        <v>2104</v>
      </c>
      <c r="D2508" t="s">
        <v>1674</v>
      </c>
      <c r="E2508" t="s">
        <v>21</v>
      </c>
      <c r="F2508" t="s">
        <v>70</v>
      </c>
      <c r="G2508" t="s">
        <v>526</v>
      </c>
      <c r="H2508">
        <v>2</v>
      </c>
      <c r="I2508" s="3">
        <v>50.48</v>
      </c>
      <c r="J2508" t="s">
        <v>16</v>
      </c>
      <c r="K2508" t="s">
        <v>40</v>
      </c>
      <c r="L2508" s="4">
        <f>Table4[[#This Row],[quantity]]*Table4[[#This Row],[unit_price]]</f>
        <v>100.96</v>
      </c>
      <c r="M2508">
        <f>COUNTIFS($C$2:$C$3934,Table4[[#This Row],[customer_id]])</f>
        <v>7</v>
      </c>
      <c r="N2508" t="str">
        <f>IF(Table4[[#This Row],[customer_order_count]]=1,"New Customer","Repeat Customer")</f>
        <v>Repeat Customer</v>
      </c>
    </row>
    <row r="2509" spans="1:14">
      <c r="A2509" t="s">
        <v>5148</v>
      </c>
      <c r="B2509" s="1">
        <v>45609</v>
      </c>
      <c r="C2509" t="s">
        <v>1175</v>
      </c>
      <c r="D2509" t="s">
        <v>1176</v>
      </c>
      <c r="E2509" t="s">
        <v>21</v>
      </c>
      <c r="F2509" t="s">
        <v>14</v>
      </c>
      <c r="G2509" t="s">
        <v>39</v>
      </c>
      <c r="H2509">
        <v>1</v>
      </c>
      <c r="I2509" s="3">
        <v>50.5</v>
      </c>
      <c r="J2509" t="s">
        <v>16</v>
      </c>
      <c r="K2509" t="s">
        <v>40</v>
      </c>
      <c r="L2509" s="4">
        <f>Table4[[#This Row],[quantity]]*Table4[[#This Row],[unit_price]]</f>
        <v>50.5</v>
      </c>
      <c r="M2509">
        <f>COUNTIFS($C$2:$C$3934,Table4[[#This Row],[customer_id]])</f>
        <v>4</v>
      </c>
      <c r="N2509" t="str">
        <f>IF(Table4[[#This Row],[customer_order_count]]=1,"New Customer","Repeat Customer")</f>
        <v>Repeat Customer</v>
      </c>
    </row>
    <row r="2510" spans="1:14">
      <c r="A2510" t="s">
        <v>2854</v>
      </c>
      <c r="B2510" s="1">
        <v>45463</v>
      </c>
      <c r="C2510" t="s">
        <v>799</v>
      </c>
      <c r="D2510" t="s">
        <v>43</v>
      </c>
      <c r="E2510" t="s">
        <v>21</v>
      </c>
      <c r="F2510" t="s">
        <v>79</v>
      </c>
      <c r="G2510" t="s">
        <v>398</v>
      </c>
      <c r="H2510">
        <v>1</v>
      </c>
      <c r="I2510" s="3">
        <v>50.53</v>
      </c>
      <c r="J2510" t="s">
        <v>16</v>
      </c>
      <c r="K2510" t="s">
        <v>40</v>
      </c>
      <c r="L2510" s="4">
        <f>Table4[[#This Row],[quantity]]*Table4[[#This Row],[unit_price]]</f>
        <v>50.53</v>
      </c>
      <c r="M2510">
        <f>COUNTIFS($C$2:$C$3934,Table4[[#This Row],[customer_id]])</f>
        <v>8</v>
      </c>
      <c r="N2510" t="str">
        <f>IF(Table4[[#This Row],[customer_order_count]]=1,"New Customer","Repeat Customer")</f>
        <v>Repeat Customer</v>
      </c>
    </row>
    <row r="2511" spans="1:14">
      <c r="A2511" t="s">
        <v>904</v>
      </c>
      <c r="B2511" s="1">
        <v>45147</v>
      </c>
      <c r="C2511" t="s">
        <v>905</v>
      </c>
      <c r="D2511" t="s">
        <v>372</v>
      </c>
      <c r="E2511" t="s">
        <v>21</v>
      </c>
      <c r="F2511" t="s">
        <v>70</v>
      </c>
      <c r="G2511" t="s">
        <v>110</v>
      </c>
      <c r="H2511">
        <v>2</v>
      </c>
      <c r="I2511" s="3">
        <v>50.53</v>
      </c>
      <c r="J2511" t="s">
        <v>16</v>
      </c>
      <c r="K2511" s="2" t="s">
        <v>5256</v>
      </c>
      <c r="L2511" s="4">
        <f>Table4[[#This Row],[quantity]]*Table4[[#This Row],[unit_price]]</f>
        <v>101.06</v>
      </c>
      <c r="M2511">
        <f>COUNTIFS($C$2:$C$3934,Table4[[#This Row],[customer_id]])</f>
        <v>4</v>
      </c>
      <c r="N2511" t="str">
        <f>IF(Table4[[#This Row],[customer_order_count]]=1,"New Customer","Repeat Customer")</f>
        <v>Repeat Customer</v>
      </c>
    </row>
    <row r="2512" spans="1:14">
      <c r="A2512" t="s">
        <v>4479</v>
      </c>
      <c r="B2512" s="1">
        <v>44944</v>
      </c>
      <c r="C2512" t="s">
        <v>295</v>
      </c>
      <c r="D2512" t="s">
        <v>296</v>
      </c>
      <c r="E2512" t="s">
        <v>21</v>
      </c>
      <c r="F2512" t="s">
        <v>79</v>
      </c>
      <c r="G2512" t="s">
        <v>204</v>
      </c>
      <c r="H2512">
        <v>1</v>
      </c>
      <c r="I2512" s="3">
        <v>50.58</v>
      </c>
      <c r="J2512" t="s">
        <v>16</v>
      </c>
      <c r="K2512" s="5" t="s">
        <v>30</v>
      </c>
      <c r="L2512" s="4">
        <f>Table4[[#This Row],[quantity]]*Table4[[#This Row],[unit_price]]</f>
        <v>50.58</v>
      </c>
      <c r="M2512">
        <f>COUNTIFS($C$2:$C$3934,Table4[[#This Row],[customer_id]])</f>
        <v>3</v>
      </c>
      <c r="N2512" t="str">
        <f>IF(Table4[[#This Row],[customer_order_count]]=1,"New Customer","Repeat Customer")</f>
        <v>Repeat Customer</v>
      </c>
    </row>
    <row r="2513" spans="1:14">
      <c r="A2513" t="s">
        <v>4136</v>
      </c>
      <c r="B2513" s="1">
        <v>45057</v>
      </c>
      <c r="C2513" t="s">
        <v>12</v>
      </c>
      <c r="D2513" t="s">
        <v>13</v>
      </c>
      <c r="E2513" t="s">
        <v>21</v>
      </c>
      <c r="F2513" t="s">
        <v>22</v>
      </c>
      <c r="G2513" t="s">
        <v>142</v>
      </c>
      <c r="H2513">
        <v>1</v>
      </c>
      <c r="I2513" s="3">
        <v>50.6</v>
      </c>
      <c r="J2513" t="s">
        <v>16</v>
      </c>
      <c r="K2513" t="s">
        <v>30</v>
      </c>
      <c r="L2513" s="4">
        <f>Table4[[#This Row],[quantity]]*Table4[[#This Row],[unit_price]]</f>
        <v>50.6</v>
      </c>
      <c r="M2513">
        <f>COUNTIFS($C$2:$C$3934,Table4[[#This Row],[customer_id]])</f>
        <v>10</v>
      </c>
      <c r="N2513" t="str">
        <f>IF(Table4[[#This Row],[customer_order_count]]=1,"New Customer","Repeat Customer")</f>
        <v>Repeat Customer</v>
      </c>
    </row>
    <row r="2514" spans="1:14">
      <c r="A2514" t="s">
        <v>4608</v>
      </c>
      <c r="B2514" s="1">
        <v>45567</v>
      </c>
      <c r="C2514" t="s">
        <v>1898</v>
      </c>
      <c r="D2514" t="s">
        <v>947</v>
      </c>
      <c r="E2514" t="s">
        <v>44</v>
      </c>
      <c r="F2514" t="s">
        <v>56</v>
      </c>
      <c r="G2514" t="s">
        <v>210</v>
      </c>
      <c r="H2514">
        <v>1</v>
      </c>
      <c r="I2514" s="3">
        <v>50.64</v>
      </c>
      <c r="J2514" t="s">
        <v>16</v>
      </c>
      <c r="K2514" t="s">
        <v>35</v>
      </c>
      <c r="L2514" s="4">
        <f>Table4[[#This Row],[quantity]]*Table4[[#This Row],[unit_price]]</f>
        <v>50.64</v>
      </c>
      <c r="M2514">
        <f>COUNTIFS($C$2:$C$3934,Table4[[#This Row],[customer_id]])</f>
        <v>4</v>
      </c>
      <c r="N2514" t="str">
        <f>IF(Table4[[#This Row],[customer_order_count]]=1,"New Customer","Repeat Customer")</f>
        <v>Repeat Customer</v>
      </c>
    </row>
    <row r="2515" spans="1:14">
      <c r="A2515" t="s">
        <v>2179</v>
      </c>
      <c r="B2515" s="1">
        <v>45019</v>
      </c>
      <c r="C2515" t="s">
        <v>2180</v>
      </c>
      <c r="D2515" t="s">
        <v>435</v>
      </c>
      <c r="E2515" t="s">
        <v>61</v>
      </c>
      <c r="F2515" t="s">
        <v>22</v>
      </c>
      <c r="G2515" t="s">
        <v>142</v>
      </c>
      <c r="H2515">
        <v>1</v>
      </c>
      <c r="I2515" s="3">
        <v>50.64</v>
      </c>
      <c r="J2515" t="s">
        <v>16</v>
      </c>
      <c r="K2515" t="s">
        <v>40</v>
      </c>
      <c r="L2515" s="4">
        <f>Table4[[#This Row],[quantity]]*Table4[[#This Row],[unit_price]]</f>
        <v>50.64</v>
      </c>
      <c r="M2515">
        <f>COUNTIFS($C$2:$C$3934,Table4[[#This Row],[customer_id]])</f>
        <v>2</v>
      </c>
      <c r="N2515" t="str">
        <f>IF(Table4[[#This Row],[customer_order_count]]=1,"New Customer","Repeat Customer")</f>
        <v>Repeat Customer</v>
      </c>
    </row>
    <row r="2516" spans="1:14">
      <c r="A2516" t="s">
        <v>1343</v>
      </c>
      <c r="B2516" s="1">
        <v>45044</v>
      </c>
      <c r="C2516" t="s">
        <v>280</v>
      </c>
      <c r="D2516" t="s">
        <v>281</v>
      </c>
      <c r="E2516" t="s">
        <v>44</v>
      </c>
      <c r="F2516" t="s">
        <v>22</v>
      </c>
      <c r="G2516" t="s">
        <v>264</v>
      </c>
      <c r="H2516">
        <v>1</v>
      </c>
      <c r="I2516" s="3">
        <v>50.65</v>
      </c>
      <c r="J2516" t="s">
        <v>16</v>
      </c>
      <c r="K2516" t="s">
        <v>40</v>
      </c>
      <c r="L2516" s="4">
        <f>Table4[[#This Row],[quantity]]*Table4[[#This Row],[unit_price]]</f>
        <v>50.65</v>
      </c>
      <c r="M2516">
        <f>COUNTIFS($C$2:$C$3934,Table4[[#This Row],[customer_id]])</f>
        <v>6</v>
      </c>
      <c r="N2516" t="str">
        <f>IF(Table4[[#This Row],[customer_order_count]]=1,"New Customer","Repeat Customer")</f>
        <v>Repeat Customer</v>
      </c>
    </row>
    <row r="2517" spans="1:14">
      <c r="A2517" t="s">
        <v>4168</v>
      </c>
      <c r="B2517" s="1">
        <v>45189</v>
      </c>
      <c r="C2517" t="s">
        <v>1318</v>
      </c>
      <c r="D2517" t="s">
        <v>1027</v>
      </c>
      <c r="E2517" t="s">
        <v>44</v>
      </c>
      <c r="F2517" t="s">
        <v>14</v>
      </c>
      <c r="G2517" t="s">
        <v>258</v>
      </c>
      <c r="H2517">
        <v>1</v>
      </c>
      <c r="I2517" s="3">
        <v>50.71</v>
      </c>
      <c r="J2517" t="s">
        <v>255</v>
      </c>
      <c r="K2517" t="s">
        <v>30</v>
      </c>
      <c r="L2517" s="4">
        <f>Table4[[#This Row],[quantity]]*Table4[[#This Row],[unit_price]]</f>
        <v>50.71</v>
      </c>
      <c r="M2517">
        <f>COUNTIFS($C$2:$C$3934,Table4[[#This Row],[customer_id]])</f>
        <v>5</v>
      </c>
      <c r="N2517" t="str">
        <f>IF(Table4[[#This Row],[customer_order_count]]=1,"New Customer","Repeat Customer")</f>
        <v>Repeat Customer</v>
      </c>
    </row>
    <row r="2518" spans="1:14">
      <c r="A2518" t="s">
        <v>570</v>
      </c>
      <c r="B2518" s="1">
        <v>45557</v>
      </c>
      <c r="C2518" t="s">
        <v>219</v>
      </c>
      <c r="D2518" t="s">
        <v>220</v>
      </c>
      <c r="E2518" t="s">
        <v>21</v>
      </c>
      <c r="F2518" t="s">
        <v>22</v>
      </c>
      <c r="G2518" t="s">
        <v>135</v>
      </c>
      <c r="H2518">
        <v>1</v>
      </c>
      <c r="I2518" s="3">
        <v>50.72</v>
      </c>
      <c r="J2518" t="s">
        <v>16</v>
      </c>
      <c r="K2518" t="s">
        <v>35</v>
      </c>
      <c r="L2518" s="4">
        <f>Table4[[#This Row],[quantity]]*Table4[[#This Row],[unit_price]]</f>
        <v>50.72</v>
      </c>
      <c r="M2518">
        <f>COUNTIFS($C$2:$C$3934,Table4[[#This Row],[customer_id]])</f>
        <v>8</v>
      </c>
      <c r="N2518" t="str">
        <f>IF(Table4[[#This Row],[customer_order_count]]=1,"New Customer","Repeat Customer")</f>
        <v>Repeat Customer</v>
      </c>
    </row>
    <row r="2519" spans="1:14">
      <c r="A2519" t="s">
        <v>763</v>
      </c>
      <c r="B2519" s="1">
        <v>45410</v>
      </c>
      <c r="C2519" t="s">
        <v>764</v>
      </c>
      <c r="D2519" t="s">
        <v>765</v>
      </c>
      <c r="E2519" t="s">
        <v>21</v>
      </c>
      <c r="F2519" t="s">
        <v>14</v>
      </c>
      <c r="G2519" t="s">
        <v>15</v>
      </c>
      <c r="H2519">
        <v>1</v>
      </c>
      <c r="I2519" s="3">
        <v>50.78</v>
      </c>
      <c r="J2519" t="s">
        <v>16</v>
      </c>
      <c r="K2519" t="s">
        <v>17</v>
      </c>
      <c r="L2519" s="4">
        <f>Table4[[#This Row],[quantity]]*Table4[[#This Row],[unit_price]]</f>
        <v>50.78</v>
      </c>
      <c r="M2519">
        <f>COUNTIFS($C$2:$C$3934,Table4[[#This Row],[customer_id]])</f>
        <v>4</v>
      </c>
      <c r="N2519" t="str">
        <f>IF(Table4[[#This Row],[customer_order_count]]=1,"New Customer","Repeat Customer")</f>
        <v>Repeat Customer</v>
      </c>
    </row>
    <row r="2520" spans="1:14">
      <c r="A2520" t="s">
        <v>4804</v>
      </c>
      <c r="B2520" s="1">
        <v>44998</v>
      </c>
      <c r="C2520" t="s">
        <v>1679</v>
      </c>
      <c r="D2520" t="s">
        <v>65</v>
      </c>
      <c r="E2520" t="s">
        <v>21</v>
      </c>
      <c r="F2520" t="s">
        <v>22</v>
      </c>
      <c r="G2520" t="s">
        <v>135</v>
      </c>
      <c r="H2520">
        <v>1</v>
      </c>
      <c r="I2520" s="3">
        <v>50.82</v>
      </c>
      <c r="J2520" t="s">
        <v>16</v>
      </c>
      <c r="K2520" t="s">
        <v>30</v>
      </c>
      <c r="L2520" s="4">
        <f>Table4[[#This Row],[quantity]]*Table4[[#This Row],[unit_price]]</f>
        <v>50.82</v>
      </c>
      <c r="M2520">
        <f>COUNTIFS($C$2:$C$3934,Table4[[#This Row],[customer_id]])</f>
        <v>8</v>
      </c>
      <c r="N2520" t="str">
        <f>IF(Table4[[#This Row],[customer_order_count]]=1,"New Customer","Repeat Customer")</f>
        <v>Repeat Customer</v>
      </c>
    </row>
    <row r="2521" spans="1:14">
      <c r="A2521" t="s">
        <v>3516</v>
      </c>
      <c r="B2521" s="1">
        <v>45200</v>
      </c>
      <c r="C2521" t="s">
        <v>257</v>
      </c>
      <c r="D2521" t="s">
        <v>131</v>
      </c>
      <c r="E2521" t="s">
        <v>44</v>
      </c>
      <c r="F2521" t="s">
        <v>70</v>
      </c>
      <c r="G2521" t="s">
        <v>146</v>
      </c>
      <c r="H2521">
        <v>1</v>
      </c>
      <c r="I2521" s="3">
        <v>50.83</v>
      </c>
      <c r="J2521" t="s">
        <v>16</v>
      </c>
      <c r="K2521" t="s">
        <v>30</v>
      </c>
      <c r="L2521" s="4">
        <f>Table4[[#This Row],[quantity]]*Table4[[#This Row],[unit_price]]</f>
        <v>50.83</v>
      </c>
      <c r="M2521">
        <f>COUNTIFS($C$2:$C$3934,Table4[[#This Row],[customer_id]])</f>
        <v>5</v>
      </c>
      <c r="N2521" t="str">
        <f>IF(Table4[[#This Row],[customer_order_count]]=1,"New Customer","Repeat Customer")</f>
        <v>Repeat Customer</v>
      </c>
    </row>
    <row r="2522" spans="1:14">
      <c r="A2522" t="s">
        <v>1372</v>
      </c>
      <c r="B2522" s="1">
        <v>45459</v>
      </c>
      <c r="C2522" t="s">
        <v>448</v>
      </c>
      <c r="D2522" t="s">
        <v>449</v>
      </c>
      <c r="E2522" t="s">
        <v>44</v>
      </c>
      <c r="F2522" t="s">
        <v>22</v>
      </c>
      <c r="G2522" t="s">
        <v>264</v>
      </c>
      <c r="H2522">
        <v>1</v>
      </c>
      <c r="I2522" s="3">
        <v>50.9</v>
      </c>
      <c r="J2522" t="s">
        <v>24</v>
      </c>
      <c r="K2522" t="s">
        <v>35</v>
      </c>
      <c r="L2522" s="4">
        <f>Table4[[#This Row],[quantity]]*Table4[[#This Row],[unit_price]]</f>
        <v>50.9</v>
      </c>
      <c r="M2522">
        <f>COUNTIFS($C$2:$C$3934,Table4[[#This Row],[customer_id]])</f>
        <v>6</v>
      </c>
      <c r="N2522" t="str">
        <f>IF(Table4[[#This Row],[customer_order_count]]=1,"New Customer","Repeat Customer")</f>
        <v>Repeat Customer</v>
      </c>
    </row>
    <row r="2523" spans="1:14">
      <c r="A2523" t="s">
        <v>4337</v>
      </c>
      <c r="B2523" s="1">
        <v>44982</v>
      </c>
      <c r="C2523" t="s">
        <v>4338</v>
      </c>
      <c r="D2523" t="s">
        <v>2594</v>
      </c>
      <c r="E2523" t="s">
        <v>44</v>
      </c>
      <c r="F2523" t="s">
        <v>14</v>
      </c>
      <c r="G2523" t="s">
        <v>15</v>
      </c>
      <c r="H2523">
        <v>2</v>
      </c>
      <c r="I2523" s="3">
        <v>50.96</v>
      </c>
      <c r="J2523" t="s">
        <v>16</v>
      </c>
      <c r="K2523" t="s">
        <v>35</v>
      </c>
      <c r="L2523" s="4">
        <f>Table4[[#This Row],[quantity]]*Table4[[#This Row],[unit_price]]</f>
        <v>101.92</v>
      </c>
      <c r="M2523">
        <f>COUNTIFS($C$2:$C$3934,Table4[[#This Row],[customer_id]])</f>
        <v>3</v>
      </c>
      <c r="N2523" t="str">
        <f>IF(Table4[[#This Row],[customer_order_count]]=1,"New Customer","Repeat Customer")</f>
        <v>Repeat Customer</v>
      </c>
    </row>
    <row r="2524" spans="1:14">
      <c r="A2524" t="s">
        <v>2330</v>
      </c>
      <c r="B2524" s="1">
        <v>45308</v>
      </c>
      <c r="C2524" t="s">
        <v>2331</v>
      </c>
      <c r="D2524" t="s">
        <v>165</v>
      </c>
      <c r="E2524" t="s">
        <v>21</v>
      </c>
      <c r="F2524" t="s">
        <v>14</v>
      </c>
      <c r="G2524" t="s">
        <v>34</v>
      </c>
      <c r="H2524">
        <v>1</v>
      </c>
      <c r="I2524" s="3">
        <v>51.02</v>
      </c>
      <c r="J2524" t="s">
        <v>16</v>
      </c>
      <c r="K2524" t="s">
        <v>17</v>
      </c>
      <c r="L2524" s="4">
        <f>Table4[[#This Row],[quantity]]*Table4[[#This Row],[unit_price]]</f>
        <v>51.02</v>
      </c>
      <c r="M2524">
        <f>COUNTIFS($C$2:$C$3934,Table4[[#This Row],[customer_id]])</f>
        <v>5</v>
      </c>
      <c r="N2524" t="str">
        <f>IF(Table4[[#This Row],[customer_order_count]]=1,"New Customer","Repeat Customer")</f>
        <v>Repeat Customer</v>
      </c>
    </row>
    <row r="2525" spans="1:14">
      <c r="A2525" t="s">
        <v>3655</v>
      </c>
      <c r="B2525" s="1">
        <v>45125</v>
      </c>
      <c r="C2525" t="s">
        <v>2027</v>
      </c>
      <c r="D2525" t="s">
        <v>425</v>
      </c>
      <c r="E2525" t="s">
        <v>44</v>
      </c>
      <c r="F2525" t="s">
        <v>22</v>
      </c>
      <c r="G2525" t="s">
        <v>135</v>
      </c>
      <c r="H2525">
        <v>2</v>
      </c>
      <c r="I2525" s="3">
        <v>51.02</v>
      </c>
      <c r="J2525" t="s">
        <v>16</v>
      </c>
      <c r="K2525" t="s">
        <v>40</v>
      </c>
      <c r="L2525" s="4">
        <f>Table4[[#This Row],[quantity]]*Table4[[#This Row],[unit_price]]</f>
        <v>102.04</v>
      </c>
      <c r="M2525">
        <f>COUNTIFS($C$2:$C$3934,Table4[[#This Row],[customer_id]])</f>
        <v>2</v>
      </c>
      <c r="N2525" t="str">
        <f>IF(Table4[[#This Row],[customer_order_count]]=1,"New Customer","Repeat Customer")</f>
        <v>Repeat Customer</v>
      </c>
    </row>
    <row r="2526" spans="1:14">
      <c r="A2526" t="s">
        <v>1128</v>
      </c>
      <c r="B2526" s="1">
        <v>45036</v>
      </c>
      <c r="C2526" t="s">
        <v>1129</v>
      </c>
      <c r="D2526" t="s">
        <v>934</v>
      </c>
      <c r="E2526" t="s">
        <v>21</v>
      </c>
      <c r="F2526" t="s">
        <v>56</v>
      </c>
      <c r="G2526" t="s">
        <v>210</v>
      </c>
      <c r="H2526">
        <v>3</v>
      </c>
      <c r="I2526" s="3">
        <v>51.05</v>
      </c>
      <c r="J2526" t="s">
        <v>16</v>
      </c>
      <c r="K2526" t="s">
        <v>30</v>
      </c>
      <c r="L2526" s="4">
        <f>Table4[[#This Row],[quantity]]*Table4[[#This Row],[unit_price]]</f>
        <v>153.14999999999998</v>
      </c>
      <c r="M2526">
        <f>COUNTIFS($C$2:$C$3934,Table4[[#This Row],[customer_id]])</f>
        <v>3</v>
      </c>
      <c r="N2526" t="str">
        <f>IF(Table4[[#This Row],[customer_order_count]]=1,"New Customer","Repeat Customer")</f>
        <v>Repeat Customer</v>
      </c>
    </row>
    <row r="2527" spans="1:14">
      <c r="A2527" t="s">
        <v>4327</v>
      </c>
      <c r="B2527" s="1">
        <v>45555</v>
      </c>
      <c r="C2527" t="s">
        <v>2408</v>
      </c>
      <c r="D2527" t="s">
        <v>2409</v>
      </c>
      <c r="E2527" t="s">
        <v>21</v>
      </c>
      <c r="F2527" t="s">
        <v>79</v>
      </c>
      <c r="G2527" t="s">
        <v>398</v>
      </c>
      <c r="H2527">
        <v>1</v>
      </c>
      <c r="I2527" s="3">
        <v>51.06</v>
      </c>
      <c r="J2527" t="s">
        <v>16</v>
      </c>
      <c r="K2527" t="s">
        <v>17</v>
      </c>
      <c r="L2527" s="4">
        <f>Table4[[#This Row],[quantity]]*Table4[[#This Row],[unit_price]]</f>
        <v>51.06</v>
      </c>
      <c r="M2527">
        <f>COUNTIFS($C$2:$C$3934,Table4[[#This Row],[customer_id]])</f>
        <v>6</v>
      </c>
      <c r="N2527" t="str">
        <f>IF(Table4[[#This Row],[customer_order_count]]=1,"New Customer","Repeat Customer")</f>
        <v>Repeat Customer</v>
      </c>
    </row>
    <row r="2528" spans="1:14">
      <c r="A2528" t="s">
        <v>1596</v>
      </c>
      <c r="B2528" s="1">
        <v>45152</v>
      </c>
      <c r="C2528" t="s">
        <v>1597</v>
      </c>
      <c r="D2528" t="s">
        <v>705</v>
      </c>
      <c r="E2528" t="s">
        <v>21</v>
      </c>
      <c r="F2528" t="s">
        <v>22</v>
      </c>
      <c r="G2528" t="s">
        <v>135</v>
      </c>
      <c r="H2528">
        <v>4</v>
      </c>
      <c r="I2528" s="3">
        <v>51.08</v>
      </c>
      <c r="J2528" t="s">
        <v>16</v>
      </c>
      <c r="K2528" t="s">
        <v>17</v>
      </c>
      <c r="L2528" s="4">
        <f>Table4[[#This Row],[quantity]]*Table4[[#This Row],[unit_price]]</f>
        <v>204.32</v>
      </c>
      <c r="M2528">
        <f>COUNTIFS($C$2:$C$3934,Table4[[#This Row],[customer_id]])</f>
        <v>2</v>
      </c>
      <c r="N2528" t="str">
        <f>IF(Table4[[#This Row],[customer_order_count]]=1,"New Customer","Repeat Customer")</f>
        <v>Repeat Customer</v>
      </c>
    </row>
    <row r="2529" spans="1:14">
      <c r="A2529" t="s">
        <v>2987</v>
      </c>
      <c r="B2529" s="1">
        <v>45526</v>
      </c>
      <c r="C2529" t="s">
        <v>614</v>
      </c>
      <c r="D2529" t="s">
        <v>286</v>
      </c>
      <c r="E2529" t="s">
        <v>21</v>
      </c>
      <c r="F2529" t="s">
        <v>22</v>
      </c>
      <c r="G2529" t="s">
        <v>135</v>
      </c>
      <c r="H2529">
        <v>1</v>
      </c>
      <c r="I2529" s="3">
        <v>51.12</v>
      </c>
      <c r="J2529" t="s">
        <v>16</v>
      </c>
      <c r="K2529" t="s">
        <v>40</v>
      </c>
      <c r="L2529" s="4">
        <f>Table4[[#This Row],[quantity]]*Table4[[#This Row],[unit_price]]</f>
        <v>51.12</v>
      </c>
      <c r="M2529">
        <f>COUNTIFS($C$2:$C$3934,Table4[[#This Row],[customer_id]])</f>
        <v>4</v>
      </c>
      <c r="N2529" t="str">
        <f>IF(Table4[[#This Row],[customer_order_count]]=1,"New Customer","Repeat Customer")</f>
        <v>Repeat Customer</v>
      </c>
    </row>
    <row r="2530" spans="1:14">
      <c r="A2530" t="s">
        <v>3520</v>
      </c>
      <c r="B2530" s="1">
        <v>45215</v>
      </c>
      <c r="C2530" t="s">
        <v>3450</v>
      </c>
      <c r="D2530" t="s">
        <v>1054</v>
      </c>
      <c r="E2530" t="s">
        <v>21</v>
      </c>
      <c r="F2530" t="s">
        <v>56</v>
      </c>
      <c r="G2530" t="s">
        <v>210</v>
      </c>
      <c r="H2530">
        <v>1</v>
      </c>
      <c r="I2530" s="3">
        <v>51.16</v>
      </c>
      <c r="J2530" t="s">
        <v>24</v>
      </c>
      <c r="K2530" t="s">
        <v>40</v>
      </c>
      <c r="L2530" s="4">
        <f>Table4[[#This Row],[quantity]]*Table4[[#This Row],[unit_price]]</f>
        <v>51.16</v>
      </c>
      <c r="M2530">
        <f>COUNTIFS($C$2:$C$3934,Table4[[#This Row],[customer_id]])</f>
        <v>3</v>
      </c>
      <c r="N2530" t="str">
        <f>IF(Table4[[#This Row],[customer_order_count]]=1,"New Customer","Repeat Customer")</f>
        <v>Repeat Customer</v>
      </c>
    </row>
    <row r="2531" spans="1:14">
      <c r="A2531" t="s">
        <v>2950</v>
      </c>
      <c r="B2531" s="1">
        <v>45648</v>
      </c>
      <c r="C2531" t="s">
        <v>416</v>
      </c>
      <c r="D2531" t="s">
        <v>417</v>
      </c>
      <c r="E2531" t="s">
        <v>21</v>
      </c>
      <c r="F2531" t="s">
        <v>14</v>
      </c>
      <c r="G2531" t="s">
        <v>39</v>
      </c>
      <c r="H2531">
        <v>1</v>
      </c>
      <c r="I2531" s="3">
        <v>51.21</v>
      </c>
      <c r="J2531" t="s">
        <v>16</v>
      </c>
      <c r="K2531" t="s">
        <v>17</v>
      </c>
      <c r="L2531" s="4">
        <f>Table4[[#This Row],[quantity]]*Table4[[#This Row],[unit_price]]</f>
        <v>51.21</v>
      </c>
      <c r="M2531">
        <f>COUNTIFS($C$2:$C$3934,Table4[[#This Row],[customer_id]])</f>
        <v>6</v>
      </c>
      <c r="N2531" t="str">
        <f>IF(Table4[[#This Row],[customer_order_count]]=1,"New Customer","Repeat Customer")</f>
        <v>Repeat Customer</v>
      </c>
    </row>
    <row r="2532" spans="1:14">
      <c r="A2532" t="s">
        <v>455</v>
      </c>
      <c r="B2532" s="1">
        <v>45107</v>
      </c>
      <c r="C2532" t="s">
        <v>456</v>
      </c>
      <c r="D2532" t="s">
        <v>181</v>
      </c>
      <c r="E2532" t="s">
        <v>44</v>
      </c>
      <c r="F2532" t="s">
        <v>22</v>
      </c>
      <c r="G2532" t="s">
        <v>135</v>
      </c>
      <c r="H2532">
        <v>1</v>
      </c>
      <c r="I2532" s="3">
        <v>51.32</v>
      </c>
      <c r="J2532" t="s">
        <v>16</v>
      </c>
      <c r="K2532" t="s">
        <v>35</v>
      </c>
      <c r="L2532" s="4">
        <f>Table4[[#This Row],[quantity]]*Table4[[#This Row],[unit_price]]</f>
        <v>51.32</v>
      </c>
      <c r="M2532">
        <f>COUNTIFS($C$2:$C$3934,Table4[[#This Row],[customer_id]])</f>
        <v>4</v>
      </c>
      <c r="N2532" t="str">
        <f>IF(Table4[[#This Row],[customer_order_count]]=1,"New Customer","Repeat Customer")</f>
        <v>Repeat Customer</v>
      </c>
    </row>
    <row r="2533" spans="1:14">
      <c r="A2533" t="s">
        <v>3491</v>
      </c>
      <c r="B2533" s="1">
        <v>45403</v>
      </c>
      <c r="C2533" t="s">
        <v>2597</v>
      </c>
      <c r="D2533" t="s">
        <v>535</v>
      </c>
      <c r="E2533" t="s">
        <v>44</v>
      </c>
      <c r="F2533" t="s">
        <v>22</v>
      </c>
      <c r="G2533" t="s">
        <v>142</v>
      </c>
      <c r="H2533">
        <v>1</v>
      </c>
      <c r="I2533" s="3">
        <v>51.34</v>
      </c>
      <c r="J2533" t="s">
        <v>16</v>
      </c>
      <c r="K2533" t="s">
        <v>17</v>
      </c>
      <c r="L2533" s="4">
        <f>Table4[[#This Row],[quantity]]*Table4[[#This Row],[unit_price]]</f>
        <v>51.34</v>
      </c>
      <c r="M2533">
        <f>COUNTIFS($C$2:$C$3934,Table4[[#This Row],[customer_id]])</f>
        <v>3</v>
      </c>
      <c r="N2533" t="str">
        <f>IF(Table4[[#This Row],[customer_order_count]]=1,"New Customer","Repeat Customer")</f>
        <v>Repeat Customer</v>
      </c>
    </row>
    <row r="2534" spans="1:14">
      <c r="A2534" t="s">
        <v>4227</v>
      </c>
      <c r="B2534" s="1">
        <v>45016</v>
      </c>
      <c r="C2534" t="s">
        <v>346</v>
      </c>
      <c r="D2534" t="s">
        <v>347</v>
      </c>
      <c r="E2534" t="s">
        <v>21</v>
      </c>
      <c r="F2534" t="s">
        <v>22</v>
      </c>
      <c r="G2534" t="s">
        <v>135</v>
      </c>
      <c r="H2534">
        <v>5</v>
      </c>
      <c r="I2534" s="3">
        <v>51.37</v>
      </c>
      <c r="J2534" t="s">
        <v>85</v>
      </c>
      <c r="K2534" t="s">
        <v>17</v>
      </c>
      <c r="L2534" s="4">
        <f>Table4[[#This Row],[quantity]]*Table4[[#This Row],[unit_price]]</f>
        <v>256.84999999999997</v>
      </c>
      <c r="M2534">
        <f>COUNTIFS($C$2:$C$3934,Table4[[#This Row],[customer_id]])</f>
        <v>7</v>
      </c>
      <c r="N2534" t="str">
        <f>IF(Table4[[#This Row],[customer_order_count]]=1,"New Customer","Repeat Customer")</f>
        <v>Repeat Customer</v>
      </c>
    </row>
    <row r="2535" spans="1:14">
      <c r="A2535" t="s">
        <v>2038</v>
      </c>
      <c r="B2535" s="1">
        <v>45317</v>
      </c>
      <c r="C2535" t="s">
        <v>2039</v>
      </c>
      <c r="D2535" t="s">
        <v>1869</v>
      </c>
      <c r="E2535" t="s">
        <v>44</v>
      </c>
      <c r="F2535" t="s">
        <v>14</v>
      </c>
      <c r="G2535" t="s">
        <v>100</v>
      </c>
      <c r="H2535">
        <v>1</v>
      </c>
      <c r="I2535" s="3">
        <v>51.43</v>
      </c>
      <c r="J2535" t="s">
        <v>24</v>
      </c>
      <c r="K2535" t="s">
        <v>30</v>
      </c>
      <c r="L2535" s="4">
        <f>Table4[[#This Row],[quantity]]*Table4[[#This Row],[unit_price]]</f>
        <v>51.43</v>
      </c>
      <c r="M2535">
        <f>COUNTIFS($C$2:$C$3934,Table4[[#This Row],[customer_id]])</f>
        <v>4</v>
      </c>
      <c r="N2535" t="str">
        <f>IF(Table4[[#This Row],[customer_order_count]]=1,"New Customer","Repeat Customer")</f>
        <v>Repeat Customer</v>
      </c>
    </row>
    <row r="2536" spans="1:14">
      <c r="A2536" t="s">
        <v>523</v>
      </c>
      <c r="B2536" s="1">
        <v>44960</v>
      </c>
      <c r="C2536" t="s">
        <v>524</v>
      </c>
      <c r="D2536" t="s">
        <v>525</v>
      </c>
      <c r="E2536" t="s">
        <v>21</v>
      </c>
      <c r="F2536" t="s">
        <v>70</v>
      </c>
      <c r="G2536" t="s">
        <v>526</v>
      </c>
      <c r="H2536">
        <v>1</v>
      </c>
      <c r="I2536" s="3">
        <v>51.51</v>
      </c>
      <c r="J2536" t="s">
        <v>16</v>
      </c>
      <c r="K2536" t="s">
        <v>35</v>
      </c>
      <c r="L2536" s="4">
        <f>Table4[[#This Row],[quantity]]*Table4[[#This Row],[unit_price]]</f>
        <v>51.51</v>
      </c>
      <c r="M2536">
        <f>COUNTIFS($C$2:$C$3934,Table4[[#This Row],[customer_id]])</f>
        <v>5</v>
      </c>
      <c r="N2536" t="str">
        <f>IF(Table4[[#This Row],[customer_order_count]]=1,"New Customer","Repeat Customer")</f>
        <v>Repeat Customer</v>
      </c>
    </row>
    <row r="2537" spans="1:14">
      <c r="A2537" t="s">
        <v>1262</v>
      </c>
      <c r="B2537" s="1">
        <v>45474</v>
      </c>
      <c r="C2537" t="s">
        <v>1263</v>
      </c>
      <c r="D2537" t="s">
        <v>1264</v>
      </c>
      <c r="E2537" t="s">
        <v>21</v>
      </c>
      <c r="F2537" t="s">
        <v>22</v>
      </c>
      <c r="G2537" t="s">
        <v>142</v>
      </c>
      <c r="H2537">
        <v>1</v>
      </c>
      <c r="I2537" s="3">
        <v>51.53</v>
      </c>
      <c r="J2537" t="s">
        <v>16</v>
      </c>
      <c r="K2537" t="s">
        <v>40</v>
      </c>
      <c r="L2537" s="4">
        <f>Table4[[#This Row],[quantity]]*Table4[[#This Row],[unit_price]]</f>
        <v>51.53</v>
      </c>
      <c r="M2537">
        <f>COUNTIFS($C$2:$C$3934,Table4[[#This Row],[customer_id]])</f>
        <v>5</v>
      </c>
      <c r="N2537" t="str">
        <f>IF(Table4[[#This Row],[customer_order_count]]=1,"New Customer","Repeat Customer")</f>
        <v>Repeat Customer</v>
      </c>
    </row>
    <row r="2538" spans="1:14">
      <c r="A2538" t="s">
        <v>1738</v>
      </c>
      <c r="B2538" s="1">
        <v>45071</v>
      </c>
      <c r="C2538" t="s">
        <v>1014</v>
      </c>
      <c r="D2538" t="s">
        <v>491</v>
      </c>
      <c r="E2538" t="s">
        <v>44</v>
      </c>
      <c r="F2538" t="s">
        <v>14</v>
      </c>
      <c r="G2538" t="s">
        <v>100</v>
      </c>
      <c r="H2538">
        <v>1</v>
      </c>
      <c r="I2538" s="3">
        <v>51.54</v>
      </c>
      <c r="J2538" t="s">
        <v>16</v>
      </c>
      <c r="K2538" t="s">
        <v>17</v>
      </c>
      <c r="L2538" s="4">
        <f>Table4[[#This Row],[quantity]]*Table4[[#This Row],[unit_price]]</f>
        <v>51.54</v>
      </c>
      <c r="M2538">
        <f>COUNTIFS($C$2:$C$3934,Table4[[#This Row],[customer_id]])</f>
        <v>5</v>
      </c>
      <c r="N2538" t="str">
        <f>IF(Table4[[#This Row],[customer_order_count]]=1,"New Customer","Repeat Customer")</f>
        <v>Repeat Customer</v>
      </c>
    </row>
    <row r="2539" spans="1:14">
      <c r="A2539" t="s">
        <v>1542</v>
      </c>
      <c r="B2539" s="1">
        <v>45064</v>
      </c>
      <c r="C2539" t="s">
        <v>390</v>
      </c>
      <c r="D2539" t="s">
        <v>391</v>
      </c>
      <c r="E2539" t="s">
        <v>21</v>
      </c>
      <c r="F2539" t="s">
        <v>79</v>
      </c>
      <c r="G2539" t="s">
        <v>541</v>
      </c>
      <c r="H2539">
        <v>1</v>
      </c>
      <c r="I2539" s="3">
        <v>51.56</v>
      </c>
      <c r="J2539" t="s">
        <v>16</v>
      </c>
      <c r="K2539" t="s">
        <v>35</v>
      </c>
      <c r="L2539" s="4">
        <f>Table4[[#This Row],[quantity]]*Table4[[#This Row],[unit_price]]</f>
        <v>51.56</v>
      </c>
      <c r="M2539">
        <f>COUNTIFS($C$2:$C$3934,Table4[[#This Row],[customer_id]])</f>
        <v>4</v>
      </c>
      <c r="N2539" t="str">
        <f>IF(Table4[[#This Row],[customer_order_count]]=1,"New Customer","Repeat Customer")</f>
        <v>Repeat Customer</v>
      </c>
    </row>
    <row r="2540" spans="1:14">
      <c r="A2540" t="s">
        <v>3174</v>
      </c>
      <c r="B2540" s="1">
        <v>45530</v>
      </c>
      <c r="C2540" t="s">
        <v>1185</v>
      </c>
      <c r="D2540" t="s">
        <v>1186</v>
      </c>
      <c r="E2540" t="s">
        <v>44</v>
      </c>
      <c r="F2540" t="s">
        <v>22</v>
      </c>
      <c r="G2540" t="s">
        <v>135</v>
      </c>
      <c r="H2540">
        <v>1</v>
      </c>
      <c r="I2540" s="3">
        <v>51.6</v>
      </c>
      <c r="J2540" t="s">
        <v>16</v>
      </c>
      <c r="K2540" t="s">
        <v>40</v>
      </c>
      <c r="L2540" s="4">
        <f>Table4[[#This Row],[quantity]]*Table4[[#This Row],[unit_price]]</f>
        <v>51.6</v>
      </c>
      <c r="M2540">
        <f>COUNTIFS($C$2:$C$3934,Table4[[#This Row],[customer_id]])</f>
        <v>5</v>
      </c>
      <c r="N2540" t="str">
        <f>IF(Table4[[#This Row],[customer_order_count]]=1,"New Customer","Repeat Customer")</f>
        <v>Repeat Customer</v>
      </c>
    </row>
    <row r="2541" spans="1:14">
      <c r="A2541" t="s">
        <v>849</v>
      </c>
      <c r="B2541" s="1">
        <v>45505</v>
      </c>
      <c r="C2541" t="s">
        <v>850</v>
      </c>
      <c r="D2541" t="s">
        <v>851</v>
      </c>
      <c r="E2541" t="s">
        <v>21</v>
      </c>
      <c r="F2541" t="s">
        <v>22</v>
      </c>
      <c r="G2541" t="s">
        <v>162</v>
      </c>
      <c r="H2541">
        <v>5</v>
      </c>
      <c r="I2541" s="3">
        <v>51.6</v>
      </c>
      <c r="J2541" t="s">
        <v>85</v>
      </c>
      <c r="K2541" t="s">
        <v>35</v>
      </c>
      <c r="L2541" s="4">
        <f>Table4[[#This Row],[quantity]]*Table4[[#This Row],[unit_price]]</f>
        <v>258</v>
      </c>
      <c r="M2541">
        <f>COUNTIFS($C$2:$C$3934,Table4[[#This Row],[customer_id]])</f>
        <v>9</v>
      </c>
      <c r="N2541" t="str">
        <f>IF(Table4[[#This Row],[customer_order_count]]=1,"New Customer","Repeat Customer")</f>
        <v>Repeat Customer</v>
      </c>
    </row>
    <row r="2542" spans="1:14">
      <c r="A2542" t="s">
        <v>4289</v>
      </c>
      <c r="B2542" s="1">
        <v>45091</v>
      </c>
      <c r="C2542" t="s">
        <v>2562</v>
      </c>
      <c r="D2542" t="s">
        <v>808</v>
      </c>
      <c r="E2542" t="s">
        <v>21</v>
      </c>
      <c r="F2542" t="s">
        <v>70</v>
      </c>
      <c r="G2542" t="s">
        <v>146</v>
      </c>
      <c r="H2542">
        <v>1</v>
      </c>
      <c r="I2542" s="3">
        <v>51.67</v>
      </c>
      <c r="J2542" t="s">
        <v>85</v>
      </c>
      <c r="K2542" t="s">
        <v>17</v>
      </c>
      <c r="L2542" s="4">
        <f>Table4[[#This Row],[quantity]]*Table4[[#This Row],[unit_price]]</f>
        <v>51.67</v>
      </c>
      <c r="M2542">
        <f>COUNTIFS($C$2:$C$3934,Table4[[#This Row],[customer_id]])</f>
        <v>3</v>
      </c>
      <c r="N2542" t="str">
        <f>IF(Table4[[#This Row],[customer_order_count]]=1,"New Customer","Repeat Customer")</f>
        <v>Repeat Customer</v>
      </c>
    </row>
    <row r="2543" spans="1:14">
      <c r="A2543" t="s">
        <v>5150</v>
      </c>
      <c r="B2543" s="1">
        <v>45626</v>
      </c>
      <c r="C2543" t="s">
        <v>2253</v>
      </c>
      <c r="D2543" t="s">
        <v>986</v>
      </c>
      <c r="E2543" t="s">
        <v>44</v>
      </c>
      <c r="F2543" t="s">
        <v>56</v>
      </c>
      <c r="G2543" t="s">
        <v>422</v>
      </c>
      <c r="H2543">
        <v>1</v>
      </c>
      <c r="I2543" s="3">
        <v>51.67</v>
      </c>
      <c r="J2543" t="s">
        <v>24</v>
      </c>
      <c r="K2543" t="s">
        <v>30</v>
      </c>
      <c r="L2543" s="4">
        <f>Table4[[#This Row],[quantity]]*Table4[[#This Row],[unit_price]]</f>
        <v>51.67</v>
      </c>
      <c r="M2543">
        <f>COUNTIFS($C$2:$C$3934,Table4[[#This Row],[customer_id]])</f>
        <v>3</v>
      </c>
      <c r="N2543" t="str">
        <f>IF(Table4[[#This Row],[customer_order_count]]=1,"New Customer","Repeat Customer")</f>
        <v>Repeat Customer</v>
      </c>
    </row>
    <row r="2544" spans="1:14">
      <c r="A2544" t="s">
        <v>4737</v>
      </c>
      <c r="B2544" s="1">
        <v>45150</v>
      </c>
      <c r="C2544" t="s">
        <v>2531</v>
      </c>
      <c r="D2544" t="s">
        <v>372</v>
      </c>
      <c r="E2544" t="s">
        <v>21</v>
      </c>
      <c r="F2544" t="s">
        <v>22</v>
      </c>
      <c r="G2544" t="s">
        <v>142</v>
      </c>
      <c r="H2544">
        <v>1</v>
      </c>
      <c r="I2544" s="3">
        <v>51.69</v>
      </c>
      <c r="J2544" t="s">
        <v>16</v>
      </c>
      <c r="K2544" t="s">
        <v>30</v>
      </c>
      <c r="L2544" s="4">
        <f>Table4[[#This Row],[quantity]]*Table4[[#This Row],[unit_price]]</f>
        <v>51.69</v>
      </c>
      <c r="M2544">
        <f>COUNTIFS($C$2:$C$3934,Table4[[#This Row],[customer_id]])</f>
        <v>7</v>
      </c>
      <c r="N2544" t="str">
        <f>IF(Table4[[#This Row],[customer_order_count]]=1,"New Customer","Repeat Customer")</f>
        <v>Repeat Customer</v>
      </c>
    </row>
    <row r="2545" spans="1:14">
      <c r="A2545" t="s">
        <v>2727</v>
      </c>
      <c r="B2545" s="1">
        <v>45513</v>
      </c>
      <c r="C2545" t="s">
        <v>1366</v>
      </c>
      <c r="D2545" t="s">
        <v>797</v>
      </c>
      <c r="E2545" t="s">
        <v>21</v>
      </c>
      <c r="F2545" t="s">
        <v>22</v>
      </c>
      <c r="G2545" t="s">
        <v>142</v>
      </c>
      <c r="H2545">
        <v>2</v>
      </c>
      <c r="I2545" s="3">
        <v>51.74</v>
      </c>
      <c r="J2545" t="s">
        <v>16</v>
      </c>
      <c r="K2545" s="2" t="s">
        <v>5256</v>
      </c>
      <c r="L2545" s="4">
        <f>Table4[[#This Row],[quantity]]*Table4[[#This Row],[unit_price]]</f>
        <v>103.48</v>
      </c>
      <c r="M2545">
        <f>COUNTIFS($C$2:$C$3934,Table4[[#This Row],[customer_id]])</f>
        <v>2</v>
      </c>
      <c r="N2545" t="str">
        <f>IF(Table4[[#This Row],[customer_order_count]]=1,"New Customer","Repeat Customer")</f>
        <v>Repeat Customer</v>
      </c>
    </row>
    <row r="2546" spans="1:14">
      <c r="A2546" t="s">
        <v>5000</v>
      </c>
      <c r="B2546" s="1">
        <v>45512</v>
      </c>
      <c r="C2546" t="s">
        <v>400</v>
      </c>
      <c r="D2546" t="s">
        <v>365</v>
      </c>
      <c r="E2546" t="s">
        <v>21</v>
      </c>
      <c r="F2546" t="s">
        <v>22</v>
      </c>
      <c r="G2546" t="s">
        <v>264</v>
      </c>
      <c r="H2546">
        <v>2</v>
      </c>
      <c r="I2546" s="3">
        <v>51.76</v>
      </c>
      <c r="J2546" t="s">
        <v>16</v>
      </c>
      <c r="K2546" s="5" t="s">
        <v>35</v>
      </c>
      <c r="L2546" s="4">
        <f>Table4[[#This Row],[quantity]]*Table4[[#This Row],[unit_price]]</f>
        <v>103.52</v>
      </c>
      <c r="M2546">
        <f>COUNTIFS($C$2:$C$3934,Table4[[#This Row],[customer_id]])</f>
        <v>7</v>
      </c>
      <c r="N2546" t="str">
        <f>IF(Table4[[#This Row],[customer_order_count]]=1,"New Customer","Repeat Customer")</f>
        <v>Repeat Customer</v>
      </c>
    </row>
    <row r="2547" spans="1:14">
      <c r="A2547" t="s">
        <v>3897</v>
      </c>
      <c r="B2547" s="1">
        <v>44938</v>
      </c>
      <c r="C2547" t="s">
        <v>1900</v>
      </c>
      <c r="D2547" t="s">
        <v>1310</v>
      </c>
      <c r="E2547" t="s">
        <v>21</v>
      </c>
      <c r="F2547" t="s">
        <v>14</v>
      </c>
      <c r="G2547" t="s">
        <v>39</v>
      </c>
      <c r="H2547">
        <v>1</v>
      </c>
      <c r="I2547" s="3">
        <v>51.78</v>
      </c>
      <c r="J2547" t="s">
        <v>16</v>
      </c>
      <c r="K2547" t="s">
        <v>17</v>
      </c>
      <c r="L2547" s="4">
        <f>Table4[[#This Row],[quantity]]*Table4[[#This Row],[unit_price]]</f>
        <v>51.78</v>
      </c>
      <c r="M2547">
        <f>COUNTIFS($C$2:$C$3934,Table4[[#This Row],[customer_id]])</f>
        <v>5</v>
      </c>
      <c r="N2547" t="str">
        <f>IF(Table4[[#This Row],[customer_order_count]]=1,"New Customer","Repeat Customer")</f>
        <v>Repeat Customer</v>
      </c>
    </row>
    <row r="2548" spans="1:14">
      <c r="A2548" t="s">
        <v>5048</v>
      </c>
      <c r="B2548" s="1">
        <v>45552</v>
      </c>
      <c r="C2548" t="s">
        <v>1900</v>
      </c>
      <c r="D2548" t="s">
        <v>1310</v>
      </c>
      <c r="E2548" t="s">
        <v>21</v>
      </c>
      <c r="F2548" t="s">
        <v>56</v>
      </c>
      <c r="G2548" t="s">
        <v>118</v>
      </c>
      <c r="H2548">
        <v>3</v>
      </c>
      <c r="I2548" s="3">
        <v>51.8</v>
      </c>
      <c r="J2548" t="s">
        <v>16</v>
      </c>
      <c r="K2548" t="s">
        <v>17</v>
      </c>
      <c r="L2548" s="4">
        <f>Table4[[#This Row],[quantity]]*Table4[[#This Row],[unit_price]]</f>
        <v>155.39999999999998</v>
      </c>
      <c r="M2548">
        <f>COUNTIFS($C$2:$C$3934,Table4[[#This Row],[customer_id]])</f>
        <v>5</v>
      </c>
      <c r="N2548" t="str">
        <f>IF(Table4[[#This Row],[customer_order_count]]=1,"New Customer","Repeat Customer")</f>
        <v>Repeat Customer</v>
      </c>
    </row>
    <row r="2549" spans="1:14">
      <c r="A2549" t="s">
        <v>1569</v>
      </c>
      <c r="B2549" s="1">
        <v>45381</v>
      </c>
      <c r="C2549" t="s">
        <v>180</v>
      </c>
      <c r="D2549" t="s">
        <v>181</v>
      </c>
      <c r="E2549" t="s">
        <v>21</v>
      </c>
      <c r="F2549" t="s">
        <v>22</v>
      </c>
      <c r="G2549" t="s">
        <v>142</v>
      </c>
      <c r="H2549">
        <v>1</v>
      </c>
      <c r="I2549" s="3">
        <v>51.98</v>
      </c>
      <c r="J2549" t="s">
        <v>85</v>
      </c>
      <c r="K2549" t="s">
        <v>35</v>
      </c>
      <c r="L2549" s="4">
        <f>Table4[[#This Row],[quantity]]*Table4[[#This Row],[unit_price]]</f>
        <v>51.98</v>
      </c>
      <c r="M2549">
        <f>COUNTIFS($C$2:$C$3934,Table4[[#This Row],[customer_id]])</f>
        <v>5</v>
      </c>
      <c r="N2549" t="str">
        <f>IF(Table4[[#This Row],[customer_order_count]]=1,"New Customer","Repeat Customer")</f>
        <v>Repeat Customer</v>
      </c>
    </row>
    <row r="2550" spans="1:14">
      <c r="A2550" t="s">
        <v>4910</v>
      </c>
      <c r="B2550" s="1">
        <v>45584</v>
      </c>
      <c r="C2550" t="s">
        <v>2355</v>
      </c>
      <c r="D2550" t="s">
        <v>2356</v>
      </c>
      <c r="E2550" t="s">
        <v>44</v>
      </c>
      <c r="F2550" t="s">
        <v>70</v>
      </c>
      <c r="G2550" t="s">
        <v>110</v>
      </c>
      <c r="H2550">
        <v>1</v>
      </c>
      <c r="I2550" s="3">
        <v>52.06</v>
      </c>
      <c r="J2550" t="s">
        <v>16</v>
      </c>
      <c r="K2550" t="s">
        <v>30</v>
      </c>
      <c r="L2550" s="4">
        <f>Table4[[#This Row],[quantity]]*Table4[[#This Row],[unit_price]]</f>
        <v>52.06</v>
      </c>
      <c r="M2550">
        <f>COUNTIFS($C$2:$C$3934,Table4[[#This Row],[customer_id]])</f>
        <v>4</v>
      </c>
      <c r="N2550" t="str">
        <f>IF(Table4[[#This Row],[customer_order_count]]=1,"New Customer","Repeat Customer")</f>
        <v>Repeat Customer</v>
      </c>
    </row>
    <row r="2551" spans="1:14">
      <c r="A2551" t="s">
        <v>2853</v>
      </c>
      <c r="B2551" s="1">
        <v>45204</v>
      </c>
      <c r="C2551" t="s">
        <v>2104</v>
      </c>
      <c r="D2551" t="s">
        <v>1674</v>
      </c>
      <c r="E2551" t="s">
        <v>21</v>
      </c>
      <c r="F2551" t="s">
        <v>70</v>
      </c>
      <c r="G2551" t="s">
        <v>337</v>
      </c>
      <c r="H2551">
        <v>1</v>
      </c>
      <c r="I2551" s="3">
        <v>52.08</v>
      </c>
      <c r="J2551" t="s">
        <v>16</v>
      </c>
      <c r="K2551" t="s">
        <v>35</v>
      </c>
      <c r="L2551" s="4">
        <f>Table4[[#This Row],[quantity]]*Table4[[#This Row],[unit_price]]</f>
        <v>52.08</v>
      </c>
      <c r="M2551">
        <f>COUNTIFS($C$2:$C$3934,Table4[[#This Row],[customer_id]])</f>
        <v>7</v>
      </c>
      <c r="N2551" t="str">
        <f>IF(Table4[[#This Row],[customer_order_count]]=1,"New Customer","Repeat Customer")</f>
        <v>Repeat Customer</v>
      </c>
    </row>
    <row r="2552" spans="1:14">
      <c r="A2552" t="s">
        <v>482</v>
      </c>
      <c r="B2552" s="1">
        <v>45322</v>
      </c>
      <c r="C2552" t="s">
        <v>483</v>
      </c>
      <c r="D2552" t="s">
        <v>484</v>
      </c>
      <c r="E2552" t="s">
        <v>61</v>
      </c>
      <c r="F2552" t="s">
        <v>22</v>
      </c>
      <c r="G2552" t="s">
        <v>23</v>
      </c>
      <c r="H2552">
        <v>1</v>
      </c>
      <c r="I2552" s="3">
        <v>52.11</v>
      </c>
      <c r="J2552" t="s">
        <v>16</v>
      </c>
      <c r="K2552" t="s">
        <v>40</v>
      </c>
      <c r="L2552" s="4">
        <f>Table4[[#This Row],[quantity]]*Table4[[#This Row],[unit_price]]</f>
        <v>52.11</v>
      </c>
      <c r="M2552">
        <f>COUNTIFS($C$2:$C$3934,Table4[[#This Row],[customer_id]])</f>
        <v>4</v>
      </c>
      <c r="N2552" t="str">
        <f>IF(Table4[[#This Row],[customer_order_count]]=1,"New Customer","Repeat Customer")</f>
        <v>Repeat Customer</v>
      </c>
    </row>
    <row r="2553" spans="1:14">
      <c r="A2553" t="s">
        <v>1301</v>
      </c>
      <c r="B2553" s="1">
        <v>45569</v>
      </c>
      <c r="C2553" t="s">
        <v>687</v>
      </c>
      <c r="D2553" t="s">
        <v>612</v>
      </c>
      <c r="E2553" t="s">
        <v>21</v>
      </c>
      <c r="F2553" t="s">
        <v>14</v>
      </c>
      <c r="G2553" t="s">
        <v>15</v>
      </c>
      <c r="H2553">
        <v>2</v>
      </c>
      <c r="I2553" s="3">
        <v>52.11</v>
      </c>
      <c r="J2553" t="s">
        <v>16</v>
      </c>
      <c r="K2553" t="s">
        <v>35</v>
      </c>
      <c r="L2553" s="4">
        <f>Table4[[#This Row],[quantity]]*Table4[[#This Row],[unit_price]]</f>
        <v>104.22</v>
      </c>
      <c r="M2553">
        <f>COUNTIFS($C$2:$C$3934,Table4[[#This Row],[customer_id]])</f>
        <v>4</v>
      </c>
      <c r="N2553" t="str">
        <f>IF(Table4[[#This Row],[customer_order_count]]=1,"New Customer","Repeat Customer")</f>
        <v>Repeat Customer</v>
      </c>
    </row>
    <row r="2554" spans="1:14">
      <c r="A2554" t="s">
        <v>4010</v>
      </c>
      <c r="B2554" s="1">
        <v>45655</v>
      </c>
      <c r="C2554" t="s">
        <v>2643</v>
      </c>
      <c r="D2554" t="s">
        <v>1336</v>
      </c>
      <c r="E2554" t="s">
        <v>21</v>
      </c>
      <c r="F2554" t="s">
        <v>79</v>
      </c>
      <c r="G2554" t="s">
        <v>204</v>
      </c>
      <c r="H2554">
        <v>2</v>
      </c>
      <c r="I2554" s="3">
        <v>52.15</v>
      </c>
      <c r="J2554" t="s">
        <v>16</v>
      </c>
      <c r="K2554" t="s">
        <v>30</v>
      </c>
      <c r="L2554" s="4">
        <f>Table4[[#This Row],[quantity]]*Table4[[#This Row],[unit_price]]</f>
        <v>104.3</v>
      </c>
      <c r="M2554">
        <f>COUNTIFS($C$2:$C$3934,Table4[[#This Row],[customer_id]])</f>
        <v>7</v>
      </c>
      <c r="N2554" t="str">
        <f>IF(Table4[[#This Row],[customer_order_count]]=1,"New Customer","Repeat Customer")</f>
        <v>Repeat Customer</v>
      </c>
    </row>
    <row r="2555" spans="1:14">
      <c r="A2555" t="s">
        <v>4902</v>
      </c>
      <c r="B2555" s="1">
        <v>45493</v>
      </c>
      <c r="C2555" t="s">
        <v>880</v>
      </c>
      <c r="D2555" t="s">
        <v>881</v>
      </c>
      <c r="E2555" t="s">
        <v>21</v>
      </c>
      <c r="F2555" t="s">
        <v>56</v>
      </c>
      <c r="G2555" t="s">
        <v>254</v>
      </c>
      <c r="H2555">
        <v>2</v>
      </c>
      <c r="I2555" s="3">
        <v>52.15</v>
      </c>
      <c r="J2555" t="s">
        <v>24</v>
      </c>
      <c r="K2555" t="s">
        <v>17</v>
      </c>
      <c r="L2555" s="4">
        <f>Table4[[#This Row],[quantity]]*Table4[[#This Row],[unit_price]]</f>
        <v>104.3</v>
      </c>
      <c r="M2555">
        <f>COUNTIFS($C$2:$C$3934,Table4[[#This Row],[customer_id]])</f>
        <v>6</v>
      </c>
      <c r="N2555" t="str">
        <f>IF(Table4[[#This Row],[customer_order_count]]=1,"New Customer","Repeat Customer")</f>
        <v>Repeat Customer</v>
      </c>
    </row>
    <row r="2556" spans="1:14">
      <c r="A2556" t="s">
        <v>1405</v>
      </c>
      <c r="B2556" s="1">
        <v>45621</v>
      </c>
      <c r="C2556" t="s">
        <v>1406</v>
      </c>
      <c r="D2556" t="s">
        <v>304</v>
      </c>
      <c r="E2556" t="s">
        <v>21</v>
      </c>
      <c r="F2556" t="s">
        <v>14</v>
      </c>
      <c r="G2556" t="s">
        <v>100</v>
      </c>
      <c r="H2556">
        <v>1</v>
      </c>
      <c r="I2556" s="3">
        <v>52.16</v>
      </c>
      <c r="J2556" t="s">
        <v>16</v>
      </c>
      <c r="K2556" t="s">
        <v>30</v>
      </c>
      <c r="L2556" s="4">
        <f>Table4[[#This Row],[quantity]]*Table4[[#This Row],[unit_price]]</f>
        <v>52.16</v>
      </c>
      <c r="M2556">
        <f>COUNTIFS($C$2:$C$3934,Table4[[#This Row],[customer_id]])</f>
        <v>4</v>
      </c>
      <c r="N2556" t="str">
        <f>IF(Table4[[#This Row],[customer_order_count]]=1,"New Customer","Repeat Customer")</f>
        <v>Repeat Customer</v>
      </c>
    </row>
    <row r="2557" spans="1:14">
      <c r="A2557" t="s">
        <v>2794</v>
      </c>
      <c r="B2557" s="1">
        <v>45131</v>
      </c>
      <c r="C2557" t="s">
        <v>1296</v>
      </c>
      <c r="D2557" t="s">
        <v>1156</v>
      </c>
      <c r="E2557" t="s">
        <v>44</v>
      </c>
      <c r="F2557" t="s">
        <v>70</v>
      </c>
      <c r="G2557" t="s">
        <v>146</v>
      </c>
      <c r="H2557">
        <v>1</v>
      </c>
      <c r="I2557" s="3">
        <v>52.18</v>
      </c>
      <c r="J2557" t="s">
        <v>16</v>
      </c>
      <c r="K2557" s="2" t="s">
        <v>5256</v>
      </c>
      <c r="L2557" s="4">
        <f>Table4[[#This Row],[quantity]]*Table4[[#This Row],[unit_price]]</f>
        <v>52.18</v>
      </c>
      <c r="M2557">
        <f>COUNTIFS($C$2:$C$3934,Table4[[#This Row],[customer_id]])</f>
        <v>4</v>
      </c>
      <c r="N2557" t="str">
        <f>IF(Table4[[#This Row],[customer_order_count]]=1,"New Customer","Repeat Customer")</f>
        <v>Repeat Customer</v>
      </c>
    </row>
    <row r="2558" spans="1:14">
      <c r="A2558" t="s">
        <v>2321</v>
      </c>
      <c r="B2558" s="1">
        <v>45358</v>
      </c>
      <c r="C2558" t="s">
        <v>1243</v>
      </c>
      <c r="D2558" t="s">
        <v>1244</v>
      </c>
      <c r="E2558" t="s">
        <v>21</v>
      </c>
      <c r="F2558" t="s">
        <v>22</v>
      </c>
      <c r="G2558" t="s">
        <v>23</v>
      </c>
      <c r="H2558">
        <v>3</v>
      </c>
      <c r="I2558" s="3">
        <v>52.21</v>
      </c>
      <c r="J2558" t="s">
        <v>16</v>
      </c>
      <c r="K2558" s="5" t="s">
        <v>30</v>
      </c>
      <c r="L2558" s="4">
        <f>Table4[[#This Row],[quantity]]*Table4[[#This Row],[unit_price]]</f>
        <v>156.63</v>
      </c>
      <c r="M2558">
        <f>COUNTIFS($C$2:$C$3934,Table4[[#This Row],[customer_id]])</f>
        <v>6</v>
      </c>
      <c r="N2558" t="str">
        <f>IF(Table4[[#This Row],[customer_order_count]]=1,"New Customer","Repeat Customer")</f>
        <v>Repeat Customer</v>
      </c>
    </row>
    <row r="2559" spans="1:14">
      <c r="A2559" t="s">
        <v>2381</v>
      </c>
      <c r="B2559" s="1">
        <v>45198</v>
      </c>
      <c r="C2559" t="s">
        <v>704</v>
      </c>
      <c r="D2559" t="s">
        <v>705</v>
      </c>
      <c r="E2559" t="s">
        <v>21</v>
      </c>
      <c r="F2559" t="s">
        <v>56</v>
      </c>
      <c r="G2559" t="s">
        <v>118</v>
      </c>
      <c r="H2559">
        <v>1</v>
      </c>
      <c r="I2559" s="3">
        <v>52.24</v>
      </c>
      <c r="J2559" t="s">
        <v>16</v>
      </c>
      <c r="K2559" t="s">
        <v>30</v>
      </c>
      <c r="L2559" s="4">
        <f>Table4[[#This Row],[quantity]]*Table4[[#This Row],[unit_price]]</f>
        <v>52.24</v>
      </c>
      <c r="M2559">
        <f>COUNTIFS($C$2:$C$3934,Table4[[#This Row],[customer_id]])</f>
        <v>5</v>
      </c>
      <c r="N2559" t="str">
        <f>IF(Table4[[#This Row],[customer_order_count]]=1,"New Customer","Repeat Customer")</f>
        <v>Repeat Customer</v>
      </c>
    </row>
    <row r="2560" spans="1:14">
      <c r="A2560" t="s">
        <v>5251</v>
      </c>
      <c r="B2560" s="1">
        <v>45065</v>
      </c>
      <c r="C2560" t="s">
        <v>2496</v>
      </c>
      <c r="D2560" t="s">
        <v>1088</v>
      </c>
      <c r="E2560" t="s">
        <v>21</v>
      </c>
      <c r="F2560" t="s">
        <v>22</v>
      </c>
      <c r="G2560" t="s">
        <v>23</v>
      </c>
      <c r="H2560">
        <v>1</v>
      </c>
      <c r="I2560" s="3">
        <v>52.29</v>
      </c>
      <c r="J2560" t="s">
        <v>16</v>
      </c>
      <c r="K2560" t="s">
        <v>30</v>
      </c>
      <c r="L2560" s="4">
        <f>Table4[[#This Row],[quantity]]*Table4[[#This Row],[unit_price]]</f>
        <v>52.29</v>
      </c>
      <c r="M2560">
        <f>COUNTIFS($C$2:$C$3934,Table4[[#This Row],[customer_id]])</f>
        <v>4</v>
      </c>
      <c r="N2560" t="str">
        <f>IF(Table4[[#This Row],[customer_order_count]]=1,"New Customer","Repeat Customer")</f>
        <v>Repeat Customer</v>
      </c>
    </row>
    <row r="2561" spans="1:14">
      <c r="A2561" t="s">
        <v>1553</v>
      </c>
      <c r="B2561" s="1">
        <v>45215</v>
      </c>
      <c r="C2561" t="s">
        <v>636</v>
      </c>
      <c r="D2561" t="s">
        <v>1554</v>
      </c>
      <c r="E2561" t="s">
        <v>44</v>
      </c>
      <c r="F2561" t="s">
        <v>79</v>
      </c>
      <c r="G2561" t="s">
        <v>541</v>
      </c>
      <c r="H2561">
        <v>1</v>
      </c>
      <c r="I2561" s="3">
        <v>52.32</v>
      </c>
      <c r="J2561" t="s">
        <v>16</v>
      </c>
      <c r="K2561" t="s">
        <v>30</v>
      </c>
      <c r="L2561" s="4">
        <f>Table4[[#This Row],[quantity]]*Table4[[#This Row],[unit_price]]</f>
        <v>52.32</v>
      </c>
      <c r="M2561">
        <f>COUNTIFS($C$2:$C$3934,Table4[[#This Row],[customer_id]])</f>
        <v>6</v>
      </c>
      <c r="N2561" t="str">
        <f>IF(Table4[[#This Row],[customer_order_count]]=1,"New Customer","Repeat Customer")</f>
        <v>Repeat Customer</v>
      </c>
    </row>
    <row r="2562" spans="1:14">
      <c r="A2562" t="s">
        <v>2246</v>
      </c>
      <c r="B2562" s="1">
        <v>45004</v>
      </c>
      <c r="C2562" t="s">
        <v>2247</v>
      </c>
      <c r="D2562" t="s">
        <v>624</v>
      </c>
      <c r="E2562" t="s">
        <v>44</v>
      </c>
      <c r="F2562" t="s">
        <v>14</v>
      </c>
      <c r="G2562" t="s">
        <v>62</v>
      </c>
      <c r="H2562">
        <v>2</v>
      </c>
      <c r="I2562" s="3">
        <v>52.35</v>
      </c>
      <c r="J2562" t="s">
        <v>16</v>
      </c>
      <c r="K2562" t="s">
        <v>35</v>
      </c>
      <c r="L2562" s="4">
        <f>Table4[[#This Row],[quantity]]*Table4[[#This Row],[unit_price]]</f>
        <v>104.7</v>
      </c>
      <c r="M2562">
        <f>COUNTIFS($C$2:$C$3934,Table4[[#This Row],[customer_id]])</f>
        <v>1</v>
      </c>
      <c r="N2562" t="str">
        <f>IF(Table4[[#This Row],[customer_order_count]]=1,"New Customer","Repeat Customer")</f>
        <v>New Customer</v>
      </c>
    </row>
    <row r="2563" spans="1:14">
      <c r="A2563" t="s">
        <v>2476</v>
      </c>
      <c r="B2563" s="1">
        <v>45655</v>
      </c>
      <c r="C2563" t="s">
        <v>2477</v>
      </c>
      <c r="D2563" t="s">
        <v>602</v>
      </c>
      <c r="E2563" t="s">
        <v>44</v>
      </c>
      <c r="F2563" t="s">
        <v>56</v>
      </c>
      <c r="G2563" t="s">
        <v>118</v>
      </c>
      <c r="H2563">
        <v>2</v>
      </c>
      <c r="I2563" s="3">
        <v>52.36</v>
      </c>
      <c r="J2563" t="s">
        <v>16</v>
      </c>
      <c r="K2563" t="s">
        <v>35</v>
      </c>
      <c r="L2563" s="4">
        <f>Table4[[#This Row],[quantity]]*Table4[[#This Row],[unit_price]]</f>
        <v>104.72</v>
      </c>
      <c r="M2563">
        <f>COUNTIFS($C$2:$C$3934,Table4[[#This Row],[customer_id]])</f>
        <v>3</v>
      </c>
      <c r="N2563" t="str">
        <f>IF(Table4[[#This Row],[customer_order_count]]=1,"New Customer","Repeat Customer")</f>
        <v>Repeat Customer</v>
      </c>
    </row>
    <row r="2564" spans="1:14">
      <c r="A2564" t="s">
        <v>3333</v>
      </c>
      <c r="B2564" s="1">
        <v>45197</v>
      </c>
      <c r="C2564" t="s">
        <v>782</v>
      </c>
      <c r="D2564" t="s">
        <v>783</v>
      </c>
      <c r="E2564" t="s">
        <v>21</v>
      </c>
      <c r="F2564" t="s">
        <v>22</v>
      </c>
      <c r="G2564" t="s">
        <v>264</v>
      </c>
      <c r="H2564">
        <v>1</v>
      </c>
      <c r="I2564" s="3">
        <v>52.39</v>
      </c>
      <c r="J2564" t="s">
        <v>16</v>
      </c>
      <c r="K2564" t="s">
        <v>35</v>
      </c>
      <c r="L2564" s="4">
        <f>Table4[[#This Row],[quantity]]*Table4[[#This Row],[unit_price]]</f>
        <v>52.39</v>
      </c>
      <c r="M2564">
        <f>COUNTIFS($C$2:$C$3934,Table4[[#This Row],[customer_id]])</f>
        <v>5</v>
      </c>
      <c r="N2564" t="str">
        <f>IF(Table4[[#This Row],[customer_order_count]]=1,"New Customer","Repeat Customer")</f>
        <v>Repeat Customer</v>
      </c>
    </row>
    <row r="2565" spans="1:14">
      <c r="A2565" t="s">
        <v>1556</v>
      </c>
      <c r="B2565" s="1">
        <v>45549</v>
      </c>
      <c r="C2565" t="s">
        <v>1557</v>
      </c>
      <c r="D2565" t="s">
        <v>92</v>
      </c>
      <c r="E2565" t="s">
        <v>21</v>
      </c>
      <c r="F2565" t="s">
        <v>22</v>
      </c>
      <c r="G2565" t="s">
        <v>264</v>
      </c>
      <c r="H2565">
        <v>1</v>
      </c>
      <c r="I2565" s="3">
        <v>52.42</v>
      </c>
      <c r="J2565" t="s">
        <v>255</v>
      </c>
      <c r="K2565" t="s">
        <v>40</v>
      </c>
      <c r="L2565" s="4">
        <f>Table4[[#This Row],[quantity]]*Table4[[#This Row],[unit_price]]</f>
        <v>52.42</v>
      </c>
      <c r="M2565">
        <f>COUNTIFS($C$2:$C$3934,Table4[[#This Row],[customer_id]])</f>
        <v>5</v>
      </c>
      <c r="N2565" t="str">
        <f>IF(Table4[[#This Row],[customer_order_count]]=1,"New Customer","Repeat Customer")</f>
        <v>Repeat Customer</v>
      </c>
    </row>
    <row r="2566" spans="1:14">
      <c r="A2566" t="s">
        <v>4726</v>
      </c>
      <c r="B2566" s="1">
        <v>45069</v>
      </c>
      <c r="C2566" t="s">
        <v>518</v>
      </c>
      <c r="D2566" t="s">
        <v>519</v>
      </c>
      <c r="E2566" t="s">
        <v>21</v>
      </c>
      <c r="F2566" t="s">
        <v>22</v>
      </c>
      <c r="G2566" t="s">
        <v>23</v>
      </c>
      <c r="H2566">
        <v>2</v>
      </c>
      <c r="I2566" s="3">
        <v>52.46</v>
      </c>
      <c r="J2566" t="s">
        <v>16</v>
      </c>
      <c r="K2566" t="s">
        <v>40</v>
      </c>
      <c r="L2566" s="4">
        <f>Table4[[#This Row],[quantity]]*Table4[[#This Row],[unit_price]]</f>
        <v>104.92</v>
      </c>
      <c r="M2566">
        <f>COUNTIFS($C$2:$C$3934,Table4[[#This Row],[customer_id]])</f>
        <v>7</v>
      </c>
      <c r="N2566" t="str">
        <f>IF(Table4[[#This Row],[customer_order_count]]=1,"New Customer","Repeat Customer")</f>
        <v>Repeat Customer</v>
      </c>
    </row>
    <row r="2567" spans="1:14">
      <c r="A2567" t="s">
        <v>3014</v>
      </c>
      <c r="B2567" s="1">
        <v>45572</v>
      </c>
      <c r="C2567" t="s">
        <v>1079</v>
      </c>
      <c r="D2567" t="s">
        <v>1080</v>
      </c>
      <c r="E2567" t="s">
        <v>21</v>
      </c>
      <c r="F2567" t="s">
        <v>22</v>
      </c>
      <c r="G2567" t="s">
        <v>264</v>
      </c>
      <c r="H2567">
        <v>5</v>
      </c>
      <c r="I2567" s="3">
        <v>52.46</v>
      </c>
      <c r="J2567" t="s">
        <v>24</v>
      </c>
      <c r="K2567" t="s">
        <v>30</v>
      </c>
      <c r="L2567" s="4">
        <f>Table4[[#This Row],[quantity]]*Table4[[#This Row],[unit_price]]</f>
        <v>262.3</v>
      </c>
      <c r="M2567">
        <f>COUNTIFS($C$2:$C$3934,Table4[[#This Row],[customer_id]])</f>
        <v>7</v>
      </c>
      <c r="N2567" t="str">
        <f>IF(Table4[[#This Row],[customer_order_count]]=1,"New Customer","Repeat Customer")</f>
        <v>Repeat Customer</v>
      </c>
    </row>
    <row r="2568" spans="1:14">
      <c r="A2568" t="s">
        <v>3915</v>
      </c>
      <c r="B2568" s="1">
        <v>44964</v>
      </c>
      <c r="C2568" t="s">
        <v>2416</v>
      </c>
      <c r="D2568" t="s">
        <v>1706</v>
      </c>
      <c r="E2568" t="s">
        <v>44</v>
      </c>
      <c r="F2568" t="s">
        <v>70</v>
      </c>
      <c r="G2568" t="s">
        <v>71</v>
      </c>
      <c r="H2568">
        <v>5</v>
      </c>
      <c r="I2568" s="3">
        <v>52.47</v>
      </c>
      <c r="J2568" t="s">
        <v>16</v>
      </c>
      <c r="K2568" t="s">
        <v>35</v>
      </c>
      <c r="L2568" s="4">
        <f>Table4[[#This Row],[quantity]]*Table4[[#This Row],[unit_price]]</f>
        <v>262.35000000000002</v>
      </c>
      <c r="M2568">
        <f>COUNTIFS($C$2:$C$3934,Table4[[#This Row],[customer_id]])</f>
        <v>4</v>
      </c>
      <c r="N2568" t="str">
        <f>IF(Table4[[#This Row],[customer_order_count]]=1,"New Customer","Repeat Customer")</f>
        <v>Repeat Customer</v>
      </c>
    </row>
    <row r="2569" spans="1:14">
      <c r="A2569" t="s">
        <v>4298</v>
      </c>
      <c r="B2569" s="1">
        <v>45543</v>
      </c>
      <c r="C2569" t="s">
        <v>2531</v>
      </c>
      <c r="D2569" t="s">
        <v>372</v>
      </c>
      <c r="E2569" t="s">
        <v>21</v>
      </c>
      <c r="F2569" t="s">
        <v>70</v>
      </c>
      <c r="G2569" t="s">
        <v>526</v>
      </c>
      <c r="H2569">
        <v>3</v>
      </c>
      <c r="I2569" s="3">
        <v>52.49</v>
      </c>
      <c r="J2569" t="s">
        <v>16</v>
      </c>
      <c r="K2569" t="s">
        <v>35</v>
      </c>
      <c r="L2569" s="4">
        <f>Table4[[#This Row],[quantity]]*Table4[[#This Row],[unit_price]]</f>
        <v>157.47</v>
      </c>
      <c r="M2569">
        <f>COUNTIFS($C$2:$C$3934,Table4[[#This Row],[customer_id]])</f>
        <v>7</v>
      </c>
      <c r="N2569" t="str">
        <f>IF(Table4[[#This Row],[customer_order_count]]=1,"New Customer","Repeat Customer")</f>
        <v>Repeat Customer</v>
      </c>
    </row>
    <row r="2570" spans="1:14">
      <c r="A2570" t="s">
        <v>651</v>
      </c>
      <c r="B2570" s="1">
        <v>45431</v>
      </c>
      <c r="C2570" t="s">
        <v>277</v>
      </c>
      <c r="D2570" t="s">
        <v>278</v>
      </c>
      <c r="E2570" t="s">
        <v>61</v>
      </c>
      <c r="F2570" t="s">
        <v>22</v>
      </c>
      <c r="G2570" t="s">
        <v>23</v>
      </c>
      <c r="H2570">
        <v>1</v>
      </c>
      <c r="I2570" s="3">
        <v>52.5</v>
      </c>
      <c r="J2570" t="s">
        <v>16</v>
      </c>
      <c r="K2570" t="s">
        <v>17</v>
      </c>
      <c r="L2570" s="4">
        <f>Table4[[#This Row],[quantity]]*Table4[[#This Row],[unit_price]]</f>
        <v>52.5</v>
      </c>
      <c r="M2570">
        <f>COUNTIFS($C$2:$C$3934,Table4[[#This Row],[customer_id]])</f>
        <v>3</v>
      </c>
      <c r="N2570" t="str">
        <f>IF(Table4[[#This Row],[customer_order_count]]=1,"New Customer","Repeat Customer")</f>
        <v>Repeat Customer</v>
      </c>
    </row>
    <row r="2571" spans="1:14">
      <c r="A2571" t="s">
        <v>3806</v>
      </c>
      <c r="B2571" s="1">
        <v>45372</v>
      </c>
      <c r="C2571" t="s">
        <v>1158</v>
      </c>
      <c r="D2571" t="s">
        <v>449</v>
      </c>
      <c r="E2571" t="s">
        <v>21</v>
      </c>
      <c r="F2571" t="s">
        <v>56</v>
      </c>
      <c r="G2571" t="s">
        <v>57</v>
      </c>
      <c r="H2571">
        <v>3</v>
      </c>
      <c r="I2571" s="3">
        <v>52.53</v>
      </c>
      <c r="J2571" t="s">
        <v>16</v>
      </c>
      <c r="K2571" s="2" t="s">
        <v>5256</v>
      </c>
      <c r="L2571" s="4">
        <f>Table4[[#This Row],[quantity]]*Table4[[#This Row],[unit_price]]</f>
        <v>157.59</v>
      </c>
      <c r="M2571">
        <f>COUNTIFS($C$2:$C$3934,Table4[[#This Row],[customer_id]])</f>
        <v>5</v>
      </c>
      <c r="N2571" t="str">
        <f>IF(Table4[[#This Row],[customer_order_count]]=1,"New Customer","Repeat Customer")</f>
        <v>Repeat Customer</v>
      </c>
    </row>
    <row r="2572" spans="1:14">
      <c r="A2572" t="s">
        <v>276</v>
      </c>
      <c r="B2572" s="1">
        <v>45221</v>
      </c>
      <c r="C2572" t="s">
        <v>277</v>
      </c>
      <c r="D2572" t="s">
        <v>278</v>
      </c>
      <c r="E2572" t="s">
        <v>61</v>
      </c>
      <c r="F2572" t="s">
        <v>14</v>
      </c>
      <c r="G2572" t="s">
        <v>39</v>
      </c>
      <c r="H2572">
        <v>2</v>
      </c>
      <c r="I2572" s="3">
        <v>52.61</v>
      </c>
      <c r="J2572" t="s">
        <v>16</v>
      </c>
      <c r="K2572" s="5" t="s">
        <v>17</v>
      </c>
      <c r="L2572" s="4">
        <f>Table4[[#This Row],[quantity]]*Table4[[#This Row],[unit_price]]</f>
        <v>105.22</v>
      </c>
      <c r="M2572">
        <f>COUNTIFS($C$2:$C$3934,Table4[[#This Row],[customer_id]])</f>
        <v>3</v>
      </c>
      <c r="N2572" t="str">
        <f>IF(Table4[[#This Row],[customer_order_count]]=1,"New Customer","Repeat Customer")</f>
        <v>Repeat Customer</v>
      </c>
    </row>
    <row r="2573" spans="1:14">
      <c r="A2573" t="s">
        <v>2622</v>
      </c>
      <c r="B2573" s="1">
        <v>45187</v>
      </c>
      <c r="C2573" t="s">
        <v>77</v>
      </c>
      <c r="D2573" t="s">
        <v>78</v>
      </c>
      <c r="E2573" t="s">
        <v>21</v>
      </c>
      <c r="F2573" t="s">
        <v>56</v>
      </c>
      <c r="G2573" t="s">
        <v>57</v>
      </c>
      <c r="H2573">
        <v>1</v>
      </c>
      <c r="I2573" s="3">
        <v>52.65</v>
      </c>
      <c r="J2573" t="s">
        <v>16</v>
      </c>
      <c r="K2573" s="2" t="s">
        <v>5256</v>
      </c>
      <c r="L2573" s="4">
        <f>Table4[[#This Row],[quantity]]*Table4[[#This Row],[unit_price]]</f>
        <v>52.65</v>
      </c>
      <c r="M2573">
        <f>COUNTIFS($C$2:$C$3934,Table4[[#This Row],[customer_id]])</f>
        <v>6</v>
      </c>
      <c r="N2573" t="str">
        <f>IF(Table4[[#This Row],[customer_order_count]]=1,"New Customer","Repeat Customer")</f>
        <v>Repeat Customer</v>
      </c>
    </row>
    <row r="2574" spans="1:14">
      <c r="A2574" t="s">
        <v>1442</v>
      </c>
      <c r="B2574" s="1">
        <v>45093</v>
      </c>
      <c r="C2574" t="s">
        <v>1443</v>
      </c>
      <c r="D2574" t="s">
        <v>1444</v>
      </c>
      <c r="E2574" t="s">
        <v>21</v>
      </c>
      <c r="F2574" t="s">
        <v>70</v>
      </c>
      <c r="G2574" t="s">
        <v>71</v>
      </c>
      <c r="H2574">
        <v>1</v>
      </c>
      <c r="I2574" s="3">
        <v>52.65</v>
      </c>
      <c r="J2574" t="s">
        <v>16</v>
      </c>
      <c r="K2574" s="5" t="s">
        <v>17</v>
      </c>
      <c r="L2574" s="4">
        <f>Table4[[#This Row],[quantity]]*Table4[[#This Row],[unit_price]]</f>
        <v>52.65</v>
      </c>
      <c r="M2574">
        <f>COUNTIFS($C$2:$C$3934,Table4[[#This Row],[customer_id]])</f>
        <v>4</v>
      </c>
      <c r="N2574" t="str">
        <f>IF(Table4[[#This Row],[customer_order_count]]=1,"New Customer","Repeat Customer")</f>
        <v>Repeat Customer</v>
      </c>
    </row>
    <row r="2575" spans="1:14">
      <c r="A2575" t="s">
        <v>5173</v>
      </c>
      <c r="B2575" s="1">
        <v>45573</v>
      </c>
      <c r="C2575" t="s">
        <v>2650</v>
      </c>
      <c r="D2575" t="s">
        <v>2024</v>
      </c>
      <c r="E2575" t="s">
        <v>21</v>
      </c>
      <c r="F2575" t="s">
        <v>14</v>
      </c>
      <c r="G2575" t="s">
        <v>100</v>
      </c>
      <c r="H2575">
        <v>1</v>
      </c>
      <c r="I2575" s="3">
        <v>52.65</v>
      </c>
      <c r="J2575" t="s">
        <v>16</v>
      </c>
      <c r="K2575" t="s">
        <v>35</v>
      </c>
      <c r="L2575" s="4">
        <f>Table4[[#This Row],[quantity]]*Table4[[#This Row],[unit_price]]</f>
        <v>52.65</v>
      </c>
      <c r="M2575">
        <f>COUNTIFS($C$2:$C$3934,Table4[[#This Row],[customer_id]])</f>
        <v>4</v>
      </c>
      <c r="N2575" t="str">
        <f>IF(Table4[[#This Row],[customer_order_count]]=1,"New Customer","Repeat Customer")</f>
        <v>Repeat Customer</v>
      </c>
    </row>
    <row r="2576" spans="1:14">
      <c r="A2576" t="s">
        <v>1297</v>
      </c>
      <c r="B2576" s="1">
        <v>45254</v>
      </c>
      <c r="C2576" t="s">
        <v>1298</v>
      </c>
      <c r="D2576" t="s">
        <v>48</v>
      </c>
      <c r="E2576" t="s">
        <v>21</v>
      </c>
      <c r="F2576" t="s">
        <v>22</v>
      </c>
      <c r="G2576" t="s">
        <v>264</v>
      </c>
      <c r="H2576">
        <v>1</v>
      </c>
      <c r="I2576" s="3">
        <v>52.67</v>
      </c>
      <c r="J2576" t="s">
        <v>16</v>
      </c>
      <c r="K2576" t="s">
        <v>35</v>
      </c>
      <c r="L2576" s="4">
        <f>Table4[[#This Row],[quantity]]*Table4[[#This Row],[unit_price]]</f>
        <v>52.67</v>
      </c>
      <c r="M2576">
        <f>COUNTIFS($C$2:$C$3934,Table4[[#This Row],[customer_id]])</f>
        <v>10</v>
      </c>
      <c r="N2576" t="str">
        <f>IF(Table4[[#This Row],[customer_order_count]]=1,"New Customer","Repeat Customer")</f>
        <v>Repeat Customer</v>
      </c>
    </row>
    <row r="2577" spans="1:14">
      <c r="A2577" t="s">
        <v>2793</v>
      </c>
      <c r="B2577" s="1">
        <v>45590</v>
      </c>
      <c r="C2577" t="s">
        <v>1158</v>
      </c>
      <c r="D2577" t="s">
        <v>449</v>
      </c>
      <c r="E2577" t="s">
        <v>21</v>
      </c>
      <c r="F2577" t="s">
        <v>79</v>
      </c>
      <c r="G2577" t="s">
        <v>166</v>
      </c>
      <c r="H2577">
        <v>1</v>
      </c>
      <c r="I2577" s="3">
        <v>52.71</v>
      </c>
      <c r="J2577" t="s">
        <v>255</v>
      </c>
      <c r="K2577" t="s">
        <v>40</v>
      </c>
      <c r="L2577" s="4">
        <f>Table4[[#This Row],[quantity]]*Table4[[#This Row],[unit_price]]</f>
        <v>52.71</v>
      </c>
      <c r="M2577">
        <f>COUNTIFS($C$2:$C$3934,Table4[[#This Row],[customer_id]])</f>
        <v>5</v>
      </c>
      <c r="N2577" t="str">
        <f>IF(Table4[[#This Row],[customer_order_count]]=1,"New Customer","Repeat Customer")</f>
        <v>Repeat Customer</v>
      </c>
    </row>
    <row r="2578" spans="1:14">
      <c r="A2578" t="s">
        <v>1874</v>
      </c>
      <c r="B2578" s="1">
        <v>45455</v>
      </c>
      <c r="C2578" t="s">
        <v>1330</v>
      </c>
      <c r="D2578" t="s">
        <v>1331</v>
      </c>
      <c r="E2578" t="s">
        <v>21</v>
      </c>
      <c r="F2578" t="s">
        <v>70</v>
      </c>
      <c r="G2578" t="s">
        <v>71</v>
      </c>
      <c r="H2578">
        <v>1</v>
      </c>
      <c r="I2578" s="3">
        <v>52.79</v>
      </c>
      <c r="J2578" t="s">
        <v>16</v>
      </c>
      <c r="K2578" t="s">
        <v>40</v>
      </c>
      <c r="L2578" s="4">
        <f>Table4[[#This Row],[quantity]]*Table4[[#This Row],[unit_price]]</f>
        <v>52.79</v>
      </c>
      <c r="M2578">
        <f>COUNTIFS($C$2:$C$3934,Table4[[#This Row],[customer_id]])</f>
        <v>5</v>
      </c>
      <c r="N2578" t="str">
        <f>IF(Table4[[#This Row],[customer_order_count]]=1,"New Customer","Repeat Customer")</f>
        <v>Repeat Customer</v>
      </c>
    </row>
    <row r="2579" spans="1:14">
      <c r="A2579" t="s">
        <v>4395</v>
      </c>
      <c r="B2579" s="1">
        <v>45225</v>
      </c>
      <c r="C2579" t="s">
        <v>413</v>
      </c>
      <c r="D2579" t="s">
        <v>414</v>
      </c>
      <c r="E2579" t="s">
        <v>21</v>
      </c>
      <c r="F2579" t="s">
        <v>79</v>
      </c>
      <c r="G2579" t="s">
        <v>166</v>
      </c>
      <c r="H2579">
        <v>2</v>
      </c>
      <c r="I2579" s="3">
        <v>52.8</v>
      </c>
      <c r="J2579" t="s">
        <v>16</v>
      </c>
      <c r="K2579" t="s">
        <v>30</v>
      </c>
      <c r="L2579" s="4">
        <f>Table4[[#This Row],[quantity]]*Table4[[#This Row],[unit_price]]</f>
        <v>105.6</v>
      </c>
      <c r="M2579">
        <f>COUNTIFS($C$2:$C$3934,Table4[[#This Row],[customer_id]])</f>
        <v>8</v>
      </c>
      <c r="N2579" t="str">
        <f>IF(Table4[[#This Row],[customer_order_count]]=1,"New Customer","Repeat Customer")</f>
        <v>Repeat Customer</v>
      </c>
    </row>
    <row r="2580" spans="1:14">
      <c r="A2580" t="s">
        <v>1221</v>
      </c>
      <c r="B2580" s="1">
        <v>45577</v>
      </c>
      <c r="C2580" t="s">
        <v>1222</v>
      </c>
      <c r="D2580" t="s">
        <v>229</v>
      </c>
      <c r="E2580" t="s">
        <v>21</v>
      </c>
      <c r="F2580" t="s">
        <v>22</v>
      </c>
      <c r="G2580" t="s">
        <v>23</v>
      </c>
      <c r="H2580">
        <v>1</v>
      </c>
      <c r="I2580" s="3">
        <v>52.84</v>
      </c>
      <c r="J2580" t="s">
        <v>16</v>
      </c>
      <c r="K2580" t="s">
        <v>30</v>
      </c>
      <c r="L2580" s="4">
        <f>Table4[[#This Row],[quantity]]*Table4[[#This Row],[unit_price]]</f>
        <v>52.84</v>
      </c>
      <c r="M2580">
        <f>COUNTIFS($C$2:$C$3934,Table4[[#This Row],[customer_id]])</f>
        <v>4</v>
      </c>
      <c r="N2580" t="str">
        <f>IF(Table4[[#This Row],[customer_order_count]]=1,"New Customer","Repeat Customer")</f>
        <v>Repeat Customer</v>
      </c>
    </row>
    <row r="2581" spans="1:14">
      <c r="A2581" t="s">
        <v>1174</v>
      </c>
      <c r="B2581" s="1">
        <v>45415</v>
      </c>
      <c r="C2581" t="s">
        <v>1175</v>
      </c>
      <c r="D2581" t="s">
        <v>1176</v>
      </c>
      <c r="E2581" t="s">
        <v>21</v>
      </c>
      <c r="F2581" t="s">
        <v>14</v>
      </c>
      <c r="G2581" t="s">
        <v>258</v>
      </c>
      <c r="H2581">
        <v>4</v>
      </c>
      <c r="I2581" s="3">
        <v>52.86</v>
      </c>
      <c r="J2581" t="s">
        <v>255</v>
      </c>
      <c r="K2581" t="s">
        <v>35</v>
      </c>
      <c r="L2581" s="4">
        <f>Table4[[#This Row],[quantity]]*Table4[[#This Row],[unit_price]]</f>
        <v>211.44</v>
      </c>
      <c r="M2581">
        <f>COUNTIFS($C$2:$C$3934,Table4[[#This Row],[customer_id]])</f>
        <v>4</v>
      </c>
      <c r="N2581" t="str">
        <f>IF(Table4[[#This Row],[customer_order_count]]=1,"New Customer","Repeat Customer")</f>
        <v>Repeat Customer</v>
      </c>
    </row>
    <row r="2582" spans="1:14">
      <c r="A2582" t="s">
        <v>4825</v>
      </c>
      <c r="B2582" s="1">
        <v>45648</v>
      </c>
      <c r="C2582" t="s">
        <v>850</v>
      </c>
      <c r="D2582" t="s">
        <v>851</v>
      </c>
      <c r="E2582" t="s">
        <v>21</v>
      </c>
      <c r="F2582" t="s">
        <v>22</v>
      </c>
      <c r="G2582" t="s">
        <v>135</v>
      </c>
      <c r="H2582">
        <v>2</v>
      </c>
      <c r="I2582" s="3">
        <v>52.88</v>
      </c>
      <c r="J2582" t="s">
        <v>85</v>
      </c>
      <c r="K2582" t="s">
        <v>17</v>
      </c>
      <c r="L2582" s="4">
        <f>Table4[[#This Row],[quantity]]*Table4[[#This Row],[unit_price]]</f>
        <v>105.76</v>
      </c>
      <c r="M2582">
        <f>COUNTIFS($C$2:$C$3934,Table4[[#This Row],[customer_id]])</f>
        <v>9</v>
      </c>
      <c r="N2582" t="str">
        <f>IF(Table4[[#This Row],[customer_order_count]]=1,"New Customer","Repeat Customer")</f>
        <v>Repeat Customer</v>
      </c>
    </row>
    <row r="2583" spans="1:14">
      <c r="A2583" t="s">
        <v>3973</v>
      </c>
      <c r="B2583" s="1">
        <v>45546</v>
      </c>
      <c r="C2583" t="s">
        <v>1038</v>
      </c>
      <c r="D2583" t="s">
        <v>560</v>
      </c>
      <c r="E2583" t="s">
        <v>21</v>
      </c>
      <c r="F2583" t="s">
        <v>14</v>
      </c>
      <c r="G2583" t="s">
        <v>100</v>
      </c>
      <c r="H2583">
        <v>3</v>
      </c>
      <c r="I2583" s="3">
        <v>52.88</v>
      </c>
      <c r="J2583" t="s">
        <v>85</v>
      </c>
      <c r="K2583" t="s">
        <v>40</v>
      </c>
      <c r="L2583" s="4">
        <f>Table4[[#This Row],[quantity]]*Table4[[#This Row],[unit_price]]</f>
        <v>158.64000000000001</v>
      </c>
      <c r="M2583">
        <f>COUNTIFS($C$2:$C$3934,Table4[[#This Row],[customer_id]])</f>
        <v>6</v>
      </c>
      <c r="N2583" t="str">
        <f>IF(Table4[[#This Row],[customer_order_count]]=1,"New Customer","Repeat Customer")</f>
        <v>Repeat Customer</v>
      </c>
    </row>
    <row r="2584" spans="1:14">
      <c r="A2584" t="s">
        <v>2365</v>
      </c>
      <c r="B2584" s="1">
        <v>45412</v>
      </c>
      <c r="C2584" t="s">
        <v>1140</v>
      </c>
      <c r="D2584" t="s">
        <v>684</v>
      </c>
      <c r="E2584" t="s">
        <v>44</v>
      </c>
      <c r="F2584" t="s">
        <v>14</v>
      </c>
      <c r="G2584" t="s">
        <v>100</v>
      </c>
      <c r="H2584">
        <v>1</v>
      </c>
      <c r="I2584" s="3">
        <v>52.890520833333333</v>
      </c>
      <c r="J2584" t="s">
        <v>255</v>
      </c>
      <c r="K2584" t="s">
        <v>40</v>
      </c>
      <c r="L2584" s="4">
        <f>Table4[[#This Row],[quantity]]*Table4[[#This Row],[unit_price]]</f>
        <v>52.890520833333333</v>
      </c>
      <c r="M2584">
        <f>COUNTIFS($C$2:$C$3934,Table4[[#This Row],[customer_id]])</f>
        <v>4</v>
      </c>
      <c r="N2584" t="str">
        <f>IF(Table4[[#This Row],[customer_order_count]]=1,"New Customer","Repeat Customer")</f>
        <v>Repeat Customer</v>
      </c>
    </row>
    <row r="2585" spans="1:14">
      <c r="A2585" t="s">
        <v>1436</v>
      </c>
      <c r="B2585" s="1">
        <v>45033</v>
      </c>
      <c r="C2585" t="s">
        <v>1437</v>
      </c>
      <c r="D2585" t="s">
        <v>1054</v>
      </c>
      <c r="E2585" t="s">
        <v>21</v>
      </c>
      <c r="F2585" t="s">
        <v>14</v>
      </c>
      <c r="G2585" t="s">
        <v>100</v>
      </c>
      <c r="H2585">
        <v>1</v>
      </c>
      <c r="I2585" s="3">
        <v>52.890520833333333</v>
      </c>
      <c r="J2585" t="s">
        <v>16</v>
      </c>
      <c r="K2585" t="s">
        <v>40</v>
      </c>
      <c r="L2585" s="4">
        <f>Table4[[#This Row],[quantity]]*Table4[[#This Row],[unit_price]]</f>
        <v>52.890520833333333</v>
      </c>
      <c r="M2585">
        <f>COUNTIFS($C$2:$C$3934,Table4[[#This Row],[customer_id]])</f>
        <v>5</v>
      </c>
      <c r="N2585" t="str">
        <f>IF(Table4[[#This Row],[customer_order_count]]=1,"New Customer","Repeat Customer")</f>
        <v>Repeat Customer</v>
      </c>
    </row>
    <row r="2586" spans="1:14">
      <c r="A2586" t="s">
        <v>823</v>
      </c>
      <c r="B2586" s="1">
        <v>45208</v>
      </c>
      <c r="C2586" t="s">
        <v>824</v>
      </c>
      <c r="D2586" t="s">
        <v>825</v>
      </c>
      <c r="E2586" t="s">
        <v>44</v>
      </c>
      <c r="F2586" t="s">
        <v>14</v>
      </c>
      <c r="G2586" t="s">
        <v>100</v>
      </c>
      <c r="H2586">
        <v>2</v>
      </c>
      <c r="I2586" s="3">
        <v>52.890520833333333</v>
      </c>
      <c r="J2586" t="s">
        <v>16</v>
      </c>
      <c r="K2586" t="s">
        <v>40</v>
      </c>
      <c r="L2586" s="4">
        <f>Table4[[#This Row],[quantity]]*Table4[[#This Row],[unit_price]]</f>
        <v>105.78104166666667</v>
      </c>
      <c r="M2586">
        <f>COUNTIFS($C$2:$C$3934,Table4[[#This Row],[customer_id]])</f>
        <v>7</v>
      </c>
      <c r="N2586" t="str">
        <f>IF(Table4[[#This Row],[customer_order_count]]=1,"New Customer","Repeat Customer")</f>
        <v>Repeat Customer</v>
      </c>
    </row>
    <row r="2587" spans="1:14">
      <c r="A2587" t="s">
        <v>5046</v>
      </c>
      <c r="B2587" s="1">
        <v>44991</v>
      </c>
      <c r="C2587" t="s">
        <v>969</v>
      </c>
      <c r="D2587" t="s">
        <v>365</v>
      </c>
      <c r="E2587" t="s">
        <v>21</v>
      </c>
      <c r="F2587" t="s">
        <v>14</v>
      </c>
      <c r="G2587" t="s">
        <v>100</v>
      </c>
      <c r="H2587">
        <v>2</v>
      </c>
      <c r="I2587" s="3">
        <v>52.890520833333333</v>
      </c>
      <c r="J2587" t="s">
        <v>16</v>
      </c>
      <c r="K2587" t="s">
        <v>40</v>
      </c>
      <c r="L2587" s="4">
        <f>Table4[[#This Row],[quantity]]*Table4[[#This Row],[unit_price]]</f>
        <v>105.78104166666667</v>
      </c>
      <c r="M2587">
        <f>COUNTIFS($C$2:$C$3934,Table4[[#This Row],[customer_id]])</f>
        <v>5</v>
      </c>
      <c r="N2587" t="str">
        <f>IF(Table4[[#This Row],[customer_order_count]]=1,"New Customer","Repeat Customer")</f>
        <v>Repeat Customer</v>
      </c>
    </row>
    <row r="2588" spans="1:14">
      <c r="A2588" t="s">
        <v>2359</v>
      </c>
      <c r="B2588" s="1">
        <v>44964</v>
      </c>
      <c r="C2588" t="s">
        <v>556</v>
      </c>
      <c r="D2588" t="s">
        <v>327</v>
      </c>
      <c r="E2588" t="s">
        <v>21</v>
      </c>
      <c r="F2588" t="s">
        <v>14</v>
      </c>
      <c r="G2588" t="s">
        <v>34</v>
      </c>
      <c r="H2588">
        <v>2</v>
      </c>
      <c r="I2588" s="3">
        <v>52.92</v>
      </c>
      <c r="J2588" t="s">
        <v>16</v>
      </c>
      <c r="K2588" t="s">
        <v>17</v>
      </c>
      <c r="L2588" s="4">
        <f>Table4[[#This Row],[quantity]]*Table4[[#This Row],[unit_price]]</f>
        <v>105.84</v>
      </c>
      <c r="M2588">
        <f>COUNTIFS($C$2:$C$3934,Table4[[#This Row],[customer_id]])</f>
        <v>7</v>
      </c>
      <c r="N2588" t="str">
        <f>IF(Table4[[#This Row],[customer_order_count]]=1,"New Customer","Repeat Customer")</f>
        <v>Repeat Customer</v>
      </c>
    </row>
    <row r="2589" spans="1:14">
      <c r="A2589" t="s">
        <v>5091</v>
      </c>
      <c r="B2589" s="1">
        <v>45293</v>
      </c>
      <c r="C2589" t="s">
        <v>1708</v>
      </c>
      <c r="D2589" t="s">
        <v>127</v>
      </c>
      <c r="E2589" t="s">
        <v>21</v>
      </c>
      <c r="F2589" t="s">
        <v>22</v>
      </c>
      <c r="G2589" t="s">
        <v>23</v>
      </c>
      <c r="H2589">
        <v>3</v>
      </c>
      <c r="I2589" s="3">
        <v>52.94</v>
      </c>
      <c r="J2589" t="s">
        <v>16</v>
      </c>
      <c r="K2589" t="s">
        <v>35</v>
      </c>
      <c r="L2589" s="4">
        <f>Table4[[#This Row],[quantity]]*Table4[[#This Row],[unit_price]]</f>
        <v>158.82</v>
      </c>
      <c r="M2589">
        <f>COUNTIFS($C$2:$C$3934,Table4[[#This Row],[customer_id]])</f>
        <v>9</v>
      </c>
      <c r="N2589" t="str">
        <f>IF(Table4[[#This Row],[customer_order_count]]=1,"New Customer","Repeat Customer")</f>
        <v>Repeat Customer</v>
      </c>
    </row>
    <row r="2590" spans="1:14">
      <c r="A2590" t="s">
        <v>150</v>
      </c>
      <c r="B2590" s="1">
        <v>45245</v>
      </c>
      <c r="C2590" t="s">
        <v>151</v>
      </c>
      <c r="D2590" t="s">
        <v>152</v>
      </c>
      <c r="E2590" t="s">
        <v>21</v>
      </c>
      <c r="F2590" t="s">
        <v>56</v>
      </c>
      <c r="G2590" t="s">
        <v>153</v>
      </c>
      <c r="H2590">
        <v>2</v>
      </c>
      <c r="I2590" s="3">
        <v>52.95</v>
      </c>
      <c r="J2590" t="s">
        <v>85</v>
      </c>
      <c r="K2590" t="s">
        <v>30</v>
      </c>
      <c r="L2590" s="4">
        <f>Table4[[#This Row],[quantity]]*Table4[[#This Row],[unit_price]]</f>
        <v>105.9</v>
      </c>
      <c r="M2590">
        <f>COUNTIFS($C$2:$C$3934,Table4[[#This Row],[customer_id]])</f>
        <v>3</v>
      </c>
      <c r="N2590" t="str">
        <f>IF(Table4[[#This Row],[customer_order_count]]=1,"New Customer","Repeat Customer")</f>
        <v>Repeat Customer</v>
      </c>
    </row>
    <row r="2591" spans="1:14">
      <c r="A2591" t="s">
        <v>5002</v>
      </c>
      <c r="B2591" s="1">
        <v>45074</v>
      </c>
      <c r="C2591" t="s">
        <v>2279</v>
      </c>
      <c r="D2591" t="s">
        <v>237</v>
      </c>
      <c r="E2591" t="s">
        <v>21</v>
      </c>
      <c r="F2591" t="s">
        <v>14</v>
      </c>
      <c r="G2591" t="s">
        <v>34</v>
      </c>
      <c r="H2591">
        <v>3</v>
      </c>
      <c r="I2591" s="3">
        <v>53.02</v>
      </c>
      <c r="J2591" t="s">
        <v>16</v>
      </c>
      <c r="K2591" t="s">
        <v>40</v>
      </c>
      <c r="L2591" s="4">
        <f>Table4[[#This Row],[quantity]]*Table4[[#This Row],[unit_price]]</f>
        <v>159.06</v>
      </c>
      <c r="M2591">
        <f>COUNTIFS($C$2:$C$3934,Table4[[#This Row],[customer_id]])</f>
        <v>5</v>
      </c>
      <c r="N2591" t="str">
        <f>IF(Table4[[#This Row],[customer_order_count]]=1,"New Customer","Repeat Customer")</f>
        <v>Repeat Customer</v>
      </c>
    </row>
    <row r="2592" spans="1:14">
      <c r="A2592" t="s">
        <v>3836</v>
      </c>
      <c r="B2592" s="1">
        <v>45602</v>
      </c>
      <c r="C2592" t="s">
        <v>893</v>
      </c>
      <c r="D2592" t="s">
        <v>659</v>
      </c>
      <c r="E2592" t="s">
        <v>21</v>
      </c>
      <c r="F2592" t="s">
        <v>22</v>
      </c>
      <c r="G2592" t="s">
        <v>162</v>
      </c>
      <c r="H2592">
        <v>1</v>
      </c>
      <c r="I2592" s="3">
        <v>53.1</v>
      </c>
      <c r="J2592" t="s">
        <v>16</v>
      </c>
      <c r="K2592" t="s">
        <v>40</v>
      </c>
      <c r="L2592" s="4">
        <f>Table4[[#This Row],[quantity]]*Table4[[#This Row],[unit_price]]</f>
        <v>53.1</v>
      </c>
      <c r="M2592">
        <f>COUNTIFS($C$2:$C$3934,Table4[[#This Row],[customer_id]])</f>
        <v>12</v>
      </c>
      <c r="N2592" t="str">
        <f>IF(Table4[[#This Row],[customer_order_count]]=1,"New Customer","Repeat Customer")</f>
        <v>Repeat Customer</v>
      </c>
    </row>
    <row r="2593" spans="1:14">
      <c r="A2593" t="s">
        <v>3264</v>
      </c>
      <c r="B2593" s="1">
        <v>45029</v>
      </c>
      <c r="C2593" t="s">
        <v>1573</v>
      </c>
      <c r="D2593" t="s">
        <v>693</v>
      </c>
      <c r="E2593" t="s">
        <v>21</v>
      </c>
      <c r="F2593" t="s">
        <v>70</v>
      </c>
      <c r="G2593" t="s">
        <v>146</v>
      </c>
      <c r="H2593">
        <v>1</v>
      </c>
      <c r="I2593" s="3">
        <v>53.14</v>
      </c>
      <c r="J2593" t="s">
        <v>16</v>
      </c>
      <c r="K2593" t="s">
        <v>35</v>
      </c>
      <c r="L2593" s="4">
        <f>Table4[[#This Row],[quantity]]*Table4[[#This Row],[unit_price]]</f>
        <v>53.14</v>
      </c>
      <c r="M2593">
        <f>COUNTIFS($C$2:$C$3934,Table4[[#This Row],[customer_id]])</f>
        <v>7</v>
      </c>
      <c r="N2593" t="str">
        <f>IF(Table4[[#This Row],[customer_order_count]]=1,"New Customer","Repeat Customer")</f>
        <v>Repeat Customer</v>
      </c>
    </row>
    <row r="2594" spans="1:14">
      <c r="A2594" t="s">
        <v>4671</v>
      </c>
      <c r="B2594" s="1">
        <v>45386</v>
      </c>
      <c r="C2594" t="s">
        <v>3793</v>
      </c>
      <c r="D2594" t="s">
        <v>743</v>
      </c>
      <c r="E2594" t="s">
        <v>44</v>
      </c>
      <c r="F2594" t="s">
        <v>70</v>
      </c>
      <c r="G2594" t="s">
        <v>526</v>
      </c>
      <c r="H2594">
        <v>1</v>
      </c>
      <c r="I2594" s="3">
        <v>53.15</v>
      </c>
      <c r="J2594" t="s">
        <v>16</v>
      </c>
      <c r="K2594" t="s">
        <v>40</v>
      </c>
      <c r="L2594" s="4">
        <f>Table4[[#This Row],[quantity]]*Table4[[#This Row],[unit_price]]</f>
        <v>53.15</v>
      </c>
      <c r="M2594">
        <f>COUNTIFS($C$2:$C$3934,Table4[[#This Row],[customer_id]])</f>
        <v>3</v>
      </c>
      <c r="N2594" t="str">
        <f>IF(Table4[[#This Row],[customer_order_count]]=1,"New Customer","Repeat Customer")</f>
        <v>Repeat Customer</v>
      </c>
    </row>
    <row r="2595" spans="1:14">
      <c r="A2595" t="s">
        <v>2080</v>
      </c>
      <c r="B2595" s="1">
        <v>45550</v>
      </c>
      <c r="C2595" t="s">
        <v>793</v>
      </c>
      <c r="D2595" t="s">
        <v>794</v>
      </c>
      <c r="E2595" t="s">
        <v>44</v>
      </c>
      <c r="F2595" t="s">
        <v>14</v>
      </c>
      <c r="G2595" t="s">
        <v>100</v>
      </c>
      <c r="H2595">
        <v>2</v>
      </c>
      <c r="I2595" s="3">
        <v>53.18</v>
      </c>
      <c r="J2595" t="s">
        <v>16</v>
      </c>
      <c r="K2595" t="s">
        <v>40</v>
      </c>
      <c r="L2595" s="4">
        <f>Table4[[#This Row],[quantity]]*Table4[[#This Row],[unit_price]]</f>
        <v>106.36</v>
      </c>
      <c r="M2595">
        <f>COUNTIFS($C$2:$C$3934,Table4[[#This Row],[customer_id]])</f>
        <v>5</v>
      </c>
      <c r="N2595" t="str">
        <f>IF(Table4[[#This Row],[customer_order_count]]=1,"New Customer","Repeat Customer")</f>
        <v>Repeat Customer</v>
      </c>
    </row>
    <row r="2596" spans="1:14">
      <c r="A2596" t="s">
        <v>628</v>
      </c>
      <c r="B2596" s="1">
        <v>45011</v>
      </c>
      <c r="C2596" t="s">
        <v>629</v>
      </c>
      <c r="D2596" t="s">
        <v>630</v>
      </c>
      <c r="E2596" t="s">
        <v>44</v>
      </c>
      <c r="F2596" t="s">
        <v>22</v>
      </c>
      <c r="G2596" t="s">
        <v>162</v>
      </c>
      <c r="H2596">
        <v>1</v>
      </c>
      <c r="I2596" s="3">
        <v>53.2</v>
      </c>
      <c r="J2596" t="s">
        <v>16</v>
      </c>
      <c r="K2596" t="s">
        <v>30</v>
      </c>
      <c r="L2596" s="4">
        <f>Table4[[#This Row],[quantity]]*Table4[[#This Row],[unit_price]]</f>
        <v>53.2</v>
      </c>
      <c r="M2596">
        <f>COUNTIFS($C$2:$C$3934,Table4[[#This Row],[customer_id]])</f>
        <v>5</v>
      </c>
      <c r="N2596" t="str">
        <f>IF(Table4[[#This Row],[customer_order_count]]=1,"New Customer","Repeat Customer")</f>
        <v>Repeat Customer</v>
      </c>
    </row>
    <row r="2597" spans="1:14">
      <c r="A2597" t="s">
        <v>3012</v>
      </c>
      <c r="B2597" s="1">
        <v>45242</v>
      </c>
      <c r="C2597" t="s">
        <v>2569</v>
      </c>
      <c r="D2597" t="s">
        <v>2570</v>
      </c>
      <c r="E2597" t="s">
        <v>21</v>
      </c>
      <c r="F2597" t="s">
        <v>70</v>
      </c>
      <c r="G2597" t="s">
        <v>71</v>
      </c>
      <c r="H2597">
        <v>1</v>
      </c>
      <c r="I2597" s="3">
        <v>53.26</v>
      </c>
      <c r="J2597" t="s">
        <v>16</v>
      </c>
      <c r="K2597" t="s">
        <v>17</v>
      </c>
      <c r="L2597" s="4">
        <f>Table4[[#This Row],[quantity]]*Table4[[#This Row],[unit_price]]</f>
        <v>53.26</v>
      </c>
      <c r="M2597">
        <f>COUNTIFS($C$2:$C$3934,Table4[[#This Row],[customer_id]])</f>
        <v>1</v>
      </c>
      <c r="N2597" t="str">
        <f>IF(Table4[[#This Row],[customer_order_count]]=1,"New Customer","Repeat Customer")</f>
        <v>New Customer</v>
      </c>
    </row>
    <row r="2598" spans="1:14">
      <c r="A2598" t="s">
        <v>4848</v>
      </c>
      <c r="B2598" s="1">
        <v>45257</v>
      </c>
      <c r="C2598" t="s">
        <v>2597</v>
      </c>
      <c r="D2598" t="s">
        <v>535</v>
      </c>
      <c r="E2598" t="s">
        <v>44</v>
      </c>
      <c r="F2598" t="s">
        <v>14</v>
      </c>
      <c r="G2598" t="s">
        <v>100</v>
      </c>
      <c r="H2598">
        <v>1</v>
      </c>
      <c r="I2598" s="3">
        <v>53.34</v>
      </c>
      <c r="J2598" t="s">
        <v>16</v>
      </c>
      <c r="K2598" t="s">
        <v>30</v>
      </c>
      <c r="L2598" s="4">
        <f>Table4[[#This Row],[quantity]]*Table4[[#This Row],[unit_price]]</f>
        <v>53.34</v>
      </c>
      <c r="M2598">
        <f>COUNTIFS($C$2:$C$3934,Table4[[#This Row],[customer_id]])</f>
        <v>3</v>
      </c>
      <c r="N2598" t="str">
        <f>IF(Table4[[#This Row],[customer_order_count]]=1,"New Customer","Repeat Customer")</f>
        <v>Repeat Customer</v>
      </c>
    </row>
    <row r="2599" spans="1:14">
      <c r="A2599" t="s">
        <v>90</v>
      </c>
      <c r="B2599" s="1">
        <v>45316</v>
      </c>
      <c r="C2599" t="s">
        <v>91</v>
      </c>
      <c r="D2599" t="s">
        <v>92</v>
      </c>
      <c r="E2599" t="s">
        <v>21</v>
      </c>
      <c r="F2599" t="s">
        <v>14</v>
      </c>
      <c r="G2599" t="s">
        <v>34</v>
      </c>
      <c r="H2599">
        <v>1</v>
      </c>
      <c r="I2599" s="3">
        <v>53.348859649122844</v>
      </c>
      <c r="J2599" t="s">
        <v>85</v>
      </c>
      <c r="K2599" t="s">
        <v>40</v>
      </c>
      <c r="L2599" s="4">
        <f>Table4[[#This Row],[quantity]]*Table4[[#This Row],[unit_price]]</f>
        <v>53.348859649122844</v>
      </c>
      <c r="M2599">
        <f>COUNTIFS($C$2:$C$3934,Table4[[#This Row],[customer_id]])</f>
        <v>6</v>
      </c>
      <c r="N2599" t="str">
        <f>IF(Table4[[#This Row],[customer_order_count]]=1,"New Customer","Repeat Customer")</f>
        <v>Repeat Customer</v>
      </c>
    </row>
    <row r="2600" spans="1:14">
      <c r="A2600" t="s">
        <v>3838</v>
      </c>
      <c r="B2600" s="1">
        <v>45005</v>
      </c>
      <c r="C2600" t="s">
        <v>2067</v>
      </c>
      <c r="D2600" t="s">
        <v>165</v>
      </c>
      <c r="E2600" t="s">
        <v>21</v>
      </c>
      <c r="F2600" t="s">
        <v>14</v>
      </c>
      <c r="G2600" t="s">
        <v>34</v>
      </c>
      <c r="H2600">
        <v>4</v>
      </c>
      <c r="I2600" s="3">
        <v>53.348859649122844</v>
      </c>
      <c r="J2600" t="s">
        <v>16</v>
      </c>
      <c r="K2600" t="s">
        <v>40</v>
      </c>
      <c r="L2600" s="4">
        <f>Table4[[#This Row],[quantity]]*Table4[[#This Row],[unit_price]]</f>
        <v>213.39543859649137</v>
      </c>
      <c r="M2600">
        <f>COUNTIFS($C$2:$C$3934,Table4[[#This Row],[customer_id]])</f>
        <v>4</v>
      </c>
      <c r="N2600" t="str">
        <f>IF(Table4[[#This Row],[customer_order_count]]=1,"New Customer","Repeat Customer")</f>
        <v>Repeat Customer</v>
      </c>
    </row>
    <row r="2601" spans="1:14">
      <c r="A2601" t="s">
        <v>598</v>
      </c>
      <c r="B2601" s="1">
        <v>45536</v>
      </c>
      <c r="C2601" t="s">
        <v>599</v>
      </c>
      <c r="D2601" t="s">
        <v>432</v>
      </c>
      <c r="E2601" t="s">
        <v>21</v>
      </c>
      <c r="F2601" t="s">
        <v>56</v>
      </c>
      <c r="G2601" t="s">
        <v>153</v>
      </c>
      <c r="H2601">
        <v>1</v>
      </c>
      <c r="I2601" s="3">
        <v>53.35</v>
      </c>
      <c r="J2601" t="s">
        <v>16</v>
      </c>
      <c r="K2601" t="s">
        <v>35</v>
      </c>
      <c r="L2601" s="4">
        <f>Table4[[#This Row],[quantity]]*Table4[[#This Row],[unit_price]]</f>
        <v>53.35</v>
      </c>
      <c r="M2601">
        <f>COUNTIFS($C$2:$C$3934,Table4[[#This Row],[customer_id]])</f>
        <v>5</v>
      </c>
      <c r="N2601" t="str">
        <f>IF(Table4[[#This Row],[customer_order_count]]=1,"New Customer","Repeat Customer")</f>
        <v>Repeat Customer</v>
      </c>
    </row>
    <row r="2602" spans="1:14">
      <c r="A2602" t="s">
        <v>2329</v>
      </c>
      <c r="B2602" s="1">
        <v>45071</v>
      </c>
      <c r="C2602" t="s">
        <v>1989</v>
      </c>
      <c r="D2602" t="s">
        <v>340</v>
      </c>
      <c r="E2602" t="s">
        <v>21</v>
      </c>
      <c r="F2602" t="s">
        <v>79</v>
      </c>
      <c r="G2602" t="s">
        <v>200</v>
      </c>
      <c r="H2602">
        <v>1</v>
      </c>
      <c r="I2602" s="3">
        <v>53.35</v>
      </c>
      <c r="J2602" t="s">
        <v>16</v>
      </c>
      <c r="K2602" t="s">
        <v>30</v>
      </c>
      <c r="L2602" s="4">
        <f>Table4[[#This Row],[quantity]]*Table4[[#This Row],[unit_price]]</f>
        <v>53.35</v>
      </c>
      <c r="M2602">
        <f>COUNTIFS($C$2:$C$3934,Table4[[#This Row],[customer_id]])</f>
        <v>8</v>
      </c>
      <c r="N2602" t="str">
        <f>IF(Table4[[#This Row],[customer_order_count]]=1,"New Customer","Repeat Customer")</f>
        <v>Repeat Customer</v>
      </c>
    </row>
    <row r="2603" spans="1:14">
      <c r="A2603" t="s">
        <v>4578</v>
      </c>
      <c r="B2603" s="1">
        <v>44961</v>
      </c>
      <c r="C2603" t="s">
        <v>1657</v>
      </c>
      <c r="D2603" t="s">
        <v>714</v>
      </c>
      <c r="E2603" t="s">
        <v>61</v>
      </c>
      <c r="F2603" t="s">
        <v>70</v>
      </c>
      <c r="G2603" t="s">
        <v>170</v>
      </c>
      <c r="H2603">
        <v>2</v>
      </c>
      <c r="I2603" s="3">
        <v>53.37</v>
      </c>
      <c r="J2603" t="s">
        <v>16</v>
      </c>
      <c r="K2603" t="s">
        <v>17</v>
      </c>
      <c r="L2603" s="4">
        <f>Table4[[#This Row],[quantity]]*Table4[[#This Row],[unit_price]]</f>
        <v>106.74</v>
      </c>
      <c r="M2603">
        <f>COUNTIFS($C$2:$C$3934,Table4[[#This Row],[customer_id]])</f>
        <v>3</v>
      </c>
      <c r="N2603" t="str">
        <f>IF(Table4[[#This Row],[customer_order_count]]=1,"New Customer","Repeat Customer")</f>
        <v>Repeat Customer</v>
      </c>
    </row>
    <row r="2604" spans="1:14">
      <c r="A2604" t="s">
        <v>577</v>
      </c>
      <c r="B2604" s="1">
        <v>44944</v>
      </c>
      <c r="C2604" t="s">
        <v>578</v>
      </c>
      <c r="D2604" t="s">
        <v>579</v>
      </c>
      <c r="E2604" t="s">
        <v>21</v>
      </c>
      <c r="F2604" t="s">
        <v>22</v>
      </c>
      <c r="G2604" t="s">
        <v>162</v>
      </c>
      <c r="H2604">
        <v>1</v>
      </c>
      <c r="I2604" s="3">
        <v>53.39</v>
      </c>
      <c r="J2604" t="s">
        <v>16</v>
      </c>
      <c r="K2604" t="s">
        <v>17</v>
      </c>
      <c r="L2604" s="4">
        <f>Table4[[#This Row],[quantity]]*Table4[[#This Row],[unit_price]]</f>
        <v>53.39</v>
      </c>
      <c r="M2604">
        <f>COUNTIFS($C$2:$C$3934,Table4[[#This Row],[customer_id]])</f>
        <v>10</v>
      </c>
      <c r="N2604" t="str">
        <f>IF(Table4[[#This Row],[customer_order_count]]=1,"New Customer","Repeat Customer")</f>
        <v>Repeat Customer</v>
      </c>
    </row>
    <row r="2605" spans="1:14">
      <c r="A2605" t="s">
        <v>2274</v>
      </c>
      <c r="B2605" s="1">
        <v>45128</v>
      </c>
      <c r="C2605" t="s">
        <v>2275</v>
      </c>
      <c r="D2605" t="s">
        <v>582</v>
      </c>
      <c r="E2605" t="s">
        <v>21</v>
      </c>
      <c r="F2605" t="s">
        <v>70</v>
      </c>
      <c r="G2605" t="s">
        <v>526</v>
      </c>
      <c r="H2605">
        <v>1</v>
      </c>
      <c r="I2605" s="3">
        <v>53.42</v>
      </c>
      <c r="J2605" t="s">
        <v>85</v>
      </c>
      <c r="K2605" t="s">
        <v>30</v>
      </c>
      <c r="L2605" s="4">
        <f>Table4[[#This Row],[quantity]]*Table4[[#This Row],[unit_price]]</f>
        <v>53.42</v>
      </c>
      <c r="M2605">
        <f>COUNTIFS($C$2:$C$3934,Table4[[#This Row],[customer_id]])</f>
        <v>5</v>
      </c>
      <c r="N2605" t="str">
        <f>IF(Table4[[#This Row],[customer_order_count]]=1,"New Customer","Repeat Customer")</f>
        <v>Repeat Customer</v>
      </c>
    </row>
    <row r="2606" spans="1:14">
      <c r="A2606" t="s">
        <v>3945</v>
      </c>
      <c r="B2606" s="1">
        <v>44964</v>
      </c>
      <c r="C2606" t="s">
        <v>390</v>
      </c>
      <c r="D2606" t="s">
        <v>391</v>
      </c>
      <c r="E2606" t="s">
        <v>21</v>
      </c>
      <c r="F2606" t="s">
        <v>22</v>
      </c>
      <c r="G2606" t="s">
        <v>135</v>
      </c>
      <c r="H2606">
        <v>2</v>
      </c>
      <c r="I2606" s="3">
        <v>53.42</v>
      </c>
      <c r="J2606" t="s">
        <v>16</v>
      </c>
      <c r="K2606" t="s">
        <v>17</v>
      </c>
      <c r="L2606" s="4">
        <f>Table4[[#This Row],[quantity]]*Table4[[#This Row],[unit_price]]</f>
        <v>106.84</v>
      </c>
      <c r="M2606">
        <f>COUNTIFS($C$2:$C$3934,Table4[[#This Row],[customer_id]])</f>
        <v>4</v>
      </c>
      <c r="N2606" t="str">
        <f>IF(Table4[[#This Row],[customer_order_count]]=1,"New Customer","Repeat Customer")</f>
        <v>Repeat Customer</v>
      </c>
    </row>
    <row r="2607" spans="1:14">
      <c r="A2607" t="s">
        <v>4670</v>
      </c>
      <c r="B2607" s="1">
        <v>45236</v>
      </c>
      <c r="C2607" t="s">
        <v>1747</v>
      </c>
      <c r="D2607" t="s">
        <v>1748</v>
      </c>
      <c r="E2607" t="s">
        <v>21</v>
      </c>
      <c r="F2607" t="s">
        <v>22</v>
      </c>
      <c r="G2607" t="s">
        <v>142</v>
      </c>
      <c r="H2607">
        <v>1</v>
      </c>
      <c r="I2607" s="3">
        <v>53.43</v>
      </c>
      <c r="J2607" t="s">
        <v>16</v>
      </c>
      <c r="K2607" t="s">
        <v>17</v>
      </c>
      <c r="L2607" s="4">
        <f>Table4[[#This Row],[quantity]]*Table4[[#This Row],[unit_price]]</f>
        <v>53.43</v>
      </c>
      <c r="M2607">
        <f>COUNTIFS($C$2:$C$3934,Table4[[#This Row],[customer_id]])</f>
        <v>8</v>
      </c>
      <c r="N2607" t="str">
        <f>IF(Table4[[#This Row],[customer_order_count]]=1,"New Customer","Repeat Customer")</f>
        <v>Repeat Customer</v>
      </c>
    </row>
    <row r="2608" spans="1:14">
      <c r="A2608" t="s">
        <v>5165</v>
      </c>
      <c r="B2608" s="1">
        <v>45619</v>
      </c>
      <c r="C2608" t="s">
        <v>1881</v>
      </c>
      <c r="D2608" t="s">
        <v>491</v>
      </c>
      <c r="E2608" t="s">
        <v>21</v>
      </c>
      <c r="F2608" t="s">
        <v>22</v>
      </c>
      <c r="G2608" t="s">
        <v>23</v>
      </c>
      <c r="H2608">
        <v>1</v>
      </c>
      <c r="I2608" s="3">
        <v>53.45</v>
      </c>
      <c r="J2608" t="s">
        <v>16</v>
      </c>
      <c r="K2608" t="s">
        <v>17</v>
      </c>
      <c r="L2608" s="4">
        <f>Table4[[#This Row],[quantity]]*Table4[[#This Row],[unit_price]]</f>
        <v>53.45</v>
      </c>
      <c r="M2608">
        <f>COUNTIFS($C$2:$C$3934,Table4[[#This Row],[customer_id]])</f>
        <v>4</v>
      </c>
      <c r="N2608" t="str">
        <f>IF(Table4[[#This Row],[customer_order_count]]=1,"New Customer","Repeat Customer")</f>
        <v>Repeat Customer</v>
      </c>
    </row>
    <row r="2609" spans="1:14">
      <c r="A2609" t="s">
        <v>2824</v>
      </c>
      <c r="B2609" s="1">
        <v>45080</v>
      </c>
      <c r="C2609" t="s">
        <v>1571</v>
      </c>
      <c r="D2609" t="s">
        <v>275</v>
      </c>
      <c r="E2609" t="s">
        <v>44</v>
      </c>
      <c r="F2609" t="s">
        <v>22</v>
      </c>
      <c r="G2609" t="s">
        <v>135</v>
      </c>
      <c r="H2609">
        <v>1</v>
      </c>
      <c r="I2609" s="3">
        <v>53.48</v>
      </c>
      <c r="J2609" t="s">
        <v>16</v>
      </c>
      <c r="K2609" t="s">
        <v>40</v>
      </c>
      <c r="L2609" s="4">
        <f>Table4[[#This Row],[quantity]]*Table4[[#This Row],[unit_price]]</f>
        <v>53.48</v>
      </c>
      <c r="M2609">
        <f>COUNTIFS($C$2:$C$3934,Table4[[#This Row],[customer_id]])</f>
        <v>3</v>
      </c>
      <c r="N2609" t="str">
        <f>IF(Table4[[#This Row],[customer_order_count]]=1,"New Customer","Repeat Customer")</f>
        <v>Repeat Customer</v>
      </c>
    </row>
    <row r="2610" spans="1:14">
      <c r="A2610" t="s">
        <v>3517</v>
      </c>
      <c r="B2610" s="1">
        <v>45299</v>
      </c>
      <c r="C2610" t="s">
        <v>371</v>
      </c>
      <c r="D2610" t="s">
        <v>372</v>
      </c>
      <c r="E2610" t="s">
        <v>21</v>
      </c>
      <c r="F2610" t="s">
        <v>22</v>
      </c>
      <c r="G2610" t="s">
        <v>23</v>
      </c>
      <c r="H2610">
        <v>1</v>
      </c>
      <c r="I2610" s="3">
        <v>53.5</v>
      </c>
      <c r="J2610" t="s">
        <v>16</v>
      </c>
      <c r="K2610" t="s">
        <v>30</v>
      </c>
      <c r="L2610" s="4">
        <f>Table4[[#This Row],[quantity]]*Table4[[#This Row],[unit_price]]</f>
        <v>53.5</v>
      </c>
      <c r="M2610">
        <f>COUNTIFS($C$2:$C$3934,Table4[[#This Row],[customer_id]])</f>
        <v>4</v>
      </c>
      <c r="N2610" t="str">
        <f>IF(Table4[[#This Row],[customer_order_count]]=1,"New Customer","Repeat Customer")</f>
        <v>Repeat Customer</v>
      </c>
    </row>
    <row r="2611" spans="1:14">
      <c r="A2611" t="s">
        <v>1684</v>
      </c>
      <c r="B2611" s="1">
        <v>45107</v>
      </c>
      <c r="C2611" t="s">
        <v>1685</v>
      </c>
      <c r="D2611" t="s">
        <v>1686</v>
      </c>
      <c r="E2611" t="s">
        <v>44</v>
      </c>
      <c r="F2611" t="s">
        <v>14</v>
      </c>
      <c r="G2611" t="s">
        <v>62</v>
      </c>
      <c r="H2611">
        <v>1</v>
      </c>
      <c r="I2611" s="3">
        <v>53.53</v>
      </c>
      <c r="J2611" t="s">
        <v>16</v>
      </c>
      <c r="K2611" t="s">
        <v>30</v>
      </c>
      <c r="L2611" s="4">
        <f>Table4[[#This Row],[quantity]]*Table4[[#This Row],[unit_price]]</f>
        <v>53.53</v>
      </c>
      <c r="M2611">
        <f>COUNTIFS($C$2:$C$3934,Table4[[#This Row],[customer_id]])</f>
        <v>4</v>
      </c>
      <c r="N2611" t="str">
        <f>IF(Table4[[#This Row],[customer_order_count]]=1,"New Customer","Repeat Customer")</f>
        <v>Repeat Customer</v>
      </c>
    </row>
    <row r="2612" spans="1:14">
      <c r="A2612" t="s">
        <v>4454</v>
      </c>
      <c r="B2612" s="1">
        <v>45444</v>
      </c>
      <c r="C2612" t="s">
        <v>469</v>
      </c>
      <c r="D2612" t="s">
        <v>428</v>
      </c>
      <c r="E2612" t="s">
        <v>21</v>
      </c>
      <c r="F2612" t="s">
        <v>70</v>
      </c>
      <c r="G2612" t="s">
        <v>110</v>
      </c>
      <c r="H2612">
        <v>1</v>
      </c>
      <c r="I2612" s="3">
        <v>53.63</v>
      </c>
      <c r="J2612" t="s">
        <v>16</v>
      </c>
      <c r="K2612" t="s">
        <v>35</v>
      </c>
      <c r="L2612" s="4">
        <f>Table4[[#This Row],[quantity]]*Table4[[#This Row],[unit_price]]</f>
        <v>53.63</v>
      </c>
      <c r="M2612">
        <f>COUNTIFS($C$2:$C$3934,Table4[[#This Row],[customer_id]])</f>
        <v>8</v>
      </c>
      <c r="N2612" t="str">
        <f>IF(Table4[[#This Row],[customer_order_count]]=1,"New Customer","Repeat Customer")</f>
        <v>Repeat Customer</v>
      </c>
    </row>
    <row r="2613" spans="1:14">
      <c r="A2613" t="s">
        <v>867</v>
      </c>
      <c r="B2613" s="1">
        <v>45291</v>
      </c>
      <c r="C2613" t="s">
        <v>868</v>
      </c>
      <c r="D2613" t="s">
        <v>869</v>
      </c>
      <c r="E2613" t="s">
        <v>21</v>
      </c>
      <c r="F2613" t="s">
        <v>14</v>
      </c>
      <c r="G2613" t="s">
        <v>39</v>
      </c>
      <c r="H2613">
        <v>2</v>
      </c>
      <c r="I2613" s="3">
        <v>53.63</v>
      </c>
      <c r="J2613" t="s">
        <v>16</v>
      </c>
      <c r="K2613" t="s">
        <v>35</v>
      </c>
      <c r="L2613" s="4">
        <f>Table4[[#This Row],[quantity]]*Table4[[#This Row],[unit_price]]</f>
        <v>107.26</v>
      </c>
      <c r="M2613">
        <f>COUNTIFS($C$2:$C$3934,Table4[[#This Row],[customer_id]])</f>
        <v>7</v>
      </c>
      <c r="N2613" t="str">
        <f>IF(Table4[[#This Row],[customer_order_count]]=1,"New Customer","Repeat Customer")</f>
        <v>Repeat Customer</v>
      </c>
    </row>
    <row r="2614" spans="1:14">
      <c r="A2614" t="s">
        <v>5144</v>
      </c>
      <c r="B2614" s="1">
        <v>45177</v>
      </c>
      <c r="C2614" t="s">
        <v>3464</v>
      </c>
      <c r="D2614" t="s">
        <v>281</v>
      </c>
      <c r="E2614" t="s">
        <v>21</v>
      </c>
      <c r="F2614" t="s">
        <v>22</v>
      </c>
      <c r="G2614" t="s">
        <v>162</v>
      </c>
      <c r="H2614">
        <v>1</v>
      </c>
      <c r="I2614" s="3">
        <v>53.67</v>
      </c>
      <c r="J2614" t="s">
        <v>16</v>
      </c>
      <c r="K2614" t="s">
        <v>35</v>
      </c>
      <c r="L2614" s="4">
        <f>Table4[[#This Row],[quantity]]*Table4[[#This Row],[unit_price]]</f>
        <v>53.67</v>
      </c>
      <c r="M2614">
        <f>COUNTIFS($C$2:$C$3934,Table4[[#This Row],[customer_id]])</f>
        <v>4</v>
      </c>
      <c r="N2614" t="str">
        <f>IF(Table4[[#This Row],[customer_order_count]]=1,"New Customer","Repeat Customer")</f>
        <v>Repeat Customer</v>
      </c>
    </row>
    <row r="2615" spans="1:14">
      <c r="A2615" t="s">
        <v>2308</v>
      </c>
      <c r="B2615" s="1">
        <v>45104</v>
      </c>
      <c r="C2615" t="s">
        <v>2309</v>
      </c>
      <c r="D2615" t="s">
        <v>2310</v>
      </c>
      <c r="E2615" t="s">
        <v>21</v>
      </c>
      <c r="F2615" t="s">
        <v>14</v>
      </c>
      <c r="G2615" t="s">
        <v>100</v>
      </c>
      <c r="H2615">
        <v>1</v>
      </c>
      <c r="I2615" s="3">
        <v>53.67</v>
      </c>
      <c r="J2615" t="s">
        <v>16</v>
      </c>
      <c r="K2615" t="s">
        <v>30</v>
      </c>
      <c r="L2615" s="4">
        <f>Table4[[#This Row],[quantity]]*Table4[[#This Row],[unit_price]]</f>
        <v>53.67</v>
      </c>
      <c r="M2615">
        <f>COUNTIFS($C$2:$C$3934,Table4[[#This Row],[customer_id]])</f>
        <v>5</v>
      </c>
      <c r="N2615" t="str">
        <f>IF(Table4[[#This Row],[customer_order_count]]=1,"New Customer","Repeat Customer")</f>
        <v>Repeat Customer</v>
      </c>
    </row>
    <row r="2616" spans="1:14">
      <c r="A2616" t="s">
        <v>3419</v>
      </c>
      <c r="B2616" s="1">
        <v>45629</v>
      </c>
      <c r="C2616" t="s">
        <v>1825</v>
      </c>
      <c r="D2616" t="s">
        <v>158</v>
      </c>
      <c r="E2616" t="s">
        <v>44</v>
      </c>
      <c r="F2616" t="s">
        <v>22</v>
      </c>
      <c r="G2616" t="s">
        <v>264</v>
      </c>
      <c r="H2616">
        <v>1</v>
      </c>
      <c r="I2616" s="3">
        <v>53.72</v>
      </c>
      <c r="J2616" t="s">
        <v>16</v>
      </c>
      <c r="K2616" t="s">
        <v>35</v>
      </c>
      <c r="L2616" s="4">
        <f>Table4[[#This Row],[quantity]]*Table4[[#This Row],[unit_price]]</f>
        <v>53.72</v>
      </c>
      <c r="M2616">
        <f>COUNTIFS($C$2:$C$3934,Table4[[#This Row],[customer_id]])</f>
        <v>2</v>
      </c>
      <c r="N2616" t="str">
        <f>IF(Table4[[#This Row],[customer_order_count]]=1,"New Customer","Repeat Customer")</f>
        <v>Repeat Customer</v>
      </c>
    </row>
    <row r="2617" spans="1:14">
      <c r="A2617" t="s">
        <v>3384</v>
      </c>
      <c r="B2617" s="1">
        <v>45140</v>
      </c>
      <c r="C2617" t="s">
        <v>3230</v>
      </c>
      <c r="D2617" t="s">
        <v>1006</v>
      </c>
      <c r="E2617" t="s">
        <v>61</v>
      </c>
      <c r="F2617" t="s">
        <v>22</v>
      </c>
      <c r="G2617" t="s">
        <v>264</v>
      </c>
      <c r="H2617">
        <v>2</v>
      </c>
      <c r="I2617" s="3">
        <v>53.75</v>
      </c>
      <c r="J2617" t="s">
        <v>85</v>
      </c>
      <c r="K2617" t="s">
        <v>35</v>
      </c>
      <c r="L2617" s="4">
        <f>Table4[[#This Row],[quantity]]*Table4[[#This Row],[unit_price]]</f>
        <v>107.5</v>
      </c>
      <c r="M2617">
        <f>COUNTIFS($C$2:$C$3934,Table4[[#This Row],[customer_id]])</f>
        <v>3</v>
      </c>
      <c r="N2617" t="str">
        <f>IF(Table4[[#This Row],[customer_order_count]]=1,"New Customer","Repeat Customer")</f>
        <v>Repeat Customer</v>
      </c>
    </row>
    <row r="2618" spans="1:14">
      <c r="A2618" t="s">
        <v>4285</v>
      </c>
      <c r="B2618" s="1">
        <v>45104</v>
      </c>
      <c r="C2618" t="s">
        <v>2566</v>
      </c>
      <c r="D2618" t="s">
        <v>981</v>
      </c>
      <c r="E2618" t="s">
        <v>21</v>
      </c>
      <c r="F2618" t="s">
        <v>70</v>
      </c>
      <c r="G2618" t="s">
        <v>146</v>
      </c>
      <c r="H2618">
        <v>2</v>
      </c>
      <c r="I2618" s="3">
        <v>53.77</v>
      </c>
      <c r="J2618" t="s">
        <v>16</v>
      </c>
      <c r="K2618" t="s">
        <v>35</v>
      </c>
      <c r="L2618" s="4">
        <f>Table4[[#This Row],[quantity]]*Table4[[#This Row],[unit_price]]</f>
        <v>107.54</v>
      </c>
      <c r="M2618">
        <f>COUNTIFS($C$2:$C$3934,Table4[[#This Row],[customer_id]])</f>
        <v>5</v>
      </c>
      <c r="N2618" t="str">
        <f>IF(Table4[[#This Row],[customer_order_count]]=1,"New Customer","Repeat Customer")</f>
        <v>Repeat Customer</v>
      </c>
    </row>
    <row r="2619" spans="1:14">
      <c r="A2619" t="s">
        <v>2587</v>
      </c>
      <c r="B2619" s="1">
        <v>45625</v>
      </c>
      <c r="C2619" t="s">
        <v>2588</v>
      </c>
      <c r="D2619" t="s">
        <v>2589</v>
      </c>
      <c r="E2619" t="s">
        <v>61</v>
      </c>
      <c r="F2619" t="s">
        <v>79</v>
      </c>
      <c r="G2619" t="s">
        <v>80</v>
      </c>
      <c r="H2619">
        <v>2</v>
      </c>
      <c r="I2619" s="3">
        <v>53.77</v>
      </c>
      <c r="J2619" t="s">
        <v>16</v>
      </c>
      <c r="K2619" t="s">
        <v>35</v>
      </c>
      <c r="L2619" s="4">
        <f>Table4[[#This Row],[quantity]]*Table4[[#This Row],[unit_price]]</f>
        <v>107.54</v>
      </c>
      <c r="M2619">
        <f>COUNTIFS($C$2:$C$3934,Table4[[#This Row],[customer_id]])</f>
        <v>2</v>
      </c>
      <c r="N2619" t="str">
        <f>IF(Table4[[#This Row],[customer_order_count]]=1,"New Customer","Repeat Customer")</f>
        <v>Repeat Customer</v>
      </c>
    </row>
    <row r="2620" spans="1:14">
      <c r="A2620" t="s">
        <v>3043</v>
      </c>
      <c r="B2620" s="1">
        <v>45528</v>
      </c>
      <c r="C2620" t="s">
        <v>2072</v>
      </c>
      <c r="D2620" t="s">
        <v>672</v>
      </c>
      <c r="E2620" t="s">
        <v>61</v>
      </c>
      <c r="F2620" t="s">
        <v>70</v>
      </c>
      <c r="G2620" t="s">
        <v>110</v>
      </c>
      <c r="H2620">
        <v>3</v>
      </c>
      <c r="I2620" s="3">
        <v>53.78</v>
      </c>
      <c r="J2620" t="s">
        <v>16</v>
      </c>
      <c r="K2620" t="s">
        <v>17</v>
      </c>
      <c r="L2620" s="4">
        <f>Table4[[#This Row],[quantity]]*Table4[[#This Row],[unit_price]]</f>
        <v>161.34</v>
      </c>
      <c r="M2620">
        <f>COUNTIFS($C$2:$C$3934,Table4[[#This Row],[customer_id]])</f>
        <v>3</v>
      </c>
      <c r="N2620" t="str">
        <f>IF(Table4[[#This Row],[customer_order_count]]=1,"New Customer","Repeat Customer")</f>
        <v>Repeat Customer</v>
      </c>
    </row>
    <row r="2621" spans="1:14">
      <c r="A2621" t="s">
        <v>4358</v>
      </c>
      <c r="B2621" s="1">
        <v>45060</v>
      </c>
      <c r="C2621" t="s">
        <v>1679</v>
      </c>
      <c r="D2621" t="s">
        <v>65</v>
      </c>
      <c r="E2621" t="s">
        <v>21</v>
      </c>
      <c r="F2621" t="s">
        <v>79</v>
      </c>
      <c r="G2621" t="s">
        <v>166</v>
      </c>
      <c r="H2621">
        <v>1</v>
      </c>
      <c r="I2621" s="3">
        <v>53.79</v>
      </c>
      <c r="J2621" t="s">
        <v>16</v>
      </c>
      <c r="K2621" s="2" t="s">
        <v>5256</v>
      </c>
      <c r="L2621" s="4">
        <f>Table4[[#This Row],[quantity]]*Table4[[#This Row],[unit_price]]</f>
        <v>53.79</v>
      </c>
      <c r="M2621">
        <f>COUNTIFS($C$2:$C$3934,Table4[[#This Row],[customer_id]])</f>
        <v>8</v>
      </c>
      <c r="N2621" t="str">
        <f>IF(Table4[[#This Row],[customer_order_count]]=1,"New Customer","Repeat Customer")</f>
        <v>Repeat Customer</v>
      </c>
    </row>
    <row r="2622" spans="1:14">
      <c r="A2622" t="s">
        <v>3463</v>
      </c>
      <c r="B2622" s="1">
        <v>45134</v>
      </c>
      <c r="C2622" t="s">
        <v>3464</v>
      </c>
      <c r="D2622" t="s">
        <v>281</v>
      </c>
      <c r="E2622" t="s">
        <v>21</v>
      </c>
      <c r="F2622" t="s">
        <v>14</v>
      </c>
      <c r="G2622" t="s">
        <v>62</v>
      </c>
      <c r="H2622">
        <v>2</v>
      </c>
      <c r="I2622" s="3">
        <v>53.79</v>
      </c>
      <c r="J2622" t="s">
        <v>16</v>
      </c>
      <c r="K2622" s="5" t="s">
        <v>17</v>
      </c>
      <c r="L2622" s="4">
        <f>Table4[[#This Row],[quantity]]*Table4[[#This Row],[unit_price]]</f>
        <v>107.58</v>
      </c>
      <c r="M2622">
        <f>COUNTIFS($C$2:$C$3934,Table4[[#This Row],[customer_id]])</f>
        <v>4</v>
      </c>
      <c r="N2622" t="str">
        <f>IF(Table4[[#This Row],[customer_order_count]]=1,"New Customer","Repeat Customer")</f>
        <v>Repeat Customer</v>
      </c>
    </row>
    <row r="2623" spans="1:14">
      <c r="A2623" t="s">
        <v>3932</v>
      </c>
      <c r="B2623" s="1">
        <v>45358</v>
      </c>
      <c r="C2623" t="s">
        <v>1178</v>
      </c>
      <c r="D2623" t="s">
        <v>1179</v>
      </c>
      <c r="E2623" t="s">
        <v>21</v>
      </c>
      <c r="F2623" t="s">
        <v>70</v>
      </c>
      <c r="G2623" t="s">
        <v>337</v>
      </c>
      <c r="H2623">
        <v>2</v>
      </c>
      <c r="I2623" s="3">
        <v>53.87</v>
      </c>
      <c r="J2623" t="s">
        <v>255</v>
      </c>
      <c r="K2623" t="s">
        <v>35</v>
      </c>
      <c r="L2623" s="4">
        <f>Table4[[#This Row],[quantity]]*Table4[[#This Row],[unit_price]]</f>
        <v>107.74</v>
      </c>
      <c r="M2623">
        <f>COUNTIFS($C$2:$C$3934,Table4[[#This Row],[customer_id]])</f>
        <v>3</v>
      </c>
      <c r="N2623" t="str">
        <f>IF(Table4[[#This Row],[customer_order_count]]=1,"New Customer","Repeat Customer")</f>
        <v>Repeat Customer</v>
      </c>
    </row>
    <row r="2624" spans="1:14">
      <c r="A2624" t="s">
        <v>590</v>
      </c>
      <c r="B2624" s="1">
        <v>45596</v>
      </c>
      <c r="C2624" t="s">
        <v>591</v>
      </c>
      <c r="D2624" t="s">
        <v>592</v>
      </c>
      <c r="E2624" t="s">
        <v>21</v>
      </c>
      <c r="F2624" t="s">
        <v>22</v>
      </c>
      <c r="G2624" t="s">
        <v>264</v>
      </c>
      <c r="H2624">
        <v>1</v>
      </c>
      <c r="I2624" s="3">
        <v>53.88</v>
      </c>
      <c r="J2624" t="s">
        <v>16</v>
      </c>
      <c r="K2624" t="s">
        <v>40</v>
      </c>
      <c r="L2624" s="4">
        <f>Table4[[#This Row],[quantity]]*Table4[[#This Row],[unit_price]]</f>
        <v>53.88</v>
      </c>
      <c r="M2624">
        <f>COUNTIFS($C$2:$C$3934,Table4[[#This Row],[customer_id]])</f>
        <v>6</v>
      </c>
      <c r="N2624" t="str">
        <f>IF(Table4[[#This Row],[customer_order_count]]=1,"New Customer","Repeat Customer")</f>
        <v>Repeat Customer</v>
      </c>
    </row>
    <row r="2625" spans="1:14">
      <c r="A2625" t="s">
        <v>3480</v>
      </c>
      <c r="B2625" s="1">
        <v>45639</v>
      </c>
      <c r="C2625" t="s">
        <v>1246</v>
      </c>
      <c r="D2625" t="s">
        <v>947</v>
      </c>
      <c r="E2625" t="s">
        <v>21</v>
      </c>
      <c r="F2625" t="s">
        <v>70</v>
      </c>
      <c r="G2625" t="s">
        <v>89</v>
      </c>
      <c r="H2625">
        <v>1</v>
      </c>
      <c r="I2625" s="3">
        <v>53.93</v>
      </c>
      <c r="J2625" t="s">
        <v>85</v>
      </c>
      <c r="K2625" t="s">
        <v>17</v>
      </c>
      <c r="L2625" s="4">
        <f>Table4[[#This Row],[quantity]]*Table4[[#This Row],[unit_price]]</f>
        <v>53.93</v>
      </c>
      <c r="M2625">
        <f>COUNTIFS($C$2:$C$3934,Table4[[#This Row],[customer_id]])</f>
        <v>8</v>
      </c>
      <c r="N2625" t="str">
        <f>IF(Table4[[#This Row],[customer_order_count]]=1,"New Customer","Repeat Customer")</f>
        <v>Repeat Customer</v>
      </c>
    </row>
    <row r="2626" spans="1:14">
      <c r="A2626" t="s">
        <v>2490</v>
      </c>
      <c r="B2626" s="1">
        <v>45510</v>
      </c>
      <c r="C2626" t="s">
        <v>841</v>
      </c>
      <c r="D2626" t="s">
        <v>842</v>
      </c>
      <c r="E2626" t="s">
        <v>21</v>
      </c>
      <c r="F2626" t="s">
        <v>56</v>
      </c>
      <c r="G2626" t="s">
        <v>422</v>
      </c>
      <c r="H2626">
        <v>1</v>
      </c>
      <c r="I2626" s="3">
        <v>53.95</v>
      </c>
      <c r="J2626" t="s">
        <v>24</v>
      </c>
      <c r="K2626" t="s">
        <v>30</v>
      </c>
      <c r="L2626" s="4">
        <f>Table4[[#This Row],[quantity]]*Table4[[#This Row],[unit_price]]</f>
        <v>53.95</v>
      </c>
      <c r="M2626">
        <f>COUNTIFS($C$2:$C$3934,Table4[[#This Row],[customer_id]])</f>
        <v>4</v>
      </c>
      <c r="N2626" t="str">
        <f>IF(Table4[[#This Row],[customer_order_count]]=1,"New Customer","Repeat Customer")</f>
        <v>Repeat Customer</v>
      </c>
    </row>
    <row r="2627" spans="1:14">
      <c r="A2627" t="s">
        <v>2407</v>
      </c>
      <c r="B2627" s="1">
        <v>45549</v>
      </c>
      <c r="C2627" t="s">
        <v>2408</v>
      </c>
      <c r="D2627" t="s">
        <v>2409</v>
      </c>
      <c r="E2627" t="s">
        <v>21</v>
      </c>
      <c r="F2627" t="s">
        <v>70</v>
      </c>
      <c r="G2627" t="s">
        <v>89</v>
      </c>
      <c r="H2627">
        <v>1</v>
      </c>
      <c r="I2627" s="3">
        <v>53.98</v>
      </c>
      <c r="J2627" t="s">
        <v>85</v>
      </c>
      <c r="K2627" t="s">
        <v>40</v>
      </c>
      <c r="L2627" s="4">
        <f>Table4[[#This Row],[quantity]]*Table4[[#This Row],[unit_price]]</f>
        <v>53.98</v>
      </c>
      <c r="M2627">
        <f>COUNTIFS($C$2:$C$3934,Table4[[#This Row],[customer_id]])</f>
        <v>6</v>
      </c>
      <c r="N2627" t="str">
        <f>IF(Table4[[#This Row],[customer_order_count]]=1,"New Customer","Repeat Customer")</f>
        <v>Repeat Customer</v>
      </c>
    </row>
    <row r="2628" spans="1:14">
      <c r="A2628" t="s">
        <v>2712</v>
      </c>
      <c r="B2628" s="1">
        <v>45265</v>
      </c>
      <c r="C2628" t="s">
        <v>1040</v>
      </c>
      <c r="D2628" t="s">
        <v>962</v>
      </c>
      <c r="E2628" t="s">
        <v>61</v>
      </c>
      <c r="F2628" t="s">
        <v>22</v>
      </c>
      <c r="G2628" t="s">
        <v>135</v>
      </c>
      <c r="H2628">
        <v>1</v>
      </c>
      <c r="I2628" s="3">
        <v>53.98</v>
      </c>
      <c r="J2628" t="s">
        <v>16</v>
      </c>
      <c r="K2628" t="s">
        <v>17</v>
      </c>
      <c r="L2628" s="4">
        <f>Table4[[#This Row],[quantity]]*Table4[[#This Row],[unit_price]]</f>
        <v>53.98</v>
      </c>
      <c r="M2628">
        <f>COUNTIFS($C$2:$C$3934,Table4[[#This Row],[customer_id]])</f>
        <v>3</v>
      </c>
      <c r="N2628" t="str">
        <f>IF(Table4[[#This Row],[customer_order_count]]=1,"New Customer","Repeat Customer")</f>
        <v>Repeat Customer</v>
      </c>
    </row>
    <row r="2629" spans="1:14">
      <c r="A2629" t="s">
        <v>3898</v>
      </c>
      <c r="B2629" s="1">
        <v>45256</v>
      </c>
      <c r="C2629" t="s">
        <v>3110</v>
      </c>
      <c r="D2629" t="s">
        <v>1889</v>
      </c>
      <c r="E2629" t="s">
        <v>21</v>
      </c>
      <c r="F2629" t="s">
        <v>79</v>
      </c>
      <c r="G2629" t="s">
        <v>96</v>
      </c>
      <c r="H2629">
        <v>2</v>
      </c>
      <c r="I2629" s="3">
        <v>53.99</v>
      </c>
      <c r="J2629" t="s">
        <v>16</v>
      </c>
      <c r="K2629" t="s">
        <v>17</v>
      </c>
      <c r="L2629" s="4">
        <f>Table4[[#This Row],[quantity]]*Table4[[#This Row],[unit_price]]</f>
        <v>107.98</v>
      </c>
      <c r="M2629">
        <f>COUNTIFS($C$2:$C$3934,Table4[[#This Row],[customer_id]])</f>
        <v>4</v>
      </c>
      <c r="N2629" t="str">
        <f>IF(Table4[[#This Row],[customer_order_count]]=1,"New Customer","Repeat Customer")</f>
        <v>Repeat Customer</v>
      </c>
    </row>
    <row r="2630" spans="1:14">
      <c r="A2630" t="s">
        <v>2847</v>
      </c>
      <c r="B2630" s="1">
        <v>45498</v>
      </c>
      <c r="C2630" t="s">
        <v>1294</v>
      </c>
      <c r="D2630" t="s">
        <v>1241</v>
      </c>
      <c r="E2630" t="s">
        <v>21</v>
      </c>
      <c r="F2630" t="s">
        <v>22</v>
      </c>
      <c r="G2630" t="s">
        <v>135</v>
      </c>
      <c r="H2630">
        <v>4</v>
      </c>
      <c r="I2630" s="3">
        <v>54.01</v>
      </c>
      <c r="J2630" t="s">
        <v>16</v>
      </c>
      <c r="K2630" t="s">
        <v>35</v>
      </c>
      <c r="L2630" s="4">
        <f>Table4[[#This Row],[quantity]]*Table4[[#This Row],[unit_price]]</f>
        <v>216.04</v>
      </c>
      <c r="M2630">
        <f>COUNTIFS($C$2:$C$3934,Table4[[#This Row],[customer_id]])</f>
        <v>6</v>
      </c>
      <c r="N2630" t="str">
        <f>IF(Table4[[#This Row],[customer_order_count]]=1,"New Customer","Repeat Customer")</f>
        <v>Repeat Customer</v>
      </c>
    </row>
    <row r="2631" spans="1:14">
      <c r="A2631" t="s">
        <v>960</v>
      </c>
      <c r="B2631" s="1">
        <v>45530</v>
      </c>
      <c r="C2631" t="s">
        <v>961</v>
      </c>
      <c r="D2631" t="s">
        <v>962</v>
      </c>
      <c r="E2631" t="s">
        <v>21</v>
      </c>
      <c r="F2631" t="s">
        <v>14</v>
      </c>
      <c r="G2631" t="s">
        <v>100</v>
      </c>
      <c r="H2631">
        <v>1</v>
      </c>
      <c r="I2631" s="3">
        <v>54.25</v>
      </c>
      <c r="J2631" t="s">
        <v>16</v>
      </c>
      <c r="K2631" t="s">
        <v>30</v>
      </c>
      <c r="L2631" s="4">
        <f>Table4[[#This Row],[quantity]]*Table4[[#This Row],[unit_price]]</f>
        <v>54.25</v>
      </c>
      <c r="M2631">
        <f>COUNTIFS($C$2:$C$3934,Table4[[#This Row],[customer_id]])</f>
        <v>6</v>
      </c>
      <c r="N2631" t="str">
        <f>IF(Table4[[#This Row],[customer_order_count]]=1,"New Customer","Repeat Customer")</f>
        <v>Repeat Customer</v>
      </c>
    </row>
    <row r="2632" spans="1:14">
      <c r="A2632" t="s">
        <v>4837</v>
      </c>
      <c r="B2632" s="1">
        <v>45019</v>
      </c>
      <c r="C2632" t="s">
        <v>1705</v>
      </c>
      <c r="D2632" t="s">
        <v>1706</v>
      </c>
      <c r="E2632" t="s">
        <v>44</v>
      </c>
      <c r="F2632" t="s">
        <v>79</v>
      </c>
      <c r="G2632" t="s">
        <v>398</v>
      </c>
      <c r="H2632">
        <v>1</v>
      </c>
      <c r="I2632" s="3">
        <v>54.32</v>
      </c>
      <c r="J2632" t="s">
        <v>16</v>
      </c>
      <c r="K2632" t="s">
        <v>30</v>
      </c>
      <c r="L2632" s="4">
        <f>Table4[[#This Row],[quantity]]*Table4[[#This Row],[unit_price]]</f>
        <v>54.32</v>
      </c>
      <c r="M2632">
        <f>COUNTIFS($C$2:$C$3934,Table4[[#This Row],[customer_id]])</f>
        <v>7</v>
      </c>
      <c r="N2632" t="str">
        <f>IF(Table4[[#This Row],[customer_order_count]]=1,"New Customer","Repeat Customer")</f>
        <v>Repeat Customer</v>
      </c>
    </row>
    <row r="2633" spans="1:14">
      <c r="A2633" t="s">
        <v>5168</v>
      </c>
      <c r="B2633" s="1">
        <v>45191</v>
      </c>
      <c r="C2633" t="s">
        <v>77</v>
      </c>
      <c r="D2633" t="s">
        <v>78</v>
      </c>
      <c r="E2633" t="s">
        <v>21</v>
      </c>
      <c r="F2633" t="s">
        <v>70</v>
      </c>
      <c r="G2633" t="s">
        <v>146</v>
      </c>
      <c r="H2633">
        <v>1</v>
      </c>
      <c r="I2633" s="3">
        <v>54.33</v>
      </c>
      <c r="J2633" t="s">
        <v>16</v>
      </c>
      <c r="K2633" t="s">
        <v>17</v>
      </c>
      <c r="L2633" s="4">
        <f>Table4[[#This Row],[quantity]]*Table4[[#This Row],[unit_price]]</f>
        <v>54.33</v>
      </c>
      <c r="M2633">
        <f>COUNTIFS($C$2:$C$3934,Table4[[#This Row],[customer_id]])</f>
        <v>6</v>
      </c>
      <c r="N2633" t="str">
        <f>IF(Table4[[#This Row],[customer_order_count]]=1,"New Customer","Repeat Customer")</f>
        <v>Repeat Customer</v>
      </c>
    </row>
    <row r="2634" spans="1:14">
      <c r="A2634" t="s">
        <v>3976</v>
      </c>
      <c r="B2634" s="1">
        <v>45458</v>
      </c>
      <c r="C2634" t="s">
        <v>1573</v>
      </c>
      <c r="D2634" t="s">
        <v>693</v>
      </c>
      <c r="E2634" t="s">
        <v>21</v>
      </c>
      <c r="F2634" t="s">
        <v>70</v>
      </c>
      <c r="G2634" t="s">
        <v>337</v>
      </c>
      <c r="H2634">
        <v>1</v>
      </c>
      <c r="I2634" s="3">
        <v>54.35</v>
      </c>
      <c r="J2634" t="s">
        <v>16</v>
      </c>
      <c r="K2634" t="s">
        <v>40</v>
      </c>
      <c r="L2634" s="4">
        <f>Table4[[#This Row],[quantity]]*Table4[[#This Row],[unit_price]]</f>
        <v>54.35</v>
      </c>
      <c r="M2634">
        <f>COUNTIFS($C$2:$C$3934,Table4[[#This Row],[customer_id]])</f>
        <v>7</v>
      </c>
      <c r="N2634" t="str">
        <f>IF(Table4[[#This Row],[customer_order_count]]=1,"New Customer","Repeat Customer")</f>
        <v>Repeat Customer</v>
      </c>
    </row>
    <row r="2635" spans="1:14">
      <c r="A2635" t="s">
        <v>1990</v>
      </c>
      <c r="B2635" s="1">
        <v>45062</v>
      </c>
      <c r="C2635" t="s">
        <v>1173</v>
      </c>
      <c r="D2635" t="s">
        <v>1153</v>
      </c>
      <c r="E2635" t="s">
        <v>21</v>
      </c>
      <c r="F2635" t="s">
        <v>79</v>
      </c>
      <c r="G2635" t="s">
        <v>541</v>
      </c>
      <c r="H2635">
        <v>2</v>
      </c>
      <c r="I2635" s="3">
        <v>54.46</v>
      </c>
      <c r="J2635" t="s">
        <v>85</v>
      </c>
      <c r="K2635" t="s">
        <v>35</v>
      </c>
      <c r="L2635" s="4">
        <f>Table4[[#This Row],[quantity]]*Table4[[#This Row],[unit_price]]</f>
        <v>108.92</v>
      </c>
      <c r="M2635">
        <f>COUNTIFS($C$2:$C$3934,Table4[[#This Row],[customer_id]])</f>
        <v>8</v>
      </c>
      <c r="N2635" t="str">
        <f>IF(Table4[[#This Row],[customer_order_count]]=1,"New Customer","Repeat Customer")</f>
        <v>Repeat Customer</v>
      </c>
    </row>
    <row r="2636" spans="1:14">
      <c r="A2636" t="s">
        <v>1319</v>
      </c>
      <c r="B2636" s="1">
        <v>45498</v>
      </c>
      <c r="C2636" t="s">
        <v>1276</v>
      </c>
      <c r="D2636" t="s">
        <v>452</v>
      </c>
      <c r="E2636" t="s">
        <v>21</v>
      </c>
      <c r="F2636" t="s">
        <v>14</v>
      </c>
      <c r="G2636" t="s">
        <v>15</v>
      </c>
      <c r="H2636">
        <v>2</v>
      </c>
      <c r="I2636" s="3">
        <v>54.47</v>
      </c>
      <c r="J2636" t="s">
        <v>24</v>
      </c>
      <c r="K2636" t="s">
        <v>40</v>
      </c>
      <c r="L2636" s="4">
        <f>Table4[[#This Row],[quantity]]*Table4[[#This Row],[unit_price]]</f>
        <v>108.94</v>
      </c>
      <c r="M2636">
        <f>COUNTIFS($C$2:$C$3934,Table4[[#This Row],[customer_id]])</f>
        <v>4</v>
      </c>
      <c r="N2636" t="str">
        <f>IF(Table4[[#This Row],[customer_order_count]]=1,"New Customer","Repeat Customer")</f>
        <v>Repeat Customer</v>
      </c>
    </row>
    <row r="2637" spans="1:14">
      <c r="A2637" t="s">
        <v>2834</v>
      </c>
      <c r="B2637" s="1">
        <v>45492</v>
      </c>
      <c r="C2637" t="s">
        <v>764</v>
      </c>
      <c r="D2637" t="s">
        <v>765</v>
      </c>
      <c r="E2637" t="s">
        <v>21</v>
      </c>
      <c r="F2637" t="s">
        <v>79</v>
      </c>
      <c r="G2637" t="s">
        <v>204</v>
      </c>
      <c r="H2637">
        <v>1</v>
      </c>
      <c r="I2637" s="3">
        <v>54.51</v>
      </c>
      <c r="J2637" t="s">
        <v>16</v>
      </c>
      <c r="K2637" t="s">
        <v>30</v>
      </c>
      <c r="L2637" s="4">
        <f>Table4[[#This Row],[quantity]]*Table4[[#This Row],[unit_price]]</f>
        <v>54.51</v>
      </c>
      <c r="M2637">
        <f>COUNTIFS($C$2:$C$3934,Table4[[#This Row],[customer_id]])</f>
        <v>4</v>
      </c>
      <c r="N2637" t="str">
        <f>IF(Table4[[#This Row],[customer_order_count]]=1,"New Customer","Repeat Customer")</f>
        <v>Repeat Customer</v>
      </c>
    </row>
    <row r="2638" spans="1:14">
      <c r="A2638" t="s">
        <v>1634</v>
      </c>
      <c r="B2638" s="1">
        <v>45361</v>
      </c>
      <c r="C2638" t="s">
        <v>653</v>
      </c>
      <c r="D2638" t="s">
        <v>117</v>
      </c>
      <c r="E2638" t="s">
        <v>21</v>
      </c>
      <c r="F2638" t="s">
        <v>22</v>
      </c>
      <c r="G2638" t="s">
        <v>264</v>
      </c>
      <c r="H2638">
        <v>1</v>
      </c>
      <c r="I2638" s="3">
        <v>54.51</v>
      </c>
      <c r="J2638" t="s">
        <v>16</v>
      </c>
      <c r="K2638" t="s">
        <v>17</v>
      </c>
      <c r="L2638" s="4">
        <f>Table4[[#This Row],[quantity]]*Table4[[#This Row],[unit_price]]</f>
        <v>54.51</v>
      </c>
      <c r="M2638">
        <f>COUNTIFS($C$2:$C$3934,Table4[[#This Row],[customer_id]])</f>
        <v>6</v>
      </c>
      <c r="N2638" t="str">
        <f>IF(Table4[[#This Row],[customer_order_count]]=1,"New Customer","Repeat Customer")</f>
        <v>Repeat Customer</v>
      </c>
    </row>
    <row r="2639" spans="1:14">
      <c r="A2639" t="s">
        <v>774</v>
      </c>
      <c r="B2639" s="1">
        <v>45274</v>
      </c>
      <c r="C2639" t="s">
        <v>775</v>
      </c>
      <c r="D2639" t="s">
        <v>678</v>
      </c>
      <c r="E2639" t="s">
        <v>44</v>
      </c>
      <c r="F2639" t="s">
        <v>22</v>
      </c>
      <c r="G2639" t="s">
        <v>142</v>
      </c>
      <c r="H2639">
        <v>1</v>
      </c>
      <c r="I2639" s="3">
        <v>54.52</v>
      </c>
      <c r="J2639" t="s">
        <v>16</v>
      </c>
      <c r="K2639" t="s">
        <v>30</v>
      </c>
      <c r="L2639" s="4">
        <f>Table4[[#This Row],[quantity]]*Table4[[#This Row],[unit_price]]</f>
        <v>54.52</v>
      </c>
      <c r="M2639">
        <f>COUNTIFS($C$2:$C$3934,Table4[[#This Row],[customer_id]])</f>
        <v>5</v>
      </c>
      <c r="N2639" t="str">
        <f>IF(Table4[[#This Row],[customer_order_count]]=1,"New Customer","Repeat Customer")</f>
        <v>Repeat Customer</v>
      </c>
    </row>
    <row r="2640" spans="1:14">
      <c r="A2640" t="s">
        <v>3109</v>
      </c>
      <c r="B2640" s="1">
        <v>45488</v>
      </c>
      <c r="C2640" t="s">
        <v>3110</v>
      </c>
      <c r="D2640" t="s">
        <v>1889</v>
      </c>
      <c r="E2640" t="s">
        <v>21</v>
      </c>
      <c r="F2640" t="s">
        <v>79</v>
      </c>
      <c r="G2640" t="s">
        <v>398</v>
      </c>
      <c r="H2640">
        <v>1</v>
      </c>
      <c r="I2640" s="3">
        <v>54.53</v>
      </c>
      <c r="J2640" t="s">
        <v>16</v>
      </c>
      <c r="K2640" t="s">
        <v>30</v>
      </c>
      <c r="L2640" s="4">
        <f>Table4[[#This Row],[quantity]]*Table4[[#This Row],[unit_price]]</f>
        <v>54.53</v>
      </c>
      <c r="M2640">
        <f>COUNTIFS($C$2:$C$3934,Table4[[#This Row],[customer_id]])</f>
        <v>4</v>
      </c>
      <c r="N2640" t="str">
        <f>IF(Table4[[#This Row],[customer_order_count]]=1,"New Customer","Repeat Customer")</f>
        <v>Repeat Customer</v>
      </c>
    </row>
    <row r="2641" spans="1:14">
      <c r="A2641" t="s">
        <v>4376</v>
      </c>
      <c r="B2641" s="1">
        <v>45118</v>
      </c>
      <c r="C2641" t="s">
        <v>1240</v>
      </c>
      <c r="D2641" t="s">
        <v>1241</v>
      </c>
      <c r="E2641" t="s">
        <v>21</v>
      </c>
      <c r="F2641" t="s">
        <v>14</v>
      </c>
      <c r="G2641" t="s">
        <v>258</v>
      </c>
      <c r="H2641">
        <v>1</v>
      </c>
      <c r="I2641" s="3">
        <v>54.53</v>
      </c>
      <c r="J2641" t="s">
        <v>16</v>
      </c>
      <c r="K2641" t="s">
        <v>40</v>
      </c>
      <c r="L2641" s="4">
        <f>Table4[[#This Row],[quantity]]*Table4[[#This Row],[unit_price]]</f>
        <v>54.53</v>
      </c>
      <c r="M2641">
        <f>COUNTIFS($C$2:$C$3934,Table4[[#This Row],[customer_id]])</f>
        <v>12</v>
      </c>
      <c r="N2641" t="str">
        <f>IF(Table4[[#This Row],[customer_order_count]]=1,"New Customer","Repeat Customer")</f>
        <v>Repeat Customer</v>
      </c>
    </row>
    <row r="2642" spans="1:14">
      <c r="A2642" t="s">
        <v>1692</v>
      </c>
      <c r="B2642" s="1">
        <v>45033</v>
      </c>
      <c r="C2642" t="s">
        <v>1693</v>
      </c>
      <c r="D2642" t="s">
        <v>134</v>
      </c>
      <c r="E2642" t="s">
        <v>21</v>
      </c>
      <c r="F2642" t="s">
        <v>70</v>
      </c>
      <c r="G2642" t="s">
        <v>337</v>
      </c>
      <c r="H2642">
        <v>1</v>
      </c>
      <c r="I2642" s="3">
        <v>54.55</v>
      </c>
      <c r="J2642" t="s">
        <v>16</v>
      </c>
      <c r="K2642" t="s">
        <v>30</v>
      </c>
      <c r="L2642" s="4">
        <f>Table4[[#This Row],[quantity]]*Table4[[#This Row],[unit_price]]</f>
        <v>54.55</v>
      </c>
      <c r="M2642">
        <f>COUNTIFS($C$2:$C$3934,Table4[[#This Row],[customer_id]])</f>
        <v>3</v>
      </c>
      <c r="N2642" t="str">
        <f>IF(Table4[[#This Row],[customer_order_count]]=1,"New Customer","Repeat Customer")</f>
        <v>Repeat Customer</v>
      </c>
    </row>
    <row r="2643" spans="1:14">
      <c r="A2643" t="s">
        <v>143</v>
      </c>
      <c r="B2643" s="1">
        <v>45070</v>
      </c>
      <c r="C2643" t="s">
        <v>144</v>
      </c>
      <c r="D2643" t="s">
        <v>145</v>
      </c>
      <c r="E2643" t="s">
        <v>21</v>
      </c>
      <c r="F2643" t="s">
        <v>70</v>
      </c>
      <c r="G2643" t="s">
        <v>146</v>
      </c>
      <c r="H2643">
        <v>1</v>
      </c>
      <c r="I2643" s="3">
        <v>54.55</v>
      </c>
      <c r="J2643" t="s">
        <v>16</v>
      </c>
      <c r="K2643" t="s">
        <v>35</v>
      </c>
      <c r="L2643" s="4">
        <f>Table4[[#This Row],[quantity]]*Table4[[#This Row],[unit_price]]</f>
        <v>54.55</v>
      </c>
      <c r="M2643">
        <f>COUNTIFS($C$2:$C$3934,Table4[[#This Row],[customer_id]])</f>
        <v>4</v>
      </c>
      <c r="N2643" t="str">
        <f>IF(Table4[[#This Row],[customer_order_count]]=1,"New Customer","Repeat Customer")</f>
        <v>Repeat Customer</v>
      </c>
    </row>
    <row r="2644" spans="1:14">
      <c r="A2644" t="s">
        <v>366</v>
      </c>
      <c r="B2644" s="1">
        <v>44995</v>
      </c>
      <c r="C2644" t="s">
        <v>123</v>
      </c>
      <c r="D2644" t="s">
        <v>124</v>
      </c>
      <c r="E2644" t="s">
        <v>44</v>
      </c>
      <c r="F2644" t="s">
        <v>70</v>
      </c>
      <c r="G2644" t="s">
        <v>71</v>
      </c>
      <c r="H2644">
        <v>2</v>
      </c>
      <c r="I2644" s="3">
        <v>54.57</v>
      </c>
      <c r="J2644" t="s">
        <v>16</v>
      </c>
      <c r="K2644" t="s">
        <v>35</v>
      </c>
      <c r="L2644" s="4">
        <f>Table4[[#This Row],[quantity]]*Table4[[#This Row],[unit_price]]</f>
        <v>109.14</v>
      </c>
      <c r="M2644">
        <f>COUNTIFS($C$2:$C$3934,Table4[[#This Row],[customer_id]])</f>
        <v>4</v>
      </c>
      <c r="N2644" t="str">
        <f>IF(Table4[[#This Row],[customer_order_count]]=1,"New Customer","Repeat Customer")</f>
        <v>Repeat Customer</v>
      </c>
    </row>
    <row r="2645" spans="1:14">
      <c r="A2645" t="s">
        <v>5189</v>
      </c>
      <c r="B2645" s="1">
        <v>45155</v>
      </c>
      <c r="C2645" t="s">
        <v>2130</v>
      </c>
      <c r="D2645" t="s">
        <v>953</v>
      </c>
      <c r="E2645" t="s">
        <v>21</v>
      </c>
      <c r="F2645" t="s">
        <v>22</v>
      </c>
      <c r="G2645" t="s">
        <v>23</v>
      </c>
      <c r="H2645">
        <v>1</v>
      </c>
      <c r="I2645" s="3">
        <v>54.6</v>
      </c>
      <c r="J2645" t="s">
        <v>16</v>
      </c>
      <c r="K2645" t="s">
        <v>35</v>
      </c>
      <c r="L2645" s="4">
        <f>Table4[[#This Row],[quantity]]*Table4[[#This Row],[unit_price]]</f>
        <v>54.6</v>
      </c>
      <c r="M2645">
        <f>COUNTIFS($C$2:$C$3934,Table4[[#This Row],[customer_id]])</f>
        <v>5</v>
      </c>
      <c r="N2645" t="str">
        <f>IF(Table4[[#This Row],[customer_order_count]]=1,"New Customer","Repeat Customer")</f>
        <v>Repeat Customer</v>
      </c>
    </row>
    <row r="2646" spans="1:14">
      <c r="A2646" t="s">
        <v>5188</v>
      </c>
      <c r="B2646" s="1">
        <v>45114</v>
      </c>
      <c r="C2646" t="s">
        <v>395</v>
      </c>
      <c r="D2646" t="s">
        <v>396</v>
      </c>
      <c r="E2646" t="s">
        <v>21</v>
      </c>
      <c r="F2646" t="s">
        <v>14</v>
      </c>
      <c r="G2646" t="s">
        <v>62</v>
      </c>
      <c r="H2646">
        <v>2</v>
      </c>
      <c r="I2646" s="3">
        <v>54.62</v>
      </c>
      <c r="J2646" t="s">
        <v>16</v>
      </c>
      <c r="K2646" t="s">
        <v>30</v>
      </c>
      <c r="L2646" s="4">
        <f>Table4[[#This Row],[quantity]]*Table4[[#This Row],[unit_price]]</f>
        <v>109.24</v>
      </c>
      <c r="M2646">
        <f>COUNTIFS($C$2:$C$3934,Table4[[#This Row],[customer_id]])</f>
        <v>6</v>
      </c>
      <c r="N2646" t="str">
        <f>IF(Table4[[#This Row],[customer_order_count]]=1,"New Customer","Repeat Customer")</f>
        <v>Repeat Customer</v>
      </c>
    </row>
    <row r="2647" spans="1:14">
      <c r="A2647" t="s">
        <v>4407</v>
      </c>
      <c r="B2647" s="1">
        <v>45042</v>
      </c>
      <c r="C2647" t="s">
        <v>1567</v>
      </c>
      <c r="D2647" t="s">
        <v>109</v>
      </c>
      <c r="E2647" t="s">
        <v>21</v>
      </c>
      <c r="F2647" t="s">
        <v>22</v>
      </c>
      <c r="G2647" t="s">
        <v>162</v>
      </c>
      <c r="H2647">
        <v>2</v>
      </c>
      <c r="I2647" s="3">
        <v>54.64</v>
      </c>
      <c r="J2647" t="s">
        <v>85</v>
      </c>
      <c r="K2647" t="s">
        <v>30</v>
      </c>
      <c r="L2647" s="4">
        <f>Table4[[#This Row],[quantity]]*Table4[[#This Row],[unit_price]]</f>
        <v>109.28</v>
      </c>
      <c r="M2647">
        <f>COUNTIFS($C$2:$C$3934,Table4[[#This Row],[customer_id]])</f>
        <v>6</v>
      </c>
      <c r="N2647" t="str">
        <f>IF(Table4[[#This Row],[customer_order_count]]=1,"New Customer","Repeat Customer")</f>
        <v>Repeat Customer</v>
      </c>
    </row>
    <row r="2648" spans="1:14">
      <c r="A2648" t="s">
        <v>4645</v>
      </c>
      <c r="B2648" s="1">
        <v>45518</v>
      </c>
      <c r="C2648" t="s">
        <v>1516</v>
      </c>
      <c r="D2648" t="s">
        <v>1517</v>
      </c>
      <c r="E2648" t="s">
        <v>21</v>
      </c>
      <c r="F2648" t="s">
        <v>22</v>
      </c>
      <c r="G2648" t="s">
        <v>135</v>
      </c>
      <c r="H2648">
        <v>1</v>
      </c>
      <c r="I2648" s="3">
        <v>54.66</v>
      </c>
      <c r="J2648" t="s">
        <v>255</v>
      </c>
      <c r="K2648" s="2" t="s">
        <v>5256</v>
      </c>
      <c r="L2648" s="4">
        <f>Table4[[#This Row],[quantity]]*Table4[[#This Row],[unit_price]]</f>
        <v>54.66</v>
      </c>
      <c r="M2648">
        <f>COUNTIFS($C$2:$C$3934,Table4[[#This Row],[customer_id]])</f>
        <v>6</v>
      </c>
      <c r="N2648" t="str">
        <f>IF(Table4[[#This Row],[customer_order_count]]=1,"New Customer","Repeat Customer")</f>
        <v>Repeat Customer</v>
      </c>
    </row>
    <row r="2649" spans="1:14">
      <c r="A2649" t="s">
        <v>1075</v>
      </c>
      <c r="B2649" s="1">
        <v>45013</v>
      </c>
      <c r="C2649" t="s">
        <v>909</v>
      </c>
      <c r="D2649" t="s">
        <v>910</v>
      </c>
      <c r="E2649" t="s">
        <v>21</v>
      </c>
      <c r="F2649" t="s">
        <v>56</v>
      </c>
      <c r="G2649" t="s">
        <v>118</v>
      </c>
      <c r="H2649">
        <v>1</v>
      </c>
      <c r="I2649" s="3">
        <v>54.68</v>
      </c>
      <c r="J2649" t="s">
        <v>16</v>
      </c>
      <c r="K2649" s="5" t="s">
        <v>35</v>
      </c>
      <c r="L2649" s="4">
        <f>Table4[[#This Row],[quantity]]*Table4[[#This Row],[unit_price]]</f>
        <v>54.68</v>
      </c>
      <c r="M2649">
        <f>COUNTIFS($C$2:$C$3934,Table4[[#This Row],[customer_id]])</f>
        <v>7</v>
      </c>
      <c r="N2649" t="str">
        <f>IF(Table4[[#This Row],[customer_order_count]]=1,"New Customer","Repeat Customer")</f>
        <v>Repeat Customer</v>
      </c>
    </row>
    <row r="2650" spans="1:14">
      <c r="A2650" t="s">
        <v>1375</v>
      </c>
      <c r="B2650" s="1">
        <v>45597</v>
      </c>
      <c r="C2650" t="s">
        <v>26</v>
      </c>
      <c r="D2650" t="s">
        <v>27</v>
      </c>
      <c r="E2650" t="s">
        <v>44</v>
      </c>
      <c r="F2650" t="s">
        <v>22</v>
      </c>
      <c r="G2650" t="s">
        <v>142</v>
      </c>
      <c r="H2650">
        <v>1</v>
      </c>
      <c r="I2650" s="3">
        <v>54.74</v>
      </c>
      <c r="J2650" t="s">
        <v>16</v>
      </c>
      <c r="K2650" t="s">
        <v>30</v>
      </c>
      <c r="L2650" s="4">
        <f>Table4[[#This Row],[quantity]]*Table4[[#This Row],[unit_price]]</f>
        <v>54.74</v>
      </c>
      <c r="M2650">
        <f>COUNTIFS($C$2:$C$3934,Table4[[#This Row],[customer_id]])</f>
        <v>3</v>
      </c>
      <c r="N2650" t="str">
        <f>IF(Table4[[#This Row],[customer_order_count]]=1,"New Customer","Repeat Customer")</f>
        <v>Repeat Customer</v>
      </c>
    </row>
    <row r="2651" spans="1:14">
      <c r="A2651" t="s">
        <v>4353</v>
      </c>
      <c r="B2651" s="1">
        <v>45615</v>
      </c>
      <c r="C2651" t="s">
        <v>1476</v>
      </c>
      <c r="D2651" t="s">
        <v>1477</v>
      </c>
      <c r="E2651" t="s">
        <v>21</v>
      </c>
      <c r="F2651" t="s">
        <v>70</v>
      </c>
      <c r="G2651" t="s">
        <v>337</v>
      </c>
      <c r="H2651">
        <v>2</v>
      </c>
      <c r="I2651" s="3">
        <v>54.74</v>
      </c>
      <c r="J2651" t="s">
        <v>85</v>
      </c>
      <c r="K2651" t="s">
        <v>35</v>
      </c>
      <c r="L2651" s="4">
        <f>Table4[[#This Row],[quantity]]*Table4[[#This Row],[unit_price]]</f>
        <v>109.48</v>
      </c>
      <c r="M2651">
        <f>COUNTIFS($C$2:$C$3934,Table4[[#This Row],[customer_id]])</f>
        <v>5</v>
      </c>
      <c r="N2651" t="str">
        <f>IF(Table4[[#This Row],[customer_order_count]]=1,"New Customer","Repeat Customer")</f>
        <v>Repeat Customer</v>
      </c>
    </row>
    <row r="2652" spans="1:14">
      <c r="A2652" t="s">
        <v>2893</v>
      </c>
      <c r="B2652" s="1">
        <v>45445</v>
      </c>
      <c r="C2652" t="s">
        <v>2292</v>
      </c>
      <c r="D2652" t="s">
        <v>714</v>
      </c>
      <c r="E2652" t="s">
        <v>21</v>
      </c>
      <c r="F2652" t="s">
        <v>22</v>
      </c>
      <c r="G2652" t="s">
        <v>23</v>
      </c>
      <c r="H2652">
        <v>1</v>
      </c>
      <c r="I2652" s="3">
        <v>54.75</v>
      </c>
      <c r="J2652" t="s">
        <v>85</v>
      </c>
      <c r="K2652" t="s">
        <v>35</v>
      </c>
      <c r="L2652" s="4">
        <f>Table4[[#This Row],[quantity]]*Table4[[#This Row],[unit_price]]</f>
        <v>54.75</v>
      </c>
      <c r="M2652">
        <f>COUNTIFS($C$2:$C$3934,Table4[[#This Row],[customer_id]])</f>
        <v>6</v>
      </c>
      <c r="N2652" t="str">
        <f>IF(Table4[[#This Row],[customer_order_count]]=1,"New Customer","Repeat Customer")</f>
        <v>Repeat Customer</v>
      </c>
    </row>
    <row r="2653" spans="1:14">
      <c r="A2653" t="s">
        <v>2437</v>
      </c>
      <c r="B2653" s="1">
        <v>45436</v>
      </c>
      <c r="C2653" t="s">
        <v>2104</v>
      </c>
      <c r="D2653" s="2" t="s">
        <v>5257</v>
      </c>
      <c r="E2653" t="s">
        <v>21</v>
      </c>
      <c r="F2653" t="s">
        <v>70</v>
      </c>
      <c r="G2653" t="s">
        <v>170</v>
      </c>
      <c r="H2653">
        <v>2</v>
      </c>
      <c r="I2653" s="3">
        <v>54.79</v>
      </c>
      <c r="J2653" t="s">
        <v>16</v>
      </c>
      <c r="K2653" t="s">
        <v>35</v>
      </c>
      <c r="L2653" s="4">
        <f>Table4[[#This Row],[quantity]]*Table4[[#This Row],[unit_price]]</f>
        <v>109.58</v>
      </c>
      <c r="M2653">
        <f>COUNTIFS($C$2:$C$3934,Table4[[#This Row],[customer_id]])</f>
        <v>7</v>
      </c>
      <c r="N2653" t="str">
        <f>IF(Table4[[#This Row],[customer_order_count]]=1,"New Customer","Repeat Customer")</f>
        <v>Repeat Customer</v>
      </c>
    </row>
    <row r="2654" spans="1:14">
      <c r="A2654" t="s">
        <v>4812</v>
      </c>
      <c r="B2654" s="1">
        <v>44948</v>
      </c>
      <c r="C2654" t="s">
        <v>1540</v>
      </c>
      <c r="D2654" s="5" t="s">
        <v>928</v>
      </c>
      <c r="E2654" t="s">
        <v>21</v>
      </c>
      <c r="F2654" t="s">
        <v>22</v>
      </c>
      <c r="G2654" t="s">
        <v>23</v>
      </c>
      <c r="H2654">
        <v>1</v>
      </c>
      <c r="I2654" s="3">
        <v>54.83</v>
      </c>
      <c r="J2654" t="s">
        <v>16</v>
      </c>
      <c r="K2654" t="s">
        <v>30</v>
      </c>
      <c r="L2654" s="4">
        <f>Table4[[#This Row],[quantity]]*Table4[[#This Row],[unit_price]]</f>
        <v>54.83</v>
      </c>
      <c r="M2654">
        <f>COUNTIFS($C$2:$C$3934,Table4[[#This Row],[customer_id]])</f>
        <v>6</v>
      </c>
      <c r="N2654" t="str">
        <f>IF(Table4[[#This Row],[customer_order_count]]=1,"New Customer","Repeat Customer")</f>
        <v>Repeat Customer</v>
      </c>
    </row>
    <row r="2655" spans="1:14">
      <c r="A2655" t="s">
        <v>3795</v>
      </c>
      <c r="B2655" s="1">
        <v>45046</v>
      </c>
      <c r="C2655" t="s">
        <v>902</v>
      </c>
      <c r="D2655" t="s">
        <v>903</v>
      </c>
      <c r="E2655" t="s">
        <v>21</v>
      </c>
      <c r="F2655" t="s">
        <v>22</v>
      </c>
      <c r="G2655" t="s">
        <v>23</v>
      </c>
      <c r="H2655">
        <v>2</v>
      </c>
      <c r="I2655" s="3">
        <v>54.84</v>
      </c>
      <c r="J2655" t="s">
        <v>16</v>
      </c>
      <c r="K2655" t="s">
        <v>40</v>
      </c>
      <c r="L2655" s="4">
        <f>Table4[[#This Row],[quantity]]*Table4[[#This Row],[unit_price]]</f>
        <v>109.68</v>
      </c>
      <c r="M2655">
        <f>COUNTIFS($C$2:$C$3934,Table4[[#This Row],[customer_id]])</f>
        <v>4</v>
      </c>
      <c r="N2655" t="str">
        <f>IF(Table4[[#This Row],[customer_order_count]]=1,"New Customer","Repeat Customer")</f>
        <v>Repeat Customer</v>
      </c>
    </row>
    <row r="2656" spans="1:14">
      <c r="A2656" t="s">
        <v>4944</v>
      </c>
      <c r="B2656" s="1">
        <v>45648</v>
      </c>
      <c r="C2656" t="s">
        <v>3910</v>
      </c>
      <c r="D2656" t="s">
        <v>1348</v>
      </c>
      <c r="E2656" t="s">
        <v>21</v>
      </c>
      <c r="F2656" t="s">
        <v>79</v>
      </c>
      <c r="G2656" t="s">
        <v>166</v>
      </c>
      <c r="H2656">
        <v>1</v>
      </c>
      <c r="I2656" s="3">
        <v>54.95</v>
      </c>
      <c r="J2656" t="s">
        <v>85</v>
      </c>
      <c r="K2656" t="s">
        <v>30</v>
      </c>
      <c r="L2656" s="4">
        <f>Table4[[#This Row],[quantity]]*Table4[[#This Row],[unit_price]]</f>
        <v>54.95</v>
      </c>
      <c r="M2656">
        <f>COUNTIFS($C$2:$C$3934,Table4[[#This Row],[customer_id]])</f>
        <v>2</v>
      </c>
      <c r="N2656" t="str">
        <f>IF(Table4[[#This Row],[customer_order_count]]=1,"New Customer","Repeat Customer")</f>
        <v>Repeat Customer</v>
      </c>
    </row>
    <row r="2657" spans="1:14">
      <c r="A2657" t="s">
        <v>4050</v>
      </c>
      <c r="B2657" s="1">
        <v>45194</v>
      </c>
      <c r="C2657" t="s">
        <v>636</v>
      </c>
      <c r="D2657" t="s">
        <v>1554</v>
      </c>
      <c r="E2657" t="s">
        <v>44</v>
      </c>
      <c r="F2657" t="s">
        <v>79</v>
      </c>
      <c r="G2657" t="s">
        <v>541</v>
      </c>
      <c r="H2657">
        <v>2</v>
      </c>
      <c r="I2657" s="3">
        <v>54.95</v>
      </c>
      <c r="J2657" t="s">
        <v>16</v>
      </c>
      <c r="K2657" t="s">
        <v>30</v>
      </c>
      <c r="L2657" s="4">
        <f>Table4[[#This Row],[quantity]]*Table4[[#This Row],[unit_price]]</f>
        <v>109.9</v>
      </c>
      <c r="M2657">
        <f>COUNTIFS($C$2:$C$3934,Table4[[#This Row],[customer_id]])</f>
        <v>6</v>
      </c>
      <c r="N2657" t="str">
        <f>IF(Table4[[#This Row],[customer_order_count]]=1,"New Customer","Repeat Customer")</f>
        <v>Repeat Customer</v>
      </c>
    </row>
    <row r="2658" spans="1:14">
      <c r="A2658" t="s">
        <v>1504</v>
      </c>
      <c r="B2658" s="1">
        <v>45604</v>
      </c>
      <c r="C2658" t="s">
        <v>1095</v>
      </c>
      <c r="D2658" t="s">
        <v>229</v>
      </c>
      <c r="E2658" t="s">
        <v>21</v>
      </c>
      <c r="F2658" t="s">
        <v>22</v>
      </c>
      <c r="G2658" t="s">
        <v>162</v>
      </c>
      <c r="H2658">
        <v>2</v>
      </c>
      <c r="I2658" s="3">
        <v>54.98</v>
      </c>
      <c r="J2658" t="s">
        <v>16</v>
      </c>
      <c r="K2658" t="s">
        <v>17</v>
      </c>
      <c r="L2658" s="4">
        <f>Table4[[#This Row],[quantity]]*Table4[[#This Row],[unit_price]]</f>
        <v>109.96</v>
      </c>
      <c r="M2658">
        <f>COUNTIFS($C$2:$C$3934,Table4[[#This Row],[customer_id]])</f>
        <v>7</v>
      </c>
      <c r="N2658" t="str">
        <f>IF(Table4[[#This Row],[customer_order_count]]=1,"New Customer","Repeat Customer")</f>
        <v>Repeat Customer</v>
      </c>
    </row>
    <row r="2659" spans="1:14">
      <c r="A2659" t="s">
        <v>1549</v>
      </c>
      <c r="B2659" s="1">
        <v>45172</v>
      </c>
      <c r="C2659" t="s">
        <v>1045</v>
      </c>
      <c r="D2659" t="s">
        <v>478</v>
      </c>
      <c r="E2659" t="s">
        <v>21</v>
      </c>
      <c r="F2659" t="s">
        <v>56</v>
      </c>
      <c r="G2659" t="s">
        <v>254</v>
      </c>
      <c r="H2659">
        <v>2</v>
      </c>
      <c r="I2659" s="3">
        <v>54.98</v>
      </c>
      <c r="J2659" t="s">
        <v>85</v>
      </c>
      <c r="K2659" t="s">
        <v>35</v>
      </c>
      <c r="L2659" s="4">
        <f>Table4[[#This Row],[quantity]]*Table4[[#This Row],[unit_price]]</f>
        <v>109.96</v>
      </c>
      <c r="M2659">
        <f>COUNTIFS($C$2:$C$3934,Table4[[#This Row],[customer_id]])</f>
        <v>4</v>
      </c>
      <c r="N2659" t="str">
        <f>IF(Table4[[#This Row],[customer_order_count]]=1,"New Customer","Repeat Customer")</f>
        <v>Repeat Customer</v>
      </c>
    </row>
    <row r="2660" spans="1:14">
      <c r="A2660" t="s">
        <v>1987</v>
      </c>
      <c r="B2660" s="1">
        <v>45202</v>
      </c>
      <c r="C2660" t="s">
        <v>1215</v>
      </c>
      <c r="D2660" t="s">
        <v>761</v>
      </c>
      <c r="E2660" t="s">
        <v>44</v>
      </c>
      <c r="F2660" t="s">
        <v>22</v>
      </c>
      <c r="G2660" t="s">
        <v>162</v>
      </c>
      <c r="H2660">
        <v>4</v>
      </c>
      <c r="I2660" s="3">
        <v>55.01</v>
      </c>
      <c r="J2660" t="s">
        <v>16</v>
      </c>
      <c r="K2660" t="s">
        <v>17</v>
      </c>
      <c r="L2660" s="4">
        <f>Table4[[#This Row],[quantity]]*Table4[[#This Row],[unit_price]]</f>
        <v>220.04</v>
      </c>
      <c r="M2660">
        <f>COUNTIFS($C$2:$C$3934,Table4[[#This Row],[customer_id]])</f>
        <v>3</v>
      </c>
      <c r="N2660" t="str">
        <f>IF(Table4[[#This Row],[customer_order_count]]=1,"New Customer","Repeat Customer")</f>
        <v>Repeat Customer</v>
      </c>
    </row>
    <row r="2661" spans="1:14">
      <c r="A2661" t="s">
        <v>1965</v>
      </c>
      <c r="B2661" s="1">
        <v>44968</v>
      </c>
      <c r="C2661" t="s">
        <v>698</v>
      </c>
      <c r="D2661" t="s">
        <v>307</v>
      </c>
      <c r="E2661" t="s">
        <v>21</v>
      </c>
      <c r="F2661" t="s">
        <v>14</v>
      </c>
      <c r="G2661" t="s">
        <v>62</v>
      </c>
      <c r="H2661">
        <v>1</v>
      </c>
      <c r="I2661" s="3">
        <v>55.012772277227732</v>
      </c>
      <c r="J2661" t="s">
        <v>16</v>
      </c>
      <c r="K2661" t="s">
        <v>30</v>
      </c>
      <c r="L2661" s="4">
        <f>Table4[[#This Row],[quantity]]*Table4[[#This Row],[unit_price]]</f>
        <v>55.012772277227732</v>
      </c>
      <c r="M2661">
        <f>COUNTIFS($C$2:$C$3934,Table4[[#This Row],[customer_id]])</f>
        <v>5</v>
      </c>
      <c r="N2661" t="str">
        <f>IF(Table4[[#This Row],[customer_order_count]]=1,"New Customer","Repeat Customer")</f>
        <v>Repeat Customer</v>
      </c>
    </row>
    <row r="2662" spans="1:14">
      <c r="A2662" t="s">
        <v>3583</v>
      </c>
      <c r="B2662" s="1">
        <v>45051</v>
      </c>
      <c r="C2662" t="s">
        <v>3584</v>
      </c>
      <c r="D2662" t="s">
        <v>3585</v>
      </c>
      <c r="E2662" t="s">
        <v>44</v>
      </c>
      <c r="F2662" t="s">
        <v>14</v>
      </c>
      <c r="G2662" t="s">
        <v>62</v>
      </c>
      <c r="H2662">
        <v>1</v>
      </c>
      <c r="I2662" s="3">
        <v>55.012772277227732</v>
      </c>
      <c r="J2662" t="s">
        <v>16</v>
      </c>
      <c r="K2662" t="s">
        <v>30</v>
      </c>
      <c r="L2662" s="4">
        <f>Table4[[#This Row],[quantity]]*Table4[[#This Row],[unit_price]]</f>
        <v>55.012772277227732</v>
      </c>
      <c r="M2662">
        <f>COUNTIFS($C$2:$C$3934,Table4[[#This Row],[customer_id]])</f>
        <v>2</v>
      </c>
      <c r="N2662" t="str">
        <f>IF(Table4[[#This Row],[customer_order_count]]=1,"New Customer","Repeat Customer")</f>
        <v>Repeat Customer</v>
      </c>
    </row>
    <row r="2663" spans="1:14">
      <c r="A2663" t="s">
        <v>2142</v>
      </c>
      <c r="B2663" s="1">
        <v>45434</v>
      </c>
      <c r="C2663" t="s">
        <v>1528</v>
      </c>
      <c r="D2663" t="s">
        <v>452</v>
      </c>
      <c r="E2663" t="s">
        <v>61</v>
      </c>
      <c r="F2663" t="s">
        <v>14</v>
      </c>
      <c r="G2663" t="s">
        <v>62</v>
      </c>
      <c r="H2663">
        <v>1</v>
      </c>
      <c r="I2663" s="3">
        <v>55.012772277227732</v>
      </c>
      <c r="J2663" t="s">
        <v>16</v>
      </c>
      <c r="K2663" t="s">
        <v>17</v>
      </c>
      <c r="L2663" s="4">
        <f>Table4[[#This Row],[quantity]]*Table4[[#This Row],[unit_price]]</f>
        <v>55.012772277227732</v>
      </c>
      <c r="M2663">
        <f>COUNTIFS($C$2:$C$3934,Table4[[#This Row],[customer_id]])</f>
        <v>2</v>
      </c>
      <c r="N2663" t="str">
        <f>IF(Table4[[#This Row],[customer_order_count]]=1,"New Customer","Repeat Customer")</f>
        <v>Repeat Customer</v>
      </c>
    </row>
    <row r="2664" spans="1:14">
      <c r="A2664" t="s">
        <v>1852</v>
      </c>
      <c r="B2664" s="1">
        <v>45619</v>
      </c>
      <c r="C2664" t="s">
        <v>1853</v>
      </c>
      <c r="D2664" t="s">
        <v>145</v>
      </c>
      <c r="E2664" t="s">
        <v>44</v>
      </c>
      <c r="F2664" t="s">
        <v>14</v>
      </c>
      <c r="G2664" t="s">
        <v>62</v>
      </c>
      <c r="H2664">
        <v>1</v>
      </c>
      <c r="I2664" s="3">
        <v>55.012772277227732</v>
      </c>
      <c r="J2664" t="s">
        <v>16</v>
      </c>
      <c r="K2664" t="s">
        <v>35</v>
      </c>
      <c r="L2664" s="4">
        <f>Table4[[#This Row],[quantity]]*Table4[[#This Row],[unit_price]]</f>
        <v>55.012772277227732</v>
      </c>
      <c r="M2664">
        <f>COUNTIFS($C$2:$C$3934,Table4[[#This Row],[customer_id]])</f>
        <v>3</v>
      </c>
      <c r="N2664" t="str">
        <f>IF(Table4[[#This Row],[customer_order_count]]=1,"New Customer","Repeat Customer")</f>
        <v>Repeat Customer</v>
      </c>
    </row>
    <row r="2665" spans="1:14">
      <c r="A2665" t="s">
        <v>712</v>
      </c>
      <c r="B2665" s="1">
        <v>45022</v>
      </c>
      <c r="C2665" t="s">
        <v>713</v>
      </c>
      <c r="D2665" t="s">
        <v>714</v>
      </c>
      <c r="E2665" t="s">
        <v>21</v>
      </c>
      <c r="F2665" t="s">
        <v>14</v>
      </c>
      <c r="G2665" t="s">
        <v>62</v>
      </c>
      <c r="H2665">
        <v>2</v>
      </c>
      <c r="I2665" s="3">
        <v>55.012772277227732</v>
      </c>
      <c r="J2665" t="s">
        <v>24</v>
      </c>
      <c r="K2665" t="s">
        <v>40</v>
      </c>
      <c r="L2665" s="4">
        <f>Table4[[#This Row],[quantity]]*Table4[[#This Row],[unit_price]]</f>
        <v>110.02554455445546</v>
      </c>
      <c r="M2665">
        <f>COUNTIFS($C$2:$C$3934,Table4[[#This Row],[customer_id]])</f>
        <v>6</v>
      </c>
      <c r="N2665" t="str">
        <f>IF(Table4[[#This Row],[customer_order_count]]=1,"New Customer","Repeat Customer")</f>
        <v>Repeat Customer</v>
      </c>
    </row>
    <row r="2666" spans="1:14">
      <c r="A2666" t="s">
        <v>935</v>
      </c>
      <c r="B2666" s="1">
        <v>45145</v>
      </c>
      <c r="C2666" t="s">
        <v>443</v>
      </c>
      <c r="D2666" t="s">
        <v>444</v>
      </c>
      <c r="E2666" t="s">
        <v>21</v>
      </c>
      <c r="F2666" t="s">
        <v>14</v>
      </c>
      <c r="G2666" t="s">
        <v>15</v>
      </c>
      <c r="H2666">
        <v>1</v>
      </c>
      <c r="I2666" s="3">
        <v>55.05</v>
      </c>
      <c r="J2666" t="s">
        <v>24</v>
      </c>
      <c r="K2666" t="s">
        <v>17</v>
      </c>
      <c r="L2666" s="4">
        <f>Table4[[#This Row],[quantity]]*Table4[[#This Row],[unit_price]]</f>
        <v>55.05</v>
      </c>
      <c r="M2666">
        <f>COUNTIFS($C$2:$C$3934,Table4[[#This Row],[customer_id]])</f>
        <v>5</v>
      </c>
      <c r="N2666" t="str">
        <f>IF(Table4[[#This Row],[customer_order_count]]=1,"New Customer","Repeat Customer")</f>
        <v>Repeat Customer</v>
      </c>
    </row>
    <row r="2667" spans="1:14">
      <c r="A2667" t="s">
        <v>4252</v>
      </c>
      <c r="B2667" s="1">
        <v>45310</v>
      </c>
      <c r="C2667" t="s">
        <v>1056</v>
      </c>
      <c r="D2667" t="s">
        <v>1057</v>
      </c>
      <c r="E2667" t="s">
        <v>44</v>
      </c>
      <c r="F2667" t="s">
        <v>56</v>
      </c>
      <c r="G2667" t="s">
        <v>210</v>
      </c>
      <c r="H2667">
        <v>1</v>
      </c>
      <c r="I2667" s="3">
        <v>55.09</v>
      </c>
      <c r="J2667" t="s">
        <v>16</v>
      </c>
      <c r="K2667" t="s">
        <v>40</v>
      </c>
      <c r="L2667" s="4">
        <f>Table4[[#This Row],[quantity]]*Table4[[#This Row],[unit_price]]</f>
        <v>55.09</v>
      </c>
      <c r="M2667">
        <f>COUNTIFS($C$2:$C$3934,Table4[[#This Row],[customer_id]])</f>
        <v>4</v>
      </c>
      <c r="N2667" t="str">
        <f>IF(Table4[[#This Row],[customer_order_count]]=1,"New Customer","Repeat Customer")</f>
        <v>Repeat Customer</v>
      </c>
    </row>
    <row r="2668" spans="1:14">
      <c r="A2668" t="s">
        <v>2609</v>
      </c>
      <c r="B2668" s="1">
        <v>45117</v>
      </c>
      <c r="C2668" t="s">
        <v>2610</v>
      </c>
      <c r="D2668" t="s">
        <v>678</v>
      </c>
      <c r="E2668" t="s">
        <v>21</v>
      </c>
      <c r="F2668" t="s">
        <v>56</v>
      </c>
      <c r="G2668" t="s">
        <v>57</v>
      </c>
      <c r="H2668">
        <v>3</v>
      </c>
      <c r="I2668" s="3">
        <v>55.12</v>
      </c>
      <c r="J2668" t="s">
        <v>16</v>
      </c>
      <c r="K2668" t="s">
        <v>30</v>
      </c>
      <c r="L2668" s="4">
        <f>Table4[[#This Row],[quantity]]*Table4[[#This Row],[unit_price]]</f>
        <v>165.35999999999999</v>
      </c>
      <c r="M2668">
        <f>COUNTIFS($C$2:$C$3934,Table4[[#This Row],[customer_id]])</f>
        <v>3</v>
      </c>
      <c r="N2668" t="str">
        <f>IF(Table4[[#This Row],[customer_order_count]]=1,"New Customer","Repeat Customer")</f>
        <v>Repeat Customer</v>
      </c>
    </row>
    <row r="2669" spans="1:14">
      <c r="A2669" t="s">
        <v>3025</v>
      </c>
      <c r="B2669" s="1">
        <v>45329</v>
      </c>
      <c r="C2669" t="s">
        <v>1097</v>
      </c>
      <c r="D2669" t="s">
        <v>560</v>
      </c>
      <c r="E2669" t="s">
        <v>21</v>
      </c>
      <c r="F2669" t="s">
        <v>56</v>
      </c>
      <c r="G2669" t="s">
        <v>210</v>
      </c>
      <c r="H2669">
        <v>3</v>
      </c>
      <c r="I2669" s="3">
        <v>55.13</v>
      </c>
      <c r="J2669" t="s">
        <v>16</v>
      </c>
      <c r="K2669" t="s">
        <v>35</v>
      </c>
      <c r="L2669" s="4">
        <f>Table4[[#This Row],[quantity]]*Table4[[#This Row],[unit_price]]</f>
        <v>165.39000000000001</v>
      </c>
      <c r="M2669">
        <f>COUNTIFS($C$2:$C$3934,Table4[[#This Row],[customer_id]])</f>
        <v>7</v>
      </c>
      <c r="N2669" t="str">
        <f>IF(Table4[[#This Row],[customer_order_count]]=1,"New Customer","Repeat Customer")</f>
        <v>Repeat Customer</v>
      </c>
    </row>
    <row r="2670" spans="1:14">
      <c r="A2670" t="s">
        <v>4893</v>
      </c>
      <c r="B2670" s="1">
        <v>45514</v>
      </c>
      <c r="C2670" t="s">
        <v>1437</v>
      </c>
      <c r="D2670" t="s">
        <v>1054</v>
      </c>
      <c r="E2670" t="s">
        <v>21</v>
      </c>
      <c r="F2670" t="s">
        <v>22</v>
      </c>
      <c r="G2670" t="s">
        <v>23</v>
      </c>
      <c r="H2670">
        <v>5</v>
      </c>
      <c r="I2670" s="3">
        <v>55.13</v>
      </c>
      <c r="J2670" t="s">
        <v>16</v>
      </c>
      <c r="K2670" t="s">
        <v>40</v>
      </c>
      <c r="L2670" s="4">
        <f>Table4[[#This Row],[quantity]]*Table4[[#This Row],[unit_price]]</f>
        <v>275.65000000000003</v>
      </c>
      <c r="M2670">
        <f>COUNTIFS($C$2:$C$3934,Table4[[#This Row],[customer_id]])</f>
        <v>5</v>
      </c>
      <c r="N2670" t="str">
        <f>IF(Table4[[#This Row],[customer_order_count]]=1,"New Customer","Repeat Customer")</f>
        <v>Repeat Customer</v>
      </c>
    </row>
    <row r="2671" spans="1:14">
      <c r="A2671" t="s">
        <v>1707</v>
      </c>
      <c r="B2671" s="1">
        <v>45197</v>
      </c>
      <c r="C2671" t="s">
        <v>1708</v>
      </c>
      <c r="D2671" t="s">
        <v>127</v>
      </c>
      <c r="E2671" t="s">
        <v>21</v>
      </c>
      <c r="F2671" t="s">
        <v>79</v>
      </c>
      <c r="G2671" t="s">
        <v>398</v>
      </c>
      <c r="H2671">
        <v>1</v>
      </c>
      <c r="I2671" s="3">
        <v>55.22</v>
      </c>
      <c r="J2671" t="s">
        <v>16</v>
      </c>
      <c r="K2671" t="s">
        <v>17</v>
      </c>
      <c r="L2671" s="4">
        <f>Table4[[#This Row],[quantity]]*Table4[[#This Row],[unit_price]]</f>
        <v>55.22</v>
      </c>
      <c r="M2671">
        <f>COUNTIFS($C$2:$C$3934,Table4[[#This Row],[customer_id]])</f>
        <v>9</v>
      </c>
      <c r="N2671" t="str">
        <f>IF(Table4[[#This Row],[customer_order_count]]=1,"New Customer","Repeat Customer")</f>
        <v>Repeat Customer</v>
      </c>
    </row>
    <row r="2672" spans="1:14">
      <c r="A2672" t="s">
        <v>3903</v>
      </c>
      <c r="B2672" s="1">
        <v>45206</v>
      </c>
      <c r="C2672" t="s">
        <v>830</v>
      </c>
      <c r="D2672" t="s">
        <v>831</v>
      </c>
      <c r="E2672" t="s">
        <v>21</v>
      </c>
      <c r="F2672" t="s">
        <v>22</v>
      </c>
      <c r="G2672" t="s">
        <v>162</v>
      </c>
      <c r="H2672">
        <v>1</v>
      </c>
      <c r="I2672" s="3">
        <v>55.23</v>
      </c>
      <c r="J2672" t="s">
        <v>16</v>
      </c>
      <c r="K2672" t="s">
        <v>35</v>
      </c>
      <c r="L2672" s="4">
        <f>Table4[[#This Row],[quantity]]*Table4[[#This Row],[unit_price]]</f>
        <v>55.23</v>
      </c>
      <c r="M2672">
        <f>COUNTIFS($C$2:$C$3934,Table4[[#This Row],[customer_id]])</f>
        <v>5</v>
      </c>
      <c r="N2672" t="str">
        <f>IF(Table4[[#This Row],[customer_order_count]]=1,"New Customer","Repeat Customer")</f>
        <v>Repeat Customer</v>
      </c>
    </row>
    <row r="2673" spans="1:14">
      <c r="A2673" t="s">
        <v>287</v>
      </c>
      <c r="B2673" s="1">
        <v>44963</v>
      </c>
      <c r="C2673" t="s">
        <v>288</v>
      </c>
      <c r="D2673" t="s">
        <v>289</v>
      </c>
      <c r="E2673" t="s">
        <v>21</v>
      </c>
      <c r="F2673" t="s">
        <v>70</v>
      </c>
      <c r="G2673" t="s">
        <v>89</v>
      </c>
      <c r="H2673">
        <v>2</v>
      </c>
      <c r="I2673" s="3">
        <v>55.25</v>
      </c>
      <c r="J2673" t="s">
        <v>16</v>
      </c>
      <c r="K2673" t="s">
        <v>40</v>
      </c>
      <c r="L2673" s="4">
        <f>Table4[[#This Row],[quantity]]*Table4[[#This Row],[unit_price]]</f>
        <v>110.5</v>
      </c>
      <c r="M2673">
        <f>COUNTIFS($C$2:$C$3934,Table4[[#This Row],[customer_id]])</f>
        <v>6</v>
      </c>
      <c r="N2673" t="str">
        <f>IF(Table4[[#This Row],[customer_order_count]]=1,"New Customer","Repeat Customer")</f>
        <v>Repeat Customer</v>
      </c>
    </row>
    <row r="2674" spans="1:14">
      <c r="A2674" t="s">
        <v>3172</v>
      </c>
      <c r="B2674" s="1">
        <v>45610</v>
      </c>
      <c r="C2674" t="s">
        <v>1717</v>
      </c>
      <c r="D2674" t="s">
        <v>573</v>
      </c>
      <c r="E2674" t="s">
        <v>21</v>
      </c>
      <c r="F2674" t="s">
        <v>56</v>
      </c>
      <c r="G2674" t="s">
        <v>210</v>
      </c>
      <c r="H2674">
        <v>5</v>
      </c>
      <c r="I2674" s="3">
        <v>55.25</v>
      </c>
      <c r="J2674" t="s">
        <v>16</v>
      </c>
      <c r="K2674" t="s">
        <v>40</v>
      </c>
      <c r="L2674" s="4">
        <f>Table4[[#This Row],[quantity]]*Table4[[#This Row],[unit_price]]</f>
        <v>276.25</v>
      </c>
      <c r="M2674">
        <f>COUNTIFS($C$2:$C$3934,Table4[[#This Row],[customer_id]])</f>
        <v>7</v>
      </c>
      <c r="N2674" t="str">
        <f>IF(Table4[[#This Row],[customer_order_count]]=1,"New Customer","Repeat Customer")</f>
        <v>Repeat Customer</v>
      </c>
    </row>
    <row r="2675" spans="1:14">
      <c r="A2675" t="s">
        <v>4020</v>
      </c>
      <c r="B2675" s="1">
        <v>45179</v>
      </c>
      <c r="C2675" t="s">
        <v>833</v>
      </c>
      <c r="D2675" t="s">
        <v>834</v>
      </c>
      <c r="E2675" t="s">
        <v>44</v>
      </c>
      <c r="F2675" t="s">
        <v>14</v>
      </c>
      <c r="G2675" t="s">
        <v>258</v>
      </c>
      <c r="H2675">
        <v>1</v>
      </c>
      <c r="I2675" s="3">
        <v>55.27</v>
      </c>
      <c r="J2675" t="s">
        <v>24</v>
      </c>
      <c r="K2675" t="s">
        <v>40</v>
      </c>
      <c r="L2675" s="4">
        <f>Table4[[#This Row],[quantity]]*Table4[[#This Row],[unit_price]]</f>
        <v>55.27</v>
      </c>
      <c r="M2675">
        <f>COUNTIFS($C$2:$C$3934,Table4[[#This Row],[customer_id]])</f>
        <v>5</v>
      </c>
      <c r="N2675" t="str">
        <f>IF(Table4[[#This Row],[customer_order_count]]=1,"New Customer","Repeat Customer")</f>
        <v>Repeat Customer</v>
      </c>
    </row>
    <row r="2676" spans="1:14">
      <c r="A2676" t="s">
        <v>2270</v>
      </c>
      <c r="B2676" s="1">
        <v>44984</v>
      </c>
      <c r="C2676" t="s">
        <v>155</v>
      </c>
      <c r="D2676" t="s">
        <v>99</v>
      </c>
      <c r="E2676" t="s">
        <v>21</v>
      </c>
      <c r="F2676" t="s">
        <v>56</v>
      </c>
      <c r="G2676" t="s">
        <v>153</v>
      </c>
      <c r="H2676">
        <v>4</v>
      </c>
      <c r="I2676" s="3">
        <v>55.27</v>
      </c>
      <c r="J2676" t="s">
        <v>16</v>
      </c>
      <c r="K2676" t="s">
        <v>35</v>
      </c>
      <c r="L2676" s="4">
        <f>Table4[[#This Row],[quantity]]*Table4[[#This Row],[unit_price]]</f>
        <v>221.08</v>
      </c>
      <c r="M2676">
        <f>COUNTIFS($C$2:$C$3934,Table4[[#This Row],[customer_id]])</f>
        <v>6</v>
      </c>
      <c r="N2676" t="str">
        <f>IF(Table4[[#This Row],[customer_order_count]]=1,"New Customer","Repeat Customer")</f>
        <v>Repeat Customer</v>
      </c>
    </row>
    <row r="2677" spans="1:14">
      <c r="A2677" t="s">
        <v>3349</v>
      </c>
      <c r="B2677" s="1">
        <v>45171</v>
      </c>
      <c r="C2677" t="s">
        <v>1973</v>
      </c>
      <c r="D2677" t="s">
        <v>797</v>
      </c>
      <c r="E2677" t="s">
        <v>21</v>
      </c>
      <c r="F2677" t="s">
        <v>79</v>
      </c>
      <c r="G2677" t="s">
        <v>96</v>
      </c>
      <c r="H2677">
        <v>5</v>
      </c>
      <c r="I2677" s="3">
        <v>55.27</v>
      </c>
      <c r="J2677" t="s">
        <v>16</v>
      </c>
      <c r="K2677" t="s">
        <v>40</v>
      </c>
      <c r="L2677" s="4">
        <f>Table4[[#This Row],[quantity]]*Table4[[#This Row],[unit_price]]</f>
        <v>276.35000000000002</v>
      </c>
      <c r="M2677">
        <f>COUNTIFS($C$2:$C$3934,Table4[[#This Row],[customer_id]])</f>
        <v>5</v>
      </c>
      <c r="N2677" t="str">
        <f>IF(Table4[[#This Row],[customer_order_count]]=1,"New Customer","Repeat Customer")</f>
        <v>Repeat Customer</v>
      </c>
    </row>
    <row r="2678" spans="1:14">
      <c r="A2678" t="s">
        <v>1751</v>
      </c>
      <c r="B2678" s="1">
        <v>45185</v>
      </c>
      <c r="C2678" t="s">
        <v>1752</v>
      </c>
      <c r="D2678" s="2" t="s">
        <v>5257</v>
      </c>
      <c r="E2678" t="s">
        <v>21</v>
      </c>
      <c r="F2678" t="s">
        <v>14</v>
      </c>
      <c r="G2678" t="s">
        <v>100</v>
      </c>
      <c r="H2678">
        <v>2</v>
      </c>
      <c r="I2678" s="3">
        <v>55.31</v>
      </c>
      <c r="J2678" t="s">
        <v>16</v>
      </c>
      <c r="K2678" t="s">
        <v>40</v>
      </c>
      <c r="L2678" s="4">
        <f>Table4[[#This Row],[quantity]]*Table4[[#This Row],[unit_price]]</f>
        <v>110.62</v>
      </c>
      <c r="M2678">
        <f>COUNTIFS($C$2:$C$3934,Table4[[#This Row],[customer_id]])</f>
        <v>4</v>
      </c>
      <c r="N2678" t="str">
        <f>IF(Table4[[#This Row],[customer_order_count]]=1,"New Customer","Repeat Customer")</f>
        <v>Repeat Customer</v>
      </c>
    </row>
    <row r="2679" spans="1:14">
      <c r="A2679" t="s">
        <v>4351</v>
      </c>
      <c r="B2679" s="1">
        <v>45068</v>
      </c>
      <c r="C2679" t="s">
        <v>382</v>
      </c>
      <c r="D2679" s="5" t="s">
        <v>383</v>
      </c>
      <c r="E2679" t="s">
        <v>21</v>
      </c>
      <c r="F2679" t="s">
        <v>14</v>
      </c>
      <c r="G2679" t="s">
        <v>34</v>
      </c>
      <c r="H2679">
        <v>2</v>
      </c>
      <c r="I2679" s="3">
        <v>55.31</v>
      </c>
      <c r="J2679" t="s">
        <v>85</v>
      </c>
      <c r="K2679" t="s">
        <v>30</v>
      </c>
      <c r="L2679" s="4">
        <f>Table4[[#This Row],[quantity]]*Table4[[#This Row],[unit_price]]</f>
        <v>110.62</v>
      </c>
      <c r="M2679">
        <f>COUNTIFS($C$2:$C$3934,Table4[[#This Row],[customer_id]])</f>
        <v>6</v>
      </c>
      <c r="N2679" t="str">
        <f>IF(Table4[[#This Row],[customer_order_count]]=1,"New Customer","Repeat Customer")</f>
        <v>Repeat Customer</v>
      </c>
    </row>
    <row r="2680" spans="1:14">
      <c r="A2680" t="s">
        <v>4968</v>
      </c>
      <c r="B2680" s="1">
        <v>45224</v>
      </c>
      <c r="C2680" t="s">
        <v>1064</v>
      </c>
      <c r="D2680" t="s">
        <v>1065</v>
      </c>
      <c r="E2680" t="s">
        <v>21</v>
      </c>
      <c r="F2680" t="s">
        <v>79</v>
      </c>
      <c r="G2680" t="s">
        <v>398</v>
      </c>
      <c r="H2680">
        <v>5</v>
      </c>
      <c r="I2680" s="3">
        <v>55.34</v>
      </c>
      <c r="J2680" t="s">
        <v>24</v>
      </c>
      <c r="K2680" t="s">
        <v>30</v>
      </c>
      <c r="L2680" s="4">
        <f>Table4[[#This Row],[quantity]]*Table4[[#This Row],[unit_price]]</f>
        <v>276.70000000000005</v>
      </c>
      <c r="M2680">
        <f>COUNTIFS($C$2:$C$3934,Table4[[#This Row],[customer_id]])</f>
        <v>7</v>
      </c>
      <c r="N2680" t="str">
        <f>IF(Table4[[#This Row],[customer_order_count]]=1,"New Customer","Repeat Customer")</f>
        <v>Repeat Customer</v>
      </c>
    </row>
    <row r="2681" spans="1:14">
      <c r="A2681" t="s">
        <v>1872</v>
      </c>
      <c r="B2681" s="1">
        <v>45647</v>
      </c>
      <c r="C2681" t="s">
        <v>1788</v>
      </c>
      <c r="D2681" t="s">
        <v>121</v>
      </c>
      <c r="E2681" t="s">
        <v>21</v>
      </c>
      <c r="F2681" t="s">
        <v>56</v>
      </c>
      <c r="G2681" t="s">
        <v>75</v>
      </c>
      <c r="H2681">
        <v>1</v>
      </c>
      <c r="I2681" s="3">
        <v>55.39</v>
      </c>
      <c r="J2681" t="s">
        <v>16</v>
      </c>
      <c r="K2681" t="s">
        <v>35</v>
      </c>
      <c r="L2681" s="4">
        <f>Table4[[#This Row],[quantity]]*Table4[[#This Row],[unit_price]]</f>
        <v>55.39</v>
      </c>
      <c r="M2681">
        <f>COUNTIFS($C$2:$C$3934,Table4[[#This Row],[customer_id]])</f>
        <v>7</v>
      </c>
      <c r="N2681" t="str">
        <f>IF(Table4[[#This Row],[customer_order_count]]=1,"New Customer","Repeat Customer")</f>
        <v>Repeat Customer</v>
      </c>
    </row>
    <row r="2682" spans="1:14">
      <c r="A2682" t="s">
        <v>3544</v>
      </c>
      <c r="B2682" s="1">
        <v>45256</v>
      </c>
      <c r="C2682" t="s">
        <v>1747</v>
      </c>
      <c r="D2682" t="s">
        <v>1748</v>
      </c>
      <c r="E2682" t="s">
        <v>21</v>
      </c>
      <c r="F2682" t="s">
        <v>79</v>
      </c>
      <c r="G2682" t="s">
        <v>204</v>
      </c>
      <c r="H2682">
        <v>1</v>
      </c>
      <c r="I2682" s="3">
        <v>55.41</v>
      </c>
      <c r="J2682" t="s">
        <v>16</v>
      </c>
      <c r="K2682" t="s">
        <v>30</v>
      </c>
      <c r="L2682" s="4">
        <f>Table4[[#This Row],[quantity]]*Table4[[#This Row],[unit_price]]</f>
        <v>55.41</v>
      </c>
      <c r="M2682">
        <f>COUNTIFS($C$2:$C$3934,Table4[[#This Row],[customer_id]])</f>
        <v>8</v>
      </c>
      <c r="N2682" t="str">
        <f>IF(Table4[[#This Row],[customer_order_count]]=1,"New Customer","Repeat Customer")</f>
        <v>Repeat Customer</v>
      </c>
    </row>
    <row r="2683" spans="1:14">
      <c r="A2683" t="s">
        <v>1489</v>
      </c>
      <c r="B2683" s="1">
        <v>45273</v>
      </c>
      <c r="C2683" t="s">
        <v>1490</v>
      </c>
      <c r="D2683" t="s">
        <v>261</v>
      </c>
      <c r="E2683" t="s">
        <v>21</v>
      </c>
      <c r="F2683" t="s">
        <v>70</v>
      </c>
      <c r="G2683" t="s">
        <v>89</v>
      </c>
      <c r="H2683">
        <v>1</v>
      </c>
      <c r="I2683" s="3">
        <v>55.46</v>
      </c>
      <c r="J2683" t="s">
        <v>16</v>
      </c>
      <c r="K2683" t="s">
        <v>30</v>
      </c>
      <c r="L2683" s="4">
        <f>Table4[[#This Row],[quantity]]*Table4[[#This Row],[unit_price]]</f>
        <v>55.46</v>
      </c>
      <c r="M2683">
        <f>COUNTIFS($C$2:$C$3934,Table4[[#This Row],[customer_id]])</f>
        <v>5</v>
      </c>
      <c r="N2683" t="str">
        <f>IF(Table4[[#This Row],[customer_order_count]]=1,"New Customer","Repeat Customer")</f>
        <v>Repeat Customer</v>
      </c>
    </row>
    <row r="2684" spans="1:14">
      <c r="A2684" t="s">
        <v>4922</v>
      </c>
      <c r="B2684" s="1">
        <v>45273</v>
      </c>
      <c r="C2684" t="s">
        <v>1379</v>
      </c>
      <c r="D2684" t="s">
        <v>1054</v>
      </c>
      <c r="E2684" t="s">
        <v>21</v>
      </c>
      <c r="F2684" t="s">
        <v>22</v>
      </c>
      <c r="G2684" t="s">
        <v>23</v>
      </c>
      <c r="H2684">
        <v>1</v>
      </c>
      <c r="I2684" s="3">
        <v>55.57</v>
      </c>
      <c r="J2684" t="s">
        <v>16</v>
      </c>
      <c r="K2684" t="s">
        <v>35</v>
      </c>
      <c r="L2684" s="4">
        <f>Table4[[#This Row],[quantity]]*Table4[[#This Row],[unit_price]]</f>
        <v>55.57</v>
      </c>
      <c r="M2684">
        <f>COUNTIFS($C$2:$C$3934,Table4[[#This Row],[customer_id]])</f>
        <v>5</v>
      </c>
      <c r="N2684" t="str">
        <f>IF(Table4[[#This Row],[customer_order_count]]=1,"New Customer","Repeat Customer")</f>
        <v>Repeat Customer</v>
      </c>
    </row>
    <row r="2685" spans="1:14">
      <c r="A2685" t="s">
        <v>977</v>
      </c>
      <c r="B2685" s="1">
        <v>45414</v>
      </c>
      <c r="C2685" t="s">
        <v>978</v>
      </c>
      <c r="D2685" t="s">
        <v>292</v>
      </c>
      <c r="E2685" t="s">
        <v>21</v>
      </c>
      <c r="F2685" t="s">
        <v>14</v>
      </c>
      <c r="G2685" t="s">
        <v>34</v>
      </c>
      <c r="H2685">
        <v>1</v>
      </c>
      <c r="I2685" s="3">
        <v>55.61</v>
      </c>
      <c r="J2685" t="s">
        <v>16</v>
      </c>
      <c r="K2685" t="s">
        <v>40</v>
      </c>
      <c r="L2685" s="4">
        <f>Table4[[#This Row],[quantity]]*Table4[[#This Row],[unit_price]]</f>
        <v>55.61</v>
      </c>
      <c r="M2685">
        <f>COUNTIFS($C$2:$C$3934,Table4[[#This Row],[customer_id]])</f>
        <v>9</v>
      </c>
      <c r="N2685" t="str">
        <f>IF(Table4[[#This Row],[customer_order_count]]=1,"New Customer","Repeat Customer")</f>
        <v>Repeat Customer</v>
      </c>
    </row>
    <row r="2686" spans="1:14">
      <c r="A2686" t="s">
        <v>3308</v>
      </c>
      <c r="B2686" s="1">
        <v>45510</v>
      </c>
      <c r="C2686" t="s">
        <v>183</v>
      </c>
      <c r="D2686" t="s">
        <v>857</v>
      </c>
      <c r="E2686" t="s">
        <v>21</v>
      </c>
      <c r="F2686" t="s">
        <v>70</v>
      </c>
      <c r="G2686" t="s">
        <v>170</v>
      </c>
      <c r="H2686">
        <v>1</v>
      </c>
      <c r="I2686" s="3">
        <v>55.64</v>
      </c>
      <c r="J2686" t="s">
        <v>16</v>
      </c>
      <c r="K2686" t="s">
        <v>40</v>
      </c>
      <c r="L2686" s="4">
        <f>Table4[[#This Row],[quantity]]*Table4[[#This Row],[unit_price]]</f>
        <v>55.64</v>
      </c>
      <c r="M2686">
        <f>COUNTIFS($C$2:$C$3934,Table4[[#This Row],[customer_id]])</f>
        <v>7</v>
      </c>
      <c r="N2686" t="str">
        <f>IF(Table4[[#This Row],[customer_order_count]]=1,"New Customer","Repeat Customer")</f>
        <v>Repeat Customer</v>
      </c>
    </row>
    <row r="2687" spans="1:14">
      <c r="A2687" t="s">
        <v>3587</v>
      </c>
      <c r="B2687" s="1">
        <v>45170</v>
      </c>
      <c r="C2687" t="s">
        <v>861</v>
      </c>
      <c r="D2687" t="s">
        <v>787</v>
      </c>
      <c r="E2687" t="s">
        <v>21</v>
      </c>
      <c r="F2687" t="s">
        <v>22</v>
      </c>
      <c r="G2687" t="s">
        <v>23</v>
      </c>
      <c r="H2687">
        <v>2</v>
      </c>
      <c r="I2687" s="3">
        <v>55.64</v>
      </c>
      <c r="J2687" t="s">
        <v>16</v>
      </c>
      <c r="K2687" t="s">
        <v>17</v>
      </c>
      <c r="L2687" s="4">
        <f>Table4[[#This Row],[quantity]]*Table4[[#This Row],[unit_price]]</f>
        <v>111.28</v>
      </c>
      <c r="M2687">
        <f>COUNTIFS($C$2:$C$3934,Table4[[#This Row],[customer_id]])</f>
        <v>9</v>
      </c>
      <c r="N2687" t="str">
        <f>IF(Table4[[#This Row],[customer_order_count]]=1,"New Customer","Repeat Customer")</f>
        <v>Repeat Customer</v>
      </c>
    </row>
    <row r="2688" spans="1:14">
      <c r="A2688" t="s">
        <v>4687</v>
      </c>
      <c r="B2688" s="1">
        <v>44939</v>
      </c>
      <c r="C2688" t="s">
        <v>2395</v>
      </c>
      <c r="D2688" t="s">
        <v>92</v>
      </c>
      <c r="E2688" t="s">
        <v>21</v>
      </c>
      <c r="F2688" t="s">
        <v>70</v>
      </c>
      <c r="G2688" t="s">
        <v>89</v>
      </c>
      <c r="H2688">
        <v>1</v>
      </c>
      <c r="I2688" s="3">
        <v>55.65</v>
      </c>
      <c r="J2688" t="s">
        <v>16</v>
      </c>
      <c r="K2688" t="s">
        <v>17</v>
      </c>
      <c r="L2688" s="4">
        <f>Table4[[#This Row],[quantity]]*Table4[[#This Row],[unit_price]]</f>
        <v>55.65</v>
      </c>
      <c r="M2688">
        <f>COUNTIFS($C$2:$C$3934,Table4[[#This Row],[customer_id]])</f>
        <v>7</v>
      </c>
      <c r="N2688" t="str">
        <f>IF(Table4[[#This Row],[customer_order_count]]=1,"New Customer","Repeat Customer")</f>
        <v>Repeat Customer</v>
      </c>
    </row>
    <row r="2689" spans="1:14">
      <c r="A2689" t="s">
        <v>3792</v>
      </c>
      <c r="B2689" s="1">
        <v>45200</v>
      </c>
      <c r="C2689" t="s">
        <v>3793</v>
      </c>
      <c r="D2689" t="s">
        <v>743</v>
      </c>
      <c r="E2689" t="s">
        <v>44</v>
      </c>
      <c r="F2689" t="s">
        <v>56</v>
      </c>
      <c r="G2689" t="s">
        <v>422</v>
      </c>
      <c r="H2689">
        <v>1</v>
      </c>
      <c r="I2689" s="3">
        <v>55.66</v>
      </c>
      <c r="J2689" t="s">
        <v>16</v>
      </c>
      <c r="K2689" t="s">
        <v>30</v>
      </c>
      <c r="L2689" s="4">
        <f>Table4[[#This Row],[quantity]]*Table4[[#This Row],[unit_price]]</f>
        <v>55.66</v>
      </c>
      <c r="M2689">
        <f>COUNTIFS($C$2:$C$3934,Table4[[#This Row],[customer_id]])</f>
        <v>3</v>
      </c>
      <c r="N2689" t="str">
        <f>IF(Table4[[#This Row],[customer_order_count]]=1,"New Customer","Repeat Customer")</f>
        <v>Repeat Customer</v>
      </c>
    </row>
    <row r="2690" spans="1:14">
      <c r="A2690" t="s">
        <v>256</v>
      </c>
      <c r="B2690" s="1">
        <v>45619</v>
      </c>
      <c r="C2690" t="s">
        <v>257</v>
      </c>
      <c r="D2690" t="s">
        <v>131</v>
      </c>
      <c r="E2690" t="s">
        <v>44</v>
      </c>
      <c r="F2690" t="s">
        <v>14</v>
      </c>
      <c r="G2690" t="s">
        <v>258</v>
      </c>
      <c r="H2690">
        <v>1</v>
      </c>
      <c r="I2690" s="3">
        <v>55.69</v>
      </c>
      <c r="J2690" t="s">
        <v>16</v>
      </c>
      <c r="K2690" t="s">
        <v>40</v>
      </c>
      <c r="L2690" s="4">
        <f>Table4[[#This Row],[quantity]]*Table4[[#This Row],[unit_price]]</f>
        <v>55.69</v>
      </c>
      <c r="M2690">
        <f>COUNTIFS($C$2:$C$3934,Table4[[#This Row],[customer_id]])</f>
        <v>5</v>
      </c>
      <c r="N2690" t="str">
        <f>IF(Table4[[#This Row],[customer_order_count]]=1,"New Customer","Repeat Customer")</f>
        <v>Repeat Customer</v>
      </c>
    </row>
    <row r="2691" spans="1:14">
      <c r="A2691" t="s">
        <v>1589</v>
      </c>
      <c r="B2691" s="1">
        <v>45093</v>
      </c>
      <c r="C2691" t="s">
        <v>973</v>
      </c>
      <c r="D2691" t="s">
        <v>496</v>
      </c>
      <c r="E2691" t="s">
        <v>21</v>
      </c>
      <c r="F2691" t="s">
        <v>56</v>
      </c>
      <c r="G2691" t="s">
        <v>254</v>
      </c>
      <c r="H2691">
        <v>1</v>
      </c>
      <c r="I2691" s="3">
        <v>55.69</v>
      </c>
      <c r="J2691" t="s">
        <v>16</v>
      </c>
      <c r="K2691" t="s">
        <v>35</v>
      </c>
      <c r="L2691" s="4">
        <f>Table4[[#This Row],[quantity]]*Table4[[#This Row],[unit_price]]</f>
        <v>55.69</v>
      </c>
      <c r="M2691">
        <f>COUNTIFS($C$2:$C$3934,Table4[[#This Row],[customer_id]])</f>
        <v>5</v>
      </c>
      <c r="N2691" t="str">
        <f>IF(Table4[[#This Row],[customer_order_count]]=1,"New Customer","Repeat Customer")</f>
        <v>Repeat Customer</v>
      </c>
    </row>
    <row r="2692" spans="1:14">
      <c r="A2692" t="s">
        <v>4926</v>
      </c>
      <c r="B2692" s="1">
        <v>45391</v>
      </c>
      <c r="C2692" t="s">
        <v>636</v>
      </c>
      <c r="D2692" t="s">
        <v>1554</v>
      </c>
      <c r="E2692" t="s">
        <v>44</v>
      </c>
      <c r="F2692" t="s">
        <v>14</v>
      </c>
      <c r="G2692" t="s">
        <v>258</v>
      </c>
      <c r="H2692">
        <v>1</v>
      </c>
      <c r="I2692" s="3">
        <v>55.73</v>
      </c>
      <c r="J2692" t="s">
        <v>16</v>
      </c>
      <c r="K2692" t="s">
        <v>35</v>
      </c>
      <c r="L2692" s="4">
        <f>Table4[[#This Row],[quantity]]*Table4[[#This Row],[unit_price]]</f>
        <v>55.73</v>
      </c>
      <c r="M2692">
        <f>COUNTIFS($C$2:$C$3934,Table4[[#This Row],[customer_id]])</f>
        <v>6</v>
      </c>
      <c r="N2692" t="str">
        <f>IF(Table4[[#This Row],[customer_order_count]]=1,"New Customer","Repeat Customer")</f>
        <v>Repeat Customer</v>
      </c>
    </row>
    <row r="2693" spans="1:14">
      <c r="A2693" t="s">
        <v>4164</v>
      </c>
      <c r="B2693" s="1">
        <v>45051</v>
      </c>
      <c r="C2693" t="s">
        <v>3029</v>
      </c>
      <c r="D2693" t="s">
        <v>92</v>
      </c>
      <c r="E2693" t="s">
        <v>21</v>
      </c>
      <c r="F2693" t="s">
        <v>22</v>
      </c>
      <c r="G2693" t="s">
        <v>142</v>
      </c>
      <c r="H2693">
        <v>1</v>
      </c>
      <c r="I2693" s="3">
        <v>55.75</v>
      </c>
      <c r="J2693" t="s">
        <v>16</v>
      </c>
      <c r="K2693" t="s">
        <v>30</v>
      </c>
      <c r="L2693" s="4">
        <f>Table4[[#This Row],[quantity]]*Table4[[#This Row],[unit_price]]</f>
        <v>55.75</v>
      </c>
      <c r="M2693">
        <f>COUNTIFS($C$2:$C$3934,Table4[[#This Row],[customer_id]])</f>
        <v>6</v>
      </c>
      <c r="N2693" t="str">
        <f>IF(Table4[[#This Row],[customer_order_count]]=1,"New Customer","Repeat Customer")</f>
        <v>Repeat Customer</v>
      </c>
    </row>
    <row r="2694" spans="1:14">
      <c r="A2694" t="s">
        <v>1367</v>
      </c>
      <c r="B2694" s="1">
        <v>45597</v>
      </c>
      <c r="C2694" t="s">
        <v>1355</v>
      </c>
      <c r="D2694" t="s">
        <v>138</v>
      </c>
      <c r="E2694" t="s">
        <v>21</v>
      </c>
      <c r="F2694" t="s">
        <v>22</v>
      </c>
      <c r="G2694" t="s">
        <v>264</v>
      </c>
      <c r="H2694">
        <v>1</v>
      </c>
      <c r="I2694" s="3">
        <v>55.79</v>
      </c>
      <c r="J2694" t="s">
        <v>24</v>
      </c>
      <c r="K2694" t="s">
        <v>17</v>
      </c>
      <c r="L2694" s="4">
        <f>Table4[[#This Row],[quantity]]*Table4[[#This Row],[unit_price]]</f>
        <v>55.79</v>
      </c>
      <c r="M2694">
        <f>COUNTIFS($C$2:$C$3934,Table4[[#This Row],[customer_id]])</f>
        <v>4</v>
      </c>
      <c r="N2694" t="str">
        <f>IF(Table4[[#This Row],[customer_order_count]]=1,"New Customer","Repeat Customer")</f>
        <v>Repeat Customer</v>
      </c>
    </row>
    <row r="2695" spans="1:14">
      <c r="A2695" t="s">
        <v>4619</v>
      </c>
      <c r="B2695" s="1">
        <v>45629</v>
      </c>
      <c r="C2695" t="s">
        <v>1786</v>
      </c>
      <c r="D2695" s="2" t="s">
        <v>5257</v>
      </c>
      <c r="E2695" t="s">
        <v>44</v>
      </c>
      <c r="F2695" t="s">
        <v>22</v>
      </c>
      <c r="G2695" t="s">
        <v>135</v>
      </c>
      <c r="H2695">
        <v>1</v>
      </c>
      <c r="I2695" s="3">
        <v>55.83</v>
      </c>
      <c r="J2695" t="s">
        <v>16</v>
      </c>
      <c r="K2695" t="s">
        <v>30</v>
      </c>
      <c r="L2695" s="4">
        <f>Table4[[#This Row],[quantity]]*Table4[[#This Row],[unit_price]]</f>
        <v>55.83</v>
      </c>
      <c r="M2695">
        <f>COUNTIFS($C$2:$C$3934,Table4[[#This Row],[customer_id]])</f>
        <v>6</v>
      </c>
      <c r="N2695" t="str">
        <f>IF(Table4[[#This Row],[customer_order_count]]=1,"New Customer","Repeat Customer")</f>
        <v>Repeat Customer</v>
      </c>
    </row>
    <row r="2696" spans="1:14">
      <c r="A2696" t="s">
        <v>2074</v>
      </c>
      <c r="B2696" s="1">
        <v>45388</v>
      </c>
      <c r="C2696" t="s">
        <v>104</v>
      </c>
      <c r="D2696" s="5" t="s">
        <v>105</v>
      </c>
      <c r="E2696" t="s">
        <v>21</v>
      </c>
      <c r="F2696" t="s">
        <v>56</v>
      </c>
      <c r="G2696" t="s">
        <v>57</v>
      </c>
      <c r="H2696">
        <v>1</v>
      </c>
      <c r="I2696" s="3">
        <v>55.85</v>
      </c>
      <c r="J2696" t="s">
        <v>16</v>
      </c>
      <c r="K2696" t="s">
        <v>35</v>
      </c>
      <c r="L2696" s="4">
        <f>Table4[[#This Row],[quantity]]*Table4[[#This Row],[unit_price]]</f>
        <v>55.85</v>
      </c>
      <c r="M2696">
        <f>COUNTIFS($C$2:$C$3934,Table4[[#This Row],[customer_id]])</f>
        <v>9</v>
      </c>
      <c r="N2696" t="str">
        <f>IF(Table4[[#This Row],[customer_order_count]]=1,"New Customer","Repeat Customer")</f>
        <v>Repeat Customer</v>
      </c>
    </row>
    <row r="2697" spans="1:14">
      <c r="A2697" t="s">
        <v>4755</v>
      </c>
      <c r="B2697" s="1">
        <v>45485</v>
      </c>
      <c r="C2697" t="s">
        <v>1021</v>
      </c>
      <c r="D2697" t="s">
        <v>1022</v>
      </c>
      <c r="E2697" t="s">
        <v>21</v>
      </c>
      <c r="F2697" t="s">
        <v>79</v>
      </c>
      <c r="G2697" t="s">
        <v>166</v>
      </c>
      <c r="H2697">
        <v>2</v>
      </c>
      <c r="I2697" s="3">
        <v>55.85</v>
      </c>
      <c r="J2697" t="s">
        <v>16</v>
      </c>
      <c r="K2697" t="s">
        <v>17</v>
      </c>
      <c r="L2697" s="4">
        <f>Table4[[#This Row],[quantity]]*Table4[[#This Row],[unit_price]]</f>
        <v>111.7</v>
      </c>
      <c r="M2697">
        <f>COUNTIFS($C$2:$C$3934,Table4[[#This Row],[customer_id]])</f>
        <v>6</v>
      </c>
      <c r="N2697" t="str">
        <f>IF(Table4[[#This Row],[customer_order_count]]=1,"New Customer","Repeat Customer")</f>
        <v>Repeat Customer</v>
      </c>
    </row>
    <row r="2698" spans="1:14">
      <c r="A2698" t="s">
        <v>218</v>
      </c>
      <c r="B2698" s="1">
        <v>45521</v>
      </c>
      <c r="C2698" t="s">
        <v>219</v>
      </c>
      <c r="D2698" t="s">
        <v>220</v>
      </c>
      <c r="E2698" t="s">
        <v>21</v>
      </c>
      <c r="F2698" t="s">
        <v>79</v>
      </c>
      <c r="G2698" t="s">
        <v>166</v>
      </c>
      <c r="H2698">
        <v>1</v>
      </c>
      <c r="I2698" s="3">
        <v>55.87</v>
      </c>
      <c r="J2698" t="s">
        <v>16</v>
      </c>
      <c r="K2698" t="s">
        <v>17</v>
      </c>
      <c r="L2698" s="4">
        <f>Table4[[#This Row],[quantity]]*Table4[[#This Row],[unit_price]]</f>
        <v>55.87</v>
      </c>
      <c r="M2698">
        <f>COUNTIFS($C$2:$C$3934,Table4[[#This Row],[customer_id]])</f>
        <v>8</v>
      </c>
      <c r="N2698" t="str">
        <f>IF(Table4[[#This Row],[customer_order_count]]=1,"New Customer","Repeat Customer")</f>
        <v>Repeat Customer</v>
      </c>
    </row>
    <row r="2699" spans="1:14">
      <c r="A2699" t="s">
        <v>3272</v>
      </c>
      <c r="B2699" s="1">
        <v>45049</v>
      </c>
      <c r="C2699" t="s">
        <v>658</v>
      </c>
      <c r="D2699" t="s">
        <v>659</v>
      </c>
      <c r="E2699" t="s">
        <v>44</v>
      </c>
      <c r="F2699" t="s">
        <v>14</v>
      </c>
      <c r="G2699" t="s">
        <v>258</v>
      </c>
      <c r="H2699">
        <v>4</v>
      </c>
      <c r="I2699" s="3">
        <v>55.96</v>
      </c>
      <c r="J2699" t="s">
        <v>16</v>
      </c>
      <c r="K2699" t="s">
        <v>17</v>
      </c>
      <c r="L2699" s="4">
        <f>Table4[[#This Row],[quantity]]*Table4[[#This Row],[unit_price]]</f>
        <v>223.84</v>
      </c>
      <c r="M2699">
        <f>COUNTIFS($C$2:$C$3934,Table4[[#This Row],[customer_id]])</f>
        <v>2</v>
      </c>
      <c r="N2699" t="str">
        <f>IF(Table4[[#This Row],[customer_order_count]]=1,"New Customer","Repeat Customer")</f>
        <v>Repeat Customer</v>
      </c>
    </row>
    <row r="2700" spans="1:14">
      <c r="A2700" t="s">
        <v>3038</v>
      </c>
      <c r="B2700" s="1">
        <v>45245</v>
      </c>
      <c r="C2700" t="s">
        <v>1757</v>
      </c>
      <c r="D2700" t="s">
        <v>1758</v>
      </c>
      <c r="E2700" t="s">
        <v>21</v>
      </c>
      <c r="F2700" t="s">
        <v>70</v>
      </c>
      <c r="G2700" t="s">
        <v>110</v>
      </c>
      <c r="H2700">
        <v>2</v>
      </c>
      <c r="I2700" s="3">
        <v>55.99</v>
      </c>
      <c r="J2700" t="s">
        <v>16</v>
      </c>
      <c r="K2700" t="s">
        <v>17</v>
      </c>
      <c r="L2700" s="4">
        <f>Table4[[#This Row],[quantity]]*Table4[[#This Row],[unit_price]]</f>
        <v>111.98</v>
      </c>
      <c r="M2700">
        <f>COUNTIFS($C$2:$C$3934,Table4[[#This Row],[customer_id]])</f>
        <v>9</v>
      </c>
      <c r="N2700" t="str">
        <f>IF(Table4[[#This Row],[customer_order_count]]=1,"New Customer","Repeat Customer")</f>
        <v>Repeat Customer</v>
      </c>
    </row>
    <row r="2701" spans="1:14">
      <c r="A2701" t="s">
        <v>4813</v>
      </c>
      <c r="B2701" s="1">
        <v>45014</v>
      </c>
      <c r="C2701" t="s">
        <v>1394</v>
      </c>
      <c r="D2701" t="s">
        <v>609</v>
      </c>
      <c r="E2701" t="s">
        <v>21</v>
      </c>
      <c r="F2701" t="s">
        <v>22</v>
      </c>
      <c r="G2701" t="s">
        <v>264</v>
      </c>
      <c r="H2701">
        <v>2</v>
      </c>
      <c r="I2701" s="3">
        <v>56</v>
      </c>
      <c r="J2701" t="s">
        <v>16</v>
      </c>
      <c r="K2701" t="s">
        <v>17</v>
      </c>
      <c r="L2701" s="4">
        <f>Table4[[#This Row],[quantity]]*Table4[[#This Row],[unit_price]]</f>
        <v>112</v>
      </c>
      <c r="M2701">
        <f>COUNTIFS($C$2:$C$3934,Table4[[#This Row],[customer_id]])</f>
        <v>5</v>
      </c>
      <c r="N2701" t="str">
        <f>IF(Table4[[#This Row],[customer_order_count]]=1,"New Customer","Repeat Customer")</f>
        <v>Repeat Customer</v>
      </c>
    </row>
    <row r="2702" spans="1:14">
      <c r="A2702" t="s">
        <v>3342</v>
      </c>
      <c r="B2702" s="1">
        <v>45072</v>
      </c>
      <c r="C2702" t="s">
        <v>2347</v>
      </c>
      <c r="D2702" t="s">
        <v>1036</v>
      </c>
      <c r="E2702" t="s">
        <v>21</v>
      </c>
      <c r="F2702" t="s">
        <v>70</v>
      </c>
      <c r="G2702" t="s">
        <v>526</v>
      </c>
      <c r="H2702">
        <v>3</v>
      </c>
      <c r="I2702" s="3">
        <v>56.02</v>
      </c>
      <c r="J2702" t="s">
        <v>16</v>
      </c>
      <c r="K2702" t="s">
        <v>30</v>
      </c>
      <c r="L2702" s="4">
        <f>Table4[[#This Row],[quantity]]*Table4[[#This Row],[unit_price]]</f>
        <v>168.06</v>
      </c>
      <c r="M2702">
        <f>COUNTIFS($C$2:$C$3934,Table4[[#This Row],[customer_id]])</f>
        <v>7</v>
      </c>
      <c r="N2702" t="str">
        <f>IF(Table4[[#This Row],[customer_order_count]]=1,"New Customer","Repeat Customer")</f>
        <v>Repeat Customer</v>
      </c>
    </row>
    <row r="2703" spans="1:14">
      <c r="A2703" t="s">
        <v>2979</v>
      </c>
      <c r="B2703" s="1">
        <v>45577</v>
      </c>
      <c r="C2703" t="s">
        <v>2249</v>
      </c>
      <c r="D2703" t="s">
        <v>1164</v>
      </c>
      <c r="E2703" t="s">
        <v>21</v>
      </c>
      <c r="F2703" t="s">
        <v>14</v>
      </c>
      <c r="G2703" t="s">
        <v>34</v>
      </c>
      <c r="H2703">
        <v>2</v>
      </c>
      <c r="I2703" s="3">
        <v>56.04</v>
      </c>
      <c r="J2703" t="s">
        <v>24</v>
      </c>
      <c r="K2703" t="s">
        <v>35</v>
      </c>
      <c r="L2703" s="4">
        <f>Table4[[#This Row],[quantity]]*Table4[[#This Row],[unit_price]]</f>
        <v>112.08</v>
      </c>
      <c r="M2703">
        <f>COUNTIFS($C$2:$C$3934,Table4[[#This Row],[customer_id]])</f>
        <v>3</v>
      </c>
      <c r="N2703" t="str">
        <f>IF(Table4[[#This Row],[customer_order_count]]=1,"New Customer","Repeat Customer")</f>
        <v>Repeat Customer</v>
      </c>
    </row>
    <row r="2704" spans="1:14">
      <c r="A2704" t="s">
        <v>3435</v>
      </c>
      <c r="B2704" s="1">
        <v>44948</v>
      </c>
      <c r="C2704" t="s">
        <v>285</v>
      </c>
      <c r="D2704" t="s">
        <v>286</v>
      </c>
      <c r="E2704" t="s">
        <v>21</v>
      </c>
      <c r="F2704" t="s">
        <v>79</v>
      </c>
      <c r="G2704" t="s">
        <v>200</v>
      </c>
      <c r="H2704">
        <v>1</v>
      </c>
      <c r="I2704" s="3">
        <v>56.05</v>
      </c>
      <c r="J2704" t="s">
        <v>16</v>
      </c>
      <c r="K2704" t="s">
        <v>30</v>
      </c>
      <c r="L2704" s="4">
        <f>Table4[[#This Row],[quantity]]*Table4[[#This Row],[unit_price]]</f>
        <v>56.05</v>
      </c>
      <c r="M2704">
        <f>COUNTIFS($C$2:$C$3934,Table4[[#This Row],[customer_id]])</f>
        <v>9</v>
      </c>
      <c r="N2704" t="str">
        <f>IF(Table4[[#This Row],[customer_order_count]]=1,"New Customer","Repeat Customer")</f>
        <v>Repeat Customer</v>
      </c>
    </row>
    <row r="2705" spans="1:14">
      <c r="A2705" t="s">
        <v>4261</v>
      </c>
      <c r="B2705" s="1">
        <v>44927</v>
      </c>
      <c r="C2705" t="s">
        <v>893</v>
      </c>
      <c r="D2705" t="s">
        <v>659</v>
      </c>
      <c r="E2705" t="s">
        <v>21</v>
      </c>
      <c r="F2705" t="s">
        <v>70</v>
      </c>
      <c r="G2705" t="s">
        <v>71</v>
      </c>
      <c r="H2705">
        <v>1</v>
      </c>
      <c r="I2705" s="3">
        <v>56.08</v>
      </c>
      <c r="J2705" t="s">
        <v>16</v>
      </c>
      <c r="K2705" t="s">
        <v>17</v>
      </c>
      <c r="L2705" s="4">
        <f>Table4[[#This Row],[quantity]]*Table4[[#This Row],[unit_price]]</f>
        <v>56.08</v>
      </c>
      <c r="M2705">
        <f>COUNTIFS($C$2:$C$3934,Table4[[#This Row],[customer_id]])</f>
        <v>12</v>
      </c>
      <c r="N2705" t="str">
        <f>IF(Table4[[#This Row],[customer_order_count]]=1,"New Customer","Repeat Customer")</f>
        <v>Repeat Customer</v>
      </c>
    </row>
    <row r="2706" spans="1:14">
      <c r="A2706" t="s">
        <v>282</v>
      </c>
      <c r="B2706" s="1">
        <v>45264</v>
      </c>
      <c r="C2706" t="s">
        <v>283</v>
      </c>
      <c r="D2706" t="s">
        <v>203</v>
      </c>
      <c r="E2706" t="s">
        <v>44</v>
      </c>
      <c r="F2706" t="s">
        <v>79</v>
      </c>
      <c r="G2706" t="s">
        <v>166</v>
      </c>
      <c r="H2706">
        <v>1</v>
      </c>
      <c r="I2706" s="3">
        <v>56.08</v>
      </c>
      <c r="J2706" t="s">
        <v>16</v>
      </c>
      <c r="K2706" t="s">
        <v>30</v>
      </c>
      <c r="L2706" s="4">
        <f>Table4[[#This Row],[quantity]]*Table4[[#This Row],[unit_price]]</f>
        <v>56.08</v>
      </c>
      <c r="M2706">
        <f>COUNTIFS($C$2:$C$3934,Table4[[#This Row],[customer_id]])</f>
        <v>3</v>
      </c>
      <c r="N2706" t="str">
        <f>IF(Table4[[#This Row],[customer_order_count]]=1,"New Customer","Repeat Customer")</f>
        <v>Repeat Customer</v>
      </c>
    </row>
    <row r="2707" spans="1:14">
      <c r="A2707" t="s">
        <v>558</v>
      </c>
      <c r="B2707" s="1">
        <v>45026</v>
      </c>
      <c r="C2707" t="s">
        <v>559</v>
      </c>
      <c r="D2707" t="s">
        <v>560</v>
      </c>
      <c r="E2707" t="s">
        <v>21</v>
      </c>
      <c r="F2707" t="s">
        <v>14</v>
      </c>
      <c r="G2707" t="s">
        <v>34</v>
      </c>
      <c r="H2707">
        <v>2</v>
      </c>
      <c r="I2707" s="3">
        <v>56.08</v>
      </c>
      <c r="J2707" t="s">
        <v>24</v>
      </c>
      <c r="K2707" t="s">
        <v>35</v>
      </c>
      <c r="L2707" s="4">
        <f>Table4[[#This Row],[quantity]]*Table4[[#This Row],[unit_price]]</f>
        <v>112.16</v>
      </c>
      <c r="M2707">
        <f>COUNTIFS($C$2:$C$3934,Table4[[#This Row],[customer_id]])</f>
        <v>6</v>
      </c>
      <c r="N2707" t="str">
        <f>IF(Table4[[#This Row],[customer_order_count]]=1,"New Customer","Repeat Customer")</f>
        <v>Repeat Customer</v>
      </c>
    </row>
    <row r="2708" spans="1:14">
      <c r="A2708" t="s">
        <v>4178</v>
      </c>
      <c r="B2708" s="1">
        <v>45112</v>
      </c>
      <c r="C2708" t="s">
        <v>1815</v>
      </c>
      <c r="D2708" t="s">
        <v>684</v>
      </c>
      <c r="E2708" t="s">
        <v>21</v>
      </c>
      <c r="F2708" t="s">
        <v>22</v>
      </c>
      <c r="G2708" t="s">
        <v>264</v>
      </c>
      <c r="H2708">
        <v>1</v>
      </c>
      <c r="I2708" s="3">
        <v>56.09</v>
      </c>
      <c r="J2708" t="s">
        <v>16</v>
      </c>
      <c r="K2708" t="s">
        <v>30</v>
      </c>
      <c r="L2708" s="4">
        <f>Table4[[#This Row],[quantity]]*Table4[[#This Row],[unit_price]]</f>
        <v>56.09</v>
      </c>
      <c r="M2708">
        <f>COUNTIFS($C$2:$C$3934,Table4[[#This Row],[customer_id]])</f>
        <v>8</v>
      </c>
      <c r="N2708" t="str">
        <f>IF(Table4[[#This Row],[customer_order_count]]=1,"New Customer","Repeat Customer")</f>
        <v>Repeat Customer</v>
      </c>
    </row>
    <row r="2709" spans="1:14">
      <c r="A2709" t="s">
        <v>3116</v>
      </c>
      <c r="B2709" s="1">
        <v>45347</v>
      </c>
      <c r="C2709" t="s">
        <v>2717</v>
      </c>
      <c r="D2709" t="s">
        <v>173</v>
      </c>
      <c r="E2709" t="s">
        <v>21</v>
      </c>
      <c r="F2709" t="s">
        <v>22</v>
      </c>
      <c r="G2709" t="s">
        <v>264</v>
      </c>
      <c r="H2709">
        <v>2</v>
      </c>
      <c r="I2709" s="3">
        <v>56.13</v>
      </c>
      <c r="J2709" t="s">
        <v>16</v>
      </c>
      <c r="K2709" t="s">
        <v>35</v>
      </c>
      <c r="L2709" s="4">
        <f>Table4[[#This Row],[quantity]]*Table4[[#This Row],[unit_price]]</f>
        <v>112.26</v>
      </c>
      <c r="M2709">
        <f>COUNTIFS($C$2:$C$3934,Table4[[#This Row],[customer_id]])</f>
        <v>4</v>
      </c>
      <c r="N2709" t="str">
        <f>IF(Table4[[#This Row],[customer_order_count]]=1,"New Customer","Repeat Customer")</f>
        <v>Repeat Customer</v>
      </c>
    </row>
    <row r="2710" spans="1:14">
      <c r="A2710" t="s">
        <v>4651</v>
      </c>
      <c r="B2710" s="1">
        <v>45531</v>
      </c>
      <c r="C2710" t="s">
        <v>3448</v>
      </c>
      <c r="D2710" t="s">
        <v>359</v>
      </c>
      <c r="E2710" t="s">
        <v>21</v>
      </c>
      <c r="F2710" t="s">
        <v>14</v>
      </c>
      <c r="G2710" t="s">
        <v>15</v>
      </c>
      <c r="H2710">
        <v>1</v>
      </c>
      <c r="I2710" s="3">
        <v>56.14</v>
      </c>
      <c r="J2710" t="s">
        <v>16</v>
      </c>
      <c r="K2710" t="s">
        <v>17</v>
      </c>
      <c r="L2710" s="4">
        <f>Table4[[#This Row],[quantity]]*Table4[[#This Row],[unit_price]]</f>
        <v>56.14</v>
      </c>
      <c r="M2710">
        <f>COUNTIFS($C$2:$C$3934,Table4[[#This Row],[customer_id]])</f>
        <v>4</v>
      </c>
      <c r="N2710" t="str">
        <f>IF(Table4[[#This Row],[customer_order_count]]=1,"New Customer","Repeat Customer")</f>
        <v>Repeat Customer</v>
      </c>
    </row>
    <row r="2711" spans="1:14">
      <c r="A2711" t="s">
        <v>3111</v>
      </c>
      <c r="B2711" s="1">
        <v>45172</v>
      </c>
      <c r="C2711" t="s">
        <v>3063</v>
      </c>
      <c r="D2711" t="s">
        <v>659</v>
      </c>
      <c r="E2711" t="s">
        <v>21</v>
      </c>
      <c r="F2711" t="s">
        <v>56</v>
      </c>
      <c r="G2711" t="s">
        <v>422</v>
      </c>
      <c r="H2711">
        <v>5</v>
      </c>
      <c r="I2711" s="3">
        <v>56.16</v>
      </c>
      <c r="J2711" t="s">
        <v>16</v>
      </c>
      <c r="K2711" t="s">
        <v>30</v>
      </c>
      <c r="L2711" s="4">
        <f>Table4[[#This Row],[quantity]]*Table4[[#This Row],[unit_price]]</f>
        <v>280.79999999999995</v>
      </c>
      <c r="M2711">
        <f>COUNTIFS($C$2:$C$3934,Table4[[#This Row],[customer_id]])</f>
        <v>5</v>
      </c>
      <c r="N2711" t="str">
        <f>IF(Table4[[#This Row],[customer_order_count]]=1,"New Customer","Repeat Customer")</f>
        <v>Repeat Customer</v>
      </c>
    </row>
    <row r="2712" spans="1:14">
      <c r="A2712" t="s">
        <v>3917</v>
      </c>
      <c r="B2712" s="1">
        <v>45461</v>
      </c>
      <c r="C2712" t="s">
        <v>547</v>
      </c>
      <c r="D2712" t="s">
        <v>510</v>
      </c>
      <c r="E2712" t="s">
        <v>21</v>
      </c>
      <c r="F2712" t="s">
        <v>70</v>
      </c>
      <c r="G2712" t="s">
        <v>526</v>
      </c>
      <c r="H2712">
        <v>1</v>
      </c>
      <c r="I2712" s="3">
        <v>56.2</v>
      </c>
      <c r="J2712" t="s">
        <v>16</v>
      </c>
      <c r="K2712" t="s">
        <v>17</v>
      </c>
      <c r="L2712" s="4">
        <f>Table4[[#This Row],[quantity]]*Table4[[#This Row],[unit_price]]</f>
        <v>56.2</v>
      </c>
      <c r="M2712">
        <f>COUNTIFS($C$2:$C$3934,Table4[[#This Row],[customer_id]])</f>
        <v>4</v>
      </c>
      <c r="N2712" t="str">
        <f>IF(Table4[[#This Row],[customer_order_count]]=1,"New Customer","Repeat Customer")</f>
        <v>Repeat Customer</v>
      </c>
    </row>
    <row r="2713" spans="1:14">
      <c r="A2713" t="s">
        <v>3011</v>
      </c>
      <c r="B2713" s="1">
        <v>45616</v>
      </c>
      <c r="C2713" t="s">
        <v>2922</v>
      </c>
      <c r="D2713" t="s">
        <v>519</v>
      </c>
      <c r="E2713" t="s">
        <v>44</v>
      </c>
      <c r="F2713" t="s">
        <v>56</v>
      </c>
      <c r="G2713" t="s">
        <v>254</v>
      </c>
      <c r="H2713">
        <v>1</v>
      </c>
      <c r="I2713" s="3">
        <v>56.21</v>
      </c>
      <c r="J2713" t="s">
        <v>85</v>
      </c>
      <c r="K2713" t="s">
        <v>35</v>
      </c>
      <c r="L2713" s="4">
        <f>Table4[[#This Row],[quantity]]*Table4[[#This Row],[unit_price]]</f>
        <v>56.21</v>
      </c>
      <c r="M2713">
        <f>COUNTIFS($C$2:$C$3934,Table4[[#This Row],[customer_id]])</f>
        <v>4</v>
      </c>
      <c r="N2713" t="str">
        <f>IF(Table4[[#This Row],[customer_order_count]]=1,"New Customer","Repeat Customer")</f>
        <v>Repeat Customer</v>
      </c>
    </row>
    <row r="2714" spans="1:14">
      <c r="A2714" t="s">
        <v>2396</v>
      </c>
      <c r="B2714" s="1">
        <v>45638</v>
      </c>
      <c r="C2714" t="s">
        <v>2104</v>
      </c>
      <c r="D2714" t="s">
        <v>1674</v>
      </c>
      <c r="E2714" t="s">
        <v>21</v>
      </c>
      <c r="F2714" t="s">
        <v>22</v>
      </c>
      <c r="G2714" t="s">
        <v>264</v>
      </c>
      <c r="H2714">
        <v>5</v>
      </c>
      <c r="I2714" s="3">
        <v>56.21</v>
      </c>
      <c r="J2714" t="s">
        <v>16</v>
      </c>
      <c r="K2714" t="s">
        <v>17</v>
      </c>
      <c r="L2714" s="4">
        <f>Table4[[#This Row],[quantity]]*Table4[[#This Row],[unit_price]]</f>
        <v>281.05</v>
      </c>
      <c r="M2714">
        <f>COUNTIFS($C$2:$C$3934,Table4[[#This Row],[customer_id]])</f>
        <v>7</v>
      </c>
      <c r="N2714" t="str">
        <f>IF(Table4[[#This Row],[customer_order_count]]=1,"New Customer","Repeat Customer")</f>
        <v>Repeat Customer</v>
      </c>
    </row>
    <row r="2715" spans="1:14">
      <c r="A2715" t="s">
        <v>4366</v>
      </c>
      <c r="B2715" s="1">
        <v>45571</v>
      </c>
      <c r="C2715" t="s">
        <v>760</v>
      </c>
      <c r="D2715" t="s">
        <v>761</v>
      </c>
      <c r="E2715" t="s">
        <v>21</v>
      </c>
      <c r="F2715" t="s">
        <v>70</v>
      </c>
      <c r="G2715" t="s">
        <v>526</v>
      </c>
      <c r="H2715">
        <v>1</v>
      </c>
      <c r="I2715" s="3">
        <v>56.22</v>
      </c>
      <c r="J2715" t="s">
        <v>16</v>
      </c>
      <c r="K2715" t="s">
        <v>35</v>
      </c>
      <c r="L2715" s="4">
        <f>Table4[[#This Row],[quantity]]*Table4[[#This Row],[unit_price]]</f>
        <v>56.22</v>
      </c>
      <c r="M2715">
        <f>COUNTIFS($C$2:$C$3934,Table4[[#This Row],[customer_id]])</f>
        <v>4</v>
      </c>
      <c r="N2715" t="str">
        <f>IF(Table4[[#This Row],[customer_order_count]]=1,"New Customer","Repeat Customer")</f>
        <v>Repeat Customer</v>
      </c>
    </row>
    <row r="2716" spans="1:14">
      <c r="A2716" t="s">
        <v>4244</v>
      </c>
      <c r="B2716" s="1">
        <v>44969</v>
      </c>
      <c r="C2716" t="s">
        <v>683</v>
      </c>
      <c r="D2716" t="s">
        <v>684</v>
      </c>
      <c r="E2716" t="s">
        <v>44</v>
      </c>
      <c r="F2716" t="s">
        <v>22</v>
      </c>
      <c r="G2716" t="s">
        <v>264</v>
      </c>
      <c r="H2716">
        <v>1</v>
      </c>
      <c r="I2716" s="3">
        <v>56.25</v>
      </c>
      <c r="J2716" t="s">
        <v>16</v>
      </c>
      <c r="K2716" t="s">
        <v>40</v>
      </c>
      <c r="L2716" s="4">
        <f>Table4[[#This Row],[quantity]]*Table4[[#This Row],[unit_price]]</f>
        <v>56.25</v>
      </c>
      <c r="M2716">
        <f>COUNTIFS($C$2:$C$3934,Table4[[#This Row],[customer_id]])</f>
        <v>4</v>
      </c>
      <c r="N2716" t="str">
        <f>IF(Table4[[#This Row],[customer_order_count]]=1,"New Customer","Repeat Customer")</f>
        <v>Repeat Customer</v>
      </c>
    </row>
    <row r="2717" spans="1:14">
      <c r="A2717" t="s">
        <v>2935</v>
      </c>
      <c r="B2717" s="1">
        <v>45654</v>
      </c>
      <c r="C2717" t="s">
        <v>507</v>
      </c>
      <c r="D2717" t="s">
        <v>275</v>
      </c>
      <c r="E2717" t="s">
        <v>21</v>
      </c>
      <c r="F2717" t="s">
        <v>79</v>
      </c>
      <c r="G2717" t="s">
        <v>541</v>
      </c>
      <c r="H2717">
        <v>1</v>
      </c>
      <c r="I2717" s="3">
        <v>56.31</v>
      </c>
      <c r="J2717" t="s">
        <v>16</v>
      </c>
      <c r="K2717" s="2" t="s">
        <v>5256</v>
      </c>
      <c r="L2717" s="4">
        <f>Table4[[#This Row],[quantity]]*Table4[[#This Row],[unit_price]]</f>
        <v>56.31</v>
      </c>
      <c r="M2717">
        <f>COUNTIFS($C$2:$C$3934,Table4[[#This Row],[customer_id]])</f>
        <v>3</v>
      </c>
      <c r="N2717" t="str">
        <f>IF(Table4[[#This Row],[customer_order_count]]=1,"New Customer","Repeat Customer")</f>
        <v>Repeat Customer</v>
      </c>
    </row>
    <row r="2718" spans="1:14">
      <c r="A2718" t="s">
        <v>421</v>
      </c>
      <c r="B2718" s="1">
        <v>45314</v>
      </c>
      <c r="C2718" t="s">
        <v>413</v>
      </c>
      <c r="D2718" t="s">
        <v>414</v>
      </c>
      <c r="E2718" t="s">
        <v>21</v>
      </c>
      <c r="F2718" t="s">
        <v>56</v>
      </c>
      <c r="G2718" t="s">
        <v>422</v>
      </c>
      <c r="H2718">
        <v>1</v>
      </c>
      <c r="I2718" s="3">
        <v>56.32</v>
      </c>
      <c r="J2718" t="s">
        <v>85</v>
      </c>
      <c r="K2718" s="5" t="s">
        <v>40</v>
      </c>
      <c r="L2718" s="4">
        <f>Table4[[#This Row],[quantity]]*Table4[[#This Row],[unit_price]]</f>
        <v>56.32</v>
      </c>
      <c r="M2718">
        <f>COUNTIFS($C$2:$C$3934,Table4[[#This Row],[customer_id]])</f>
        <v>8</v>
      </c>
      <c r="N2718" t="str">
        <f>IF(Table4[[#This Row],[customer_order_count]]=1,"New Customer","Repeat Customer")</f>
        <v>Repeat Customer</v>
      </c>
    </row>
    <row r="2719" spans="1:14">
      <c r="A2719" t="s">
        <v>3771</v>
      </c>
      <c r="B2719" s="1">
        <v>45492</v>
      </c>
      <c r="C2719" t="s">
        <v>285</v>
      </c>
      <c r="D2719" t="s">
        <v>286</v>
      </c>
      <c r="E2719" t="s">
        <v>21</v>
      </c>
      <c r="F2719" t="s">
        <v>14</v>
      </c>
      <c r="G2719" t="s">
        <v>39</v>
      </c>
      <c r="H2719">
        <v>2</v>
      </c>
      <c r="I2719" s="3">
        <v>56.34</v>
      </c>
      <c r="J2719" t="s">
        <v>16</v>
      </c>
      <c r="K2719" t="s">
        <v>30</v>
      </c>
      <c r="L2719" s="4">
        <f>Table4[[#This Row],[quantity]]*Table4[[#This Row],[unit_price]]</f>
        <v>112.68</v>
      </c>
      <c r="M2719">
        <f>COUNTIFS($C$2:$C$3934,Table4[[#This Row],[customer_id]])</f>
        <v>9</v>
      </c>
      <c r="N2719" t="str">
        <f>IF(Table4[[#This Row],[customer_order_count]]=1,"New Customer","Repeat Customer")</f>
        <v>Repeat Customer</v>
      </c>
    </row>
    <row r="2720" spans="1:14">
      <c r="A2720" t="s">
        <v>3220</v>
      </c>
      <c r="B2720" s="1">
        <v>45482</v>
      </c>
      <c r="C2720" t="s">
        <v>2037</v>
      </c>
      <c r="D2720" t="s">
        <v>740</v>
      </c>
      <c r="E2720" t="s">
        <v>21</v>
      </c>
      <c r="F2720" t="s">
        <v>22</v>
      </c>
      <c r="G2720" t="s">
        <v>162</v>
      </c>
      <c r="H2720">
        <v>1</v>
      </c>
      <c r="I2720" s="3">
        <v>56.38</v>
      </c>
      <c r="J2720" t="s">
        <v>16</v>
      </c>
      <c r="K2720" t="s">
        <v>17</v>
      </c>
      <c r="L2720" s="4">
        <f>Table4[[#This Row],[quantity]]*Table4[[#This Row],[unit_price]]</f>
        <v>56.38</v>
      </c>
      <c r="M2720">
        <f>COUNTIFS($C$2:$C$3934,Table4[[#This Row],[customer_id]])</f>
        <v>5</v>
      </c>
      <c r="N2720" t="str">
        <f>IF(Table4[[#This Row],[customer_order_count]]=1,"New Customer","Repeat Customer")</f>
        <v>Repeat Customer</v>
      </c>
    </row>
    <row r="2721" spans="1:14">
      <c r="A2721" t="s">
        <v>5174</v>
      </c>
      <c r="B2721" s="1">
        <v>45463</v>
      </c>
      <c r="C2721" t="s">
        <v>1898</v>
      </c>
      <c r="D2721" t="s">
        <v>947</v>
      </c>
      <c r="E2721" t="s">
        <v>44</v>
      </c>
      <c r="F2721" t="s">
        <v>70</v>
      </c>
      <c r="G2721" t="s">
        <v>526</v>
      </c>
      <c r="H2721">
        <v>1</v>
      </c>
      <c r="I2721" s="3">
        <v>56.38</v>
      </c>
      <c r="J2721" t="s">
        <v>16</v>
      </c>
      <c r="K2721" t="s">
        <v>30</v>
      </c>
      <c r="L2721" s="4">
        <f>Table4[[#This Row],[quantity]]*Table4[[#This Row],[unit_price]]</f>
        <v>56.38</v>
      </c>
      <c r="M2721">
        <f>COUNTIFS($C$2:$C$3934,Table4[[#This Row],[customer_id]])</f>
        <v>4</v>
      </c>
      <c r="N2721" t="str">
        <f>IF(Table4[[#This Row],[customer_order_count]]=1,"New Customer","Repeat Customer")</f>
        <v>Repeat Customer</v>
      </c>
    </row>
    <row r="2722" spans="1:14">
      <c r="A2722" t="s">
        <v>58</v>
      </c>
      <c r="B2722" s="1">
        <v>45149</v>
      </c>
      <c r="C2722" t="s">
        <v>59</v>
      </c>
      <c r="D2722" t="s">
        <v>60</v>
      </c>
      <c r="E2722" t="s">
        <v>21</v>
      </c>
      <c r="F2722" t="s">
        <v>14</v>
      </c>
      <c r="G2722" t="s">
        <v>62</v>
      </c>
      <c r="H2722">
        <v>1</v>
      </c>
      <c r="I2722" s="3">
        <v>56.4</v>
      </c>
      <c r="J2722" t="s">
        <v>16</v>
      </c>
      <c r="K2722" t="s">
        <v>40</v>
      </c>
      <c r="L2722" s="4">
        <f>Table4[[#This Row],[quantity]]*Table4[[#This Row],[unit_price]]</f>
        <v>56.4</v>
      </c>
      <c r="M2722">
        <f>COUNTIFS($C$2:$C$3934,Table4[[#This Row],[customer_id]])</f>
        <v>3</v>
      </c>
      <c r="N2722" t="str">
        <f>IF(Table4[[#This Row],[customer_order_count]]=1,"New Customer","Repeat Customer")</f>
        <v>Repeat Customer</v>
      </c>
    </row>
    <row r="2723" spans="1:14">
      <c r="A2723" t="s">
        <v>4360</v>
      </c>
      <c r="B2723" s="1">
        <v>45118</v>
      </c>
      <c r="C2723" t="s">
        <v>3008</v>
      </c>
      <c r="D2723" t="s">
        <v>99</v>
      </c>
      <c r="E2723" t="s">
        <v>21</v>
      </c>
      <c r="F2723" t="s">
        <v>56</v>
      </c>
      <c r="G2723" t="s">
        <v>75</v>
      </c>
      <c r="H2723">
        <v>1</v>
      </c>
      <c r="I2723" s="3">
        <v>56.46</v>
      </c>
      <c r="J2723" t="s">
        <v>16</v>
      </c>
      <c r="K2723" t="s">
        <v>30</v>
      </c>
      <c r="L2723" s="4">
        <f>Table4[[#This Row],[quantity]]*Table4[[#This Row],[unit_price]]</f>
        <v>56.46</v>
      </c>
      <c r="M2723">
        <f>COUNTIFS($C$2:$C$3934,Table4[[#This Row],[customer_id]])</f>
        <v>3</v>
      </c>
      <c r="N2723" t="str">
        <f>IF(Table4[[#This Row],[customer_order_count]]=1,"New Customer","Repeat Customer")</f>
        <v>Repeat Customer</v>
      </c>
    </row>
    <row r="2724" spans="1:14">
      <c r="A2724" t="s">
        <v>3754</v>
      </c>
      <c r="B2724" s="1">
        <v>45313</v>
      </c>
      <c r="C2724" t="s">
        <v>3110</v>
      </c>
      <c r="D2724" t="s">
        <v>1889</v>
      </c>
      <c r="E2724" t="s">
        <v>21</v>
      </c>
      <c r="F2724" t="s">
        <v>14</v>
      </c>
      <c r="G2724" t="s">
        <v>39</v>
      </c>
      <c r="H2724">
        <v>1</v>
      </c>
      <c r="I2724" s="3">
        <v>56.5</v>
      </c>
      <c r="J2724" t="s">
        <v>16</v>
      </c>
      <c r="K2724" t="s">
        <v>17</v>
      </c>
      <c r="L2724" s="4">
        <f>Table4[[#This Row],[quantity]]*Table4[[#This Row],[unit_price]]</f>
        <v>56.5</v>
      </c>
      <c r="M2724">
        <f>COUNTIFS($C$2:$C$3934,Table4[[#This Row],[customer_id]])</f>
        <v>4</v>
      </c>
      <c r="N2724" t="str">
        <f>IF(Table4[[#This Row],[customer_order_count]]=1,"New Customer","Repeat Customer")</f>
        <v>Repeat Customer</v>
      </c>
    </row>
    <row r="2725" spans="1:14">
      <c r="A2725" t="s">
        <v>3372</v>
      </c>
      <c r="B2725" s="1">
        <v>45446</v>
      </c>
      <c r="C2725" t="s">
        <v>3373</v>
      </c>
      <c r="D2725" t="s">
        <v>956</v>
      </c>
      <c r="E2725" t="s">
        <v>44</v>
      </c>
      <c r="F2725" t="s">
        <v>70</v>
      </c>
      <c r="G2725" t="s">
        <v>71</v>
      </c>
      <c r="H2725">
        <v>2</v>
      </c>
      <c r="I2725" s="3">
        <v>56.55</v>
      </c>
      <c r="J2725" t="s">
        <v>16</v>
      </c>
      <c r="K2725" t="s">
        <v>30</v>
      </c>
      <c r="L2725" s="4">
        <f>Table4[[#This Row],[quantity]]*Table4[[#This Row],[unit_price]]</f>
        <v>113.1</v>
      </c>
      <c r="M2725">
        <f>COUNTIFS($C$2:$C$3934,Table4[[#This Row],[customer_id]])</f>
        <v>2</v>
      </c>
      <c r="N2725" t="str">
        <f>IF(Table4[[#This Row],[customer_order_count]]=1,"New Customer","Repeat Customer")</f>
        <v>Repeat Customer</v>
      </c>
    </row>
    <row r="2726" spans="1:14">
      <c r="A2726" t="s">
        <v>1177</v>
      </c>
      <c r="B2726" s="1">
        <v>45478</v>
      </c>
      <c r="C2726" t="s">
        <v>1178</v>
      </c>
      <c r="D2726" t="s">
        <v>1179</v>
      </c>
      <c r="E2726" t="s">
        <v>21</v>
      </c>
      <c r="F2726" t="s">
        <v>22</v>
      </c>
      <c r="G2726" t="s">
        <v>23</v>
      </c>
      <c r="H2726">
        <v>1</v>
      </c>
      <c r="I2726" s="3">
        <v>56.61</v>
      </c>
      <c r="J2726" t="s">
        <v>255</v>
      </c>
      <c r="K2726" t="s">
        <v>30</v>
      </c>
      <c r="L2726" s="4">
        <f>Table4[[#This Row],[quantity]]*Table4[[#This Row],[unit_price]]</f>
        <v>56.61</v>
      </c>
      <c r="M2726">
        <f>COUNTIFS($C$2:$C$3934,Table4[[#This Row],[customer_id]])</f>
        <v>3</v>
      </c>
      <c r="N2726" t="str">
        <f>IF(Table4[[#This Row],[customer_order_count]]=1,"New Customer","Repeat Customer")</f>
        <v>Repeat Customer</v>
      </c>
    </row>
    <row r="2727" spans="1:14">
      <c r="A2727" t="s">
        <v>2190</v>
      </c>
      <c r="B2727" s="1">
        <v>45564</v>
      </c>
      <c r="C2727" t="s">
        <v>1499</v>
      </c>
      <c r="D2727" t="s">
        <v>1500</v>
      </c>
      <c r="E2727" t="s">
        <v>44</v>
      </c>
      <c r="F2727" t="s">
        <v>22</v>
      </c>
      <c r="G2727" t="s">
        <v>264</v>
      </c>
      <c r="H2727">
        <v>1</v>
      </c>
      <c r="I2727" s="3">
        <v>56.65</v>
      </c>
      <c r="J2727" t="s">
        <v>16</v>
      </c>
      <c r="K2727" t="s">
        <v>30</v>
      </c>
      <c r="L2727" s="4">
        <f>Table4[[#This Row],[quantity]]*Table4[[#This Row],[unit_price]]</f>
        <v>56.65</v>
      </c>
      <c r="M2727">
        <f>COUNTIFS($C$2:$C$3934,Table4[[#This Row],[customer_id]])</f>
        <v>6</v>
      </c>
      <c r="N2727" t="str">
        <f>IF(Table4[[#This Row],[customer_order_count]]=1,"New Customer","Repeat Customer")</f>
        <v>Repeat Customer</v>
      </c>
    </row>
    <row r="2728" spans="1:14">
      <c r="A2728" t="s">
        <v>4368</v>
      </c>
      <c r="B2728" s="1">
        <v>44997</v>
      </c>
      <c r="C2728" t="s">
        <v>1567</v>
      </c>
      <c r="D2728" t="s">
        <v>109</v>
      </c>
      <c r="E2728" t="s">
        <v>21</v>
      </c>
      <c r="F2728" t="s">
        <v>70</v>
      </c>
      <c r="G2728" t="s">
        <v>71</v>
      </c>
      <c r="H2728">
        <v>1</v>
      </c>
      <c r="I2728" s="3">
        <v>56.71</v>
      </c>
      <c r="J2728" t="s">
        <v>16</v>
      </c>
      <c r="K2728" t="s">
        <v>30</v>
      </c>
      <c r="L2728" s="4">
        <f>Table4[[#This Row],[quantity]]*Table4[[#This Row],[unit_price]]</f>
        <v>56.71</v>
      </c>
      <c r="M2728">
        <f>COUNTIFS($C$2:$C$3934,Table4[[#This Row],[customer_id]])</f>
        <v>6</v>
      </c>
      <c r="N2728" t="str">
        <f>IF(Table4[[#This Row],[customer_order_count]]=1,"New Customer","Repeat Customer")</f>
        <v>Repeat Customer</v>
      </c>
    </row>
    <row r="2729" spans="1:14">
      <c r="A2729" t="s">
        <v>4614</v>
      </c>
      <c r="B2729" s="1">
        <v>45362</v>
      </c>
      <c r="C2729" t="s">
        <v>1666</v>
      </c>
      <c r="D2729" t="s">
        <v>1179</v>
      </c>
      <c r="E2729" t="s">
        <v>61</v>
      </c>
      <c r="F2729" t="s">
        <v>14</v>
      </c>
      <c r="G2729" t="s">
        <v>15</v>
      </c>
      <c r="H2729">
        <v>1</v>
      </c>
      <c r="I2729" s="3">
        <v>56.72</v>
      </c>
      <c r="J2729" t="s">
        <v>16</v>
      </c>
      <c r="K2729" t="s">
        <v>30</v>
      </c>
      <c r="L2729" s="4">
        <f>Table4[[#This Row],[quantity]]*Table4[[#This Row],[unit_price]]</f>
        <v>56.72</v>
      </c>
      <c r="M2729">
        <f>COUNTIFS($C$2:$C$3934,Table4[[#This Row],[customer_id]])</f>
        <v>3</v>
      </c>
      <c r="N2729" t="str">
        <f>IF(Table4[[#This Row],[customer_order_count]]=1,"New Customer","Repeat Customer")</f>
        <v>Repeat Customer</v>
      </c>
    </row>
    <row r="2730" spans="1:14">
      <c r="A2730" t="s">
        <v>4234</v>
      </c>
      <c r="B2730" s="1">
        <v>45150</v>
      </c>
      <c r="C2730" t="s">
        <v>572</v>
      </c>
      <c r="D2730" t="s">
        <v>573</v>
      </c>
      <c r="E2730" t="s">
        <v>21</v>
      </c>
      <c r="F2730" t="s">
        <v>14</v>
      </c>
      <c r="G2730" t="s">
        <v>15</v>
      </c>
      <c r="H2730">
        <v>1</v>
      </c>
      <c r="I2730" s="3">
        <v>56.76</v>
      </c>
      <c r="J2730" t="s">
        <v>16</v>
      </c>
      <c r="K2730" t="s">
        <v>17</v>
      </c>
      <c r="L2730" s="4">
        <f>Table4[[#This Row],[quantity]]*Table4[[#This Row],[unit_price]]</f>
        <v>56.76</v>
      </c>
      <c r="M2730">
        <f>COUNTIFS($C$2:$C$3934,Table4[[#This Row],[customer_id]])</f>
        <v>5</v>
      </c>
      <c r="N2730" t="str">
        <f>IF(Table4[[#This Row],[customer_order_count]]=1,"New Customer","Repeat Customer")</f>
        <v>Repeat Customer</v>
      </c>
    </row>
    <row r="2731" spans="1:14">
      <c r="A2731" t="s">
        <v>3430</v>
      </c>
      <c r="B2731" s="1">
        <v>45073</v>
      </c>
      <c r="C2731" t="s">
        <v>1894</v>
      </c>
      <c r="D2731" t="s">
        <v>145</v>
      </c>
      <c r="E2731" t="s">
        <v>21</v>
      </c>
      <c r="F2731" t="s">
        <v>22</v>
      </c>
      <c r="G2731" t="s">
        <v>162</v>
      </c>
      <c r="H2731">
        <v>2</v>
      </c>
      <c r="I2731" s="3">
        <v>56.82</v>
      </c>
      <c r="J2731" t="s">
        <v>16</v>
      </c>
      <c r="K2731" t="s">
        <v>40</v>
      </c>
      <c r="L2731" s="4">
        <f>Table4[[#This Row],[quantity]]*Table4[[#This Row],[unit_price]]</f>
        <v>113.64</v>
      </c>
      <c r="M2731">
        <f>COUNTIFS($C$2:$C$3934,Table4[[#This Row],[customer_id]])</f>
        <v>6</v>
      </c>
      <c r="N2731" t="str">
        <f>IF(Table4[[#This Row],[customer_order_count]]=1,"New Customer","Repeat Customer")</f>
        <v>Repeat Customer</v>
      </c>
    </row>
    <row r="2732" spans="1:14">
      <c r="A2732" t="s">
        <v>2786</v>
      </c>
      <c r="B2732" s="1">
        <v>45373</v>
      </c>
      <c r="C2732" t="s">
        <v>2037</v>
      </c>
      <c r="D2732" t="s">
        <v>740</v>
      </c>
      <c r="E2732" t="s">
        <v>21</v>
      </c>
      <c r="F2732" t="s">
        <v>79</v>
      </c>
      <c r="G2732" t="s">
        <v>96</v>
      </c>
      <c r="H2732">
        <v>1</v>
      </c>
      <c r="I2732" s="3">
        <v>56.85</v>
      </c>
      <c r="J2732" t="s">
        <v>16</v>
      </c>
      <c r="K2732" t="s">
        <v>35</v>
      </c>
      <c r="L2732" s="4">
        <f>Table4[[#This Row],[quantity]]*Table4[[#This Row],[unit_price]]</f>
        <v>56.85</v>
      </c>
      <c r="M2732">
        <f>COUNTIFS($C$2:$C$3934,Table4[[#This Row],[customer_id]])</f>
        <v>5</v>
      </c>
      <c r="N2732" t="str">
        <f>IF(Table4[[#This Row],[customer_order_count]]=1,"New Customer","Repeat Customer")</f>
        <v>Repeat Customer</v>
      </c>
    </row>
    <row r="2733" spans="1:14">
      <c r="A2733" t="s">
        <v>2271</v>
      </c>
      <c r="B2733" s="1">
        <v>45437</v>
      </c>
      <c r="C2733" t="s">
        <v>2272</v>
      </c>
      <c r="D2733" t="s">
        <v>299</v>
      </c>
      <c r="E2733" t="s">
        <v>21</v>
      </c>
      <c r="F2733" t="s">
        <v>14</v>
      </c>
      <c r="G2733" t="s">
        <v>39</v>
      </c>
      <c r="H2733">
        <v>2</v>
      </c>
      <c r="I2733" s="3">
        <v>56.86</v>
      </c>
      <c r="J2733" t="s">
        <v>16</v>
      </c>
      <c r="K2733" t="s">
        <v>17</v>
      </c>
      <c r="L2733" s="4">
        <f>Table4[[#This Row],[quantity]]*Table4[[#This Row],[unit_price]]</f>
        <v>113.72</v>
      </c>
      <c r="M2733">
        <f>COUNTIFS($C$2:$C$3934,Table4[[#This Row],[customer_id]])</f>
        <v>2</v>
      </c>
      <c r="N2733" t="str">
        <f>IF(Table4[[#This Row],[customer_order_count]]=1,"New Customer","Repeat Customer")</f>
        <v>Repeat Customer</v>
      </c>
    </row>
    <row r="2734" spans="1:14">
      <c r="A2734" t="s">
        <v>4271</v>
      </c>
      <c r="B2734" s="1">
        <v>45089</v>
      </c>
      <c r="C2734" t="s">
        <v>895</v>
      </c>
      <c r="D2734" t="s">
        <v>149</v>
      </c>
      <c r="E2734" t="s">
        <v>21</v>
      </c>
      <c r="F2734" t="s">
        <v>70</v>
      </c>
      <c r="G2734" t="s">
        <v>71</v>
      </c>
      <c r="H2734">
        <v>2</v>
      </c>
      <c r="I2734" s="3">
        <v>56.88</v>
      </c>
      <c r="J2734" t="s">
        <v>16</v>
      </c>
      <c r="K2734" t="s">
        <v>35</v>
      </c>
      <c r="L2734" s="4">
        <f>Table4[[#This Row],[quantity]]*Table4[[#This Row],[unit_price]]</f>
        <v>113.76</v>
      </c>
      <c r="M2734">
        <f>COUNTIFS($C$2:$C$3934,Table4[[#This Row],[customer_id]])</f>
        <v>7</v>
      </c>
      <c r="N2734" t="str">
        <f>IF(Table4[[#This Row],[customer_order_count]]=1,"New Customer","Repeat Customer")</f>
        <v>Repeat Customer</v>
      </c>
    </row>
    <row r="2735" spans="1:14">
      <c r="A2735" t="s">
        <v>4599</v>
      </c>
      <c r="B2735" s="1">
        <v>45460</v>
      </c>
      <c r="C2735" t="s">
        <v>151</v>
      </c>
      <c r="D2735" t="s">
        <v>152</v>
      </c>
      <c r="E2735" t="s">
        <v>21</v>
      </c>
      <c r="F2735" t="s">
        <v>22</v>
      </c>
      <c r="G2735" t="s">
        <v>142</v>
      </c>
      <c r="H2735">
        <v>1</v>
      </c>
      <c r="I2735" s="3">
        <v>56.91</v>
      </c>
      <c r="J2735" t="s">
        <v>16</v>
      </c>
      <c r="K2735" s="2" t="s">
        <v>5256</v>
      </c>
      <c r="L2735" s="4">
        <f>Table4[[#This Row],[quantity]]*Table4[[#This Row],[unit_price]]</f>
        <v>56.91</v>
      </c>
      <c r="M2735">
        <f>COUNTIFS($C$2:$C$3934,Table4[[#This Row],[customer_id]])</f>
        <v>3</v>
      </c>
      <c r="N2735" t="str">
        <f>IF(Table4[[#This Row],[customer_order_count]]=1,"New Customer","Repeat Customer")</f>
        <v>Repeat Customer</v>
      </c>
    </row>
    <row r="2736" spans="1:14">
      <c r="A2736" t="s">
        <v>3462</v>
      </c>
      <c r="B2736" s="1">
        <v>45386</v>
      </c>
      <c r="C2736" t="s">
        <v>1690</v>
      </c>
      <c r="D2736" s="2" t="s">
        <v>5257</v>
      </c>
      <c r="E2736" t="s">
        <v>44</v>
      </c>
      <c r="F2736" t="s">
        <v>56</v>
      </c>
      <c r="G2736" t="s">
        <v>57</v>
      </c>
      <c r="H2736">
        <v>1</v>
      </c>
      <c r="I2736" s="3">
        <v>56.95</v>
      </c>
      <c r="J2736" t="s">
        <v>16</v>
      </c>
      <c r="K2736" s="5" t="s">
        <v>30</v>
      </c>
      <c r="L2736" s="4">
        <f>Table4[[#This Row],[quantity]]*Table4[[#This Row],[unit_price]]</f>
        <v>56.95</v>
      </c>
      <c r="M2736">
        <f>COUNTIFS($C$2:$C$3934,Table4[[#This Row],[customer_id]])</f>
        <v>5</v>
      </c>
      <c r="N2736" t="str">
        <f>IF(Table4[[#This Row],[customer_order_count]]=1,"New Customer","Repeat Customer")</f>
        <v>Repeat Customer</v>
      </c>
    </row>
    <row r="2737" spans="1:14">
      <c r="A2737" t="s">
        <v>345</v>
      </c>
      <c r="B2737" s="1">
        <v>45192</v>
      </c>
      <c r="C2737" t="s">
        <v>346</v>
      </c>
      <c r="D2737" s="5" t="s">
        <v>347</v>
      </c>
      <c r="E2737" t="s">
        <v>21</v>
      </c>
      <c r="F2737" t="s">
        <v>22</v>
      </c>
      <c r="G2737" t="s">
        <v>135</v>
      </c>
      <c r="H2737">
        <v>2</v>
      </c>
      <c r="I2737" s="3">
        <v>56.98</v>
      </c>
      <c r="J2737" t="s">
        <v>16</v>
      </c>
      <c r="K2737" t="s">
        <v>17</v>
      </c>
      <c r="L2737" s="4">
        <f>Table4[[#This Row],[quantity]]*Table4[[#This Row],[unit_price]]</f>
        <v>113.96</v>
      </c>
      <c r="M2737">
        <f>COUNTIFS($C$2:$C$3934,Table4[[#This Row],[customer_id]])</f>
        <v>7</v>
      </c>
      <c r="N2737" t="str">
        <f>IF(Table4[[#This Row],[customer_order_count]]=1,"New Customer","Repeat Customer")</f>
        <v>Repeat Customer</v>
      </c>
    </row>
    <row r="2738" spans="1:14">
      <c r="A2738" t="s">
        <v>4018</v>
      </c>
      <c r="B2738" s="1">
        <v>45654</v>
      </c>
      <c r="C2738" t="s">
        <v>866</v>
      </c>
      <c r="D2738" t="s">
        <v>484</v>
      </c>
      <c r="E2738" t="s">
        <v>21</v>
      </c>
      <c r="F2738" t="s">
        <v>14</v>
      </c>
      <c r="G2738" t="s">
        <v>34</v>
      </c>
      <c r="H2738">
        <v>1</v>
      </c>
      <c r="I2738" s="3">
        <v>57</v>
      </c>
      <c r="J2738" t="s">
        <v>85</v>
      </c>
      <c r="K2738" t="s">
        <v>30</v>
      </c>
      <c r="L2738" s="4">
        <f>Table4[[#This Row],[quantity]]*Table4[[#This Row],[unit_price]]</f>
        <v>57</v>
      </c>
      <c r="M2738">
        <f>COUNTIFS($C$2:$C$3934,Table4[[#This Row],[customer_id]])</f>
        <v>4</v>
      </c>
      <c r="N2738" t="str">
        <f>IF(Table4[[#This Row],[customer_order_count]]=1,"New Customer","Repeat Customer")</f>
        <v>Repeat Customer</v>
      </c>
    </row>
    <row r="2739" spans="1:14">
      <c r="A2739" t="s">
        <v>1787</v>
      </c>
      <c r="B2739" s="1">
        <v>45563</v>
      </c>
      <c r="C2739" t="s">
        <v>1788</v>
      </c>
      <c r="D2739" t="s">
        <v>121</v>
      </c>
      <c r="E2739" t="s">
        <v>21</v>
      </c>
      <c r="F2739" t="s">
        <v>70</v>
      </c>
      <c r="G2739" t="s">
        <v>337</v>
      </c>
      <c r="H2739">
        <v>1</v>
      </c>
      <c r="I2739" s="3">
        <v>57.04</v>
      </c>
      <c r="J2739" t="s">
        <v>16</v>
      </c>
      <c r="K2739" t="s">
        <v>30</v>
      </c>
      <c r="L2739" s="4">
        <f>Table4[[#This Row],[quantity]]*Table4[[#This Row],[unit_price]]</f>
        <v>57.04</v>
      </c>
      <c r="M2739">
        <f>COUNTIFS($C$2:$C$3934,Table4[[#This Row],[customer_id]])</f>
        <v>7</v>
      </c>
      <c r="N2739" t="str">
        <f>IF(Table4[[#This Row],[customer_order_count]]=1,"New Customer","Repeat Customer")</f>
        <v>Repeat Customer</v>
      </c>
    </row>
    <row r="2740" spans="1:14">
      <c r="A2740" t="s">
        <v>4045</v>
      </c>
      <c r="B2740" s="1">
        <v>45538</v>
      </c>
      <c r="C2740" t="s">
        <v>47</v>
      </c>
      <c r="D2740" t="s">
        <v>48</v>
      </c>
      <c r="E2740" t="s">
        <v>21</v>
      </c>
      <c r="F2740" t="s">
        <v>70</v>
      </c>
      <c r="G2740" t="s">
        <v>146</v>
      </c>
      <c r="H2740">
        <v>4</v>
      </c>
      <c r="I2740" s="3">
        <v>57.08</v>
      </c>
      <c r="J2740" t="s">
        <v>16</v>
      </c>
      <c r="K2740" t="s">
        <v>35</v>
      </c>
      <c r="L2740" s="4">
        <f>Table4[[#This Row],[quantity]]*Table4[[#This Row],[unit_price]]</f>
        <v>228.32</v>
      </c>
      <c r="M2740">
        <f>COUNTIFS($C$2:$C$3934,Table4[[#This Row],[customer_id]])</f>
        <v>8</v>
      </c>
      <c r="N2740" t="str">
        <f>IF(Table4[[#This Row],[customer_order_count]]=1,"New Customer","Repeat Customer")</f>
        <v>Repeat Customer</v>
      </c>
    </row>
    <row r="2741" spans="1:14">
      <c r="A2741" t="s">
        <v>2542</v>
      </c>
      <c r="B2741" s="1">
        <v>45569</v>
      </c>
      <c r="C2741" t="s">
        <v>222</v>
      </c>
      <c r="D2741" t="s">
        <v>223</v>
      </c>
      <c r="E2741" t="s">
        <v>21</v>
      </c>
      <c r="F2741" t="s">
        <v>70</v>
      </c>
      <c r="G2741" t="s">
        <v>337</v>
      </c>
      <c r="H2741">
        <v>5</v>
      </c>
      <c r="I2741" s="3">
        <v>57.1</v>
      </c>
      <c r="J2741" t="s">
        <v>16</v>
      </c>
      <c r="K2741" t="s">
        <v>30</v>
      </c>
      <c r="L2741" s="4">
        <f>Table4[[#This Row],[quantity]]*Table4[[#This Row],[unit_price]]</f>
        <v>285.5</v>
      </c>
      <c r="M2741">
        <f>COUNTIFS($C$2:$C$3934,Table4[[#This Row],[customer_id]])</f>
        <v>6</v>
      </c>
      <c r="N2741" t="str">
        <f>IF(Table4[[#This Row],[customer_order_count]]=1,"New Customer","Repeat Customer")</f>
        <v>Repeat Customer</v>
      </c>
    </row>
    <row r="2742" spans="1:14">
      <c r="A2742" t="s">
        <v>1154</v>
      </c>
      <c r="B2742" s="1">
        <v>45619</v>
      </c>
      <c r="C2742" t="s">
        <v>1155</v>
      </c>
      <c r="D2742" t="s">
        <v>1156</v>
      </c>
      <c r="E2742" t="s">
        <v>21</v>
      </c>
      <c r="F2742" t="s">
        <v>22</v>
      </c>
      <c r="G2742" t="s">
        <v>264</v>
      </c>
      <c r="H2742">
        <v>1</v>
      </c>
      <c r="I2742" s="3">
        <v>57.12</v>
      </c>
      <c r="J2742" t="s">
        <v>16</v>
      </c>
      <c r="K2742" t="s">
        <v>40</v>
      </c>
      <c r="L2742" s="4">
        <f>Table4[[#This Row],[quantity]]*Table4[[#This Row],[unit_price]]</f>
        <v>57.12</v>
      </c>
      <c r="M2742">
        <f>COUNTIFS($C$2:$C$3934,Table4[[#This Row],[customer_id]])</f>
        <v>4</v>
      </c>
      <c r="N2742" t="str">
        <f>IF(Table4[[#This Row],[customer_order_count]]=1,"New Customer","Repeat Customer")</f>
        <v>Repeat Customer</v>
      </c>
    </row>
    <row r="2743" spans="1:14">
      <c r="A2743" t="s">
        <v>265</v>
      </c>
      <c r="B2743" s="1">
        <v>45172</v>
      </c>
      <c r="C2743" t="s">
        <v>266</v>
      </c>
      <c r="D2743" t="s">
        <v>152</v>
      </c>
      <c r="E2743" t="s">
        <v>21</v>
      </c>
      <c r="F2743" t="s">
        <v>14</v>
      </c>
      <c r="G2743" t="s">
        <v>15</v>
      </c>
      <c r="H2743">
        <v>2</v>
      </c>
      <c r="I2743" s="3">
        <v>57.129625000000047</v>
      </c>
      <c r="J2743" t="s">
        <v>16</v>
      </c>
      <c r="K2743" t="s">
        <v>35</v>
      </c>
      <c r="L2743" s="4">
        <f>Table4[[#This Row],[quantity]]*Table4[[#This Row],[unit_price]]</f>
        <v>114.25925000000009</v>
      </c>
      <c r="M2743">
        <f>COUNTIFS($C$2:$C$3934,Table4[[#This Row],[customer_id]])</f>
        <v>6</v>
      </c>
      <c r="N2743" t="str">
        <f>IF(Table4[[#This Row],[customer_order_count]]=1,"New Customer","Repeat Customer")</f>
        <v>Repeat Customer</v>
      </c>
    </row>
    <row r="2744" spans="1:14">
      <c r="A2744" t="s">
        <v>1313</v>
      </c>
      <c r="B2744" s="1">
        <v>45207</v>
      </c>
      <c r="C2744" t="s">
        <v>427</v>
      </c>
      <c r="D2744" t="s">
        <v>428</v>
      </c>
      <c r="E2744" t="s">
        <v>21</v>
      </c>
      <c r="F2744" t="s">
        <v>79</v>
      </c>
      <c r="G2744" t="s">
        <v>200</v>
      </c>
      <c r="H2744">
        <v>1</v>
      </c>
      <c r="I2744" s="3">
        <v>57.15</v>
      </c>
      <c r="J2744" t="s">
        <v>255</v>
      </c>
      <c r="K2744" t="s">
        <v>40</v>
      </c>
      <c r="L2744" s="4">
        <f>Table4[[#This Row],[quantity]]*Table4[[#This Row],[unit_price]]</f>
        <v>57.15</v>
      </c>
      <c r="M2744">
        <f>COUNTIFS($C$2:$C$3934,Table4[[#This Row],[customer_id]])</f>
        <v>6</v>
      </c>
      <c r="N2744" t="str">
        <f>IF(Table4[[#This Row],[customer_order_count]]=1,"New Customer","Repeat Customer")</f>
        <v>Repeat Customer</v>
      </c>
    </row>
    <row r="2745" spans="1:14">
      <c r="A2745" t="s">
        <v>4260</v>
      </c>
      <c r="B2745" s="1">
        <v>44935</v>
      </c>
      <c r="C2745" t="s">
        <v>861</v>
      </c>
      <c r="D2745" t="s">
        <v>787</v>
      </c>
      <c r="E2745" t="s">
        <v>21</v>
      </c>
      <c r="F2745" t="s">
        <v>56</v>
      </c>
      <c r="G2745" t="s">
        <v>254</v>
      </c>
      <c r="H2745">
        <v>1</v>
      </c>
      <c r="I2745" s="3">
        <v>57.16</v>
      </c>
      <c r="J2745" t="s">
        <v>16</v>
      </c>
      <c r="K2745" t="s">
        <v>35</v>
      </c>
      <c r="L2745" s="4">
        <f>Table4[[#This Row],[quantity]]*Table4[[#This Row],[unit_price]]</f>
        <v>57.16</v>
      </c>
      <c r="M2745">
        <f>COUNTIFS($C$2:$C$3934,Table4[[#This Row],[customer_id]])</f>
        <v>9</v>
      </c>
      <c r="N2745" t="str">
        <f>IF(Table4[[#This Row],[customer_order_count]]=1,"New Customer","Repeat Customer")</f>
        <v>Repeat Customer</v>
      </c>
    </row>
    <row r="2746" spans="1:14">
      <c r="A2746" t="s">
        <v>4536</v>
      </c>
      <c r="B2746" s="1">
        <v>44986</v>
      </c>
      <c r="C2746" t="s">
        <v>822</v>
      </c>
      <c r="D2746" t="s">
        <v>496</v>
      </c>
      <c r="E2746" t="s">
        <v>21</v>
      </c>
      <c r="F2746" t="s">
        <v>22</v>
      </c>
      <c r="G2746" t="s">
        <v>162</v>
      </c>
      <c r="H2746">
        <v>1</v>
      </c>
      <c r="I2746" s="3">
        <v>57.2</v>
      </c>
      <c r="J2746" t="s">
        <v>16</v>
      </c>
      <c r="K2746" t="s">
        <v>17</v>
      </c>
      <c r="L2746" s="4">
        <f>Table4[[#This Row],[quantity]]*Table4[[#This Row],[unit_price]]</f>
        <v>57.2</v>
      </c>
      <c r="M2746">
        <f>COUNTIFS($C$2:$C$3934,Table4[[#This Row],[customer_id]])</f>
        <v>6</v>
      </c>
      <c r="N2746" t="str">
        <f>IF(Table4[[#This Row],[customer_order_count]]=1,"New Customer","Repeat Customer")</f>
        <v>Repeat Customer</v>
      </c>
    </row>
    <row r="2747" spans="1:14">
      <c r="A2747" t="s">
        <v>4681</v>
      </c>
      <c r="B2747" s="1">
        <v>45063</v>
      </c>
      <c r="C2747" t="s">
        <v>1194</v>
      </c>
      <c r="D2747" t="s">
        <v>1195</v>
      </c>
      <c r="E2747" t="s">
        <v>44</v>
      </c>
      <c r="F2747" t="s">
        <v>70</v>
      </c>
      <c r="G2747" t="s">
        <v>110</v>
      </c>
      <c r="H2747">
        <v>2</v>
      </c>
      <c r="I2747" s="3">
        <v>57.25</v>
      </c>
      <c r="J2747" t="s">
        <v>16</v>
      </c>
      <c r="K2747" t="s">
        <v>40</v>
      </c>
      <c r="L2747" s="4">
        <f>Table4[[#This Row],[quantity]]*Table4[[#This Row],[unit_price]]</f>
        <v>114.5</v>
      </c>
      <c r="M2747">
        <f>COUNTIFS($C$2:$C$3934,Table4[[#This Row],[customer_id]])</f>
        <v>4</v>
      </c>
      <c r="N2747" t="str">
        <f>IF(Table4[[#This Row],[customer_order_count]]=1,"New Customer","Repeat Customer")</f>
        <v>Repeat Customer</v>
      </c>
    </row>
    <row r="2748" spans="1:14">
      <c r="A2748" t="s">
        <v>4751</v>
      </c>
      <c r="B2748" s="1">
        <v>45127</v>
      </c>
      <c r="C2748" t="s">
        <v>661</v>
      </c>
      <c r="D2748" t="s">
        <v>359</v>
      </c>
      <c r="E2748" t="s">
        <v>44</v>
      </c>
      <c r="F2748" t="s">
        <v>14</v>
      </c>
      <c r="G2748" t="s">
        <v>39</v>
      </c>
      <c r="H2748">
        <v>1</v>
      </c>
      <c r="I2748" s="3">
        <v>57.25</v>
      </c>
      <c r="J2748" t="s">
        <v>85</v>
      </c>
      <c r="K2748" t="s">
        <v>17</v>
      </c>
      <c r="L2748" s="4">
        <f>Table4[[#This Row],[quantity]]*Table4[[#This Row],[unit_price]]</f>
        <v>57.25</v>
      </c>
      <c r="M2748">
        <f>COUNTIFS($C$2:$C$3934,Table4[[#This Row],[customer_id]])</f>
        <v>3</v>
      </c>
      <c r="N2748" t="str">
        <f>IF(Table4[[#This Row],[customer_order_count]]=1,"New Customer","Repeat Customer")</f>
        <v>Repeat Customer</v>
      </c>
    </row>
    <row r="2749" spans="1:14">
      <c r="A2749" t="s">
        <v>3728</v>
      </c>
      <c r="B2749" s="1">
        <v>44954</v>
      </c>
      <c r="C2749" t="s">
        <v>3211</v>
      </c>
      <c r="D2749" t="s">
        <v>950</v>
      </c>
      <c r="E2749" t="s">
        <v>21</v>
      </c>
      <c r="F2749" t="s">
        <v>14</v>
      </c>
      <c r="G2749" t="s">
        <v>39</v>
      </c>
      <c r="H2749">
        <v>2</v>
      </c>
      <c r="I2749" s="3">
        <v>57.33</v>
      </c>
      <c r="J2749" t="s">
        <v>16</v>
      </c>
      <c r="K2749" t="s">
        <v>30</v>
      </c>
      <c r="L2749" s="4">
        <f>Table4[[#This Row],[quantity]]*Table4[[#This Row],[unit_price]]</f>
        <v>114.66</v>
      </c>
      <c r="M2749">
        <f>COUNTIFS($C$2:$C$3934,Table4[[#This Row],[customer_id]])</f>
        <v>6</v>
      </c>
      <c r="N2749" t="str">
        <f>IF(Table4[[#This Row],[customer_order_count]]=1,"New Customer","Repeat Customer")</f>
        <v>Repeat Customer</v>
      </c>
    </row>
    <row r="2750" spans="1:14">
      <c r="A2750" t="s">
        <v>1488</v>
      </c>
      <c r="B2750" s="1">
        <v>45142</v>
      </c>
      <c r="C2750" t="s">
        <v>1248</v>
      </c>
      <c r="D2750" t="s">
        <v>787</v>
      </c>
      <c r="E2750" t="s">
        <v>21</v>
      </c>
      <c r="F2750" t="s">
        <v>14</v>
      </c>
      <c r="G2750" t="s">
        <v>62</v>
      </c>
      <c r="H2750">
        <v>4</v>
      </c>
      <c r="I2750" s="3">
        <v>57.35</v>
      </c>
      <c r="J2750" t="s">
        <v>24</v>
      </c>
      <c r="K2750" t="s">
        <v>35</v>
      </c>
      <c r="L2750" s="4">
        <f>Table4[[#This Row],[quantity]]*Table4[[#This Row],[unit_price]]</f>
        <v>229.4</v>
      </c>
      <c r="M2750">
        <f>COUNTIFS($C$2:$C$3934,Table4[[#This Row],[customer_id]])</f>
        <v>6</v>
      </c>
      <c r="N2750" t="str">
        <f>IF(Table4[[#This Row],[customer_order_count]]=1,"New Customer","Repeat Customer")</f>
        <v>Repeat Customer</v>
      </c>
    </row>
    <row r="2751" spans="1:14">
      <c r="A2751" t="s">
        <v>4967</v>
      </c>
      <c r="B2751" s="1">
        <v>45056</v>
      </c>
      <c r="C2751" t="s">
        <v>937</v>
      </c>
      <c r="D2751" s="2" t="s">
        <v>5257</v>
      </c>
      <c r="E2751" t="s">
        <v>21</v>
      </c>
      <c r="F2751" t="s">
        <v>70</v>
      </c>
      <c r="G2751" t="s">
        <v>71</v>
      </c>
      <c r="H2751">
        <v>2</v>
      </c>
      <c r="I2751" s="3">
        <v>57.36</v>
      </c>
      <c r="J2751" t="s">
        <v>16</v>
      </c>
      <c r="K2751" t="s">
        <v>40</v>
      </c>
      <c r="L2751" s="4">
        <f>Table4[[#This Row],[quantity]]*Table4[[#This Row],[unit_price]]</f>
        <v>114.72</v>
      </c>
      <c r="M2751">
        <f>COUNTIFS($C$2:$C$3934,Table4[[#This Row],[customer_id]])</f>
        <v>7</v>
      </c>
      <c r="N2751" t="str">
        <f>IF(Table4[[#This Row],[customer_order_count]]=1,"New Customer","Repeat Customer")</f>
        <v>Repeat Customer</v>
      </c>
    </row>
    <row r="2752" spans="1:14">
      <c r="A2752" t="s">
        <v>4685</v>
      </c>
      <c r="B2752" s="1">
        <v>45574</v>
      </c>
      <c r="C2752" t="s">
        <v>2593</v>
      </c>
      <c r="D2752" s="5" t="s">
        <v>2594</v>
      </c>
      <c r="E2752" t="s">
        <v>21</v>
      </c>
      <c r="F2752" t="s">
        <v>22</v>
      </c>
      <c r="G2752" t="s">
        <v>162</v>
      </c>
      <c r="H2752">
        <v>1</v>
      </c>
      <c r="I2752" s="3">
        <v>57.39</v>
      </c>
      <c r="J2752" t="s">
        <v>16</v>
      </c>
      <c r="K2752" t="s">
        <v>35</v>
      </c>
      <c r="L2752" s="4">
        <f>Table4[[#This Row],[quantity]]*Table4[[#This Row],[unit_price]]</f>
        <v>57.39</v>
      </c>
      <c r="M2752">
        <f>COUNTIFS($C$2:$C$3934,Table4[[#This Row],[customer_id]])</f>
        <v>2</v>
      </c>
      <c r="N2752" t="str">
        <f>IF(Table4[[#This Row],[customer_order_count]]=1,"New Customer","Repeat Customer")</f>
        <v>Repeat Customer</v>
      </c>
    </row>
    <row r="2753" spans="1:14">
      <c r="A2753" t="s">
        <v>2575</v>
      </c>
      <c r="B2753" s="1">
        <v>45104</v>
      </c>
      <c r="C2753" t="s">
        <v>180</v>
      </c>
      <c r="D2753" t="s">
        <v>181</v>
      </c>
      <c r="E2753" t="s">
        <v>21</v>
      </c>
      <c r="F2753" t="s">
        <v>14</v>
      </c>
      <c r="G2753" t="s">
        <v>62</v>
      </c>
      <c r="H2753">
        <v>3</v>
      </c>
      <c r="I2753" s="3">
        <v>57.39</v>
      </c>
      <c r="J2753" t="s">
        <v>16</v>
      </c>
      <c r="K2753" t="s">
        <v>30</v>
      </c>
      <c r="L2753" s="4">
        <f>Table4[[#This Row],[quantity]]*Table4[[#This Row],[unit_price]]</f>
        <v>172.17000000000002</v>
      </c>
      <c r="M2753">
        <f>COUNTIFS($C$2:$C$3934,Table4[[#This Row],[customer_id]])</f>
        <v>5</v>
      </c>
      <c r="N2753" t="str">
        <f>IF(Table4[[#This Row],[customer_order_count]]=1,"New Customer","Repeat Customer")</f>
        <v>Repeat Customer</v>
      </c>
    </row>
    <row r="2754" spans="1:14">
      <c r="A2754" t="s">
        <v>2806</v>
      </c>
      <c r="B2754" s="1">
        <v>45604</v>
      </c>
      <c r="C2754" t="s">
        <v>937</v>
      </c>
      <c r="D2754" t="s">
        <v>566</v>
      </c>
      <c r="E2754" t="s">
        <v>21</v>
      </c>
      <c r="F2754" t="s">
        <v>56</v>
      </c>
      <c r="G2754" t="s">
        <v>75</v>
      </c>
      <c r="H2754">
        <v>2</v>
      </c>
      <c r="I2754" s="3">
        <v>57.41</v>
      </c>
      <c r="J2754" t="s">
        <v>16</v>
      </c>
      <c r="K2754" t="s">
        <v>40</v>
      </c>
      <c r="L2754" s="4">
        <f>Table4[[#This Row],[quantity]]*Table4[[#This Row],[unit_price]]</f>
        <v>114.82</v>
      </c>
      <c r="M2754">
        <f>COUNTIFS($C$2:$C$3934,Table4[[#This Row],[customer_id]])</f>
        <v>7</v>
      </c>
      <c r="N2754" t="str">
        <f>IF(Table4[[#This Row],[customer_order_count]]=1,"New Customer","Repeat Customer")</f>
        <v>Repeat Customer</v>
      </c>
    </row>
    <row r="2755" spans="1:14">
      <c r="A2755" t="s">
        <v>4815</v>
      </c>
      <c r="B2755" s="1">
        <v>45478</v>
      </c>
      <c r="C2755" t="s">
        <v>1786</v>
      </c>
      <c r="D2755" t="s">
        <v>1736</v>
      </c>
      <c r="E2755" t="s">
        <v>44</v>
      </c>
      <c r="F2755" t="s">
        <v>79</v>
      </c>
      <c r="G2755" t="s">
        <v>166</v>
      </c>
      <c r="H2755">
        <v>2</v>
      </c>
      <c r="I2755" s="3">
        <v>57.41</v>
      </c>
      <c r="J2755" t="s">
        <v>16</v>
      </c>
      <c r="K2755" t="s">
        <v>17</v>
      </c>
      <c r="L2755" s="4">
        <f>Table4[[#This Row],[quantity]]*Table4[[#This Row],[unit_price]]</f>
        <v>114.82</v>
      </c>
      <c r="M2755">
        <f>COUNTIFS($C$2:$C$3934,Table4[[#This Row],[customer_id]])</f>
        <v>6</v>
      </c>
      <c r="N2755" t="str">
        <f>IF(Table4[[#This Row],[customer_order_count]]=1,"New Customer","Repeat Customer")</f>
        <v>Repeat Customer</v>
      </c>
    </row>
    <row r="2756" spans="1:14">
      <c r="A2756" t="s">
        <v>2823</v>
      </c>
      <c r="B2756" s="1">
        <v>44952</v>
      </c>
      <c r="C2756" t="s">
        <v>721</v>
      </c>
      <c r="D2756" t="s">
        <v>722</v>
      </c>
      <c r="E2756" t="s">
        <v>21</v>
      </c>
      <c r="F2756" t="s">
        <v>22</v>
      </c>
      <c r="G2756" t="s">
        <v>264</v>
      </c>
      <c r="H2756">
        <v>3</v>
      </c>
      <c r="I2756" s="3">
        <v>57.43</v>
      </c>
      <c r="J2756" t="s">
        <v>16</v>
      </c>
      <c r="K2756" t="s">
        <v>35</v>
      </c>
      <c r="L2756" s="4">
        <f>Table4[[#This Row],[quantity]]*Table4[[#This Row],[unit_price]]</f>
        <v>172.29</v>
      </c>
      <c r="M2756">
        <f>COUNTIFS($C$2:$C$3934,Table4[[#This Row],[customer_id]])</f>
        <v>6</v>
      </c>
      <c r="N2756" t="str">
        <f>IF(Table4[[#This Row],[customer_order_count]]=1,"New Customer","Repeat Customer")</f>
        <v>Repeat Customer</v>
      </c>
    </row>
    <row r="2757" spans="1:14">
      <c r="A2757" t="s">
        <v>3924</v>
      </c>
      <c r="B2757" s="1">
        <v>45195</v>
      </c>
      <c r="C2757" t="s">
        <v>3262</v>
      </c>
      <c r="D2757" t="s">
        <v>1938</v>
      </c>
      <c r="E2757" t="s">
        <v>21</v>
      </c>
      <c r="F2757" t="s">
        <v>14</v>
      </c>
      <c r="G2757" t="s">
        <v>258</v>
      </c>
      <c r="H2757">
        <v>1</v>
      </c>
      <c r="I2757" s="3">
        <v>57.44</v>
      </c>
      <c r="J2757" t="s">
        <v>16</v>
      </c>
      <c r="K2757" t="s">
        <v>30</v>
      </c>
      <c r="L2757" s="4">
        <f>Table4[[#This Row],[quantity]]*Table4[[#This Row],[unit_price]]</f>
        <v>57.44</v>
      </c>
      <c r="M2757">
        <f>COUNTIFS($C$2:$C$3934,Table4[[#This Row],[customer_id]])</f>
        <v>7</v>
      </c>
      <c r="N2757" t="str">
        <f>IF(Table4[[#This Row],[customer_order_count]]=1,"New Customer","Repeat Customer")</f>
        <v>Repeat Customer</v>
      </c>
    </row>
    <row r="2758" spans="1:14">
      <c r="A2758" t="s">
        <v>4542</v>
      </c>
      <c r="B2758" s="1">
        <v>45249</v>
      </c>
      <c r="C2758" t="s">
        <v>3412</v>
      </c>
      <c r="D2758" t="s">
        <v>3413</v>
      </c>
      <c r="E2758" t="s">
        <v>21</v>
      </c>
      <c r="F2758" t="s">
        <v>14</v>
      </c>
      <c r="G2758" t="s">
        <v>100</v>
      </c>
      <c r="H2758">
        <v>1</v>
      </c>
      <c r="I2758" s="3">
        <v>57.47</v>
      </c>
      <c r="J2758" t="s">
        <v>16</v>
      </c>
      <c r="K2758" t="s">
        <v>40</v>
      </c>
      <c r="L2758" s="4">
        <f>Table4[[#This Row],[quantity]]*Table4[[#This Row],[unit_price]]</f>
        <v>57.47</v>
      </c>
      <c r="M2758">
        <f>COUNTIFS($C$2:$C$3934,Table4[[#This Row],[customer_id]])</f>
        <v>6</v>
      </c>
      <c r="N2758" t="str">
        <f>IF(Table4[[#This Row],[customer_order_count]]=1,"New Customer","Repeat Customer")</f>
        <v>Repeat Customer</v>
      </c>
    </row>
    <row r="2759" spans="1:14">
      <c r="A2759" t="s">
        <v>2862</v>
      </c>
      <c r="B2759" s="1">
        <v>45114</v>
      </c>
      <c r="C2759" t="s">
        <v>711</v>
      </c>
      <c r="D2759" t="s">
        <v>505</v>
      </c>
      <c r="E2759" t="s">
        <v>21</v>
      </c>
      <c r="F2759" t="s">
        <v>14</v>
      </c>
      <c r="G2759" t="s">
        <v>15</v>
      </c>
      <c r="H2759">
        <v>1</v>
      </c>
      <c r="I2759" s="3">
        <v>57.52</v>
      </c>
      <c r="J2759" t="s">
        <v>16</v>
      </c>
      <c r="K2759" t="s">
        <v>17</v>
      </c>
      <c r="L2759" s="4">
        <f>Table4[[#This Row],[quantity]]*Table4[[#This Row],[unit_price]]</f>
        <v>57.52</v>
      </c>
      <c r="M2759">
        <f>COUNTIFS($C$2:$C$3934,Table4[[#This Row],[customer_id]])</f>
        <v>8</v>
      </c>
      <c r="N2759" t="str">
        <f>IF(Table4[[#This Row],[customer_order_count]]=1,"New Customer","Repeat Customer")</f>
        <v>Repeat Customer</v>
      </c>
    </row>
    <row r="2760" spans="1:14">
      <c r="A2760" t="s">
        <v>1826</v>
      </c>
      <c r="B2760" s="1">
        <v>45133</v>
      </c>
      <c r="C2760" t="s">
        <v>1827</v>
      </c>
      <c r="D2760" t="s">
        <v>1828</v>
      </c>
      <c r="E2760" t="s">
        <v>21</v>
      </c>
      <c r="F2760" t="s">
        <v>14</v>
      </c>
      <c r="G2760" t="s">
        <v>62</v>
      </c>
      <c r="H2760">
        <v>1</v>
      </c>
      <c r="I2760" s="3">
        <v>57.52</v>
      </c>
      <c r="J2760" t="s">
        <v>16</v>
      </c>
      <c r="K2760" t="s">
        <v>40</v>
      </c>
      <c r="L2760" s="4">
        <f>Table4[[#This Row],[quantity]]*Table4[[#This Row],[unit_price]]</f>
        <v>57.52</v>
      </c>
      <c r="M2760">
        <f>COUNTIFS($C$2:$C$3934,Table4[[#This Row],[customer_id]])</f>
        <v>4</v>
      </c>
      <c r="N2760" t="str">
        <f>IF(Table4[[#This Row],[customer_order_count]]=1,"New Customer","Repeat Customer")</f>
        <v>Repeat Customer</v>
      </c>
    </row>
    <row r="2761" spans="1:14">
      <c r="A2761" t="s">
        <v>4838</v>
      </c>
      <c r="B2761" s="1">
        <v>45347</v>
      </c>
      <c r="C2761" t="s">
        <v>572</v>
      </c>
      <c r="D2761" t="s">
        <v>573</v>
      </c>
      <c r="E2761" t="s">
        <v>21</v>
      </c>
      <c r="F2761" t="s">
        <v>70</v>
      </c>
      <c r="G2761" t="s">
        <v>337</v>
      </c>
      <c r="H2761">
        <v>1</v>
      </c>
      <c r="I2761" s="3">
        <v>57.54</v>
      </c>
      <c r="J2761" t="s">
        <v>16</v>
      </c>
      <c r="K2761" t="s">
        <v>30</v>
      </c>
      <c r="L2761" s="4">
        <f>Table4[[#This Row],[quantity]]*Table4[[#This Row],[unit_price]]</f>
        <v>57.54</v>
      </c>
      <c r="M2761">
        <f>COUNTIFS($C$2:$C$3934,Table4[[#This Row],[customer_id]])</f>
        <v>5</v>
      </c>
      <c r="N2761" t="str">
        <f>IF(Table4[[#This Row],[customer_order_count]]=1,"New Customer","Repeat Customer")</f>
        <v>Repeat Customer</v>
      </c>
    </row>
    <row r="2762" spans="1:14">
      <c r="A2762" t="s">
        <v>5166</v>
      </c>
      <c r="B2762" s="1">
        <v>45382</v>
      </c>
      <c r="C2762" t="s">
        <v>680</v>
      </c>
      <c r="D2762" t="s">
        <v>681</v>
      </c>
      <c r="E2762" t="s">
        <v>21</v>
      </c>
      <c r="F2762" t="s">
        <v>22</v>
      </c>
      <c r="G2762" t="s">
        <v>264</v>
      </c>
      <c r="H2762">
        <v>1</v>
      </c>
      <c r="I2762" s="3">
        <v>57.58</v>
      </c>
      <c r="J2762" t="s">
        <v>16</v>
      </c>
      <c r="K2762" t="s">
        <v>17</v>
      </c>
      <c r="L2762" s="4">
        <f>Table4[[#This Row],[quantity]]*Table4[[#This Row],[unit_price]]</f>
        <v>57.58</v>
      </c>
      <c r="M2762">
        <f>COUNTIFS($C$2:$C$3934,Table4[[#This Row],[customer_id]])</f>
        <v>11</v>
      </c>
      <c r="N2762" t="str">
        <f>IF(Table4[[#This Row],[customer_order_count]]=1,"New Customer","Repeat Customer")</f>
        <v>Repeat Customer</v>
      </c>
    </row>
    <row r="2763" spans="1:14">
      <c r="A2763" t="s">
        <v>1954</v>
      </c>
      <c r="B2763" s="1">
        <v>45504</v>
      </c>
      <c r="C2763" t="s">
        <v>1250</v>
      </c>
      <c r="D2763" t="s">
        <v>60</v>
      </c>
      <c r="E2763" t="s">
        <v>21</v>
      </c>
      <c r="F2763" t="s">
        <v>79</v>
      </c>
      <c r="G2763" t="s">
        <v>96</v>
      </c>
      <c r="H2763">
        <v>1</v>
      </c>
      <c r="I2763" s="3">
        <v>57.61</v>
      </c>
      <c r="J2763" t="s">
        <v>16</v>
      </c>
      <c r="K2763" s="2" t="s">
        <v>5256</v>
      </c>
      <c r="L2763" s="4">
        <f>Table4[[#This Row],[quantity]]*Table4[[#This Row],[unit_price]]</f>
        <v>57.61</v>
      </c>
      <c r="M2763">
        <f>COUNTIFS($C$2:$C$3934,Table4[[#This Row],[customer_id]])</f>
        <v>3</v>
      </c>
      <c r="N2763" t="str">
        <f>IF(Table4[[#This Row],[customer_order_count]]=1,"New Customer","Repeat Customer")</f>
        <v>Repeat Customer</v>
      </c>
    </row>
    <row r="2764" spans="1:14">
      <c r="A2764" t="s">
        <v>3777</v>
      </c>
      <c r="B2764" s="1">
        <v>45184</v>
      </c>
      <c r="C2764" t="s">
        <v>2378</v>
      </c>
      <c r="D2764" t="s">
        <v>2379</v>
      </c>
      <c r="E2764" t="s">
        <v>21</v>
      </c>
      <c r="F2764" t="s">
        <v>79</v>
      </c>
      <c r="G2764" t="s">
        <v>398</v>
      </c>
      <c r="H2764">
        <v>3</v>
      </c>
      <c r="I2764" s="3">
        <v>57.61</v>
      </c>
      <c r="J2764" t="s">
        <v>16</v>
      </c>
      <c r="K2764" s="5" t="s">
        <v>35</v>
      </c>
      <c r="L2764" s="4">
        <f>Table4[[#This Row],[quantity]]*Table4[[#This Row],[unit_price]]</f>
        <v>172.82999999999998</v>
      </c>
      <c r="M2764">
        <f>COUNTIFS($C$2:$C$3934,Table4[[#This Row],[customer_id]])</f>
        <v>3</v>
      </c>
      <c r="N2764" t="str">
        <f>IF(Table4[[#This Row],[customer_order_count]]=1,"New Customer","Repeat Customer")</f>
        <v>Repeat Customer</v>
      </c>
    </row>
    <row r="2765" spans="1:14">
      <c r="A2765" t="s">
        <v>2880</v>
      </c>
      <c r="B2765" s="1">
        <v>45391</v>
      </c>
      <c r="C2765" t="s">
        <v>463</v>
      </c>
      <c r="D2765" t="s">
        <v>464</v>
      </c>
      <c r="E2765" t="s">
        <v>44</v>
      </c>
      <c r="F2765" t="s">
        <v>22</v>
      </c>
      <c r="G2765" t="s">
        <v>23</v>
      </c>
      <c r="H2765">
        <v>1</v>
      </c>
      <c r="I2765" s="3">
        <v>57.62</v>
      </c>
      <c r="J2765" t="s">
        <v>16</v>
      </c>
      <c r="K2765" t="s">
        <v>35</v>
      </c>
      <c r="L2765" s="4">
        <f>Table4[[#This Row],[quantity]]*Table4[[#This Row],[unit_price]]</f>
        <v>57.62</v>
      </c>
      <c r="M2765">
        <f>COUNTIFS($C$2:$C$3934,Table4[[#This Row],[customer_id]])</f>
        <v>4</v>
      </c>
      <c r="N2765" t="str">
        <f>IF(Table4[[#This Row],[customer_order_count]]=1,"New Customer","Repeat Customer")</f>
        <v>Repeat Customer</v>
      </c>
    </row>
    <row r="2766" spans="1:14">
      <c r="A2766" t="s">
        <v>1096</v>
      </c>
      <c r="B2766" s="1">
        <v>45517</v>
      </c>
      <c r="C2766" t="s">
        <v>1097</v>
      </c>
      <c r="D2766" t="s">
        <v>560</v>
      </c>
      <c r="E2766" t="s">
        <v>21</v>
      </c>
      <c r="F2766" t="s">
        <v>22</v>
      </c>
      <c r="G2766" t="s">
        <v>135</v>
      </c>
      <c r="H2766">
        <v>2</v>
      </c>
      <c r="I2766" s="3">
        <v>57.62</v>
      </c>
      <c r="J2766" t="s">
        <v>16</v>
      </c>
      <c r="K2766" t="s">
        <v>35</v>
      </c>
      <c r="L2766" s="4">
        <f>Table4[[#This Row],[quantity]]*Table4[[#This Row],[unit_price]]</f>
        <v>115.24</v>
      </c>
      <c r="M2766">
        <f>COUNTIFS($C$2:$C$3934,Table4[[#This Row],[customer_id]])</f>
        <v>7</v>
      </c>
      <c r="N2766" t="str">
        <f>IF(Table4[[#This Row],[customer_order_count]]=1,"New Customer","Repeat Customer")</f>
        <v>Repeat Customer</v>
      </c>
    </row>
    <row r="2767" spans="1:14">
      <c r="A2767" t="s">
        <v>1501</v>
      </c>
      <c r="B2767" s="1">
        <v>45297</v>
      </c>
      <c r="C2767" t="s">
        <v>104</v>
      </c>
      <c r="D2767" t="s">
        <v>105</v>
      </c>
      <c r="E2767" t="s">
        <v>21</v>
      </c>
      <c r="F2767" t="s">
        <v>70</v>
      </c>
      <c r="G2767" t="s">
        <v>146</v>
      </c>
      <c r="H2767">
        <v>2</v>
      </c>
      <c r="I2767" s="3">
        <v>57.72</v>
      </c>
      <c r="J2767" t="s">
        <v>16</v>
      </c>
      <c r="K2767" t="s">
        <v>40</v>
      </c>
      <c r="L2767" s="4">
        <f>Table4[[#This Row],[quantity]]*Table4[[#This Row],[unit_price]]</f>
        <v>115.44</v>
      </c>
      <c r="M2767">
        <f>COUNTIFS($C$2:$C$3934,Table4[[#This Row],[customer_id]])</f>
        <v>9</v>
      </c>
      <c r="N2767" t="str">
        <f>IF(Table4[[#This Row],[customer_order_count]]=1,"New Customer","Repeat Customer")</f>
        <v>Repeat Customer</v>
      </c>
    </row>
    <row r="2768" spans="1:14">
      <c r="A2768" t="s">
        <v>4513</v>
      </c>
      <c r="B2768" s="1">
        <v>44997</v>
      </c>
      <c r="C2768" t="s">
        <v>408</v>
      </c>
      <c r="D2768" t="s">
        <v>409</v>
      </c>
      <c r="E2768" t="s">
        <v>21</v>
      </c>
      <c r="F2768" t="s">
        <v>22</v>
      </c>
      <c r="G2768" t="s">
        <v>135</v>
      </c>
      <c r="H2768">
        <v>2</v>
      </c>
      <c r="I2768" s="3">
        <v>57.83</v>
      </c>
      <c r="J2768" t="s">
        <v>16</v>
      </c>
      <c r="K2768" t="s">
        <v>17</v>
      </c>
      <c r="L2768" s="4">
        <f>Table4[[#This Row],[quantity]]*Table4[[#This Row],[unit_price]]</f>
        <v>115.66</v>
      </c>
      <c r="M2768">
        <f>COUNTIFS($C$2:$C$3934,Table4[[#This Row],[customer_id]])</f>
        <v>5</v>
      </c>
      <c r="N2768" t="str">
        <f>IF(Table4[[#This Row],[customer_order_count]]=1,"New Customer","Repeat Customer")</f>
        <v>Repeat Customer</v>
      </c>
    </row>
    <row r="2769" spans="1:14">
      <c r="A2769" t="s">
        <v>4322</v>
      </c>
      <c r="B2769" s="1">
        <v>45245</v>
      </c>
      <c r="C2769" t="s">
        <v>696</v>
      </c>
      <c r="D2769" t="s">
        <v>582</v>
      </c>
      <c r="E2769" t="s">
        <v>21</v>
      </c>
      <c r="F2769" t="s">
        <v>22</v>
      </c>
      <c r="G2769" t="s">
        <v>135</v>
      </c>
      <c r="H2769">
        <v>2</v>
      </c>
      <c r="I2769" s="3">
        <v>57.86</v>
      </c>
      <c r="J2769" t="s">
        <v>85</v>
      </c>
      <c r="K2769" t="s">
        <v>17</v>
      </c>
      <c r="L2769" s="4">
        <f>Table4[[#This Row],[quantity]]*Table4[[#This Row],[unit_price]]</f>
        <v>115.72</v>
      </c>
      <c r="M2769">
        <f>COUNTIFS($C$2:$C$3934,Table4[[#This Row],[customer_id]])</f>
        <v>12</v>
      </c>
      <c r="N2769" t="str">
        <f>IF(Table4[[#This Row],[customer_order_count]]=1,"New Customer","Repeat Customer")</f>
        <v>Repeat Customer</v>
      </c>
    </row>
    <row r="2770" spans="1:14">
      <c r="A2770" t="s">
        <v>4596</v>
      </c>
      <c r="B2770" s="1">
        <v>45113</v>
      </c>
      <c r="C2770" t="s">
        <v>768</v>
      </c>
      <c r="D2770" t="s">
        <v>769</v>
      </c>
      <c r="E2770" t="s">
        <v>21</v>
      </c>
      <c r="F2770" t="s">
        <v>14</v>
      </c>
      <c r="G2770" t="s">
        <v>39</v>
      </c>
      <c r="H2770">
        <v>1</v>
      </c>
      <c r="I2770" s="3">
        <v>57.89</v>
      </c>
      <c r="J2770" t="s">
        <v>16</v>
      </c>
      <c r="K2770" t="s">
        <v>35</v>
      </c>
      <c r="L2770" s="4">
        <f>Table4[[#This Row],[quantity]]*Table4[[#This Row],[unit_price]]</f>
        <v>57.89</v>
      </c>
      <c r="M2770">
        <f>COUNTIFS($C$2:$C$3934,Table4[[#This Row],[customer_id]])</f>
        <v>4</v>
      </c>
      <c r="N2770" t="str">
        <f>IF(Table4[[#This Row],[customer_order_count]]=1,"New Customer","Repeat Customer")</f>
        <v>Repeat Customer</v>
      </c>
    </row>
    <row r="2771" spans="1:14">
      <c r="A2771" t="s">
        <v>3782</v>
      </c>
      <c r="B2771" s="1">
        <v>45623</v>
      </c>
      <c r="C2771" t="s">
        <v>206</v>
      </c>
      <c r="D2771" t="s">
        <v>207</v>
      </c>
      <c r="E2771" t="s">
        <v>21</v>
      </c>
      <c r="F2771" t="s">
        <v>70</v>
      </c>
      <c r="G2771" t="s">
        <v>89</v>
      </c>
      <c r="H2771">
        <v>4</v>
      </c>
      <c r="I2771" s="3">
        <v>57.91</v>
      </c>
      <c r="J2771" t="s">
        <v>16</v>
      </c>
      <c r="K2771" t="s">
        <v>17</v>
      </c>
      <c r="L2771" s="4">
        <f>Table4[[#This Row],[quantity]]*Table4[[#This Row],[unit_price]]</f>
        <v>231.64</v>
      </c>
      <c r="M2771">
        <f>COUNTIFS($C$2:$C$3934,Table4[[#This Row],[customer_id]])</f>
        <v>3</v>
      </c>
      <c r="N2771" t="str">
        <f>IF(Table4[[#This Row],[customer_order_count]]=1,"New Customer","Repeat Customer")</f>
        <v>Repeat Customer</v>
      </c>
    </row>
    <row r="2772" spans="1:14">
      <c r="A2772" t="s">
        <v>4907</v>
      </c>
      <c r="B2772" s="1">
        <v>45607</v>
      </c>
      <c r="C2772" t="s">
        <v>193</v>
      </c>
      <c r="D2772" t="s">
        <v>178</v>
      </c>
      <c r="E2772" t="s">
        <v>21</v>
      </c>
      <c r="F2772" t="s">
        <v>70</v>
      </c>
      <c r="G2772" t="s">
        <v>89</v>
      </c>
      <c r="H2772">
        <v>1</v>
      </c>
      <c r="I2772" s="3">
        <v>57.96</v>
      </c>
      <c r="J2772" t="s">
        <v>16</v>
      </c>
      <c r="K2772" t="s">
        <v>40</v>
      </c>
      <c r="L2772" s="4">
        <f>Table4[[#This Row],[quantity]]*Table4[[#This Row],[unit_price]]</f>
        <v>57.96</v>
      </c>
      <c r="M2772">
        <f>COUNTIFS($C$2:$C$3934,Table4[[#This Row],[customer_id]])</f>
        <v>8</v>
      </c>
      <c r="N2772" t="str">
        <f>IF(Table4[[#This Row],[customer_order_count]]=1,"New Customer","Repeat Customer")</f>
        <v>Repeat Customer</v>
      </c>
    </row>
    <row r="2773" spans="1:14">
      <c r="A2773" t="s">
        <v>338</v>
      </c>
      <c r="B2773" s="1">
        <v>45252</v>
      </c>
      <c r="C2773" t="s">
        <v>339</v>
      </c>
      <c r="D2773" t="s">
        <v>340</v>
      </c>
      <c r="E2773" t="s">
        <v>106</v>
      </c>
      <c r="F2773" t="s">
        <v>70</v>
      </c>
      <c r="G2773" t="s">
        <v>170</v>
      </c>
      <c r="H2773">
        <v>2</v>
      </c>
      <c r="I2773" s="3">
        <v>58.04</v>
      </c>
      <c r="J2773" t="s">
        <v>16</v>
      </c>
      <c r="K2773" t="s">
        <v>17</v>
      </c>
      <c r="L2773" s="4">
        <f>Table4[[#This Row],[quantity]]*Table4[[#This Row],[unit_price]]</f>
        <v>116.08</v>
      </c>
      <c r="M2773">
        <f>COUNTIFS($C$2:$C$3934,Table4[[#This Row],[customer_id]])</f>
        <v>1</v>
      </c>
      <c r="N2773" t="str">
        <f>IF(Table4[[#This Row],[customer_order_count]]=1,"New Customer","Repeat Customer")</f>
        <v>New Customer</v>
      </c>
    </row>
    <row r="2774" spans="1:14">
      <c r="A2774" t="s">
        <v>4025</v>
      </c>
      <c r="B2774" s="1">
        <v>44969</v>
      </c>
      <c r="C2774" t="s">
        <v>2997</v>
      </c>
      <c r="D2774" t="s">
        <v>105</v>
      </c>
      <c r="E2774" t="s">
        <v>44</v>
      </c>
      <c r="F2774" t="s">
        <v>56</v>
      </c>
      <c r="G2774" t="s">
        <v>422</v>
      </c>
      <c r="H2774">
        <v>1</v>
      </c>
      <c r="I2774" s="3">
        <v>58.05</v>
      </c>
      <c r="J2774" t="s">
        <v>16</v>
      </c>
      <c r="K2774" t="s">
        <v>17</v>
      </c>
      <c r="L2774" s="4">
        <f>Table4[[#This Row],[quantity]]*Table4[[#This Row],[unit_price]]</f>
        <v>58.05</v>
      </c>
      <c r="M2774">
        <f>COUNTIFS($C$2:$C$3934,Table4[[#This Row],[customer_id]])</f>
        <v>2</v>
      </c>
      <c r="N2774" t="str">
        <f>IF(Table4[[#This Row],[customer_order_count]]=1,"New Customer","Repeat Customer")</f>
        <v>Repeat Customer</v>
      </c>
    </row>
    <row r="2775" spans="1:14">
      <c r="A2775" t="s">
        <v>5011</v>
      </c>
      <c r="B2775" s="1">
        <v>45089</v>
      </c>
      <c r="C2775" t="s">
        <v>1774</v>
      </c>
      <c r="D2775" t="s">
        <v>1775</v>
      </c>
      <c r="E2775" t="s">
        <v>44</v>
      </c>
      <c r="F2775" t="s">
        <v>22</v>
      </c>
      <c r="G2775" t="s">
        <v>162</v>
      </c>
      <c r="H2775">
        <v>2</v>
      </c>
      <c r="I2775" s="3">
        <v>58.06</v>
      </c>
      <c r="J2775" t="s">
        <v>24</v>
      </c>
      <c r="K2775" t="s">
        <v>35</v>
      </c>
      <c r="L2775" s="4">
        <f>Table4[[#This Row],[quantity]]*Table4[[#This Row],[unit_price]]</f>
        <v>116.12</v>
      </c>
      <c r="M2775">
        <f>COUNTIFS($C$2:$C$3934,Table4[[#This Row],[customer_id]])</f>
        <v>3</v>
      </c>
      <c r="N2775" t="str">
        <f>IF(Table4[[#This Row],[customer_order_count]]=1,"New Customer","Repeat Customer")</f>
        <v>Repeat Customer</v>
      </c>
    </row>
    <row r="2776" spans="1:14">
      <c r="A2776" t="s">
        <v>5073</v>
      </c>
      <c r="B2776" s="1">
        <v>45559</v>
      </c>
      <c r="C2776" t="s">
        <v>5074</v>
      </c>
      <c r="D2776" t="s">
        <v>2127</v>
      </c>
      <c r="E2776" t="s">
        <v>61</v>
      </c>
      <c r="F2776" t="s">
        <v>22</v>
      </c>
      <c r="G2776" t="s">
        <v>142</v>
      </c>
      <c r="H2776">
        <v>3</v>
      </c>
      <c r="I2776" s="3">
        <v>58.06</v>
      </c>
      <c r="J2776" t="s">
        <v>16</v>
      </c>
      <c r="K2776" t="s">
        <v>35</v>
      </c>
      <c r="L2776" s="4">
        <f>Table4[[#This Row],[quantity]]*Table4[[#This Row],[unit_price]]</f>
        <v>174.18</v>
      </c>
      <c r="M2776">
        <f>COUNTIFS($C$2:$C$3934,Table4[[#This Row],[customer_id]])</f>
        <v>1</v>
      </c>
      <c r="N2776" t="str">
        <f>IF(Table4[[#This Row],[customer_order_count]]=1,"New Customer","Repeat Customer")</f>
        <v>New Customer</v>
      </c>
    </row>
    <row r="2777" spans="1:14">
      <c r="A2777" t="s">
        <v>314</v>
      </c>
      <c r="B2777" s="1">
        <v>45188</v>
      </c>
      <c r="C2777" t="s">
        <v>315</v>
      </c>
      <c r="D2777" s="2" t="s">
        <v>5257</v>
      </c>
      <c r="E2777" t="s">
        <v>21</v>
      </c>
      <c r="F2777" t="s">
        <v>70</v>
      </c>
      <c r="G2777" t="s">
        <v>71</v>
      </c>
      <c r="H2777">
        <v>1</v>
      </c>
      <c r="I2777" s="3">
        <v>58.08</v>
      </c>
      <c r="J2777" t="s">
        <v>16</v>
      </c>
      <c r="K2777" t="s">
        <v>17</v>
      </c>
      <c r="L2777" s="4">
        <f>Table4[[#This Row],[quantity]]*Table4[[#This Row],[unit_price]]</f>
        <v>58.08</v>
      </c>
      <c r="M2777">
        <f>COUNTIFS($C$2:$C$3934,Table4[[#This Row],[customer_id]])</f>
        <v>2</v>
      </c>
      <c r="N2777" t="str">
        <f>IF(Table4[[#This Row],[customer_order_count]]=1,"New Customer","Repeat Customer")</f>
        <v>Repeat Customer</v>
      </c>
    </row>
    <row r="2778" spans="1:14">
      <c r="A2778" t="s">
        <v>3320</v>
      </c>
      <c r="B2778" s="1">
        <v>45511</v>
      </c>
      <c r="C2778" t="s">
        <v>589</v>
      </c>
      <c r="D2778" s="5" t="s">
        <v>406</v>
      </c>
      <c r="E2778" t="s">
        <v>21</v>
      </c>
      <c r="F2778" t="s">
        <v>14</v>
      </c>
      <c r="G2778" t="s">
        <v>15</v>
      </c>
      <c r="H2778">
        <v>1</v>
      </c>
      <c r="I2778" s="3">
        <v>58.1</v>
      </c>
      <c r="J2778" t="s">
        <v>85</v>
      </c>
      <c r="K2778" t="s">
        <v>30</v>
      </c>
      <c r="L2778" s="4">
        <f>Table4[[#This Row],[quantity]]*Table4[[#This Row],[unit_price]]</f>
        <v>58.1</v>
      </c>
      <c r="M2778">
        <f>COUNTIFS($C$2:$C$3934,Table4[[#This Row],[customer_id]])</f>
        <v>9</v>
      </c>
      <c r="N2778" t="str">
        <f>IF(Table4[[#This Row],[customer_order_count]]=1,"New Customer","Repeat Customer")</f>
        <v>Repeat Customer</v>
      </c>
    </row>
    <row r="2779" spans="1:14">
      <c r="A2779" t="s">
        <v>3507</v>
      </c>
      <c r="B2779" s="1">
        <v>45197</v>
      </c>
      <c r="C2779" t="s">
        <v>1673</v>
      </c>
      <c r="D2779" t="s">
        <v>1674</v>
      </c>
      <c r="E2779" t="s">
        <v>21</v>
      </c>
      <c r="F2779" t="s">
        <v>70</v>
      </c>
      <c r="G2779" t="s">
        <v>146</v>
      </c>
      <c r="H2779">
        <v>1</v>
      </c>
      <c r="I2779" s="3">
        <v>58.11</v>
      </c>
      <c r="J2779" t="s">
        <v>16</v>
      </c>
      <c r="K2779" t="s">
        <v>40</v>
      </c>
      <c r="L2779" s="4">
        <f>Table4[[#This Row],[quantity]]*Table4[[#This Row],[unit_price]]</f>
        <v>58.11</v>
      </c>
      <c r="M2779">
        <f>COUNTIFS($C$2:$C$3934,Table4[[#This Row],[customer_id]])</f>
        <v>2</v>
      </c>
      <c r="N2779" t="str">
        <f>IF(Table4[[#This Row],[customer_order_count]]=1,"New Customer","Repeat Customer")</f>
        <v>Repeat Customer</v>
      </c>
    </row>
    <row r="2780" spans="1:14">
      <c r="A2780" t="s">
        <v>2150</v>
      </c>
      <c r="B2780" s="1">
        <v>45508</v>
      </c>
      <c r="C2780" t="s">
        <v>2151</v>
      </c>
      <c r="D2780" t="s">
        <v>2152</v>
      </c>
      <c r="E2780" t="s">
        <v>61</v>
      </c>
      <c r="F2780" t="s">
        <v>79</v>
      </c>
      <c r="G2780" t="s">
        <v>230</v>
      </c>
      <c r="H2780">
        <v>2</v>
      </c>
      <c r="I2780" s="3">
        <v>58.12</v>
      </c>
      <c r="J2780" t="s">
        <v>16</v>
      </c>
      <c r="K2780" t="s">
        <v>40</v>
      </c>
      <c r="L2780" s="4">
        <f>Table4[[#This Row],[quantity]]*Table4[[#This Row],[unit_price]]</f>
        <v>116.24</v>
      </c>
      <c r="M2780">
        <f>COUNTIFS($C$2:$C$3934,Table4[[#This Row],[customer_id]])</f>
        <v>1</v>
      </c>
      <c r="N2780" t="str">
        <f>IF(Table4[[#This Row],[customer_order_count]]=1,"New Customer","Repeat Customer")</f>
        <v>New Customer</v>
      </c>
    </row>
    <row r="2781" spans="1:14">
      <c r="A2781" t="s">
        <v>132</v>
      </c>
      <c r="B2781" s="1">
        <v>45024</v>
      </c>
      <c r="C2781" t="s">
        <v>133</v>
      </c>
      <c r="D2781" t="s">
        <v>134</v>
      </c>
      <c r="E2781" t="s">
        <v>21</v>
      </c>
      <c r="F2781" t="s">
        <v>22</v>
      </c>
      <c r="G2781" t="s">
        <v>135</v>
      </c>
      <c r="H2781">
        <v>1</v>
      </c>
      <c r="I2781" s="3">
        <v>58.15</v>
      </c>
      <c r="J2781" t="s">
        <v>16</v>
      </c>
      <c r="K2781" t="s">
        <v>40</v>
      </c>
      <c r="L2781" s="4">
        <f>Table4[[#This Row],[quantity]]*Table4[[#This Row],[unit_price]]</f>
        <v>58.15</v>
      </c>
      <c r="M2781">
        <f>COUNTIFS($C$2:$C$3934,Table4[[#This Row],[customer_id]])</f>
        <v>2</v>
      </c>
      <c r="N2781" t="str">
        <f>IF(Table4[[#This Row],[customer_order_count]]=1,"New Customer","Repeat Customer")</f>
        <v>Repeat Customer</v>
      </c>
    </row>
    <row r="2782" spans="1:14">
      <c r="A2782" t="s">
        <v>4102</v>
      </c>
      <c r="B2782" s="1">
        <v>45573</v>
      </c>
      <c r="C2782" t="s">
        <v>4103</v>
      </c>
      <c r="D2782" t="s">
        <v>4104</v>
      </c>
      <c r="E2782" t="s">
        <v>21</v>
      </c>
      <c r="F2782" t="s">
        <v>56</v>
      </c>
      <c r="G2782" t="s">
        <v>210</v>
      </c>
      <c r="H2782">
        <v>1</v>
      </c>
      <c r="I2782" s="3">
        <v>58.17</v>
      </c>
      <c r="J2782" t="s">
        <v>24</v>
      </c>
      <c r="K2782" t="s">
        <v>30</v>
      </c>
      <c r="L2782" s="4">
        <f>Table4[[#This Row],[quantity]]*Table4[[#This Row],[unit_price]]</f>
        <v>58.17</v>
      </c>
      <c r="M2782">
        <f>COUNTIFS($C$2:$C$3934,Table4[[#This Row],[customer_id]])</f>
        <v>2</v>
      </c>
      <c r="N2782" t="str">
        <f>IF(Table4[[#This Row],[customer_order_count]]=1,"New Customer","Repeat Customer")</f>
        <v>Repeat Customer</v>
      </c>
    </row>
    <row r="2783" spans="1:14">
      <c r="A2783" t="s">
        <v>5045</v>
      </c>
      <c r="B2783" s="1">
        <v>45384</v>
      </c>
      <c r="C2783" t="s">
        <v>2211</v>
      </c>
      <c r="D2783" t="s">
        <v>1412</v>
      </c>
      <c r="E2783" t="s">
        <v>21</v>
      </c>
      <c r="F2783" t="s">
        <v>70</v>
      </c>
      <c r="G2783" t="s">
        <v>337</v>
      </c>
      <c r="H2783">
        <v>2</v>
      </c>
      <c r="I2783" s="3">
        <v>58.19</v>
      </c>
      <c r="J2783" t="s">
        <v>16</v>
      </c>
      <c r="K2783" t="s">
        <v>40</v>
      </c>
      <c r="L2783" s="4">
        <f>Table4[[#This Row],[quantity]]*Table4[[#This Row],[unit_price]]</f>
        <v>116.38</v>
      </c>
      <c r="M2783">
        <f>COUNTIFS($C$2:$C$3934,Table4[[#This Row],[customer_id]])</f>
        <v>6</v>
      </c>
      <c r="N2783" t="str">
        <f>IF(Table4[[#This Row],[customer_order_count]]=1,"New Customer","Repeat Customer")</f>
        <v>Repeat Customer</v>
      </c>
    </row>
    <row r="2784" spans="1:14">
      <c r="A2784" t="s">
        <v>5020</v>
      </c>
      <c r="B2784" s="1">
        <v>44977</v>
      </c>
      <c r="C2784" t="s">
        <v>2002</v>
      </c>
      <c r="D2784" t="s">
        <v>612</v>
      </c>
      <c r="E2784" t="s">
        <v>21</v>
      </c>
      <c r="F2784" t="s">
        <v>70</v>
      </c>
      <c r="G2784" t="s">
        <v>526</v>
      </c>
      <c r="H2784">
        <v>1</v>
      </c>
      <c r="I2784" s="3">
        <v>58.22</v>
      </c>
      <c r="J2784" t="s">
        <v>85</v>
      </c>
      <c r="K2784" t="s">
        <v>35</v>
      </c>
      <c r="L2784" s="4">
        <f>Table4[[#This Row],[quantity]]*Table4[[#This Row],[unit_price]]</f>
        <v>58.22</v>
      </c>
      <c r="M2784">
        <f>COUNTIFS($C$2:$C$3934,Table4[[#This Row],[customer_id]])</f>
        <v>5</v>
      </c>
      <c r="N2784" t="str">
        <f>IF(Table4[[#This Row],[customer_order_count]]=1,"New Customer","Repeat Customer")</f>
        <v>Repeat Customer</v>
      </c>
    </row>
    <row r="2785" spans="1:14">
      <c r="A2785" t="s">
        <v>3074</v>
      </c>
      <c r="B2785" s="1">
        <v>45347</v>
      </c>
      <c r="C2785" t="s">
        <v>2527</v>
      </c>
      <c r="D2785" t="s">
        <v>787</v>
      </c>
      <c r="E2785" t="s">
        <v>21</v>
      </c>
      <c r="F2785" t="s">
        <v>56</v>
      </c>
      <c r="G2785" t="s">
        <v>118</v>
      </c>
      <c r="H2785">
        <v>1</v>
      </c>
      <c r="I2785" s="3">
        <v>58.24</v>
      </c>
      <c r="J2785" t="s">
        <v>16</v>
      </c>
      <c r="K2785" t="s">
        <v>40</v>
      </c>
      <c r="L2785" s="4">
        <f>Table4[[#This Row],[quantity]]*Table4[[#This Row],[unit_price]]</f>
        <v>58.24</v>
      </c>
      <c r="M2785">
        <f>COUNTIFS($C$2:$C$3934,Table4[[#This Row],[customer_id]])</f>
        <v>4</v>
      </c>
      <c r="N2785" t="str">
        <f>IF(Table4[[#This Row],[customer_order_count]]=1,"New Customer","Repeat Customer")</f>
        <v>Repeat Customer</v>
      </c>
    </row>
    <row r="2786" spans="1:14">
      <c r="A2786" t="s">
        <v>156</v>
      </c>
      <c r="B2786" s="1">
        <v>45192</v>
      </c>
      <c r="C2786" t="s">
        <v>157</v>
      </c>
      <c r="D2786" t="s">
        <v>158</v>
      </c>
      <c r="E2786" t="s">
        <v>44</v>
      </c>
      <c r="F2786" t="s">
        <v>22</v>
      </c>
      <c r="G2786" t="s">
        <v>135</v>
      </c>
      <c r="H2786">
        <v>1</v>
      </c>
      <c r="I2786" s="3">
        <v>58.26</v>
      </c>
      <c r="J2786" t="s">
        <v>16</v>
      </c>
      <c r="K2786" t="s">
        <v>35</v>
      </c>
      <c r="L2786" s="4">
        <f>Table4[[#This Row],[quantity]]*Table4[[#This Row],[unit_price]]</f>
        <v>58.26</v>
      </c>
      <c r="M2786">
        <f>COUNTIFS($C$2:$C$3934,Table4[[#This Row],[customer_id]])</f>
        <v>2</v>
      </c>
      <c r="N2786" t="str">
        <f>IF(Table4[[#This Row],[customer_order_count]]=1,"New Customer","Repeat Customer")</f>
        <v>Repeat Customer</v>
      </c>
    </row>
    <row r="2787" spans="1:14">
      <c r="A2787" t="s">
        <v>2162</v>
      </c>
      <c r="B2787" s="1">
        <v>45181</v>
      </c>
      <c r="C2787" t="s">
        <v>824</v>
      </c>
      <c r="D2787" t="s">
        <v>825</v>
      </c>
      <c r="E2787" t="s">
        <v>44</v>
      </c>
      <c r="F2787" t="s">
        <v>14</v>
      </c>
      <c r="G2787" t="s">
        <v>258</v>
      </c>
      <c r="H2787">
        <v>1</v>
      </c>
      <c r="I2787" s="3">
        <v>58.28</v>
      </c>
      <c r="J2787" t="s">
        <v>16</v>
      </c>
      <c r="K2787" t="s">
        <v>30</v>
      </c>
      <c r="L2787" s="4">
        <f>Table4[[#This Row],[quantity]]*Table4[[#This Row],[unit_price]]</f>
        <v>58.28</v>
      </c>
      <c r="M2787">
        <f>COUNTIFS($C$2:$C$3934,Table4[[#This Row],[customer_id]])</f>
        <v>7</v>
      </c>
      <c r="N2787" t="str">
        <f>IF(Table4[[#This Row],[customer_order_count]]=1,"New Customer","Repeat Customer")</f>
        <v>Repeat Customer</v>
      </c>
    </row>
    <row r="2788" spans="1:14">
      <c r="A2788" t="s">
        <v>3070</v>
      </c>
      <c r="B2788" s="1">
        <v>45650</v>
      </c>
      <c r="C2788" t="s">
        <v>54</v>
      </c>
      <c r="D2788" t="s">
        <v>55</v>
      </c>
      <c r="E2788" t="s">
        <v>21</v>
      </c>
      <c r="F2788" t="s">
        <v>70</v>
      </c>
      <c r="G2788" t="s">
        <v>110</v>
      </c>
      <c r="H2788">
        <v>1</v>
      </c>
      <c r="I2788" s="3">
        <v>58.29</v>
      </c>
      <c r="J2788" t="s">
        <v>16</v>
      </c>
      <c r="K2788" t="s">
        <v>35</v>
      </c>
      <c r="L2788" s="4">
        <f>Table4[[#This Row],[quantity]]*Table4[[#This Row],[unit_price]]</f>
        <v>58.29</v>
      </c>
      <c r="M2788">
        <f>COUNTIFS($C$2:$C$3934,Table4[[#This Row],[customer_id]])</f>
        <v>6</v>
      </c>
      <c r="N2788" t="str">
        <f>IF(Table4[[#This Row],[customer_order_count]]=1,"New Customer","Repeat Customer")</f>
        <v>Repeat Customer</v>
      </c>
    </row>
    <row r="2789" spans="1:14">
      <c r="A2789" t="s">
        <v>4683</v>
      </c>
      <c r="B2789" s="1">
        <v>45501</v>
      </c>
      <c r="C2789" t="s">
        <v>696</v>
      </c>
      <c r="D2789" t="s">
        <v>582</v>
      </c>
      <c r="E2789" t="s">
        <v>21</v>
      </c>
      <c r="F2789" t="s">
        <v>56</v>
      </c>
      <c r="G2789" t="s">
        <v>254</v>
      </c>
      <c r="H2789">
        <v>2</v>
      </c>
      <c r="I2789" s="3">
        <v>58.35</v>
      </c>
      <c r="J2789" t="s">
        <v>16</v>
      </c>
      <c r="K2789" t="s">
        <v>17</v>
      </c>
      <c r="L2789" s="4">
        <f>Table4[[#This Row],[quantity]]*Table4[[#This Row],[unit_price]]</f>
        <v>116.7</v>
      </c>
      <c r="M2789">
        <f>COUNTIFS($C$2:$C$3934,Table4[[#This Row],[customer_id]])</f>
        <v>12</v>
      </c>
      <c r="N2789" t="str">
        <f>IF(Table4[[#This Row],[customer_order_count]]=1,"New Customer","Repeat Customer")</f>
        <v>Repeat Customer</v>
      </c>
    </row>
    <row r="2790" spans="1:14">
      <c r="A2790" t="s">
        <v>4538</v>
      </c>
      <c r="B2790" s="1">
        <v>45110</v>
      </c>
      <c r="C2790" t="s">
        <v>1573</v>
      </c>
      <c r="D2790" t="s">
        <v>693</v>
      </c>
      <c r="E2790" t="s">
        <v>21</v>
      </c>
      <c r="F2790" t="s">
        <v>22</v>
      </c>
      <c r="G2790" t="s">
        <v>162</v>
      </c>
      <c r="H2790">
        <v>1</v>
      </c>
      <c r="I2790" s="3">
        <v>58.36</v>
      </c>
      <c r="J2790" t="s">
        <v>85</v>
      </c>
      <c r="K2790" t="s">
        <v>40</v>
      </c>
      <c r="L2790" s="4">
        <f>Table4[[#This Row],[quantity]]*Table4[[#This Row],[unit_price]]</f>
        <v>58.36</v>
      </c>
      <c r="M2790">
        <f>COUNTIFS($C$2:$C$3934,Table4[[#This Row],[customer_id]])</f>
        <v>7</v>
      </c>
      <c r="N2790" t="str">
        <f>IF(Table4[[#This Row],[customer_order_count]]=1,"New Customer","Repeat Customer")</f>
        <v>Repeat Customer</v>
      </c>
    </row>
    <row r="2791" spans="1:14">
      <c r="A2791" t="s">
        <v>2792</v>
      </c>
      <c r="B2791" s="1">
        <v>45021</v>
      </c>
      <c r="C2791" t="s">
        <v>47</v>
      </c>
      <c r="D2791" t="s">
        <v>48</v>
      </c>
      <c r="E2791" t="s">
        <v>21</v>
      </c>
      <c r="F2791" t="s">
        <v>70</v>
      </c>
      <c r="G2791" t="s">
        <v>170</v>
      </c>
      <c r="H2791">
        <v>1</v>
      </c>
      <c r="I2791" s="3">
        <v>58.39</v>
      </c>
      <c r="J2791" t="s">
        <v>16</v>
      </c>
      <c r="K2791" t="s">
        <v>40</v>
      </c>
      <c r="L2791" s="4">
        <f>Table4[[#This Row],[quantity]]*Table4[[#This Row],[unit_price]]</f>
        <v>58.39</v>
      </c>
      <c r="M2791">
        <f>COUNTIFS($C$2:$C$3934,Table4[[#This Row],[customer_id]])</f>
        <v>8</v>
      </c>
      <c r="N2791" t="str">
        <f>IF(Table4[[#This Row],[customer_order_count]]=1,"New Customer","Repeat Customer")</f>
        <v>Repeat Customer</v>
      </c>
    </row>
    <row r="2792" spans="1:14">
      <c r="A2792" t="s">
        <v>720</v>
      </c>
      <c r="B2792" s="1">
        <v>45187</v>
      </c>
      <c r="C2792" t="s">
        <v>721</v>
      </c>
      <c r="D2792" t="s">
        <v>722</v>
      </c>
      <c r="E2792" t="s">
        <v>21</v>
      </c>
      <c r="F2792" t="s">
        <v>14</v>
      </c>
      <c r="G2792" t="s">
        <v>258</v>
      </c>
      <c r="H2792">
        <v>4</v>
      </c>
      <c r="I2792" s="3">
        <v>58.43</v>
      </c>
      <c r="J2792" t="s">
        <v>16</v>
      </c>
      <c r="K2792" t="s">
        <v>17</v>
      </c>
      <c r="L2792" s="4">
        <f>Table4[[#This Row],[quantity]]*Table4[[#This Row],[unit_price]]</f>
        <v>233.72</v>
      </c>
      <c r="M2792">
        <f>COUNTIFS($C$2:$C$3934,Table4[[#This Row],[customer_id]])</f>
        <v>6</v>
      </c>
      <c r="N2792" t="str">
        <f>IF(Table4[[#This Row],[customer_order_count]]=1,"New Customer","Repeat Customer")</f>
        <v>Repeat Customer</v>
      </c>
    </row>
    <row r="2793" spans="1:14">
      <c r="A2793" t="s">
        <v>1214</v>
      </c>
      <c r="B2793" s="1">
        <v>45523</v>
      </c>
      <c r="C2793" t="s">
        <v>1215</v>
      </c>
      <c r="D2793" t="s">
        <v>761</v>
      </c>
      <c r="E2793" t="s">
        <v>44</v>
      </c>
      <c r="F2793" t="s">
        <v>14</v>
      </c>
      <c r="G2793" t="s">
        <v>39</v>
      </c>
      <c r="H2793">
        <v>1</v>
      </c>
      <c r="I2793" s="3">
        <v>58.48</v>
      </c>
      <c r="J2793" t="s">
        <v>16</v>
      </c>
      <c r="K2793" t="s">
        <v>40</v>
      </c>
      <c r="L2793" s="4">
        <f>Table4[[#This Row],[quantity]]*Table4[[#This Row],[unit_price]]</f>
        <v>58.48</v>
      </c>
      <c r="M2793">
        <f>COUNTIFS($C$2:$C$3934,Table4[[#This Row],[customer_id]])</f>
        <v>3</v>
      </c>
      <c r="N2793" t="str">
        <f>IF(Table4[[#This Row],[customer_order_count]]=1,"New Customer","Repeat Customer")</f>
        <v>Repeat Customer</v>
      </c>
    </row>
    <row r="2794" spans="1:14">
      <c r="A2794" t="s">
        <v>3077</v>
      </c>
      <c r="B2794" s="1">
        <v>45201</v>
      </c>
      <c r="C2794" t="s">
        <v>1411</v>
      </c>
      <c r="D2794" t="s">
        <v>1412</v>
      </c>
      <c r="E2794" t="s">
        <v>21</v>
      </c>
      <c r="F2794" t="s">
        <v>79</v>
      </c>
      <c r="G2794" t="s">
        <v>230</v>
      </c>
      <c r="H2794">
        <v>1</v>
      </c>
      <c r="I2794" s="3">
        <v>58.48</v>
      </c>
      <c r="J2794" t="s">
        <v>85</v>
      </c>
      <c r="K2794" t="s">
        <v>35</v>
      </c>
      <c r="L2794" s="4">
        <f>Table4[[#This Row],[quantity]]*Table4[[#This Row],[unit_price]]</f>
        <v>58.48</v>
      </c>
      <c r="M2794">
        <f>COUNTIFS($C$2:$C$3934,Table4[[#This Row],[customer_id]])</f>
        <v>4</v>
      </c>
      <c r="N2794" t="str">
        <f>IF(Table4[[#This Row],[customer_order_count]]=1,"New Customer","Repeat Customer")</f>
        <v>Repeat Customer</v>
      </c>
    </row>
    <row r="2795" spans="1:14">
      <c r="A2795" t="s">
        <v>2430</v>
      </c>
      <c r="B2795" s="1">
        <v>45127</v>
      </c>
      <c r="C2795" t="s">
        <v>2279</v>
      </c>
      <c r="D2795" t="s">
        <v>237</v>
      </c>
      <c r="E2795" t="s">
        <v>21</v>
      </c>
      <c r="F2795" t="s">
        <v>79</v>
      </c>
      <c r="G2795" t="s">
        <v>541</v>
      </c>
      <c r="H2795">
        <v>3</v>
      </c>
      <c r="I2795" s="3">
        <v>58.55</v>
      </c>
      <c r="J2795" t="s">
        <v>16</v>
      </c>
      <c r="K2795" t="s">
        <v>30</v>
      </c>
      <c r="L2795" s="4">
        <f>Table4[[#This Row],[quantity]]*Table4[[#This Row],[unit_price]]</f>
        <v>175.64999999999998</v>
      </c>
      <c r="M2795">
        <f>COUNTIFS($C$2:$C$3934,Table4[[#This Row],[customer_id]])</f>
        <v>5</v>
      </c>
      <c r="N2795" t="str">
        <f>IF(Table4[[#This Row],[customer_order_count]]=1,"New Customer","Repeat Customer")</f>
        <v>Repeat Customer</v>
      </c>
    </row>
    <row r="2796" spans="1:14">
      <c r="A2796" t="s">
        <v>2296</v>
      </c>
      <c r="B2796" s="1">
        <v>45085</v>
      </c>
      <c r="C2796" t="s">
        <v>2297</v>
      </c>
      <c r="D2796" t="s">
        <v>560</v>
      </c>
      <c r="E2796" t="s">
        <v>21</v>
      </c>
      <c r="F2796" t="s">
        <v>79</v>
      </c>
      <c r="G2796" t="s">
        <v>230</v>
      </c>
      <c r="H2796">
        <v>2</v>
      </c>
      <c r="I2796" s="3">
        <v>58.59</v>
      </c>
      <c r="J2796" t="s">
        <v>16</v>
      </c>
      <c r="K2796" t="s">
        <v>40</v>
      </c>
      <c r="L2796" s="4">
        <f>Table4[[#This Row],[quantity]]*Table4[[#This Row],[unit_price]]</f>
        <v>117.18</v>
      </c>
      <c r="M2796">
        <f>COUNTIFS($C$2:$C$3934,Table4[[#This Row],[customer_id]])</f>
        <v>5</v>
      </c>
      <c r="N2796" t="str">
        <f>IF(Table4[[#This Row],[customer_order_count]]=1,"New Customer","Repeat Customer")</f>
        <v>Repeat Customer</v>
      </c>
    </row>
    <row r="2797" spans="1:14">
      <c r="A2797" t="s">
        <v>4616</v>
      </c>
      <c r="B2797" s="1">
        <v>44996</v>
      </c>
      <c r="C2797" t="s">
        <v>859</v>
      </c>
      <c r="D2797" t="s">
        <v>444</v>
      </c>
      <c r="E2797" t="s">
        <v>21</v>
      </c>
      <c r="F2797" t="s">
        <v>22</v>
      </c>
      <c r="G2797" t="s">
        <v>142</v>
      </c>
      <c r="H2797">
        <v>3</v>
      </c>
      <c r="I2797" s="3">
        <v>58.59</v>
      </c>
      <c r="J2797" t="s">
        <v>16</v>
      </c>
      <c r="K2797" t="s">
        <v>35</v>
      </c>
      <c r="L2797" s="4">
        <f>Table4[[#This Row],[quantity]]*Table4[[#This Row],[unit_price]]</f>
        <v>175.77</v>
      </c>
      <c r="M2797">
        <f>COUNTIFS($C$2:$C$3934,Table4[[#This Row],[customer_id]])</f>
        <v>4</v>
      </c>
      <c r="N2797" t="str">
        <f>IF(Table4[[#This Row],[customer_order_count]]=1,"New Customer","Repeat Customer")</f>
        <v>Repeat Customer</v>
      </c>
    </row>
    <row r="2798" spans="1:14">
      <c r="A2798" t="s">
        <v>2567</v>
      </c>
      <c r="B2798" s="1">
        <v>45318</v>
      </c>
      <c r="C2798" t="s">
        <v>102</v>
      </c>
      <c r="D2798" t="s">
        <v>484</v>
      </c>
      <c r="E2798" t="s">
        <v>21</v>
      </c>
      <c r="F2798" t="s">
        <v>14</v>
      </c>
      <c r="G2798" t="s">
        <v>100</v>
      </c>
      <c r="H2798">
        <v>2</v>
      </c>
      <c r="I2798" s="3">
        <v>58.63</v>
      </c>
      <c r="J2798" t="s">
        <v>85</v>
      </c>
      <c r="K2798" t="s">
        <v>17</v>
      </c>
      <c r="L2798" s="4">
        <f>Table4[[#This Row],[quantity]]*Table4[[#This Row],[unit_price]]</f>
        <v>117.26</v>
      </c>
      <c r="M2798">
        <f>COUNTIFS($C$2:$C$3934,Table4[[#This Row],[customer_id]])</f>
        <v>6</v>
      </c>
      <c r="N2798" t="str">
        <f>IF(Table4[[#This Row],[customer_order_count]]=1,"New Customer","Repeat Customer")</f>
        <v>Repeat Customer</v>
      </c>
    </row>
    <row r="2799" spans="1:14">
      <c r="A2799" t="s">
        <v>2813</v>
      </c>
      <c r="B2799" s="1">
        <v>45381</v>
      </c>
      <c r="C2799" t="s">
        <v>747</v>
      </c>
      <c r="D2799" t="s">
        <v>52</v>
      </c>
      <c r="E2799" t="s">
        <v>61</v>
      </c>
      <c r="F2799" t="s">
        <v>22</v>
      </c>
      <c r="G2799" t="s">
        <v>135</v>
      </c>
      <c r="H2799">
        <v>1</v>
      </c>
      <c r="I2799" s="3">
        <v>58.69</v>
      </c>
      <c r="J2799" t="s">
        <v>16</v>
      </c>
      <c r="K2799" t="s">
        <v>40</v>
      </c>
      <c r="L2799" s="4">
        <f>Table4[[#This Row],[quantity]]*Table4[[#This Row],[unit_price]]</f>
        <v>58.69</v>
      </c>
      <c r="M2799">
        <f>COUNTIFS($C$2:$C$3934,Table4[[#This Row],[customer_id]])</f>
        <v>4</v>
      </c>
      <c r="N2799" t="str">
        <f>IF(Table4[[#This Row],[customer_order_count]]=1,"New Customer","Repeat Customer")</f>
        <v>Repeat Customer</v>
      </c>
    </row>
    <row r="2800" spans="1:14">
      <c r="A2800" t="s">
        <v>3636</v>
      </c>
      <c r="B2800" s="1">
        <v>45168</v>
      </c>
      <c r="C2800" t="s">
        <v>3380</v>
      </c>
      <c r="D2800" t="s">
        <v>178</v>
      </c>
      <c r="E2800" t="s">
        <v>44</v>
      </c>
      <c r="F2800" t="s">
        <v>70</v>
      </c>
      <c r="G2800" t="s">
        <v>146</v>
      </c>
      <c r="H2800">
        <v>3</v>
      </c>
      <c r="I2800" s="3">
        <v>58.79</v>
      </c>
      <c r="J2800" t="s">
        <v>16</v>
      </c>
      <c r="K2800" t="s">
        <v>35</v>
      </c>
      <c r="L2800" s="4">
        <f>Table4[[#This Row],[quantity]]*Table4[[#This Row],[unit_price]]</f>
        <v>176.37</v>
      </c>
      <c r="M2800">
        <f>COUNTIFS($C$2:$C$3934,Table4[[#This Row],[customer_id]])</f>
        <v>3</v>
      </c>
      <c r="N2800" t="str">
        <f>IF(Table4[[#This Row],[customer_order_count]]=1,"New Customer","Repeat Customer")</f>
        <v>Repeat Customer</v>
      </c>
    </row>
    <row r="2801" spans="1:14">
      <c r="A2801" t="s">
        <v>875</v>
      </c>
      <c r="B2801" s="1">
        <v>45618</v>
      </c>
      <c r="C2801" t="s">
        <v>876</v>
      </c>
      <c r="D2801" t="s">
        <v>877</v>
      </c>
      <c r="E2801" t="s">
        <v>21</v>
      </c>
      <c r="F2801" t="s">
        <v>56</v>
      </c>
      <c r="G2801" t="s">
        <v>254</v>
      </c>
      <c r="H2801">
        <v>2</v>
      </c>
      <c r="I2801" s="3">
        <v>58.8</v>
      </c>
      <c r="J2801" t="s">
        <v>16</v>
      </c>
      <c r="K2801" t="s">
        <v>40</v>
      </c>
      <c r="L2801" s="4">
        <f>Table4[[#This Row],[quantity]]*Table4[[#This Row],[unit_price]]</f>
        <v>117.6</v>
      </c>
      <c r="M2801">
        <f>COUNTIFS($C$2:$C$3934,Table4[[#This Row],[customer_id]])</f>
        <v>5</v>
      </c>
      <c r="N2801" t="str">
        <f>IF(Table4[[#This Row],[customer_order_count]]=1,"New Customer","Repeat Customer")</f>
        <v>Repeat Customer</v>
      </c>
    </row>
    <row r="2802" spans="1:14">
      <c r="A2802" t="s">
        <v>1652</v>
      </c>
      <c r="B2802" s="1">
        <v>45194</v>
      </c>
      <c r="C2802" t="s">
        <v>42</v>
      </c>
      <c r="D2802" t="s">
        <v>43</v>
      </c>
      <c r="E2802" t="s">
        <v>21</v>
      </c>
      <c r="F2802" t="s">
        <v>79</v>
      </c>
      <c r="G2802" t="s">
        <v>200</v>
      </c>
      <c r="H2802">
        <v>3</v>
      </c>
      <c r="I2802" s="3">
        <v>58.8</v>
      </c>
      <c r="J2802" t="s">
        <v>16</v>
      </c>
      <c r="K2802" t="s">
        <v>35</v>
      </c>
      <c r="L2802" s="4">
        <f>Table4[[#This Row],[quantity]]*Table4[[#This Row],[unit_price]]</f>
        <v>176.39999999999998</v>
      </c>
      <c r="M2802">
        <f>COUNTIFS($C$2:$C$3934,Table4[[#This Row],[customer_id]])</f>
        <v>8</v>
      </c>
      <c r="N2802" t="str">
        <f>IF(Table4[[#This Row],[customer_order_count]]=1,"New Customer","Repeat Customer")</f>
        <v>Repeat Customer</v>
      </c>
    </row>
    <row r="2803" spans="1:14">
      <c r="A2803" t="s">
        <v>239</v>
      </c>
      <c r="B2803" s="1">
        <v>45576</v>
      </c>
      <c r="C2803" t="s">
        <v>240</v>
      </c>
      <c r="D2803" t="s">
        <v>241</v>
      </c>
      <c r="E2803" t="s">
        <v>21</v>
      </c>
      <c r="F2803" t="s">
        <v>14</v>
      </c>
      <c r="G2803" t="s">
        <v>100</v>
      </c>
      <c r="H2803">
        <v>1</v>
      </c>
      <c r="I2803" s="3">
        <v>58.85</v>
      </c>
      <c r="J2803" t="s">
        <v>16</v>
      </c>
      <c r="K2803" t="s">
        <v>30</v>
      </c>
      <c r="L2803" s="4">
        <f>Table4[[#This Row],[quantity]]*Table4[[#This Row],[unit_price]]</f>
        <v>58.85</v>
      </c>
      <c r="M2803">
        <f>COUNTIFS($C$2:$C$3934,Table4[[#This Row],[customer_id]])</f>
        <v>5</v>
      </c>
      <c r="N2803" t="str">
        <f>IF(Table4[[#This Row],[customer_order_count]]=1,"New Customer","Repeat Customer")</f>
        <v>Repeat Customer</v>
      </c>
    </row>
    <row r="2804" spans="1:14">
      <c r="A2804" t="s">
        <v>3913</v>
      </c>
      <c r="B2804" s="1">
        <v>45443</v>
      </c>
      <c r="C2804" t="s">
        <v>1322</v>
      </c>
      <c r="D2804" t="s">
        <v>1323</v>
      </c>
      <c r="E2804" t="s">
        <v>21</v>
      </c>
      <c r="F2804" t="s">
        <v>70</v>
      </c>
      <c r="G2804" t="s">
        <v>170</v>
      </c>
      <c r="H2804">
        <v>1</v>
      </c>
      <c r="I2804" s="3">
        <v>58.86</v>
      </c>
      <c r="J2804" t="s">
        <v>16</v>
      </c>
      <c r="K2804" t="s">
        <v>30</v>
      </c>
      <c r="L2804" s="4">
        <f>Table4[[#This Row],[quantity]]*Table4[[#This Row],[unit_price]]</f>
        <v>58.86</v>
      </c>
      <c r="M2804">
        <f>COUNTIFS($C$2:$C$3934,Table4[[#This Row],[customer_id]])</f>
        <v>2</v>
      </c>
      <c r="N2804" t="str">
        <f>IF(Table4[[#This Row],[customer_order_count]]=1,"New Customer","Repeat Customer")</f>
        <v>Repeat Customer</v>
      </c>
    </row>
    <row r="2805" spans="1:14">
      <c r="A2805" t="s">
        <v>4971</v>
      </c>
      <c r="B2805" s="1">
        <v>45172</v>
      </c>
      <c r="C2805" t="s">
        <v>434</v>
      </c>
      <c r="D2805" t="s">
        <v>435</v>
      </c>
      <c r="E2805" t="s">
        <v>21</v>
      </c>
      <c r="F2805" t="s">
        <v>22</v>
      </c>
      <c r="G2805" t="s">
        <v>142</v>
      </c>
      <c r="H2805">
        <v>2</v>
      </c>
      <c r="I2805" s="3">
        <v>58.89</v>
      </c>
      <c r="J2805" t="s">
        <v>16</v>
      </c>
      <c r="K2805" t="s">
        <v>30</v>
      </c>
      <c r="L2805" s="4">
        <f>Table4[[#This Row],[quantity]]*Table4[[#This Row],[unit_price]]</f>
        <v>117.78</v>
      </c>
      <c r="M2805">
        <f>COUNTIFS($C$2:$C$3934,Table4[[#This Row],[customer_id]])</f>
        <v>5</v>
      </c>
      <c r="N2805" t="str">
        <f>IF(Table4[[#This Row],[customer_order_count]]=1,"New Customer","Repeat Customer")</f>
        <v>Repeat Customer</v>
      </c>
    </row>
    <row r="2806" spans="1:14">
      <c r="A2806" t="s">
        <v>1611</v>
      </c>
      <c r="B2806" s="1">
        <v>45129</v>
      </c>
      <c r="C2806" t="s">
        <v>1110</v>
      </c>
      <c r="D2806" t="s">
        <v>602</v>
      </c>
      <c r="E2806" t="s">
        <v>21</v>
      </c>
      <c r="F2806" t="s">
        <v>22</v>
      </c>
      <c r="G2806" t="s">
        <v>23</v>
      </c>
      <c r="H2806">
        <v>2</v>
      </c>
      <c r="I2806" s="3">
        <v>58.89</v>
      </c>
      <c r="J2806" t="s">
        <v>16</v>
      </c>
      <c r="K2806" t="s">
        <v>17</v>
      </c>
      <c r="L2806" s="4">
        <f>Table4[[#This Row],[quantity]]*Table4[[#This Row],[unit_price]]</f>
        <v>117.78</v>
      </c>
      <c r="M2806">
        <f>COUNTIFS($C$2:$C$3934,Table4[[#This Row],[customer_id]])</f>
        <v>5</v>
      </c>
      <c r="N2806" t="str">
        <f>IF(Table4[[#This Row],[customer_order_count]]=1,"New Customer","Repeat Customer")</f>
        <v>Repeat Customer</v>
      </c>
    </row>
    <row r="2807" spans="1:14">
      <c r="A2807" t="s">
        <v>4796</v>
      </c>
      <c r="B2807" s="1">
        <v>45449</v>
      </c>
      <c r="C2807" t="s">
        <v>905</v>
      </c>
      <c r="D2807" t="s">
        <v>372</v>
      </c>
      <c r="E2807" t="s">
        <v>21</v>
      </c>
      <c r="F2807" t="s">
        <v>79</v>
      </c>
      <c r="G2807" t="s">
        <v>166</v>
      </c>
      <c r="H2807">
        <v>1</v>
      </c>
      <c r="I2807" s="3">
        <v>58.91</v>
      </c>
      <c r="J2807" t="s">
        <v>16</v>
      </c>
      <c r="K2807" t="s">
        <v>17</v>
      </c>
      <c r="L2807" s="4">
        <f>Table4[[#This Row],[quantity]]*Table4[[#This Row],[unit_price]]</f>
        <v>58.91</v>
      </c>
      <c r="M2807">
        <f>COUNTIFS($C$2:$C$3934,Table4[[#This Row],[customer_id]])</f>
        <v>4</v>
      </c>
      <c r="N2807" t="str">
        <f>IF(Table4[[#This Row],[customer_order_count]]=1,"New Customer","Repeat Customer")</f>
        <v>Repeat Customer</v>
      </c>
    </row>
    <row r="2808" spans="1:14">
      <c r="A2808" t="s">
        <v>3790</v>
      </c>
      <c r="B2808" s="1">
        <v>45027</v>
      </c>
      <c r="C2808" t="s">
        <v>2342</v>
      </c>
      <c r="D2808" t="s">
        <v>2343</v>
      </c>
      <c r="E2808" t="s">
        <v>21</v>
      </c>
      <c r="F2808" t="s">
        <v>22</v>
      </c>
      <c r="G2808" t="s">
        <v>264</v>
      </c>
      <c r="H2808">
        <v>4</v>
      </c>
      <c r="I2808" s="3">
        <v>58.93</v>
      </c>
      <c r="J2808" t="s">
        <v>16</v>
      </c>
      <c r="K2808" t="s">
        <v>40</v>
      </c>
      <c r="L2808" s="4">
        <f>Table4[[#This Row],[quantity]]*Table4[[#This Row],[unit_price]]</f>
        <v>235.72</v>
      </c>
      <c r="M2808">
        <f>COUNTIFS($C$2:$C$3934,Table4[[#This Row],[customer_id]])</f>
        <v>7</v>
      </c>
      <c r="N2808" t="str">
        <f>IF(Table4[[#This Row],[customer_order_count]]=1,"New Customer","Repeat Customer")</f>
        <v>Repeat Customer</v>
      </c>
    </row>
    <row r="2809" spans="1:14">
      <c r="A2809" t="s">
        <v>3831</v>
      </c>
      <c r="B2809" s="1">
        <v>45608</v>
      </c>
      <c r="C2809" t="s">
        <v>1118</v>
      </c>
      <c r="D2809" t="s">
        <v>881</v>
      </c>
      <c r="E2809" t="s">
        <v>44</v>
      </c>
      <c r="F2809" t="s">
        <v>70</v>
      </c>
      <c r="G2809" t="s">
        <v>89</v>
      </c>
      <c r="H2809">
        <v>5</v>
      </c>
      <c r="I2809" s="3">
        <v>58.93</v>
      </c>
      <c r="J2809" t="s">
        <v>16</v>
      </c>
      <c r="K2809" t="s">
        <v>35</v>
      </c>
      <c r="L2809" s="4">
        <f>Table4[[#This Row],[quantity]]*Table4[[#This Row],[unit_price]]</f>
        <v>294.64999999999998</v>
      </c>
      <c r="M2809">
        <f>COUNTIFS($C$2:$C$3934,Table4[[#This Row],[customer_id]])</f>
        <v>6</v>
      </c>
      <c r="N2809" t="str">
        <f>IF(Table4[[#This Row],[customer_order_count]]=1,"New Customer","Repeat Customer")</f>
        <v>Repeat Customer</v>
      </c>
    </row>
    <row r="2810" spans="1:14">
      <c r="A2810" t="s">
        <v>3964</v>
      </c>
      <c r="B2810" s="1">
        <v>45005</v>
      </c>
      <c r="C2810" t="s">
        <v>933</v>
      </c>
      <c r="D2810" t="s">
        <v>934</v>
      </c>
      <c r="E2810" t="s">
        <v>44</v>
      </c>
      <c r="F2810" t="s">
        <v>14</v>
      </c>
      <c r="G2810" t="s">
        <v>62</v>
      </c>
      <c r="H2810">
        <v>1</v>
      </c>
      <c r="I2810" s="3">
        <v>58.96</v>
      </c>
      <c r="J2810" t="s">
        <v>16</v>
      </c>
      <c r="K2810" t="s">
        <v>40</v>
      </c>
      <c r="L2810" s="4">
        <f>Table4[[#This Row],[quantity]]*Table4[[#This Row],[unit_price]]</f>
        <v>58.96</v>
      </c>
      <c r="M2810">
        <f>COUNTIFS($C$2:$C$3934,Table4[[#This Row],[customer_id]])</f>
        <v>7</v>
      </c>
      <c r="N2810" t="str">
        <f>IF(Table4[[#This Row],[customer_order_count]]=1,"New Customer","Repeat Customer")</f>
        <v>Repeat Customer</v>
      </c>
    </row>
    <row r="2811" spans="1:14">
      <c r="A2811" t="s">
        <v>789</v>
      </c>
      <c r="B2811" s="1">
        <v>45331</v>
      </c>
      <c r="C2811" t="s">
        <v>219</v>
      </c>
      <c r="D2811" t="s">
        <v>220</v>
      </c>
      <c r="E2811" t="s">
        <v>21</v>
      </c>
      <c r="F2811" t="s">
        <v>22</v>
      </c>
      <c r="G2811" t="s">
        <v>162</v>
      </c>
      <c r="H2811">
        <v>1</v>
      </c>
      <c r="I2811" s="3">
        <v>59.11</v>
      </c>
      <c r="J2811" t="s">
        <v>16</v>
      </c>
      <c r="K2811" t="s">
        <v>30</v>
      </c>
      <c r="L2811" s="4">
        <f>Table4[[#This Row],[quantity]]*Table4[[#This Row],[unit_price]]</f>
        <v>59.11</v>
      </c>
      <c r="M2811">
        <f>COUNTIFS($C$2:$C$3934,Table4[[#This Row],[customer_id]])</f>
        <v>8</v>
      </c>
      <c r="N2811" t="str">
        <f>IF(Table4[[#This Row],[customer_order_count]]=1,"New Customer","Repeat Customer")</f>
        <v>Repeat Customer</v>
      </c>
    </row>
    <row r="2812" spans="1:14">
      <c r="A2812" t="s">
        <v>2048</v>
      </c>
      <c r="B2812" s="1">
        <v>45065</v>
      </c>
      <c r="C2812" t="s">
        <v>225</v>
      </c>
      <c r="D2812" t="s">
        <v>226</v>
      </c>
      <c r="E2812" t="s">
        <v>21</v>
      </c>
      <c r="F2812" t="s">
        <v>22</v>
      </c>
      <c r="G2812" t="s">
        <v>23</v>
      </c>
      <c r="H2812">
        <v>4</v>
      </c>
      <c r="I2812" s="3">
        <v>59.18</v>
      </c>
      <c r="J2812" t="s">
        <v>16</v>
      </c>
      <c r="K2812" t="s">
        <v>30</v>
      </c>
      <c r="L2812" s="4">
        <f>Table4[[#This Row],[quantity]]*Table4[[#This Row],[unit_price]]</f>
        <v>236.72</v>
      </c>
      <c r="M2812">
        <f>COUNTIFS($C$2:$C$3934,Table4[[#This Row],[customer_id]])</f>
        <v>7</v>
      </c>
      <c r="N2812" t="str">
        <f>IF(Table4[[#This Row],[customer_order_count]]=1,"New Customer","Repeat Customer")</f>
        <v>Repeat Customer</v>
      </c>
    </row>
    <row r="2813" spans="1:14">
      <c r="A2813" t="s">
        <v>1952</v>
      </c>
      <c r="B2813" s="1">
        <v>45061</v>
      </c>
      <c r="C2813" t="s">
        <v>1646</v>
      </c>
      <c r="D2813" t="s">
        <v>313</v>
      </c>
      <c r="E2813" t="s">
        <v>21</v>
      </c>
      <c r="F2813" t="s">
        <v>70</v>
      </c>
      <c r="G2813" t="s">
        <v>526</v>
      </c>
      <c r="H2813">
        <v>5</v>
      </c>
      <c r="I2813" s="3">
        <v>59.21</v>
      </c>
      <c r="J2813" t="s">
        <v>16</v>
      </c>
      <c r="K2813" t="s">
        <v>40</v>
      </c>
      <c r="L2813" s="4">
        <f>Table4[[#This Row],[quantity]]*Table4[[#This Row],[unit_price]]</f>
        <v>296.05</v>
      </c>
      <c r="M2813">
        <f>COUNTIFS($C$2:$C$3934,Table4[[#This Row],[customer_id]])</f>
        <v>4</v>
      </c>
      <c r="N2813" t="str">
        <f>IF(Table4[[#This Row],[customer_order_count]]=1,"New Customer","Repeat Customer")</f>
        <v>Repeat Customer</v>
      </c>
    </row>
    <row r="2814" spans="1:14">
      <c r="A2814" t="s">
        <v>662</v>
      </c>
      <c r="B2814" s="1">
        <v>45354</v>
      </c>
      <c r="C2814" t="s">
        <v>663</v>
      </c>
      <c r="D2814" t="s">
        <v>48</v>
      </c>
      <c r="E2814" t="s">
        <v>21</v>
      </c>
      <c r="F2814" t="s">
        <v>22</v>
      </c>
      <c r="G2814" t="s">
        <v>135</v>
      </c>
      <c r="H2814">
        <v>1</v>
      </c>
      <c r="I2814" s="3">
        <v>59.23</v>
      </c>
      <c r="J2814" t="s">
        <v>16</v>
      </c>
      <c r="K2814" t="s">
        <v>40</v>
      </c>
      <c r="L2814" s="4">
        <f>Table4[[#This Row],[quantity]]*Table4[[#This Row],[unit_price]]</f>
        <v>59.23</v>
      </c>
      <c r="M2814">
        <f>COUNTIFS($C$2:$C$3934,Table4[[#This Row],[customer_id]])</f>
        <v>9</v>
      </c>
      <c r="N2814" t="str">
        <f>IF(Table4[[#This Row],[customer_order_count]]=1,"New Customer","Repeat Customer")</f>
        <v>Repeat Customer</v>
      </c>
    </row>
    <row r="2815" spans="1:14">
      <c r="A2815" t="s">
        <v>1670</v>
      </c>
      <c r="B2815" s="1">
        <v>45492</v>
      </c>
      <c r="C2815" t="s">
        <v>1671</v>
      </c>
      <c r="D2815" t="s">
        <v>576</v>
      </c>
      <c r="E2815" t="s">
        <v>21</v>
      </c>
      <c r="F2815" t="s">
        <v>22</v>
      </c>
      <c r="G2815" t="s">
        <v>162</v>
      </c>
      <c r="H2815">
        <v>1</v>
      </c>
      <c r="I2815" s="3">
        <v>59.23</v>
      </c>
      <c r="J2815" t="s">
        <v>16</v>
      </c>
      <c r="K2815" t="s">
        <v>30</v>
      </c>
      <c r="L2815" s="4">
        <f>Table4[[#This Row],[quantity]]*Table4[[#This Row],[unit_price]]</f>
        <v>59.23</v>
      </c>
      <c r="M2815">
        <f>COUNTIFS($C$2:$C$3934,Table4[[#This Row],[customer_id]])</f>
        <v>3</v>
      </c>
      <c r="N2815" t="str">
        <f>IF(Table4[[#This Row],[customer_order_count]]=1,"New Customer","Repeat Customer")</f>
        <v>Repeat Customer</v>
      </c>
    </row>
    <row r="2816" spans="1:14">
      <c r="A2816" t="s">
        <v>4073</v>
      </c>
      <c r="B2816" s="1">
        <v>45509</v>
      </c>
      <c r="C2816" t="s">
        <v>2065</v>
      </c>
      <c r="D2816" t="s">
        <v>1412</v>
      </c>
      <c r="E2816" t="s">
        <v>21</v>
      </c>
      <c r="F2816" t="s">
        <v>14</v>
      </c>
      <c r="G2816" t="s">
        <v>258</v>
      </c>
      <c r="H2816">
        <v>1</v>
      </c>
      <c r="I2816" s="3">
        <v>59.23</v>
      </c>
      <c r="J2816" t="s">
        <v>16</v>
      </c>
      <c r="K2816" t="s">
        <v>17</v>
      </c>
      <c r="L2816" s="4">
        <f>Table4[[#This Row],[quantity]]*Table4[[#This Row],[unit_price]]</f>
        <v>59.23</v>
      </c>
      <c r="M2816">
        <f>COUNTIFS($C$2:$C$3934,Table4[[#This Row],[customer_id]])</f>
        <v>4</v>
      </c>
      <c r="N2816" t="str">
        <f>IF(Table4[[#This Row],[customer_order_count]]=1,"New Customer","Repeat Customer")</f>
        <v>Repeat Customer</v>
      </c>
    </row>
    <row r="2817" spans="1:14">
      <c r="A2817" t="s">
        <v>3867</v>
      </c>
      <c r="B2817" s="1">
        <v>45324</v>
      </c>
      <c r="C2817" t="s">
        <v>42</v>
      </c>
      <c r="D2817" t="s">
        <v>43</v>
      </c>
      <c r="E2817" t="s">
        <v>21</v>
      </c>
      <c r="F2817" t="s">
        <v>14</v>
      </c>
      <c r="G2817" t="s">
        <v>39</v>
      </c>
      <c r="H2817">
        <v>2</v>
      </c>
      <c r="I2817" s="3">
        <v>59.23</v>
      </c>
      <c r="J2817" t="s">
        <v>16</v>
      </c>
      <c r="K2817" t="s">
        <v>35</v>
      </c>
      <c r="L2817" s="4">
        <f>Table4[[#This Row],[quantity]]*Table4[[#This Row],[unit_price]]</f>
        <v>118.46</v>
      </c>
      <c r="M2817">
        <f>COUNTIFS($C$2:$C$3934,Table4[[#This Row],[customer_id]])</f>
        <v>8</v>
      </c>
      <c r="N2817" t="str">
        <f>IF(Table4[[#This Row],[customer_order_count]]=1,"New Customer","Repeat Customer")</f>
        <v>Repeat Customer</v>
      </c>
    </row>
    <row r="2818" spans="1:14">
      <c r="A2818" t="s">
        <v>3013</v>
      </c>
      <c r="B2818" s="1">
        <v>45088</v>
      </c>
      <c r="C2818" t="s">
        <v>696</v>
      </c>
      <c r="D2818" t="s">
        <v>582</v>
      </c>
      <c r="E2818" t="s">
        <v>21</v>
      </c>
      <c r="F2818" t="s">
        <v>22</v>
      </c>
      <c r="G2818" t="s">
        <v>135</v>
      </c>
      <c r="H2818">
        <v>2</v>
      </c>
      <c r="I2818" s="3">
        <v>59.26</v>
      </c>
      <c r="J2818" t="s">
        <v>16</v>
      </c>
      <c r="K2818" t="s">
        <v>30</v>
      </c>
      <c r="L2818" s="4">
        <f>Table4[[#This Row],[quantity]]*Table4[[#This Row],[unit_price]]</f>
        <v>118.52</v>
      </c>
      <c r="M2818">
        <f>COUNTIFS($C$2:$C$3934,Table4[[#This Row],[customer_id]])</f>
        <v>12</v>
      </c>
      <c r="N2818" t="str">
        <f>IF(Table4[[#This Row],[customer_order_count]]=1,"New Customer","Repeat Customer")</f>
        <v>Repeat Customer</v>
      </c>
    </row>
    <row r="2819" spans="1:14">
      <c r="A2819" t="s">
        <v>571</v>
      </c>
      <c r="B2819" s="1">
        <v>45300</v>
      </c>
      <c r="C2819" t="s">
        <v>572</v>
      </c>
      <c r="D2819" t="s">
        <v>573</v>
      </c>
      <c r="E2819" t="s">
        <v>21</v>
      </c>
      <c r="F2819" t="s">
        <v>56</v>
      </c>
      <c r="G2819" t="s">
        <v>254</v>
      </c>
      <c r="H2819">
        <v>1</v>
      </c>
      <c r="I2819" s="3">
        <v>59.27</v>
      </c>
      <c r="J2819" t="s">
        <v>16</v>
      </c>
      <c r="K2819" t="s">
        <v>30</v>
      </c>
      <c r="L2819" s="4">
        <f>Table4[[#This Row],[quantity]]*Table4[[#This Row],[unit_price]]</f>
        <v>59.27</v>
      </c>
      <c r="M2819">
        <f>COUNTIFS($C$2:$C$3934,Table4[[#This Row],[customer_id]])</f>
        <v>5</v>
      </c>
      <c r="N2819" t="str">
        <f>IF(Table4[[#This Row],[customer_order_count]]=1,"New Customer","Repeat Customer")</f>
        <v>Repeat Customer</v>
      </c>
    </row>
    <row r="2820" spans="1:14">
      <c r="A2820" t="s">
        <v>5129</v>
      </c>
      <c r="B2820" s="1">
        <v>45438</v>
      </c>
      <c r="C2820" t="s">
        <v>3262</v>
      </c>
      <c r="D2820" t="s">
        <v>1938</v>
      </c>
      <c r="E2820" t="s">
        <v>21</v>
      </c>
      <c r="F2820" t="s">
        <v>22</v>
      </c>
      <c r="G2820" t="s">
        <v>142</v>
      </c>
      <c r="H2820">
        <v>2</v>
      </c>
      <c r="I2820" s="3">
        <v>59.4</v>
      </c>
      <c r="J2820" t="s">
        <v>16</v>
      </c>
      <c r="K2820" t="s">
        <v>30</v>
      </c>
      <c r="L2820" s="4">
        <f>Table4[[#This Row],[quantity]]*Table4[[#This Row],[unit_price]]</f>
        <v>118.8</v>
      </c>
      <c r="M2820">
        <f>COUNTIFS($C$2:$C$3934,Table4[[#This Row],[customer_id]])</f>
        <v>7</v>
      </c>
      <c r="N2820" t="str">
        <f>IF(Table4[[#This Row],[customer_order_count]]=1,"New Customer","Repeat Customer")</f>
        <v>Repeat Customer</v>
      </c>
    </row>
    <row r="2821" spans="1:14">
      <c r="A2821" t="s">
        <v>2036</v>
      </c>
      <c r="B2821" s="1">
        <v>45474</v>
      </c>
      <c r="C2821" t="s">
        <v>2037</v>
      </c>
      <c r="D2821" t="s">
        <v>740</v>
      </c>
      <c r="E2821" t="s">
        <v>21</v>
      </c>
      <c r="F2821" t="s">
        <v>56</v>
      </c>
      <c r="G2821" t="s">
        <v>75</v>
      </c>
      <c r="H2821">
        <v>1</v>
      </c>
      <c r="I2821" s="3">
        <v>59.43</v>
      </c>
      <c r="J2821" t="s">
        <v>16</v>
      </c>
      <c r="K2821" t="s">
        <v>30</v>
      </c>
      <c r="L2821" s="4">
        <f>Table4[[#This Row],[quantity]]*Table4[[#This Row],[unit_price]]</f>
        <v>59.43</v>
      </c>
      <c r="M2821">
        <f>COUNTIFS($C$2:$C$3934,Table4[[#This Row],[customer_id]])</f>
        <v>5</v>
      </c>
      <c r="N2821" t="str">
        <f>IF(Table4[[#This Row],[customer_order_count]]=1,"New Customer","Repeat Customer")</f>
        <v>Repeat Customer</v>
      </c>
    </row>
    <row r="2822" spans="1:14">
      <c r="A2822" t="s">
        <v>4259</v>
      </c>
      <c r="B2822" s="1">
        <v>45054</v>
      </c>
      <c r="C2822" t="s">
        <v>1924</v>
      </c>
      <c r="D2822" t="s">
        <v>1124</v>
      </c>
      <c r="E2822" t="s">
        <v>21</v>
      </c>
      <c r="F2822" t="s">
        <v>22</v>
      </c>
      <c r="G2822" t="s">
        <v>162</v>
      </c>
      <c r="H2822">
        <v>1</v>
      </c>
      <c r="I2822" s="3">
        <v>59.43</v>
      </c>
      <c r="J2822" t="s">
        <v>16</v>
      </c>
      <c r="K2822" t="s">
        <v>30</v>
      </c>
      <c r="L2822" s="4">
        <f>Table4[[#This Row],[quantity]]*Table4[[#This Row],[unit_price]]</f>
        <v>59.43</v>
      </c>
      <c r="M2822">
        <f>COUNTIFS($C$2:$C$3934,Table4[[#This Row],[customer_id]])</f>
        <v>3</v>
      </c>
      <c r="N2822" t="str">
        <f>IF(Table4[[#This Row],[customer_order_count]]=1,"New Customer","Repeat Customer")</f>
        <v>Repeat Customer</v>
      </c>
    </row>
    <row r="2823" spans="1:14">
      <c r="A2823" t="s">
        <v>2785</v>
      </c>
      <c r="B2823" s="1">
        <v>45620</v>
      </c>
      <c r="C2823" t="s">
        <v>2320</v>
      </c>
      <c r="D2823" t="s">
        <v>310</v>
      </c>
      <c r="E2823" t="s">
        <v>44</v>
      </c>
      <c r="F2823" t="s">
        <v>22</v>
      </c>
      <c r="G2823" t="s">
        <v>23</v>
      </c>
      <c r="H2823">
        <v>2</v>
      </c>
      <c r="I2823" s="3">
        <v>59.47</v>
      </c>
      <c r="J2823" t="s">
        <v>16</v>
      </c>
      <c r="K2823" t="s">
        <v>35</v>
      </c>
      <c r="L2823" s="4">
        <f>Table4[[#This Row],[quantity]]*Table4[[#This Row],[unit_price]]</f>
        <v>118.94</v>
      </c>
      <c r="M2823">
        <f>COUNTIFS($C$2:$C$3934,Table4[[#This Row],[customer_id]])</f>
        <v>6</v>
      </c>
      <c r="N2823" t="str">
        <f>IF(Table4[[#This Row],[customer_order_count]]=1,"New Customer","Repeat Customer")</f>
        <v>Repeat Customer</v>
      </c>
    </row>
    <row r="2824" spans="1:14">
      <c r="A2824" t="s">
        <v>4758</v>
      </c>
      <c r="B2824" s="1">
        <v>44936</v>
      </c>
      <c r="C2824" t="s">
        <v>3373</v>
      </c>
      <c r="D2824" t="s">
        <v>956</v>
      </c>
      <c r="E2824" t="s">
        <v>44</v>
      </c>
      <c r="F2824" t="s">
        <v>22</v>
      </c>
      <c r="G2824" t="s">
        <v>162</v>
      </c>
      <c r="H2824">
        <v>1</v>
      </c>
      <c r="I2824" s="3">
        <v>59.48</v>
      </c>
      <c r="J2824" t="s">
        <v>16</v>
      </c>
      <c r="K2824" t="s">
        <v>40</v>
      </c>
      <c r="L2824" s="4">
        <f>Table4[[#This Row],[quantity]]*Table4[[#This Row],[unit_price]]</f>
        <v>59.48</v>
      </c>
      <c r="M2824">
        <f>COUNTIFS($C$2:$C$3934,Table4[[#This Row],[customer_id]])</f>
        <v>2</v>
      </c>
      <c r="N2824" t="str">
        <f>IF(Table4[[#This Row],[customer_order_count]]=1,"New Customer","Repeat Customer")</f>
        <v>Repeat Customer</v>
      </c>
    </row>
    <row r="2825" spans="1:14">
      <c r="A2825" t="s">
        <v>4749</v>
      </c>
      <c r="B2825" s="1">
        <v>45066</v>
      </c>
      <c r="C2825" t="s">
        <v>3441</v>
      </c>
      <c r="D2825" t="s">
        <v>1292</v>
      </c>
      <c r="E2825" t="s">
        <v>21</v>
      </c>
      <c r="F2825" t="s">
        <v>79</v>
      </c>
      <c r="G2825" t="s">
        <v>200</v>
      </c>
      <c r="H2825">
        <v>1</v>
      </c>
      <c r="I2825" s="3">
        <v>59.51</v>
      </c>
      <c r="J2825" t="s">
        <v>16</v>
      </c>
      <c r="K2825" t="s">
        <v>35</v>
      </c>
      <c r="L2825" s="4">
        <f>Table4[[#This Row],[quantity]]*Table4[[#This Row],[unit_price]]</f>
        <v>59.51</v>
      </c>
      <c r="M2825">
        <f>COUNTIFS($C$2:$C$3934,Table4[[#This Row],[customer_id]])</f>
        <v>2</v>
      </c>
      <c r="N2825" t="str">
        <f>IF(Table4[[#This Row],[customer_order_count]]=1,"New Customer","Repeat Customer")</f>
        <v>Repeat Customer</v>
      </c>
    </row>
    <row r="2826" spans="1:14">
      <c r="A2826" t="s">
        <v>3166</v>
      </c>
      <c r="B2826" s="1">
        <v>45046</v>
      </c>
      <c r="C2826" t="s">
        <v>721</v>
      </c>
      <c r="D2826" t="s">
        <v>722</v>
      </c>
      <c r="E2826" t="s">
        <v>21</v>
      </c>
      <c r="F2826" t="s">
        <v>70</v>
      </c>
      <c r="G2826" t="s">
        <v>170</v>
      </c>
      <c r="H2826">
        <v>2</v>
      </c>
      <c r="I2826" s="3">
        <v>59.52</v>
      </c>
      <c r="J2826" t="s">
        <v>16</v>
      </c>
      <c r="K2826" t="s">
        <v>40</v>
      </c>
      <c r="L2826" s="4">
        <f>Table4[[#This Row],[quantity]]*Table4[[#This Row],[unit_price]]</f>
        <v>119.04</v>
      </c>
      <c r="M2826">
        <f>COUNTIFS($C$2:$C$3934,Table4[[#This Row],[customer_id]])</f>
        <v>6</v>
      </c>
      <c r="N2826" t="str">
        <f>IF(Table4[[#This Row],[customer_order_count]]=1,"New Customer","Repeat Customer")</f>
        <v>Repeat Customer</v>
      </c>
    </row>
    <row r="2827" spans="1:14">
      <c r="A2827" t="s">
        <v>3979</v>
      </c>
      <c r="B2827" s="1">
        <v>45190</v>
      </c>
      <c r="C2827" t="s">
        <v>1102</v>
      </c>
      <c r="D2827" t="s">
        <v>1103</v>
      </c>
      <c r="E2827" t="s">
        <v>21</v>
      </c>
      <c r="F2827" t="s">
        <v>22</v>
      </c>
      <c r="G2827" t="s">
        <v>142</v>
      </c>
      <c r="H2827">
        <v>1</v>
      </c>
      <c r="I2827" s="3">
        <v>59.55</v>
      </c>
      <c r="J2827" t="s">
        <v>255</v>
      </c>
      <c r="K2827" t="s">
        <v>17</v>
      </c>
      <c r="L2827" s="4">
        <f>Table4[[#This Row],[quantity]]*Table4[[#This Row],[unit_price]]</f>
        <v>59.55</v>
      </c>
      <c r="M2827">
        <f>COUNTIFS($C$2:$C$3934,Table4[[#This Row],[customer_id]])</f>
        <v>6</v>
      </c>
      <c r="N2827" t="str">
        <f>IF(Table4[[#This Row],[customer_order_count]]=1,"New Customer","Repeat Customer")</f>
        <v>Repeat Customer</v>
      </c>
    </row>
    <row r="2828" spans="1:14">
      <c r="A2828" t="s">
        <v>2242</v>
      </c>
      <c r="B2828" s="1">
        <v>45616</v>
      </c>
      <c r="C2828" t="s">
        <v>755</v>
      </c>
      <c r="D2828" t="s">
        <v>452</v>
      </c>
      <c r="E2828" t="s">
        <v>21</v>
      </c>
      <c r="F2828" t="s">
        <v>14</v>
      </c>
      <c r="G2828" t="s">
        <v>100</v>
      </c>
      <c r="H2828">
        <v>1</v>
      </c>
      <c r="I2828" s="3">
        <v>59.58</v>
      </c>
      <c r="J2828" t="s">
        <v>16</v>
      </c>
      <c r="K2828" t="s">
        <v>35</v>
      </c>
      <c r="L2828" s="4">
        <f>Table4[[#This Row],[quantity]]*Table4[[#This Row],[unit_price]]</f>
        <v>59.58</v>
      </c>
      <c r="M2828">
        <f>COUNTIFS($C$2:$C$3934,Table4[[#This Row],[customer_id]])</f>
        <v>5</v>
      </c>
      <c r="N2828" t="str">
        <f>IF(Table4[[#This Row],[customer_order_count]]=1,"New Customer","Repeat Customer")</f>
        <v>Repeat Customer</v>
      </c>
    </row>
    <row r="2829" spans="1:14">
      <c r="A2829" t="s">
        <v>4362</v>
      </c>
      <c r="B2829" s="1">
        <v>45546</v>
      </c>
      <c r="C2829" t="s">
        <v>4363</v>
      </c>
      <c r="D2829" t="s">
        <v>4364</v>
      </c>
      <c r="E2829" t="s">
        <v>44</v>
      </c>
      <c r="F2829" t="s">
        <v>14</v>
      </c>
      <c r="G2829" t="s">
        <v>100</v>
      </c>
      <c r="H2829">
        <v>1</v>
      </c>
      <c r="I2829" s="3">
        <v>59.6</v>
      </c>
      <c r="J2829" t="s">
        <v>16</v>
      </c>
      <c r="K2829" t="s">
        <v>35</v>
      </c>
      <c r="L2829" s="4">
        <f>Table4[[#This Row],[quantity]]*Table4[[#This Row],[unit_price]]</f>
        <v>59.6</v>
      </c>
      <c r="M2829">
        <f>COUNTIFS($C$2:$C$3934,Table4[[#This Row],[customer_id]])</f>
        <v>3</v>
      </c>
      <c r="N2829" t="str">
        <f>IF(Table4[[#This Row],[customer_order_count]]=1,"New Customer","Repeat Customer")</f>
        <v>Repeat Customer</v>
      </c>
    </row>
    <row r="2830" spans="1:14">
      <c r="A2830" t="s">
        <v>3801</v>
      </c>
      <c r="B2830" s="1">
        <v>45071</v>
      </c>
      <c r="C2830" t="s">
        <v>1173</v>
      </c>
      <c r="D2830" t="s">
        <v>1153</v>
      </c>
      <c r="E2830" t="s">
        <v>21</v>
      </c>
      <c r="F2830" t="s">
        <v>14</v>
      </c>
      <c r="G2830" t="s">
        <v>34</v>
      </c>
      <c r="H2830">
        <v>1</v>
      </c>
      <c r="I2830" s="3">
        <v>59.63</v>
      </c>
      <c r="J2830" t="s">
        <v>16</v>
      </c>
      <c r="K2830" t="s">
        <v>17</v>
      </c>
      <c r="L2830" s="4">
        <f>Table4[[#This Row],[quantity]]*Table4[[#This Row],[unit_price]]</f>
        <v>59.63</v>
      </c>
      <c r="M2830">
        <f>COUNTIFS($C$2:$C$3934,Table4[[#This Row],[customer_id]])</f>
        <v>8</v>
      </c>
      <c r="N2830" t="str">
        <f>IF(Table4[[#This Row],[customer_order_count]]=1,"New Customer","Repeat Customer")</f>
        <v>Repeat Customer</v>
      </c>
    </row>
    <row r="2831" spans="1:14">
      <c r="A2831" t="s">
        <v>3918</v>
      </c>
      <c r="B2831" s="1">
        <v>45203</v>
      </c>
      <c r="C2831" t="s">
        <v>925</v>
      </c>
      <c r="D2831" t="s">
        <v>383</v>
      </c>
      <c r="E2831" t="s">
        <v>21</v>
      </c>
      <c r="F2831" t="s">
        <v>56</v>
      </c>
      <c r="G2831" t="s">
        <v>254</v>
      </c>
      <c r="H2831">
        <v>1</v>
      </c>
      <c r="I2831" s="3">
        <v>59.64</v>
      </c>
      <c r="J2831" t="s">
        <v>16</v>
      </c>
      <c r="K2831" t="s">
        <v>40</v>
      </c>
      <c r="L2831" s="4">
        <f>Table4[[#This Row],[quantity]]*Table4[[#This Row],[unit_price]]</f>
        <v>59.64</v>
      </c>
      <c r="M2831">
        <f>COUNTIFS($C$2:$C$3934,Table4[[#This Row],[customer_id]])</f>
        <v>6</v>
      </c>
      <c r="N2831" t="str">
        <f>IF(Table4[[#This Row],[customer_order_count]]=1,"New Customer","Repeat Customer")</f>
        <v>Repeat Customer</v>
      </c>
    </row>
    <row r="2832" spans="1:14">
      <c r="A2832" t="s">
        <v>1475</v>
      </c>
      <c r="B2832" s="1">
        <v>45066</v>
      </c>
      <c r="C2832" t="s">
        <v>1476</v>
      </c>
      <c r="D2832" t="s">
        <v>1477</v>
      </c>
      <c r="E2832" t="s">
        <v>21</v>
      </c>
      <c r="F2832" t="s">
        <v>70</v>
      </c>
      <c r="G2832" t="s">
        <v>146</v>
      </c>
      <c r="H2832">
        <v>4</v>
      </c>
      <c r="I2832" s="3">
        <v>59.65</v>
      </c>
      <c r="J2832" t="s">
        <v>16</v>
      </c>
      <c r="K2832" s="2" t="s">
        <v>5256</v>
      </c>
      <c r="L2832" s="4">
        <f>Table4[[#This Row],[quantity]]*Table4[[#This Row],[unit_price]]</f>
        <v>238.6</v>
      </c>
      <c r="M2832">
        <f>COUNTIFS($C$2:$C$3934,Table4[[#This Row],[customer_id]])</f>
        <v>5</v>
      </c>
      <c r="N2832" t="str">
        <f>IF(Table4[[#This Row],[customer_order_count]]=1,"New Customer","Repeat Customer")</f>
        <v>Repeat Customer</v>
      </c>
    </row>
    <row r="2833" spans="1:14">
      <c r="A2833" t="s">
        <v>4937</v>
      </c>
      <c r="B2833" s="1">
        <v>45203</v>
      </c>
      <c r="C2833" t="s">
        <v>298</v>
      </c>
      <c r="D2833" t="s">
        <v>299</v>
      </c>
      <c r="E2833" t="s">
        <v>21</v>
      </c>
      <c r="F2833" t="s">
        <v>22</v>
      </c>
      <c r="G2833" t="s">
        <v>23</v>
      </c>
      <c r="H2833">
        <v>4</v>
      </c>
      <c r="I2833" s="3">
        <v>59.67</v>
      </c>
      <c r="J2833" t="s">
        <v>16</v>
      </c>
      <c r="K2833" s="5" t="s">
        <v>35</v>
      </c>
      <c r="L2833" s="4">
        <f>Table4[[#This Row],[quantity]]*Table4[[#This Row],[unit_price]]</f>
        <v>238.68</v>
      </c>
      <c r="M2833">
        <f>COUNTIFS($C$2:$C$3934,Table4[[#This Row],[customer_id]])</f>
        <v>7</v>
      </c>
      <c r="N2833" t="str">
        <f>IF(Table4[[#This Row],[customer_order_count]]=1,"New Customer","Repeat Customer")</f>
        <v>Repeat Customer</v>
      </c>
    </row>
    <row r="2834" spans="1:14">
      <c r="A2834" t="s">
        <v>4242</v>
      </c>
      <c r="B2834" s="1">
        <v>45546</v>
      </c>
      <c r="C2834" t="s">
        <v>1129</v>
      </c>
      <c r="D2834" t="s">
        <v>934</v>
      </c>
      <c r="E2834" t="s">
        <v>21</v>
      </c>
      <c r="F2834" t="s">
        <v>22</v>
      </c>
      <c r="G2834" t="s">
        <v>142</v>
      </c>
      <c r="H2834">
        <v>1</v>
      </c>
      <c r="I2834" s="3">
        <v>59.68</v>
      </c>
      <c r="J2834" t="s">
        <v>16</v>
      </c>
      <c r="K2834" t="s">
        <v>17</v>
      </c>
      <c r="L2834" s="4">
        <f>Table4[[#This Row],[quantity]]*Table4[[#This Row],[unit_price]]</f>
        <v>59.68</v>
      </c>
      <c r="M2834">
        <f>COUNTIFS($C$2:$C$3934,Table4[[#This Row],[customer_id]])</f>
        <v>3</v>
      </c>
      <c r="N2834" t="str">
        <f>IF(Table4[[#This Row],[customer_order_count]]=1,"New Customer","Repeat Customer")</f>
        <v>Repeat Customer</v>
      </c>
    </row>
    <row r="2835" spans="1:14">
      <c r="A2835" t="s">
        <v>4400</v>
      </c>
      <c r="B2835" s="1">
        <v>45352</v>
      </c>
      <c r="C2835" t="s">
        <v>1456</v>
      </c>
      <c r="D2835" t="s">
        <v>20</v>
      </c>
      <c r="E2835" t="s">
        <v>21</v>
      </c>
      <c r="F2835" t="s">
        <v>70</v>
      </c>
      <c r="G2835" t="s">
        <v>337</v>
      </c>
      <c r="H2835">
        <v>1</v>
      </c>
      <c r="I2835" s="3">
        <v>59.72</v>
      </c>
      <c r="J2835" t="s">
        <v>16</v>
      </c>
      <c r="K2835" t="s">
        <v>35</v>
      </c>
      <c r="L2835" s="4">
        <f>Table4[[#This Row],[quantity]]*Table4[[#This Row],[unit_price]]</f>
        <v>59.72</v>
      </c>
      <c r="M2835">
        <f>COUNTIFS($C$2:$C$3934,Table4[[#This Row],[customer_id]])</f>
        <v>4</v>
      </c>
      <c r="N2835" t="str">
        <f>IF(Table4[[#This Row],[customer_order_count]]=1,"New Customer","Repeat Customer")</f>
        <v>Repeat Customer</v>
      </c>
    </row>
    <row r="2836" spans="1:14">
      <c r="A2836" t="s">
        <v>5063</v>
      </c>
      <c r="B2836" s="1">
        <v>45402</v>
      </c>
      <c r="C2836" t="s">
        <v>2465</v>
      </c>
      <c r="D2836" t="s">
        <v>131</v>
      </c>
      <c r="E2836" t="s">
        <v>21</v>
      </c>
      <c r="F2836" t="s">
        <v>22</v>
      </c>
      <c r="G2836" t="s">
        <v>23</v>
      </c>
      <c r="H2836">
        <v>1</v>
      </c>
      <c r="I2836" s="3">
        <v>59.72</v>
      </c>
      <c r="J2836" t="s">
        <v>16</v>
      </c>
      <c r="K2836" t="s">
        <v>40</v>
      </c>
      <c r="L2836" s="4">
        <f>Table4[[#This Row],[quantity]]*Table4[[#This Row],[unit_price]]</f>
        <v>59.72</v>
      </c>
      <c r="M2836">
        <f>COUNTIFS($C$2:$C$3934,Table4[[#This Row],[customer_id]])</f>
        <v>4</v>
      </c>
      <c r="N2836" t="str">
        <f>IF(Table4[[#This Row],[customer_order_count]]=1,"New Customer","Repeat Customer")</f>
        <v>Repeat Customer</v>
      </c>
    </row>
    <row r="2837" spans="1:14">
      <c r="A2837" t="s">
        <v>4904</v>
      </c>
      <c r="B2837" s="1">
        <v>45336</v>
      </c>
      <c r="C2837" t="s">
        <v>675</v>
      </c>
      <c r="D2837" t="s">
        <v>769</v>
      </c>
      <c r="E2837" t="s">
        <v>21</v>
      </c>
      <c r="F2837" t="s">
        <v>22</v>
      </c>
      <c r="G2837" t="s">
        <v>162</v>
      </c>
      <c r="H2837">
        <v>5</v>
      </c>
      <c r="I2837" s="3">
        <v>59.73</v>
      </c>
      <c r="J2837" t="s">
        <v>16</v>
      </c>
      <c r="K2837" t="s">
        <v>17</v>
      </c>
      <c r="L2837" s="4">
        <f>Table4[[#This Row],[quantity]]*Table4[[#This Row],[unit_price]]</f>
        <v>298.64999999999998</v>
      </c>
      <c r="M2837">
        <f>COUNTIFS($C$2:$C$3934,Table4[[#This Row],[customer_id]])</f>
        <v>4</v>
      </c>
      <c r="N2837" t="str">
        <f>IF(Table4[[#This Row],[customer_order_count]]=1,"New Customer","Repeat Customer")</f>
        <v>Repeat Customer</v>
      </c>
    </row>
    <row r="2838" spans="1:14">
      <c r="A2838" t="s">
        <v>4185</v>
      </c>
      <c r="B2838" s="1">
        <v>45506</v>
      </c>
      <c r="C2838" t="s">
        <v>2347</v>
      </c>
      <c r="D2838" t="s">
        <v>1036</v>
      </c>
      <c r="E2838" t="s">
        <v>21</v>
      </c>
      <c r="F2838" t="s">
        <v>79</v>
      </c>
      <c r="G2838" t="s">
        <v>80</v>
      </c>
      <c r="H2838">
        <v>1</v>
      </c>
      <c r="I2838" s="3">
        <v>59.74</v>
      </c>
      <c r="J2838" t="s">
        <v>255</v>
      </c>
      <c r="K2838" t="s">
        <v>35</v>
      </c>
      <c r="L2838" s="4">
        <f>Table4[[#This Row],[quantity]]*Table4[[#This Row],[unit_price]]</f>
        <v>59.74</v>
      </c>
      <c r="M2838">
        <f>COUNTIFS($C$2:$C$3934,Table4[[#This Row],[customer_id]])</f>
        <v>7</v>
      </c>
      <c r="N2838" t="str">
        <f>IF(Table4[[#This Row],[customer_order_count]]=1,"New Customer","Repeat Customer")</f>
        <v>Repeat Customer</v>
      </c>
    </row>
    <row r="2839" spans="1:14">
      <c r="A2839" t="s">
        <v>3788</v>
      </c>
      <c r="B2839" s="1">
        <v>45535</v>
      </c>
      <c r="C2839" t="s">
        <v>141</v>
      </c>
      <c r="D2839" t="s">
        <v>105</v>
      </c>
      <c r="E2839" t="s">
        <v>21</v>
      </c>
      <c r="F2839" t="s">
        <v>22</v>
      </c>
      <c r="G2839" t="s">
        <v>162</v>
      </c>
      <c r="H2839">
        <v>1</v>
      </c>
      <c r="I2839" s="3">
        <v>59.8</v>
      </c>
      <c r="J2839" t="s">
        <v>16</v>
      </c>
      <c r="K2839" t="s">
        <v>30</v>
      </c>
      <c r="L2839" s="4">
        <f>Table4[[#This Row],[quantity]]*Table4[[#This Row],[unit_price]]</f>
        <v>59.8</v>
      </c>
      <c r="M2839">
        <f>COUNTIFS($C$2:$C$3934,Table4[[#This Row],[customer_id]])</f>
        <v>6</v>
      </c>
      <c r="N2839" t="str">
        <f>IF(Table4[[#This Row],[customer_order_count]]=1,"New Customer","Repeat Customer")</f>
        <v>Repeat Customer</v>
      </c>
    </row>
    <row r="2840" spans="1:14">
      <c r="A2840" t="s">
        <v>1612</v>
      </c>
      <c r="B2840" s="1">
        <v>45573</v>
      </c>
      <c r="C2840" t="s">
        <v>1397</v>
      </c>
      <c r="D2840" t="s">
        <v>383</v>
      </c>
      <c r="E2840" t="s">
        <v>44</v>
      </c>
      <c r="F2840" t="s">
        <v>70</v>
      </c>
      <c r="G2840" t="s">
        <v>170</v>
      </c>
      <c r="H2840">
        <v>1</v>
      </c>
      <c r="I2840" s="3">
        <v>59.82</v>
      </c>
      <c r="J2840" t="s">
        <v>255</v>
      </c>
      <c r="K2840" t="s">
        <v>17</v>
      </c>
      <c r="L2840" s="4">
        <f>Table4[[#This Row],[quantity]]*Table4[[#This Row],[unit_price]]</f>
        <v>59.82</v>
      </c>
      <c r="M2840">
        <f>COUNTIFS($C$2:$C$3934,Table4[[#This Row],[customer_id]])</f>
        <v>9</v>
      </c>
      <c r="N2840" t="str">
        <f>IF(Table4[[#This Row],[customer_order_count]]=1,"New Customer","Repeat Customer")</f>
        <v>Repeat Customer</v>
      </c>
    </row>
    <row r="2841" spans="1:14">
      <c r="A2841" t="s">
        <v>4109</v>
      </c>
      <c r="B2841" s="1">
        <v>44997</v>
      </c>
      <c r="C2841" t="s">
        <v>1705</v>
      </c>
      <c r="D2841" t="s">
        <v>1706</v>
      </c>
      <c r="E2841" t="s">
        <v>44</v>
      </c>
      <c r="F2841" t="s">
        <v>79</v>
      </c>
      <c r="G2841" t="s">
        <v>200</v>
      </c>
      <c r="H2841">
        <v>1</v>
      </c>
      <c r="I2841" s="3">
        <v>59.84</v>
      </c>
      <c r="J2841" t="s">
        <v>16</v>
      </c>
      <c r="K2841" t="s">
        <v>30</v>
      </c>
      <c r="L2841" s="4">
        <f>Table4[[#This Row],[quantity]]*Table4[[#This Row],[unit_price]]</f>
        <v>59.84</v>
      </c>
      <c r="M2841">
        <f>COUNTIFS($C$2:$C$3934,Table4[[#This Row],[customer_id]])</f>
        <v>7</v>
      </c>
      <c r="N2841" t="str">
        <f>IF(Table4[[#This Row],[customer_order_count]]=1,"New Customer","Repeat Customer")</f>
        <v>Repeat Customer</v>
      </c>
    </row>
    <row r="2842" spans="1:14">
      <c r="A2842" t="s">
        <v>5183</v>
      </c>
      <c r="B2842" s="1">
        <v>45133</v>
      </c>
      <c r="C2842" t="s">
        <v>1710</v>
      </c>
      <c r="D2842" t="s">
        <v>396</v>
      </c>
      <c r="E2842" t="s">
        <v>21</v>
      </c>
      <c r="F2842" t="s">
        <v>22</v>
      </c>
      <c r="G2842" t="s">
        <v>162</v>
      </c>
      <c r="H2842">
        <v>1</v>
      </c>
      <c r="I2842" s="3">
        <v>59.85</v>
      </c>
      <c r="J2842" t="s">
        <v>16</v>
      </c>
      <c r="K2842" t="s">
        <v>30</v>
      </c>
      <c r="L2842" s="4">
        <f>Table4[[#This Row],[quantity]]*Table4[[#This Row],[unit_price]]</f>
        <v>59.85</v>
      </c>
      <c r="M2842">
        <f>COUNTIFS($C$2:$C$3934,Table4[[#This Row],[customer_id]])</f>
        <v>10</v>
      </c>
      <c r="N2842" t="str">
        <f>IF(Table4[[#This Row],[customer_order_count]]=1,"New Customer","Repeat Customer")</f>
        <v>Repeat Customer</v>
      </c>
    </row>
    <row r="2843" spans="1:14">
      <c r="A2843" t="s">
        <v>3573</v>
      </c>
      <c r="B2843" s="1">
        <v>45584</v>
      </c>
      <c r="C2843" t="s">
        <v>524</v>
      </c>
      <c r="D2843" t="s">
        <v>525</v>
      </c>
      <c r="E2843" t="s">
        <v>21</v>
      </c>
      <c r="F2843" t="s">
        <v>70</v>
      </c>
      <c r="G2843" t="s">
        <v>146</v>
      </c>
      <c r="H2843">
        <v>1</v>
      </c>
      <c r="I2843" s="3">
        <v>59.85</v>
      </c>
      <c r="J2843" t="s">
        <v>16</v>
      </c>
      <c r="K2843" t="s">
        <v>35</v>
      </c>
      <c r="L2843" s="4">
        <f>Table4[[#This Row],[quantity]]*Table4[[#This Row],[unit_price]]</f>
        <v>59.85</v>
      </c>
      <c r="M2843">
        <f>COUNTIFS($C$2:$C$3934,Table4[[#This Row],[customer_id]])</f>
        <v>5</v>
      </c>
      <c r="N2843" t="str">
        <f>IF(Table4[[#This Row],[customer_order_count]]=1,"New Customer","Repeat Customer")</f>
        <v>Repeat Customer</v>
      </c>
    </row>
    <row r="2844" spans="1:14">
      <c r="A2844" t="s">
        <v>3951</v>
      </c>
      <c r="B2844" s="1">
        <v>45224</v>
      </c>
      <c r="C2844" t="s">
        <v>2759</v>
      </c>
      <c r="D2844" t="s">
        <v>643</v>
      </c>
      <c r="E2844" t="s">
        <v>21</v>
      </c>
      <c r="F2844" t="s">
        <v>79</v>
      </c>
      <c r="G2844" t="s">
        <v>166</v>
      </c>
      <c r="H2844">
        <v>2</v>
      </c>
      <c r="I2844" s="3">
        <v>59.88</v>
      </c>
      <c r="J2844" t="s">
        <v>16</v>
      </c>
      <c r="K2844" t="s">
        <v>35</v>
      </c>
      <c r="L2844" s="4">
        <f>Table4[[#This Row],[quantity]]*Table4[[#This Row],[unit_price]]</f>
        <v>119.76</v>
      </c>
      <c r="M2844">
        <f>COUNTIFS($C$2:$C$3934,Table4[[#This Row],[customer_id]])</f>
        <v>2</v>
      </c>
      <c r="N2844" t="str">
        <f>IF(Table4[[#This Row],[customer_order_count]]=1,"New Customer","Repeat Customer")</f>
        <v>Repeat Customer</v>
      </c>
    </row>
    <row r="2845" spans="1:14">
      <c r="A2845" t="s">
        <v>1321</v>
      </c>
      <c r="B2845" s="1">
        <v>45603</v>
      </c>
      <c r="C2845" t="s">
        <v>1322</v>
      </c>
      <c r="D2845" t="s">
        <v>1323</v>
      </c>
      <c r="E2845" t="s">
        <v>21</v>
      </c>
      <c r="F2845" t="s">
        <v>70</v>
      </c>
      <c r="G2845" t="s">
        <v>71</v>
      </c>
      <c r="H2845">
        <v>1</v>
      </c>
      <c r="I2845" s="3">
        <v>59.91</v>
      </c>
      <c r="J2845" t="s">
        <v>16</v>
      </c>
      <c r="K2845" t="s">
        <v>30</v>
      </c>
      <c r="L2845" s="4">
        <f>Table4[[#This Row],[quantity]]*Table4[[#This Row],[unit_price]]</f>
        <v>59.91</v>
      </c>
      <c r="M2845">
        <f>COUNTIFS($C$2:$C$3934,Table4[[#This Row],[customer_id]])</f>
        <v>2</v>
      </c>
      <c r="N2845" t="str">
        <f>IF(Table4[[#This Row],[customer_order_count]]=1,"New Customer","Repeat Customer")</f>
        <v>Repeat Customer</v>
      </c>
    </row>
    <row r="2846" spans="1:14">
      <c r="A2846" t="s">
        <v>3142</v>
      </c>
      <c r="B2846" s="1">
        <v>45369</v>
      </c>
      <c r="C2846" t="s">
        <v>104</v>
      </c>
      <c r="D2846" t="s">
        <v>105</v>
      </c>
      <c r="E2846" t="s">
        <v>21</v>
      </c>
      <c r="F2846" t="s">
        <v>22</v>
      </c>
      <c r="G2846" t="s">
        <v>162</v>
      </c>
      <c r="H2846">
        <v>1</v>
      </c>
      <c r="I2846" s="3">
        <v>59.92</v>
      </c>
      <c r="J2846" t="s">
        <v>16</v>
      </c>
      <c r="K2846" t="s">
        <v>30</v>
      </c>
      <c r="L2846" s="4">
        <f>Table4[[#This Row],[quantity]]*Table4[[#This Row],[unit_price]]</f>
        <v>59.92</v>
      </c>
      <c r="M2846">
        <f>COUNTIFS($C$2:$C$3934,Table4[[#This Row],[customer_id]])</f>
        <v>9</v>
      </c>
      <c r="N2846" t="str">
        <f>IF(Table4[[#This Row],[customer_order_count]]=1,"New Customer","Repeat Customer")</f>
        <v>Repeat Customer</v>
      </c>
    </row>
    <row r="2847" spans="1:14">
      <c r="A2847" t="s">
        <v>564</v>
      </c>
      <c r="B2847" s="1">
        <v>45635</v>
      </c>
      <c r="C2847" t="s">
        <v>565</v>
      </c>
      <c r="D2847" t="s">
        <v>566</v>
      </c>
      <c r="E2847" t="s">
        <v>44</v>
      </c>
      <c r="F2847" t="s">
        <v>22</v>
      </c>
      <c r="G2847" t="s">
        <v>264</v>
      </c>
      <c r="H2847">
        <v>1</v>
      </c>
      <c r="I2847" s="3">
        <v>59.93</v>
      </c>
      <c r="J2847" t="s">
        <v>16</v>
      </c>
      <c r="K2847" t="s">
        <v>30</v>
      </c>
      <c r="L2847" s="4">
        <f>Table4[[#This Row],[quantity]]*Table4[[#This Row],[unit_price]]</f>
        <v>59.93</v>
      </c>
      <c r="M2847">
        <f>COUNTIFS($C$2:$C$3934,Table4[[#This Row],[customer_id]])</f>
        <v>5</v>
      </c>
      <c r="N2847" t="str">
        <f>IF(Table4[[#This Row],[customer_order_count]]=1,"New Customer","Repeat Customer")</f>
        <v>Repeat Customer</v>
      </c>
    </row>
    <row r="2848" spans="1:14">
      <c r="A2848" t="s">
        <v>2751</v>
      </c>
      <c r="B2848" s="1">
        <v>44989</v>
      </c>
      <c r="C2848" t="s">
        <v>739</v>
      </c>
      <c r="D2848" t="s">
        <v>740</v>
      </c>
      <c r="E2848" t="s">
        <v>21</v>
      </c>
      <c r="F2848" t="s">
        <v>22</v>
      </c>
      <c r="G2848" t="s">
        <v>142</v>
      </c>
      <c r="H2848">
        <v>1</v>
      </c>
      <c r="I2848" s="3">
        <v>59.93</v>
      </c>
      <c r="J2848" t="s">
        <v>16</v>
      </c>
      <c r="K2848" t="s">
        <v>17</v>
      </c>
      <c r="L2848" s="4">
        <f>Table4[[#This Row],[quantity]]*Table4[[#This Row],[unit_price]]</f>
        <v>59.93</v>
      </c>
      <c r="M2848">
        <f>COUNTIFS($C$2:$C$3934,Table4[[#This Row],[customer_id]])</f>
        <v>7</v>
      </c>
      <c r="N2848" t="str">
        <f>IF(Table4[[#This Row],[customer_order_count]]=1,"New Customer","Repeat Customer")</f>
        <v>Repeat Customer</v>
      </c>
    </row>
    <row r="2849" spans="1:14">
      <c r="A2849" t="s">
        <v>2081</v>
      </c>
      <c r="B2849" s="1">
        <v>45087</v>
      </c>
      <c r="C2849" t="s">
        <v>1803</v>
      </c>
      <c r="D2849" t="s">
        <v>1804</v>
      </c>
      <c r="E2849" t="s">
        <v>21</v>
      </c>
      <c r="F2849" t="s">
        <v>70</v>
      </c>
      <c r="G2849" t="s">
        <v>71</v>
      </c>
      <c r="H2849">
        <v>2</v>
      </c>
      <c r="I2849" s="3">
        <v>59.98</v>
      </c>
      <c r="J2849" t="s">
        <v>16</v>
      </c>
      <c r="K2849" t="s">
        <v>30</v>
      </c>
      <c r="L2849" s="4">
        <f>Table4[[#This Row],[quantity]]*Table4[[#This Row],[unit_price]]</f>
        <v>119.96</v>
      </c>
      <c r="M2849">
        <f>COUNTIFS($C$2:$C$3934,Table4[[#This Row],[customer_id]])</f>
        <v>5</v>
      </c>
      <c r="N2849" t="str">
        <f>IF(Table4[[#This Row],[customer_order_count]]=1,"New Customer","Repeat Customer")</f>
        <v>Repeat Customer</v>
      </c>
    </row>
    <row r="2850" spans="1:14">
      <c r="A2850" t="s">
        <v>1099</v>
      </c>
      <c r="B2850" s="1">
        <v>45154</v>
      </c>
      <c r="C2850" t="s">
        <v>1100</v>
      </c>
      <c r="D2850" t="s">
        <v>950</v>
      </c>
      <c r="E2850" t="s">
        <v>61</v>
      </c>
      <c r="F2850" t="s">
        <v>14</v>
      </c>
      <c r="G2850" t="s">
        <v>34</v>
      </c>
      <c r="H2850">
        <v>1</v>
      </c>
      <c r="I2850" s="3">
        <v>59.99</v>
      </c>
      <c r="J2850" t="s">
        <v>16</v>
      </c>
      <c r="K2850" t="s">
        <v>30</v>
      </c>
      <c r="L2850" s="4">
        <f>Table4[[#This Row],[quantity]]*Table4[[#This Row],[unit_price]]</f>
        <v>59.99</v>
      </c>
      <c r="M2850">
        <f>COUNTIFS($C$2:$C$3934,Table4[[#This Row],[customer_id]])</f>
        <v>4</v>
      </c>
      <c r="N2850" t="str">
        <f>IF(Table4[[#This Row],[customer_order_count]]=1,"New Customer","Repeat Customer")</f>
        <v>Repeat Customer</v>
      </c>
    </row>
    <row r="2851" spans="1:14">
      <c r="A2851" t="s">
        <v>4329</v>
      </c>
      <c r="B2851" s="1">
        <v>45163</v>
      </c>
      <c r="C2851" t="s">
        <v>1900</v>
      </c>
      <c r="D2851" t="s">
        <v>1310</v>
      </c>
      <c r="E2851" t="s">
        <v>21</v>
      </c>
      <c r="F2851" t="s">
        <v>70</v>
      </c>
      <c r="G2851" t="s">
        <v>71</v>
      </c>
      <c r="H2851">
        <v>2</v>
      </c>
      <c r="I2851" s="3">
        <v>60.01</v>
      </c>
      <c r="J2851" t="s">
        <v>16</v>
      </c>
      <c r="K2851" t="s">
        <v>30</v>
      </c>
      <c r="L2851" s="4">
        <f>Table4[[#This Row],[quantity]]*Table4[[#This Row],[unit_price]]</f>
        <v>120.02</v>
      </c>
      <c r="M2851">
        <f>COUNTIFS($C$2:$C$3934,Table4[[#This Row],[customer_id]])</f>
        <v>5</v>
      </c>
      <c r="N2851" t="str">
        <f>IF(Table4[[#This Row],[customer_order_count]]=1,"New Customer","Repeat Customer")</f>
        <v>Repeat Customer</v>
      </c>
    </row>
    <row r="2852" spans="1:14">
      <c r="A2852" t="s">
        <v>2868</v>
      </c>
      <c r="B2852" s="1">
        <v>44977</v>
      </c>
      <c r="C2852" t="s">
        <v>1636</v>
      </c>
      <c r="D2852" t="s">
        <v>956</v>
      </c>
      <c r="E2852" t="s">
        <v>21</v>
      </c>
      <c r="F2852" t="s">
        <v>14</v>
      </c>
      <c r="G2852" t="s">
        <v>258</v>
      </c>
      <c r="H2852">
        <v>1</v>
      </c>
      <c r="I2852" s="3">
        <v>60.06</v>
      </c>
      <c r="J2852" t="s">
        <v>16</v>
      </c>
      <c r="K2852" t="s">
        <v>30</v>
      </c>
      <c r="L2852" s="4">
        <f>Table4[[#This Row],[quantity]]*Table4[[#This Row],[unit_price]]</f>
        <v>60.06</v>
      </c>
      <c r="M2852">
        <f>COUNTIFS($C$2:$C$3934,Table4[[#This Row],[customer_id]])</f>
        <v>5</v>
      </c>
      <c r="N2852" t="str">
        <f>IF(Table4[[#This Row],[customer_order_count]]=1,"New Customer","Repeat Customer")</f>
        <v>Repeat Customer</v>
      </c>
    </row>
    <row r="2853" spans="1:14">
      <c r="A2853" t="s">
        <v>4993</v>
      </c>
      <c r="B2853" s="1">
        <v>45254</v>
      </c>
      <c r="C2853" t="s">
        <v>988</v>
      </c>
      <c r="D2853" t="s">
        <v>505</v>
      </c>
      <c r="E2853" t="s">
        <v>21</v>
      </c>
      <c r="F2853" t="s">
        <v>79</v>
      </c>
      <c r="G2853" t="s">
        <v>230</v>
      </c>
      <c r="H2853">
        <v>1</v>
      </c>
      <c r="I2853" s="3">
        <v>60.07</v>
      </c>
      <c r="J2853" t="s">
        <v>16</v>
      </c>
      <c r="K2853" t="s">
        <v>40</v>
      </c>
      <c r="L2853" s="4">
        <f>Table4[[#This Row],[quantity]]*Table4[[#This Row],[unit_price]]</f>
        <v>60.07</v>
      </c>
      <c r="M2853">
        <f>COUNTIFS($C$2:$C$3934,Table4[[#This Row],[customer_id]])</f>
        <v>3</v>
      </c>
      <c r="N2853" t="str">
        <f>IF(Table4[[#This Row],[customer_order_count]]=1,"New Customer","Repeat Customer")</f>
        <v>Repeat Customer</v>
      </c>
    </row>
    <row r="2854" spans="1:14">
      <c r="A2854" t="s">
        <v>2848</v>
      </c>
      <c r="B2854" s="1">
        <v>45445</v>
      </c>
      <c r="C2854" t="s">
        <v>856</v>
      </c>
      <c r="D2854" t="s">
        <v>857</v>
      </c>
      <c r="E2854" t="s">
        <v>44</v>
      </c>
      <c r="F2854" t="s">
        <v>14</v>
      </c>
      <c r="G2854" t="s">
        <v>258</v>
      </c>
      <c r="H2854">
        <v>1</v>
      </c>
      <c r="I2854" s="3">
        <v>60.13</v>
      </c>
      <c r="J2854" t="s">
        <v>16</v>
      </c>
      <c r="K2854" t="s">
        <v>40</v>
      </c>
      <c r="L2854" s="4">
        <f>Table4[[#This Row],[quantity]]*Table4[[#This Row],[unit_price]]</f>
        <v>60.13</v>
      </c>
      <c r="M2854">
        <f>COUNTIFS($C$2:$C$3934,Table4[[#This Row],[customer_id]])</f>
        <v>5</v>
      </c>
      <c r="N2854" t="str">
        <f>IF(Table4[[#This Row],[customer_order_count]]=1,"New Customer","Repeat Customer")</f>
        <v>Repeat Customer</v>
      </c>
    </row>
    <row r="2855" spans="1:14">
      <c r="A2855" t="s">
        <v>3050</v>
      </c>
      <c r="B2855" s="1">
        <v>45356</v>
      </c>
      <c r="C2855" t="s">
        <v>1740</v>
      </c>
      <c r="D2855" t="s">
        <v>250</v>
      </c>
      <c r="E2855" t="s">
        <v>21</v>
      </c>
      <c r="F2855" t="s">
        <v>70</v>
      </c>
      <c r="G2855" t="s">
        <v>170</v>
      </c>
      <c r="H2855">
        <v>2</v>
      </c>
      <c r="I2855" s="3">
        <v>60.13</v>
      </c>
      <c r="J2855" t="s">
        <v>16</v>
      </c>
      <c r="K2855" t="s">
        <v>35</v>
      </c>
      <c r="L2855" s="4">
        <f>Table4[[#This Row],[quantity]]*Table4[[#This Row],[unit_price]]</f>
        <v>120.26</v>
      </c>
      <c r="M2855">
        <f>COUNTIFS($C$2:$C$3934,Table4[[#This Row],[customer_id]])</f>
        <v>6</v>
      </c>
      <c r="N2855" t="str">
        <f>IF(Table4[[#This Row],[customer_order_count]]=1,"New Customer","Repeat Customer")</f>
        <v>Repeat Customer</v>
      </c>
    </row>
    <row r="2856" spans="1:14">
      <c r="A2856" t="s">
        <v>4621</v>
      </c>
      <c r="B2856" s="1">
        <v>45117</v>
      </c>
      <c r="C2856" t="s">
        <v>2006</v>
      </c>
      <c r="D2856" t="s">
        <v>13</v>
      </c>
      <c r="E2856" t="s">
        <v>44</v>
      </c>
      <c r="F2856" t="s">
        <v>14</v>
      </c>
      <c r="G2856" t="s">
        <v>39</v>
      </c>
      <c r="H2856">
        <v>1</v>
      </c>
      <c r="I2856" s="3">
        <v>60.25</v>
      </c>
      <c r="J2856" t="s">
        <v>16</v>
      </c>
      <c r="K2856" t="s">
        <v>35</v>
      </c>
      <c r="L2856" s="4">
        <f>Table4[[#This Row],[quantity]]*Table4[[#This Row],[unit_price]]</f>
        <v>60.25</v>
      </c>
      <c r="M2856">
        <f>COUNTIFS($C$2:$C$3934,Table4[[#This Row],[customer_id]])</f>
        <v>3</v>
      </c>
      <c r="N2856" t="str">
        <f>IF(Table4[[#This Row],[customer_order_count]]=1,"New Customer","Repeat Customer")</f>
        <v>Repeat Customer</v>
      </c>
    </row>
    <row r="2857" spans="1:14">
      <c r="A2857" t="s">
        <v>2784</v>
      </c>
      <c r="B2857" s="1">
        <v>45456</v>
      </c>
      <c r="C2857" t="s">
        <v>285</v>
      </c>
      <c r="D2857" t="s">
        <v>286</v>
      </c>
      <c r="E2857" t="s">
        <v>21</v>
      </c>
      <c r="F2857" t="s">
        <v>14</v>
      </c>
      <c r="G2857" t="s">
        <v>100</v>
      </c>
      <c r="H2857">
        <v>2</v>
      </c>
      <c r="I2857" s="3">
        <v>60.28</v>
      </c>
      <c r="J2857" t="s">
        <v>16</v>
      </c>
      <c r="K2857" t="s">
        <v>17</v>
      </c>
      <c r="L2857" s="4">
        <f>Table4[[#This Row],[quantity]]*Table4[[#This Row],[unit_price]]</f>
        <v>120.56</v>
      </c>
      <c r="M2857">
        <f>COUNTIFS($C$2:$C$3934,Table4[[#This Row],[customer_id]])</f>
        <v>9</v>
      </c>
      <c r="N2857" t="str">
        <f>IF(Table4[[#This Row],[customer_order_count]]=1,"New Customer","Repeat Customer")</f>
        <v>Repeat Customer</v>
      </c>
    </row>
    <row r="2858" spans="1:14">
      <c r="A2858" t="s">
        <v>2141</v>
      </c>
      <c r="B2858" s="1">
        <v>45036</v>
      </c>
      <c r="C2858" t="s">
        <v>98</v>
      </c>
      <c r="D2858" t="s">
        <v>99</v>
      </c>
      <c r="E2858" t="s">
        <v>21</v>
      </c>
      <c r="F2858" t="s">
        <v>14</v>
      </c>
      <c r="G2858" t="s">
        <v>100</v>
      </c>
      <c r="H2858">
        <v>2</v>
      </c>
      <c r="I2858" s="3">
        <v>60.3</v>
      </c>
      <c r="J2858" t="s">
        <v>85</v>
      </c>
      <c r="K2858" s="2" t="s">
        <v>5256</v>
      </c>
      <c r="L2858" s="4">
        <f>Table4[[#This Row],[quantity]]*Table4[[#This Row],[unit_price]]</f>
        <v>120.6</v>
      </c>
      <c r="M2858">
        <f>COUNTIFS($C$2:$C$3934,Table4[[#This Row],[customer_id]])</f>
        <v>7</v>
      </c>
      <c r="N2858" t="str">
        <f>IF(Table4[[#This Row],[customer_order_count]]=1,"New Customer","Repeat Customer")</f>
        <v>Repeat Customer</v>
      </c>
    </row>
    <row r="2859" spans="1:14">
      <c r="A2859" t="s">
        <v>2656</v>
      </c>
      <c r="B2859" s="1">
        <v>45164</v>
      </c>
      <c r="C2859" t="s">
        <v>1113</v>
      </c>
      <c r="D2859" t="s">
        <v>1114</v>
      </c>
      <c r="E2859" t="s">
        <v>21</v>
      </c>
      <c r="F2859" t="s">
        <v>70</v>
      </c>
      <c r="G2859" t="s">
        <v>71</v>
      </c>
      <c r="H2859">
        <v>2</v>
      </c>
      <c r="I2859" s="3">
        <v>60.31</v>
      </c>
      <c r="J2859" t="s">
        <v>16</v>
      </c>
      <c r="K2859" s="5" t="s">
        <v>30</v>
      </c>
      <c r="L2859" s="4">
        <f>Table4[[#This Row],[quantity]]*Table4[[#This Row],[unit_price]]</f>
        <v>120.62</v>
      </c>
      <c r="M2859">
        <f>COUNTIFS($C$2:$C$3934,Table4[[#This Row],[customer_id]])</f>
        <v>7</v>
      </c>
      <c r="N2859" t="str">
        <f>IF(Table4[[#This Row],[customer_order_count]]=1,"New Customer","Repeat Customer")</f>
        <v>Repeat Customer</v>
      </c>
    </row>
    <row r="2860" spans="1:14">
      <c r="A2860" t="s">
        <v>2755</v>
      </c>
      <c r="B2860" s="1">
        <v>45507</v>
      </c>
      <c r="C2860" t="s">
        <v>764</v>
      </c>
      <c r="D2860" t="s">
        <v>765</v>
      </c>
      <c r="E2860" t="s">
        <v>21</v>
      </c>
      <c r="F2860" t="s">
        <v>56</v>
      </c>
      <c r="G2860" t="s">
        <v>75</v>
      </c>
      <c r="H2860">
        <v>2</v>
      </c>
      <c r="I2860" s="3">
        <v>60.33</v>
      </c>
      <c r="J2860" t="s">
        <v>16</v>
      </c>
      <c r="K2860" t="s">
        <v>17</v>
      </c>
      <c r="L2860" s="4">
        <f>Table4[[#This Row],[quantity]]*Table4[[#This Row],[unit_price]]</f>
        <v>120.66</v>
      </c>
      <c r="M2860">
        <f>COUNTIFS($C$2:$C$3934,Table4[[#This Row],[customer_id]])</f>
        <v>4</v>
      </c>
      <c r="N2860" t="str">
        <f>IF(Table4[[#This Row],[customer_order_count]]=1,"New Customer","Repeat Customer")</f>
        <v>Repeat Customer</v>
      </c>
    </row>
    <row r="2861" spans="1:14">
      <c r="A2861" t="s">
        <v>3024</v>
      </c>
      <c r="B2861" s="1">
        <v>45464</v>
      </c>
      <c r="C2861" t="s">
        <v>952</v>
      </c>
      <c r="D2861" t="s">
        <v>953</v>
      </c>
      <c r="E2861" t="s">
        <v>21</v>
      </c>
      <c r="F2861" t="s">
        <v>70</v>
      </c>
      <c r="G2861" t="s">
        <v>337</v>
      </c>
      <c r="H2861">
        <v>2</v>
      </c>
      <c r="I2861" s="3">
        <v>60.34</v>
      </c>
      <c r="J2861" t="s">
        <v>16</v>
      </c>
      <c r="K2861" t="s">
        <v>30</v>
      </c>
      <c r="L2861" s="4">
        <f>Table4[[#This Row],[quantity]]*Table4[[#This Row],[unit_price]]</f>
        <v>120.68</v>
      </c>
      <c r="M2861">
        <f>COUNTIFS($C$2:$C$3934,Table4[[#This Row],[customer_id]])</f>
        <v>3</v>
      </c>
      <c r="N2861" t="str">
        <f>IF(Table4[[#This Row],[customer_order_count]]=1,"New Customer","Repeat Customer")</f>
        <v>Repeat Customer</v>
      </c>
    </row>
    <row r="2862" spans="1:14">
      <c r="A2862" t="s">
        <v>4731</v>
      </c>
      <c r="B2862" s="1">
        <v>45527</v>
      </c>
      <c r="C2862" t="s">
        <v>1930</v>
      </c>
      <c r="D2862" t="s">
        <v>525</v>
      </c>
      <c r="E2862" t="s">
        <v>21</v>
      </c>
      <c r="F2862" t="s">
        <v>70</v>
      </c>
      <c r="G2862" t="s">
        <v>71</v>
      </c>
      <c r="H2862">
        <v>1</v>
      </c>
      <c r="I2862" s="3">
        <v>60.4</v>
      </c>
      <c r="J2862" t="s">
        <v>16</v>
      </c>
      <c r="K2862" t="s">
        <v>17</v>
      </c>
      <c r="L2862" s="4">
        <f>Table4[[#This Row],[quantity]]*Table4[[#This Row],[unit_price]]</f>
        <v>60.4</v>
      </c>
      <c r="M2862">
        <f>COUNTIFS($C$2:$C$3934,Table4[[#This Row],[customer_id]])</f>
        <v>3</v>
      </c>
      <c r="N2862" t="str">
        <f>IF(Table4[[#This Row],[customer_order_count]]=1,"New Customer","Repeat Customer")</f>
        <v>Repeat Customer</v>
      </c>
    </row>
    <row r="2863" spans="1:14">
      <c r="A2863" t="s">
        <v>762</v>
      </c>
      <c r="B2863" s="1">
        <v>44979</v>
      </c>
      <c r="C2863" t="s">
        <v>668</v>
      </c>
      <c r="D2863" t="s">
        <v>669</v>
      </c>
      <c r="E2863" t="s">
        <v>44</v>
      </c>
      <c r="F2863" t="s">
        <v>14</v>
      </c>
      <c r="G2863" t="s">
        <v>15</v>
      </c>
      <c r="H2863">
        <v>1</v>
      </c>
      <c r="I2863" s="3">
        <v>60.51</v>
      </c>
      <c r="J2863" t="s">
        <v>16</v>
      </c>
      <c r="K2863" t="s">
        <v>17</v>
      </c>
      <c r="L2863" s="4">
        <f>Table4[[#This Row],[quantity]]*Table4[[#This Row],[unit_price]]</f>
        <v>60.51</v>
      </c>
      <c r="M2863">
        <f>COUNTIFS($C$2:$C$3934,Table4[[#This Row],[customer_id]])</f>
        <v>7</v>
      </c>
      <c r="N2863" t="str">
        <f>IF(Table4[[#This Row],[customer_order_count]]=1,"New Customer","Repeat Customer")</f>
        <v>Repeat Customer</v>
      </c>
    </row>
    <row r="2864" spans="1:14">
      <c r="A2864" t="s">
        <v>1361</v>
      </c>
      <c r="B2864" s="1">
        <v>45400</v>
      </c>
      <c r="C2864" t="s">
        <v>1173</v>
      </c>
      <c r="D2864" t="s">
        <v>1153</v>
      </c>
      <c r="E2864" t="s">
        <v>21</v>
      </c>
      <c r="F2864" t="s">
        <v>56</v>
      </c>
      <c r="G2864" t="s">
        <v>422</v>
      </c>
      <c r="H2864">
        <v>2</v>
      </c>
      <c r="I2864" s="3">
        <v>60.53</v>
      </c>
      <c r="J2864" t="s">
        <v>16</v>
      </c>
      <c r="K2864" t="s">
        <v>35</v>
      </c>
      <c r="L2864" s="4">
        <f>Table4[[#This Row],[quantity]]*Table4[[#This Row],[unit_price]]</f>
        <v>121.06</v>
      </c>
      <c r="M2864">
        <f>COUNTIFS($C$2:$C$3934,Table4[[#This Row],[customer_id]])</f>
        <v>8</v>
      </c>
      <c r="N2864" t="str">
        <f>IF(Table4[[#This Row],[customer_order_count]]=1,"New Customer","Repeat Customer")</f>
        <v>Repeat Customer</v>
      </c>
    </row>
    <row r="2865" spans="1:14">
      <c r="A2865" t="s">
        <v>3158</v>
      </c>
      <c r="B2865" s="1">
        <v>45047</v>
      </c>
      <c r="C2865" t="s">
        <v>199</v>
      </c>
      <c r="D2865" t="s">
        <v>1414</v>
      </c>
      <c r="E2865" t="s">
        <v>21</v>
      </c>
      <c r="F2865" t="s">
        <v>14</v>
      </c>
      <c r="G2865" t="s">
        <v>39</v>
      </c>
      <c r="H2865">
        <v>2</v>
      </c>
      <c r="I2865" s="3">
        <v>60.55</v>
      </c>
      <c r="J2865" t="s">
        <v>16</v>
      </c>
      <c r="K2865" t="s">
        <v>35</v>
      </c>
      <c r="L2865" s="4">
        <f>Table4[[#This Row],[quantity]]*Table4[[#This Row],[unit_price]]</f>
        <v>121.1</v>
      </c>
      <c r="M2865">
        <f>COUNTIFS($C$2:$C$3934,Table4[[#This Row],[customer_id]])</f>
        <v>5</v>
      </c>
      <c r="N2865" t="str">
        <f>IF(Table4[[#This Row],[customer_order_count]]=1,"New Customer","Repeat Customer")</f>
        <v>Repeat Customer</v>
      </c>
    </row>
    <row r="2866" spans="1:14">
      <c r="A2866" t="s">
        <v>1882</v>
      </c>
      <c r="B2866" s="1">
        <v>45560</v>
      </c>
      <c r="C2866" t="s">
        <v>1118</v>
      </c>
      <c r="D2866" t="s">
        <v>881</v>
      </c>
      <c r="E2866" t="s">
        <v>44</v>
      </c>
      <c r="F2866" t="s">
        <v>14</v>
      </c>
      <c r="G2866" t="s">
        <v>100</v>
      </c>
      <c r="H2866">
        <v>2</v>
      </c>
      <c r="I2866" s="3">
        <v>60.61</v>
      </c>
      <c r="J2866" t="s">
        <v>16</v>
      </c>
      <c r="K2866" t="s">
        <v>17</v>
      </c>
      <c r="L2866" s="4">
        <f>Table4[[#This Row],[quantity]]*Table4[[#This Row],[unit_price]]</f>
        <v>121.22</v>
      </c>
      <c r="M2866">
        <f>COUNTIFS($C$2:$C$3934,Table4[[#This Row],[customer_id]])</f>
        <v>6</v>
      </c>
      <c r="N2866" t="str">
        <f>IF(Table4[[#This Row],[customer_order_count]]=1,"New Customer","Repeat Customer")</f>
        <v>Repeat Customer</v>
      </c>
    </row>
    <row r="2867" spans="1:14">
      <c r="A2867" t="s">
        <v>1913</v>
      </c>
      <c r="B2867" s="1">
        <v>45203</v>
      </c>
      <c r="C2867" t="s">
        <v>1008</v>
      </c>
      <c r="D2867" t="s">
        <v>425</v>
      </c>
      <c r="E2867" t="s">
        <v>21</v>
      </c>
      <c r="F2867" t="s">
        <v>14</v>
      </c>
      <c r="G2867" t="s">
        <v>62</v>
      </c>
      <c r="H2867">
        <v>1</v>
      </c>
      <c r="I2867" s="3">
        <v>60.62</v>
      </c>
      <c r="J2867" t="s">
        <v>16</v>
      </c>
      <c r="K2867" t="s">
        <v>40</v>
      </c>
      <c r="L2867" s="4">
        <f>Table4[[#This Row],[quantity]]*Table4[[#This Row],[unit_price]]</f>
        <v>60.62</v>
      </c>
      <c r="M2867">
        <f>COUNTIFS($C$2:$C$3934,Table4[[#This Row],[customer_id]])</f>
        <v>7</v>
      </c>
      <c r="N2867" t="str">
        <f>IF(Table4[[#This Row],[customer_order_count]]=1,"New Customer","Repeat Customer")</f>
        <v>Repeat Customer</v>
      </c>
    </row>
    <row r="2868" spans="1:14">
      <c r="A2868" t="s">
        <v>2914</v>
      </c>
      <c r="B2868" s="1">
        <v>45353</v>
      </c>
      <c r="C2868" t="s">
        <v>329</v>
      </c>
      <c r="D2868" t="s">
        <v>330</v>
      </c>
      <c r="E2868" t="s">
        <v>21</v>
      </c>
      <c r="F2868" t="s">
        <v>14</v>
      </c>
      <c r="G2868" t="s">
        <v>258</v>
      </c>
      <c r="H2868">
        <v>1</v>
      </c>
      <c r="I2868" s="3">
        <v>60.64</v>
      </c>
      <c r="J2868" t="s">
        <v>16</v>
      </c>
      <c r="K2868" t="s">
        <v>35</v>
      </c>
      <c r="L2868" s="4">
        <f>Table4[[#This Row],[quantity]]*Table4[[#This Row],[unit_price]]</f>
        <v>60.64</v>
      </c>
      <c r="M2868">
        <f>COUNTIFS($C$2:$C$3934,Table4[[#This Row],[customer_id]])</f>
        <v>5</v>
      </c>
      <c r="N2868" t="str">
        <f>IF(Table4[[#This Row],[customer_order_count]]=1,"New Customer","Repeat Customer")</f>
        <v>Repeat Customer</v>
      </c>
    </row>
    <row r="2869" spans="1:14">
      <c r="A2869" t="s">
        <v>3286</v>
      </c>
      <c r="B2869" s="1">
        <v>45544</v>
      </c>
      <c r="C2869" t="s">
        <v>1928</v>
      </c>
      <c r="D2869" t="s">
        <v>1444</v>
      </c>
      <c r="E2869" t="s">
        <v>21</v>
      </c>
      <c r="F2869" t="s">
        <v>14</v>
      </c>
      <c r="G2869" t="s">
        <v>34</v>
      </c>
      <c r="H2869">
        <v>1</v>
      </c>
      <c r="I2869" s="3">
        <v>60.65</v>
      </c>
      <c r="J2869" t="s">
        <v>16</v>
      </c>
      <c r="K2869" s="2" t="s">
        <v>5256</v>
      </c>
      <c r="L2869" s="4">
        <f>Table4[[#This Row],[quantity]]*Table4[[#This Row],[unit_price]]</f>
        <v>60.65</v>
      </c>
      <c r="M2869">
        <f>COUNTIFS($C$2:$C$3934,Table4[[#This Row],[customer_id]])</f>
        <v>7</v>
      </c>
      <c r="N2869" t="str">
        <f>IF(Table4[[#This Row],[customer_order_count]]=1,"New Customer","Repeat Customer")</f>
        <v>Repeat Customer</v>
      </c>
    </row>
    <row r="2870" spans="1:14">
      <c r="A2870" t="s">
        <v>5192</v>
      </c>
      <c r="B2870" s="1">
        <v>45629</v>
      </c>
      <c r="C2870" t="s">
        <v>1243</v>
      </c>
      <c r="D2870" t="s">
        <v>1244</v>
      </c>
      <c r="E2870" t="s">
        <v>21</v>
      </c>
      <c r="F2870" t="s">
        <v>79</v>
      </c>
      <c r="G2870" t="s">
        <v>230</v>
      </c>
      <c r="H2870">
        <v>1</v>
      </c>
      <c r="I2870" s="3">
        <v>60.7</v>
      </c>
      <c r="J2870" t="s">
        <v>16</v>
      </c>
      <c r="K2870" s="5" t="s">
        <v>30</v>
      </c>
      <c r="L2870" s="4">
        <f>Table4[[#This Row],[quantity]]*Table4[[#This Row],[unit_price]]</f>
        <v>60.7</v>
      </c>
      <c r="M2870">
        <f>COUNTIFS($C$2:$C$3934,Table4[[#This Row],[customer_id]])</f>
        <v>6</v>
      </c>
      <c r="N2870" t="str">
        <f>IF(Table4[[#This Row],[customer_order_count]]=1,"New Customer","Repeat Customer")</f>
        <v>Repeat Customer</v>
      </c>
    </row>
    <row r="2871" spans="1:14">
      <c r="A2871" t="s">
        <v>1417</v>
      </c>
      <c r="B2871" s="1">
        <v>45139</v>
      </c>
      <c r="C2871" t="s">
        <v>1418</v>
      </c>
      <c r="D2871" t="s">
        <v>1419</v>
      </c>
      <c r="E2871" t="s">
        <v>44</v>
      </c>
      <c r="F2871" t="s">
        <v>14</v>
      </c>
      <c r="G2871" t="s">
        <v>62</v>
      </c>
      <c r="H2871">
        <v>2</v>
      </c>
      <c r="I2871" s="3">
        <v>60.72</v>
      </c>
      <c r="J2871" t="s">
        <v>16</v>
      </c>
      <c r="K2871" t="s">
        <v>40</v>
      </c>
      <c r="L2871" s="4">
        <f>Table4[[#This Row],[quantity]]*Table4[[#This Row],[unit_price]]</f>
        <v>121.44</v>
      </c>
      <c r="M2871">
        <f>COUNTIFS($C$2:$C$3934,Table4[[#This Row],[customer_id]])</f>
        <v>5</v>
      </c>
      <c r="N2871" t="str">
        <f>IF(Table4[[#This Row],[customer_order_count]]=1,"New Customer","Repeat Customer")</f>
        <v>Repeat Customer</v>
      </c>
    </row>
    <row r="2872" spans="1:14">
      <c r="A2872" t="s">
        <v>4241</v>
      </c>
      <c r="B2872" s="1">
        <v>45510</v>
      </c>
      <c r="C2872" t="s">
        <v>1522</v>
      </c>
      <c r="D2872" t="s">
        <v>1523</v>
      </c>
      <c r="E2872" t="s">
        <v>21</v>
      </c>
      <c r="F2872" t="s">
        <v>56</v>
      </c>
      <c r="G2872" t="s">
        <v>210</v>
      </c>
      <c r="H2872">
        <v>3</v>
      </c>
      <c r="I2872" s="3">
        <v>60.779880952380921</v>
      </c>
      <c r="J2872" t="s">
        <v>16</v>
      </c>
      <c r="K2872" t="s">
        <v>17</v>
      </c>
      <c r="L2872" s="4">
        <f>Table4[[#This Row],[quantity]]*Table4[[#This Row],[unit_price]]</f>
        <v>182.33964285714276</v>
      </c>
      <c r="M2872">
        <f>COUNTIFS($C$2:$C$3934,Table4[[#This Row],[customer_id]])</f>
        <v>11</v>
      </c>
      <c r="N2872" t="str">
        <f>IF(Table4[[#This Row],[customer_order_count]]=1,"New Customer","Repeat Customer")</f>
        <v>Repeat Customer</v>
      </c>
    </row>
    <row r="2873" spans="1:14">
      <c r="A2873" t="s">
        <v>5016</v>
      </c>
      <c r="B2873" s="1">
        <v>45521</v>
      </c>
      <c r="C2873" t="s">
        <v>1148</v>
      </c>
      <c r="D2873" t="s">
        <v>857</v>
      </c>
      <c r="E2873" t="s">
        <v>21</v>
      </c>
      <c r="F2873" t="s">
        <v>70</v>
      </c>
      <c r="G2873" t="s">
        <v>146</v>
      </c>
      <c r="H2873">
        <v>1</v>
      </c>
      <c r="I2873" s="3">
        <v>60.82</v>
      </c>
      <c r="J2873" t="s">
        <v>16</v>
      </c>
      <c r="K2873" t="s">
        <v>17</v>
      </c>
      <c r="L2873" s="4">
        <f>Table4[[#This Row],[quantity]]*Table4[[#This Row],[unit_price]]</f>
        <v>60.82</v>
      </c>
      <c r="M2873">
        <f>COUNTIFS($C$2:$C$3934,Table4[[#This Row],[customer_id]])</f>
        <v>8</v>
      </c>
      <c r="N2873" t="str">
        <f>IF(Table4[[#This Row],[customer_order_count]]=1,"New Customer","Repeat Customer")</f>
        <v>Repeat Customer</v>
      </c>
    </row>
    <row r="2874" spans="1:14">
      <c r="A2874" t="s">
        <v>580</v>
      </c>
      <c r="B2874" s="1">
        <v>44938</v>
      </c>
      <c r="C2874" t="s">
        <v>581</v>
      </c>
      <c r="D2874" t="s">
        <v>582</v>
      </c>
      <c r="E2874" t="s">
        <v>21</v>
      </c>
      <c r="F2874" t="s">
        <v>70</v>
      </c>
      <c r="G2874" t="s">
        <v>146</v>
      </c>
      <c r="H2874">
        <v>1</v>
      </c>
      <c r="I2874" s="3">
        <v>60.85</v>
      </c>
      <c r="J2874" t="s">
        <v>16</v>
      </c>
      <c r="K2874" t="s">
        <v>40</v>
      </c>
      <c r="L2874" s="4">
        <f>Table4[[#This Row],[quantity]]*Table4[[#This Row],[unit_price]]</f>
        <v>60.85</v>
      </c>
      <c r="M2874">
        <f>COUNTIFS($C$2:$C$3934,Table4[[#This Row],[customer_id]])</f>
        <v>6</v>
      </c>
      <c r="N2874" t="str">
        <f>IF(Table4[[#This Row],[customer_order_count]]=1,"New Customer","Repeat Customer")</f>
        <v>Repeat Customer</v>
      </c>
    </row>
    <row r="2875" spans="1:14">
      <c r="A2875" t="s">
        <v>2895</v>
      </c>
      <c r="B2875" s="1">
        <v>45050</v>
      </c>
      <c r="C2875" t="s">
        <v>596</v>
      </c>
      <c r="D2875" t="s">
        <v>597</v>
      </c>
      <c r="E2875" t="s">
        <v>21</v>
      </c>
      <c r="F2875" t="s">
        <v>14</v>
      </c>
      <c r="G2875" t="s">
        <v>100</v>
      </c>
      <c r="H2875">
        <v>4</v>
      </c>
      <c r="I2875" s="3">
        <v>60.85</v>
      </c>
      <c r="J2875" t="s">
        <v>255</v>
      </c>
      <c r="K2875" t="s">
        <v>30</v>
      </c>
      <c r="L2875" s="4">
        <f>Table4[[#This Row],[quantity]]*Table4[[#This Row],[unit_price]]</f>
        <v>243.4</v>
      </c>
      <c r="M2875">
        <f>COUNTIFS($C$2:$C$3934,Table4[[#This Row],[customer_id]])</f>
        <v>8</v>
      </c>
      <c r="N2875" t="str">
        <f>IF(Table4[[#This Row],[customer_order_count]]=1,"New Customer","Repeat Customer")</f>
        <v>Repeat Customer</v>
      </c>
    </row>
    <row r="2876" spans="1:14">
      <c r="A2876" t="s">
        <v>2789</v>
      </c>
      <c r="B2876" s="1">
        <v>45036</v>
      </c>
      <c r="C2876" t="s">
        <v>2229</v>
      </c>
      <c r="D2876" t="s">
        <v>1211</v>
      </c>
      <c r="E2876" t="s">
        <v>21</v>
      </c>
      <c r="F2876" t="s">
        <v>70</v>
      </c>
      <c r="G2876" t="s">
        <v>110</v>
      </c>
      <c r="H2876">
        <v>1</v>
      </c>
      <c r="I2876" s="3">
        <v>60.96</v>
      </c>
      <c r="J2876" t="s">
        <v>16</v>
      </c>
      <c r="K2876" t="s">
        <v>17</v>
      </c>
      <c r="L2876" s="4">
        <f>Table4[[#This Row],[quantity]]*Table4[[#This Row],[unit_price]]</f>
        <v>60.96</v>
      </c>
      <c r="M2876">
        <f>COUNTIFS($C$2:$C$3934,Table4[[#This Row],[customer_id]])</f>
        <v>5</v>
      </c>
      <c r="N2876" t="str">
        <f>IF(Table4[[#This Row],[customer_order_count]]=1,"New Customer","Repeat Customer")</f>
        <v>Repeat Customer</v>
      </c>
    </row>
    <row r="2877" spans="1:14">
      <c r="A2877" t="s">
        <v>4291</v>
      </c>
      <c r="B2877" s="1">
        <v>45494</v>
      </c>
      <c r="C2877" t="s">
        <v>1456</v>
      </c>
      <c r="D2877" t="s">
        <v>20</v>
      </c>
      <c r="E2877" t="s">
        <v>21</v>
      </c>
      <c r="F2877" t="s">
        <v>70</v>
      </c>
      <c r="G2877" t="s">
        <v>146</v>
      </c>
      <c r="H2877">
        <v>2</v>
      </c>
      <c r="I2877" s="3">
        <v>60.99</v>
      </c>
      <c r="J2877" t="s">
        <v>16</v>
      </c>
      <c r="K2877" t="s">
        <v>30</v>
      </c>
      <c r="L2877" s="4">
        <f>Table4[[#This Row],[quantity]]*Table4[[#This Row],[unit_price]]</f>
        <v>121.98</v>
      </c>
      <c r="M2877">
        <f>COUNTIFS($C$2:$C$3934,Table4[[#This Row],[customer_id]])</f>
        <v>4</v>
      </c>
      <c r="N2877" t="str">
        <f>IF(Table4[[#This Row],[customer_order_count]]=1,"New Customer","Repeat Customer")</f>
        <v>Repeat Customer</v>
      </c>
    </row>
    <row r="2878" spans="1:14">
      <c r="A2878" t="s">
        <v>2800</v>
      </c>
      <c r="B2878" s="1">
        <v>45353</v>
      </c>
      <c r="C2878" t="s">
        <v>413</v>
      </c>
      <c r="D2878" t="s">
        <v>414</v>
      </c>
      <c r="E2878" t="s">
        <v>21</v>
      </c>
      <c r="F2878" t="s">
        <v>70</v>
      </c>
      <c r="G2878" t="s">
        <v>71</v>
      </c>
      <c r="H2878">
        <v>1</v>
      </c>
      <c r="I2878" s="3">
        <v>61.02</v>
      </c>
      <c r="J2878" t="s">
        <v>255</v>
      </c>
      <c r="K2878" t="s">
        <v>40</v>
      </c>
      <c r="L2878" s="4">
        <f>Table4[[#This Row],[quantity]]*Table4[[#This Row],[unit_price]]</f>
        <v>61.02</v>
      </c>
      <c r="M2878">
        <f>COUNTIFS($C$2:$C$3934,Table4[[#This Row],[customer_id]])</f>
        <v>8</v>
      </c>
      <c r="N2878" t="str">
        <f>IF(Table4[[#This Row],[customer_order_count]]=1,"New Customer","Repeat Customer")</f>
        <v>Repeat Customer</v>
      </c>
    </row>
    <row r="2879" spans="1:14">
      <c r="A2879" t="s">
        <v>2334</v>
      </c>
      <c r="B2879" s="1">
        <v>45545</v>
      </c>
      <c r="C2879" t="s">
        <v>1148</v>
      </c>
      <c r="D2879" t="s">
        <v>857</v>
      </c>
      <c r="E2879" t="s">
        <v>21</v>
      </c>
      <c r="F2879" t="s">
        <v>56</v>
      </c>
      <c r="G2879" t="s">
        <v>57</v>
      </c>
      <c r="H2879">
        <v>2</v>
      </c>
      <c r="I2879" s="3">
        <v>61.05</v>
      </c>
      <c r="J2879" t="s">
        <v>16</v>
      </c>
      <c r="K2879" t="s">
        <v>35</v>
      </c>
      <c r="L2879" s="4">
        <f>Table4[[#This Row],[quantity]]*Table4[[#This Row],[unit_price]]</f>
        <v>122.1</v>
      </c>
      <c r="M2879">
        <f>COUNTIFS($C$2:$C$3934,Table4[[#This Row],[customer_id]])</f>
        <v>8</v>
      </c>
      <c r="N2879" t="str">
        <f>IF(Table4[[#This Row],[customer_order_count]]=1,"New Customer","Repeat Customer")</f>
        <v>Repeat Customer</v>
      </c>
    </row>
    <row r="2880" spans="1:14">
      <c r="A2880" t="s">
        <v>3481</v>
      </c>
      <c r="B2880" s="1">
        <v>45426</v>
      </c>
      <c r="C2880" t="s">
        <v>1620</v>
      </c>
      <c r="D2880" t="s">
        <v>109</v>
      </c>
      <c r="E2880" t="s">
        <v>21</v>
      </c>
      <c r="F2880" t="s">
        <v>14</v>
      </c>
      <c r="G2880" t="s">
        <v>34</v>
      </c>
      <c r="H2880">
        <v>1</v>
      </c>
      <c r="I2880" s="3">
        <v>61.08</v>
      </c>
      <c r="J2880" t="s">
        <v>24</v>
      </c>
      <c r="K2880" t="s">
        <v>40</v>
      </c>
      <c r="L2880" s="4">
        <f>Table4[[#This Row],[quantity]]*Table4[[#This Row],[unit_price]]</f>
        <v>61.08</v>
      </c>
      <c r="M2880">
        <f>COUNTIFS($C$2:$C$3934,Table4[[#This Row],[customer_id]])</f>
        <v>5</v>
      </c>
      <c r="N2880" t="str">
        <f>IF(Table4[[#This Row],[customer_order_count]]=1,"New Customer","Repeat Customer")</f>
        <v>Repeat Customer</v>
      </c>
    </row>
    <row r="2881" spans="1:14">
      <c r="A2881" t="s">
        <v>468</v>
      </c>
      <c r="B2881" s="1">
        <v>45092</v>
      </c>
      <c r="C2881" t="s">
        <v>469</v>
      </c>
      <c r="D2881" t="s">
        <v>428</v>
      </c>
      <c r="E2881" t="s">
        <v>21</v>
      </c>
      <c r="F2881" t="s">
        <v>14</v>
      </c>
      <c r="G2881" t="s">
        <v>15</v>
      </c>
      <c r="H2881">
        <v>2</v>
      </c>
      <c r="I2881" s="3">
        <v>61.09</v>
      </c>
      <c r="J2881" t="s">
        <v>16</v>
      </c>
      <c r="K2881" t="s">
        <v>17</v>
      </c>
      <c r="L2881" s="4">
        <f>Table4[[#This Row],[quantity]]*Table4[[#This Row],[unit_price]]</f>
        <v>122.18</v>
      </c>
      <c r="M2881">
        <f>COUNTIFS($C$2:$C$3934,Table4[[#This Row],[customer_id]])</f>
        <v>8</v>
      </c>
      <c r="N2881" t="str">
        <f>IF(Table4[[#This Row],[customer_order_count]]=1,"New Customer","Repeat Customer")</f>
        <v>Repeat Customer</v>
      </c>
    </row>
    <row r="2882" spans="1:14">
      <c r="A2882" t="s">
        <v>1839</v>
      </c>
      <c r="B2882" s="1">
        <v>45257</v>
      </c>
      <c r="C2882" t="s">
        <v>1087</v>
      </c>
      <c r="D2882" t="s">
        <v>1088</v>
      </c>
      <c r="E2882" t="s">
        <v>61</v>
      </c>
      <c r="F2882" t="s">
        <v>56</v>
      </c>
      <c r="G2882" t="s">
        <v>153</v>
      </c>
      <c r="H2882">
        <v>2</v>
      </c>
      <c r="I2882" s="3">
        <v>61.2</v>
      </c>
      <c r="J2882" t="s">
        <v>16</v>
      </c>
      <c r="K2882" t="s">
        <v>40</v>
      </c>
      <c r="L2882" s="4">
        <f>Table4[[#This Row],[quantity]]*Table4[[#This Row],[unit_price]]</f>
        <v>122.4</v>
      </c>
      <c r="M2882">
        <f>COUNTIFS($C$2:$C$3934,Table4[[#This Row],[customer_id]])</f>
        <v>3</v>
      </c>
      <c r="N2882" t="str">
        <f>IF(Table4[[#This Row],[customer_order_count]]=1,"New Customer","Repeat Customer")</f>
        <v>Repeat Customer</v>
      </c>
    </row>
    <row r="2883" spans="1:14">
      <c r="A2883" t="s">
        <v>4533</v>
      </c>
      <c r="B2883" s="1">
        <v>45062</v>
      </c>
      <c r="C2883" t="s">
        <v>1146</v>
      </c>
      <c r="D2883" t="s">
        <v>347</v>
      </c>
      <c r="E2883" t="s">
        <v>21</v>
      </c>
      <c r="F2883" t="s">
        <v>56</v>
      </c>
      <c r="G2883" t="s">
        <v>57</v>
      </c>
      <c r="H2883">
        <v>1</v>
      </c>
      <c r="I2883" s="3">
        <v>61.21</v>
      </c>
      <c r="J2883" t="s">
        <v>16</v>
      </c>
      <c r="K2883" t="s">
        <v>30</v>
      </c>
      <c r="L2883" s="4">
        <f>Table4[[#This Row],[quantity]]*Table4[[#This Row],[unit_price]]</f>
        <v>61.21</v>
      </c>
      <c r="M2883">
        <f>COUNTIFS($C$2:$C$3934,Table4[[#This Row],[customer_id]])</f>
        <v>7</v>
      </c>
      <c r="N2883" t="str">
        <f>IF(Table4[[#This Row],[customer_order_count]]=1,"New Customer","Repeat Customer")</f>
        <v>Repeat Customer</v>
      </c>
    </row>
    <row r="2884" spans="1:14">
      <c r="A2884" t="s">
        <v>1132</v>
      </c>
      <c r="B2884" s="1">
        <v>45005</v>
      </c>
      <c r="C2884" t="s">
        <v>280</v>
      </c>
      <c r="D2884" t="s">
        <v>281</v>
      </c>
      <c r="E2884" t="s">
        <v>44</v>
      </c>
      <c r="F2884" t="s">
        <v>70</v>
      </c>
      <c r="G2884" t="s">
        <v>526</v>
      </c>
      <c r="H2884">
        <v>2</v>
      </c>
      <c r="I2884" s="3">
        <v>61.26</v>
      </c>
      <c r="J2884" t="s">
        <v>16</v>
      </c>
      <c r="K2884" t="s">
        <v>30</v>
      </c>
      <c r="L2884" s="4">
        <f>Table4[[#This Row],[quantity]]*Table4[[#This Row],[unit_price]]</f>
        <v>122.52</v>
      </c>
      <c r="M2884">
        <f>COUNTIFS($C$2:$C$3934,Table4[[#This Row],[customer_id]])</f>
        <v>6</v>
      </c>
      <c r="N2884" t="str">
        <f>IF(Table4[[#This Row],[customer_order_count]]=1,"New Customer","Repeat Customer")</f>
        <v>Repeat Customer</v>
      </c>
    </row>
    <row r="2885" spans="1:14">
      <c r="A2885" t="s">
        <v>1510</v>
      </c>
      <c r="B2885" s="1">
        <v>45334</v>
      </c>
      <c r="C2885" t="s">
        <v>1511</v>
      </c>
      <c r="D2885" t="s">
        <v>1080</v>
      </c>
      <c r="E2885" t="s">
        <v>44</v>
      </c>
      <c r="F2885" t="s">
        <v>79</v>
      </c>
      <c r="G2885" t="s">
        <v>80</v>
      </c>
      <c r="H2885">
        <v>2</v>
      </c>
      <c r="I2885" s="3">
        <v>61.31</v>
      </c>
      <c r="J2885" t="s">
        <v>16</v>
      </c>
      <c r="K2885" t="s">
        <v>17</v>
      </c>
      <c r="L2885" s="4">
        <f>Table4[[#This Row],[quantity]]*Table4[[#This Row],[unit_price]]</f>
        <v>122.62</v>
      </c>
      <c r="M2885">
        <f>COUNTIFS($C$2:$C$3934,Table4[[#This Row],[customer_id]])</f>
        <v>4</v>
      </c>
      <c r="N2885" t="str">
        <f>IF(Table4[[#This Row],[customer_order_count]]=1,"New Customer","Repeat Customer")</f>
        <v>Repeat Customer</v>
      </c>
    </row>
    <row r="2886" spans="1:14">
      <c r="A2886" t="s">
        <v>4661</v>
      </c>
      <c r="B2886" s="1">
        <v>45529</v>
      </c>
      <c r="C2886" t="s">
        <v>1786</v>
      </c>
      <c r="D2886" t="s">
        <v>1736</v>
      </c>
      <c r="E2886" t="s">
        <v>44</v>
      </c>
      <c r="F2886" t="s">
        <v>70</v>
      </c>
      <c r="G2886" t="s">
        <v>337</v>
      </c>
      <c r="H2886">
        <v>2</v>
      </c>
      <c r="I2886" s="3">
        <v>61.31</v>
      </c>
      <c r="J2886" t="s">
        <v>16</v>
      </c>
      <c r="K2886" t="s">
        <v>17</v>
      </c>
      <c r="L2886" s="4">
        <f>Table4[[#This Row],[quantity]]*Table4[[#This Row],[unit_price]]</f>
        <v>122.62</v>
      </c>
      <c r="M2886">
        <f>COUNTIFS($C$2:$C$3934,Table4[[#This Row],[customer_id]])</f>
        <v>6</v>
      </c>
      <c r="N2886" t="str">
        <f>IF(Table4[[#This Row],[customer_order_count]]=1,"New Customer","Repeat Customer")</f>
        <v>Repeat Customer</v>
      </c>
    </row>
    <row r="2887" spans="1:14">
      <c r="A2887" t="s">
        <v>5184</v>
      </c>
      <c r="B2887" s="1">
        <v>45307</v>
      </c>
      <c r="C2887" t="s">
        <v>102</v>
      </c>
      <c r="D2887" t="s">
        <v>484</v>
      </c>
      <c r="E2887" t="s">
        <v>21</v>
      </c>
      <c r="F2887" t="s">
        <v>14</v>
      </c>
      <c r="G2887" t="s">
        <v>34</v>
      </c>
      <c r="H2887">
        <v>2</v>
      </c>
      <c r="I2887" s="3">
        <v>61.32</v>
      </c>
      <c r="J2887" t="s">
        <v>16</v>
      </c>
      <c r="K2887" t="s">
        <v>17</v>
      </c>
      <c r="L2887" s="4">
        <f>Table4[[#This Row],[quantity]]*Table4[[#This Row],[unit_price]]</f>
        <v>122.64</v>
      </c>
      <c r="M2887">
        <f>COUNTIFS($C$2:$C$3934,Table4[[#This Row],[customer_id]])</f>
        <v>6</v>
      </c>
      <c r="N2887" t="str">
        <f>IF(Table4[[#This Row],[customer_order_count]]=1,"New Customer","Repeat Customer")</f>
        <v>Repeat Customer</v>
      </c>
    </row>
    <row r="2888" spans="1:14">
      <c r="A2888" t="s">
        <v>3579</v>
      </c>
      <c r="B2888" s="1">
        <v>45536</v>
      </c>
      <c r="C2888" t="s">
        <v>413</v>
      </c>
      <c r="D2888" t="s">
        <v>414</v>
      </c>
      <c r="E2888" t="s">
        <v>21</v>
      </c>
      <c r="F2888" t="s">
        <v>70</v>
      </c>
      <c r="G2888" t="s">
        <v>89</v>
      </c>
      <c r="H2888">
        <v>1</v>
      </c>
      <c r="I2888" s="3">
        <v>61.37</v>
      </c>
      <c r="J2888" t="s">
        <v>16</v>
      </c>
      <c r="K2888" t="s">
        <v>17</v>
      </c>
      <c r="L2888" s="4">
        <f>Table4[[#This Row],[quantity]]*Table4[[#This Row],[unit_price]]</f>
        <v>61.37</v>
      </c>
      <c r="M2888">
        <f>COUNTIFS($C$2:$C$3934,Table4[[#This Row],[customer_id]])</f>
        <v>8</v>
      </c>
      <c r="N2888" t="str">
        <f>IF(Table4[[#This Row],[customer_order_count]]=1,"New Customer","Repeat Customer")</f>
        <v>Repeat Customer</v>
      </c>
    </row>
    <row r="2889" spans="1:14">
      <c r="A2889" t="s">
        <v>5227</v>
      </c>
      <c r="B2889" s="1">
        <v>45646</v>
      </c>
      <c r="C2889" t="s">
        <v>1535</v>
      </c>
      <c r="D2889" t="s">
        <v>1264</v>
      </c>
      <c r="E2889" t="s">
        <v>21</v>
      </c>
      <c r="F2889" t="s">
        <v>70</v>
      </c>
      <c r="G2889" t="s">
        <v>526</v>
      </c>
      <c r="H2889">
        <v>1</v>
      </c>
      <c r="I2889" s="3">
        <v>61.42</v>
      </c>
      <c r="J2889" t="s">
        <v>16</v>
      </c>
      <c r="K2889" t="s">
        <v>35</v>
      </c>
      <c r="L2889" s="4">
        <f>Table4[[#This Row],[quantity]]*Table4[[#This Row],[unit_price]]</f>
        <v>61.42</v>
      </c>
      <c r="M2889">
        <f>COUNTIFS($C$2:$C$3934,Table4[[#This Row],[customer_id]])</f>
        <v>3</v>
      </c>
      <c r="N2889" t="str">
        <f>IF(Table4[[#This Row],[customer_order_count]]=1,"New Customer","Repeat Customer")</f>
        <v>Repeat Customer</v>
      </c>
    </row>
    <row r="2890" spans="1:14">
      <c r="A2890" t="s">
        <v>4868</v>
      </c>
      <c r="B2890" s="1">
        <v>45017</v>
      </c>
      <c r="C2890" t="s">
        <v>2639</v>
      </c>
      <c r="D2890" t="s">
        <v>1804</v>
      </c>
      <c r="E2890" t="s">
        <v>21</v>
      </c>
      <c r="F2890" t="s">
        <v>56</v>
      </c>
      <c r="G2890" t="s">
        <v>422</v>
      </c>
      <c r="H2890">
        <v>1</v>
      </c>
      <c r="I2890" s="3">
        <v>61.44</v>
      </c>
      <c r="J2890" t="s">
        <v>16</v>
      </c>
      <c r="K2890" t="s">
        <v>40</v>
      </c>
      <c r="L2890" s="4">
        <f>Table4[[#This Row],[quantity]]*Table4[[#This Row],[unit_price]]</f>
        <v>61.44</v>
      </c>
      <c r="M2890">
        <f>COUNTIFS($C$2:$C$3934,Table4[[#This Row],[customer_id]])</f>
        <v>2</v>
      </c>
      <c r="N2890" t="str">
        <f>IF(Table4[[#This Row],[customer_order_count]]=1,"New Customer","Repeat Customer")</f>
        <v>Repeat Customer</v>
      </c>
    </row>
    <row r="2891" spans="1:14">
      <c r="A2891" t="s">
        <v>4917</v>
      </c>
      <c r="B2891" s="1">
        <v>45229</v>
      </c>
      <c r="C2891" t="s">
        <v>890</v>
      </c>
      <c r="D2891" t="s">
        <v>891</v>
      </c>
      <c r="E2891" t="s">
        <v>21</v>
      </c>
      <c r="F2891" t="s">
        <v>14</v>
      </c>
      <c r="G2891" t="s">
        <v>258</v>
      </c>
      <c r="H2891">
        <v>1</v>
      </c>
      <c r="I2891" s="3">
        <v>61.44</v>
      </c>
      <c r="J2891" t="s">
        <v>16</v>
      </c>
      <c r="K2891" t="s">
        <v>40</v>
      </c>
      <c r="L2891" s="4">
        <f>Table4[[#This Row],[quantity]]*Table4[[#This Row],[unit_price]]</f>
        <v>61.44</v>
      </c>
      <c r="M2891">
        <f>COUNTIFS($C$2:$C$3934,Table4[[#This Row],[customer_id]])</f>
        <v>3</v>
      </c>
      <c r="N2891" t="str">
        <f>IF(Table4[[#This Row],[customer_order_count]]=1,"New Customer","Repeat Customer")</f>
        <v>Repeat Customer</v>
      </c>
    </row>
    <row r="2892" spans="1:14">
      <c r="A2892" t="s">
        <v>4380</v>
      </c>
      <c r="B2892" s="1">
        <v>45041</v>
      </c>
      <c r="C2892" t="s">
        <v>451</v>
      </c>
      <c r="D2892" t="s">
        <v>452</v>
      </c>
      <c r="E2892" t="s">
        <v>44</v>
      </c>
      <c r="F2892" t="s">
        <v>14</v>
      </c>
      <c r="G2892" t="s">
        <v>62</v>
      </c>
      <c r="H2892">
        <v>1</v>
      </c>
      <c r="I2892" s="3">
        <v>61.47</v>
      </c>
      <c r="J2892" t="s">
        <v>24</v>
      </c>
      <c r="K2892" t="s">
        <v>30</v>
      </c>
      <c r="L2892" s="4">
        <f>Table4[[#This Row],[quantity]]*Table4[[#This Row],[unit_price]]</f>
        <v>61.47</v>
      </c>
      <c r="M2892">
        <f>COUNTIFS($C$2:$C$3934,Table4[[#This Row],[customer_id]])</f>
        <v>8</v>
      </c>
      <c r="N2892" t="str">
        <f>IF(Table4[[#This Row],[customer_order_count]]=1,"New Customer","Repeat Customer")</f>
        <v>Repeat Customer</v>
      </c>
    </row>
    <row r="2893" spans="1:14">
      <c r="A2893" t="s">
        <v>4063</v>
      </c>
      <c r="B2893" s="1">
        <v>44999</v>
      </c>
      <c r="C2893" t="s">
        <v>4064</v>
      </c>
      <c r="D2893" t="s">
        <v>241</v>
      </c>
      <c r="E2893" t="s">
        <v>61</v>
      </c>
      <c r="F2893" t="s">
        <v>14</v>
      </c>
      <c r="G2893" t="s">
        <v>34</v>
      </c>
      <c r="H2893">
        <v>2</v>
      </c>
      <c r="I2893" s="3">
        <v>61.48</v>
      </c>
      <c r="J2893" t="s">
        <v>255</v>
      </c>
      <c r="K2893" t="s">
        <v>30</v>
      </c>
      <c r="L2893" s="4">
        <f>Table4[[#This Row],[quantity]]*Table4[[#This Row],[unit_price]]</f>
        <v>122.96</v>
      </c>
      <c r="M2893">
        <f>COUNTIFS($C$2:$C$3934,Table4[[#This Row],[customer_id]])</f>
        <v>4</v>
      </c>
      <c r="N2893" t="str">
        <f>IF(Table4[[#This Row],[customer_order_count]]=1,"New Customer","Repeat Customer")</f>
        <v>Repeat Customer</v>
      </c>
    </row>
    <row r="2894" spans="1:14">
      <c r="A2894" t="s">
        <v>2960</v>
      </c>
      <c r="B2894" s="1">
        <v>45566</v>
      </c>
      <c r="C2894" t="s">
        <v>1353</v>
      </c>
      <c r="D2894" t="s">
        <v>1057</v>
      </c>
      <c r="E2894" t="s">
        <v>21</v>
      </c>
      <c r="F2894" t="s">
        <v>56</v>
      </c>
      <c r="G2894" t="s">
        <v>75</v>
      </c>
      <c r="H2894">
        <v>1</v>
      </c>
      <c r="I2894" s="3">
        <v>61.57</v>
      </c>
      <c r="J2894" t="s">
        <v>16</v>
      </c>
      <c r="K2894" t="s">
        <v>17</v>
      </c>
      <c r="L2894" s="4">
        <f>Table4[[#This Row],[quantity]]*Table4[[#This Row],[unit_price]]</f>
        <v>61.57</v>
      </c>
      <c r="M2894">
        <f>COUNTIFS($C$2:$C$3934,Table4[[#This Row],[customer_id]])</f>
        <v>4</v>
      </c>
      <c r="N2894" t="str">
        <f>IF(Table4[[#This Row],[customer_order_count]]=1,"New Customer","Repeat Customer")</f>
        <v>Repeat Customer</v>
      </c>
    </row>
    <row r="2895" spans="1:14">
      <c r="A2895" t="s">
        <v>1519</v>
      </c>
      <c r="B2895" s="1">
        <v>45075</v>
      </c>
      <c r="C2895" t="s">
        <v>893</v>
      </c>
      <c r="D2895" t="s">
        <v>659</v>
      </c>
      <c r="E2895" t="s">
        <v>21</v>
      </c>
      <c r="F2895" t="s">
        <v>79</v>
      </c>
      <c r="G2895" t="s">
        <v>166</v>
      </c>
      <c r="H2895">
        <v>2</v>
      </c>
      <c r="I2895" s="3">
        <v>61.65</v>
      </c>
      <c r="J2895" t="s">
        <v>16</v>
      </c>
      <c r="K2895" t="s">
        <v>40</v>
      </c>
      <c r="L2895" s="4">
        <f>Table4[[#This Row],[quantity]]*Table4[[#This Row],[unit_price]]</f>
        <v>123.3</v>
      </c>
      <c r="M2895">
        <f>COUNTIFS($C$2:$C$3934,Table4[[#This Row],[customer_id]])</f>
        <v>12</v>
      </c>
      <c r="N2895" t="str">
        <f>IF(Table4[[#This Row],[customer_order_count]]=1,"New Customer","Repeat Customer")</f>
        <v>Repeat Customer</v>
      </c>
    </row>
    <row r="2896" spans="1:14">
      <c r="A2896" t="s">
        <v>4943</v>
      </c>
      <c r="B2896" s="1">
        <v>45537</v>
      </c>
      <c r="C2896" t="s">
        <v>2077</v>
      </c>
      <c r="D2896" t="s">
        <v>2078</v>
      </c>
      <c r="E2896" t="s">
        <v>21</v>
      </c>
      <c r="F2896" t="s">
        <v>56</v>
      </c>
      <c r="G2896" t="s">
        <v>210</v>
      </c>
      <c r="H2896">
        <v>1</v>
      </c>
      <c r="I2896" s="3">
        <v>61.68</v>
      </c>
      <c r="J2896" t="s">
        <v>16</v>
      </c>
      <c r="K2896" t="s">
        <v>35</v>
      </c>
      <c r="L2896" s="4">
        <f>Table4[[#This Row],[quantity]]*Table4[[#This Row],[unit_price]]</f>
        <v>61.68</v>
      </c>
      <c r="M2896">
        <f>COUNTIFS($C$2:$C$3934,Table4[[#This Row],[customer_id]])</f>
        <v>3</v>
      </c>
      <c r="N2896" t="str">
        <f>IF(Table4[[#This Row],[customer_order_count]]=1,"New Customer","Repeat Customer")</f>
        <v>Repeat Customer</v>
      </c>
    </row>
    <row r="2897" spans="1:14">
      <c r="A2897" t="s">
        <v>1810</v>
      </c>
      <c r="B2897" s="1">
        <v>45321</v>
      </c>
      <c r="C2897" t="s">
        <v>1811</v>
      </c>
      <c r="D2897" t="s">
        <v>672</v>
      </c>
      <c r="E2897" t="s">
        <v>44</v>
      </c>
      <c r="F2897" t="s">
        <v>79</v>
      </c>
      <c r="G2897" t="s">
        <v>398</v>
      </c>
      <c r="H2897">
        <v>1</v>
      </c>
      <c r="I2897" s="3">
        <v>61.79</v>
      </c>
      <c r="J2897" t="s">
        <v>24</v>
      </c>
      <c r="K2897" t="s">
        <v>35</v>
      </c>
      <c r="L2897" s="4">
        <f>Table4[[#This Row],[quantity]]*Table4[[#This Row],[unit_price]]</f>
        <v>61.79</v>
      </c>
      <c r="M2897">
        <f>COUNTIFS($C$2:$C$3934,Table4[[#This Row],[customer_id]])</f>
        <v>2</v>
      </c>
      <c r="N2897" t="str">
        <f>IF(Table4[[#This Row],[customer_order_count]]=1,"New Customer","Repeat Customer")</f>
        <v>Repeat Customer</v>
      </c>
    </row>
    <row r="2898" spans="1:14">
      <c r="A2898" t="s">
        <v>4295</v>
      </c>
      <c r="B2898" s="1">
        <v>45594</v>
      </c>
      <c r="C2898" t="s">
        <v>3122</v>
      </c>
      <c r="D2898" t="s">
        <v>1832</v>
      </c>
      <c r="E2898" t="s">
        <v>61</v>
      </c>
      <c r="F2898" t="s">
        <v>79</v>
      </c>
      <c r="G2898" t="s">
        <v>96</v>
      </c>
      <c r="H2898">
        <v>1</v>
      </c>
      <c r="I2898" s="3">
        <v>61.83</v>
      </c>
      <c r="J2898" t="s">
        <v>24</v>
      </c>
      <c r="K2898" t="s">
        <v>17</v>
      </c>
      <c r="L2898" s="4">
        <f>Table4[[#This Row],[quantity]]*Table4[[#This Row],[unit_price]]</f>
        <v>61.83</v>
      </c>
      <c r="M2898">
        <f>COUNTIFS($C$2:$C$3934,Table4[[#This Row],[customer_id]])</f>
        <v>4</v>
      </c>
      <c r="N2898" t="str">
        <f>IF(Table4[[#This Row],[customer_order_count]]=1,"New Customer","Repeat Customer")</f>
        <v>Repeat Customer</v>
      </c>
    </row>
    <row r="2899" spans="1:14">
      <c r="A2899" t="s">
        <v>5039</v>
      </c>
      <c r="B2899" s="1">
        <v>45289</v>
      </c>
      <c r="C2899" t="s">
        <v>737</v>
      </c>
      <c r="D2899" t="s">
        <v>612</v>
      </c>
      <c r="E2899" t="s">
        <v>21</v>
      </c>
      <c r="F2899" t="s">
        <v>56</v>
      </c>
      <c r="G2899" t="s">
        <v>153</v>
      </c>
      <c r="H2899">
        <v>1</v>
      </c>
      <c r="I2899" s="3">
        <v>61.86</v>
      </c>
      <c r="J2899" t="s">
        <v>16</v>
      </c>
      <c r="K2899" t="s">
        <v>30</v>
      </c>
      <c r="L2899" s="4">
        <f>Table4[[#This Row],[quantity]]*Table4[[#This Row],[unit_price]]</f>
        <v>61.86</v>
      </c>
      <c r="M2899">
        <f>COUNTIFS($C$2:$C$3934,Table4[[#This Row],[customer_id]])</f>
        <v>5</v>
      </c>
      <c r="N2899" t="str">
        <f>IF(Table4[[#This Row],[customer_order_count]]=1,"New Customer","Repeat Customer")</f>
        <v>Repeat Customer</v>
      </c>
    </row>
    <row r="2900" spans="1:14">
      <c r="A2900" t="s">
        <v>2745</v>
      </c>
      <c r="B2900" s="1">
        <v>45100</v>
      </c>
      <c r="C2900" t="s">
        <v>1024</v>
      </c>
      <c r="D2900" t="s">
        <v>881</v>
      </c>
      <c r="E2900" t="s">
        <v>21</v>
      </c>
      <c r="F2900" t="s">
        <v>14</v>
      </c>
      <c r="G2900" t="s">
        <v>62</v>
      </c>
      <c r="H2900">
        <v>1</v>
      </c>
      <c r="I2900" s="3">
        <v>61.9</v>
      </c>
      <c r="J2900" t="s">
        <v>16</v>
      </c>
      <c r="K2900" t="s">
        <v>35</v>
      </c>
      <c r="L2900" s="4">
        <f>Table4[[#This Row],[quantity]]*Table4[[#This Row],[unit_price]]</f>
        <v>61.9</v>
      </c>
      <c r="M2900">
        <f>COUNTIFS($C$2:$C$3934,Table4[[#This Row],[customer_id]])</f>
        <v>6</v>
      </c>
      <c r="N2900" t="str">
        <f>IF(Table4[[#This Row],[customer_order_count]]=1,"New Customer","Repeat Customer")</f>
        <v>Repeat Customer</v>
      </c>
    </row>
    <row r="2901" spans="1:14">
      <c r="A2901" t="s">
        <v>3572</v>
      </c>
      <c r="B2901" s="1">
        <v>45245</v>
      </c>
      <c r="C2901" t="s">
        <v>2037</v>
      </c>
      <c r="D2901" t="s">
        <v>740</v>
      </c>
      <c r="E2901" t="s">
        <v>21</v>
      </c>
      <c r="F2901" t="s">
        <v>14</v>
      </c>
      <c r="G2901" t="s">
        <v>34</v>
      </c>
      <c r="H2901">
        <v>1</v>
      </c>
      <c r="I2901" s="3">
        <v>61.96</v>
      </c>
      <c r="J2901" t="s">
        <v>24</v>
      </c>
      <c r="K2901" t="s">
        <v>35</v>
      </c>
      <c r="L2901" s="4">
        <f>Table4[[#This Row],[quantity]]*Table4[[#This Row],[unit_price]]</f>
        <v>61.96</v>
      </c>
      <c r="M2901">
        <f>COUNTIFS($C$2:$C$3934,Table4[[#This Row],[customer_id]])</f>
        <v>5</v>
      </c>
      <c r="N2901" t="str">
        <f>IF(Table4[[#This Row],[customer_order_count]]=1,"New Customer","Repeat Customer")</f>
        <v>Repeat Customer</v>
      </c>
    </row>
    <row r="2902" spans="1:14">
      <c r="A2902" t="s">
        <v>2713</v>
      </c>
      <c r="B2902" s="1">
        <v>44970</v>
      </c>
      <c r="C2902" t="s">
        <v>2086</v>
      </c>
      <c r="D2902" t="s">
        <v>650</v>
      </c>
      <c r="E2902" t="s">
        <v>44</v>
      </c>
      <c r="F2902" t="s">
        <v>56</v>
      </c>
      <c r="G2902" t="s">
        <v>422</v>
      </c>
      <c r="H2902">
        <v>4</v>
      </c>
      <c r="I2902" s="3">
        <v>61.99</v>
      </c>
      <c r="J2902" t="s">
        <v>16</v>
      </c>
      <c r="K2902" t="s">
        <v>30</v>
      </c>
      <c r="L2902" s="4">
        <f>Table4[[#This Row],[quantity]]*Table4[[#This Row],[unit_price]]</f>
        <v>247.96</v>
      </c>
      <c r="M2902">
        <f>COUNTIFS($C$2:$C$3934,Table4[[#This Row],[customer_id]])</f>
        <v>7</v>
      </c>
      <c r="N2902" t="str">
        <f>IF(Table4[[#This Row],[customer_order_count]]=1,"New Customer","Repeat Customer")</f>
        <v>Repeat Customer</v>
      </c>
    </row>
    <row r="2903" spans="1:14">
      <c r="A2903" t="s">
        <v>2082</v>
      </c>
      <c r="B2903" s="1">
        <v>45182</v>
      </c>
      <c r="C2903" t="s">
        <v>2083</v>
      </c>
      <c r="D2903" t="s">
        <v>2084</v>
      </c>
      <c r="E2903" t="s">
        <v>44</v>
      </c>
      <c r="F2903" t="s">
        <v>14</v>
      </c>
      <c r="G2903" t="s">
        <v>39</v>
      </c>
      <c r="H2903">
        <v>1</v>
      </c>
      <c r="I2903" s="3">
        <v>62.08</v>
      </c>
      <c r="J2903" t="s">
        <v>16</v>
      </c>
      <c r="K2903" t="s">
        <v>17</v>
      </c>
      <c r="L2903" s="4">
        <f>Table4[[#This Row],[quantity]]*Table4[[#This Row],[unit_price]]</f>
        <v>62.08</v>
      </c>
      <c r="M2903">
        <f>COUNTIFS($C$2:$C$3934,Table4[[#This Row],[customer_id]])</f>
        <v>2</v>
      </c>
      <c r="N2903" t="str">
        <f>IF(Table4[[#This Row],[customer_order_count]]=1,"New Customer","Repeat Customer")</f>
        <v>Repeat Customer</v>
      </c>
    </row>
    <row r="2904" spans="1:14">
      <c r="A2904" t="s">
        <v>2672</v>
      </c>
      <c r="B2904" s="1">
        <v>45597</v>
      </c>
      <c r="C2904" t="s">
        <v>274</v>
      </c>
      <c r="D2904" t="s">
        <v>275</v>
      </c>
      <c r="E2904" t="s">
        <v>21</v>
      </c>
      <c r="F2904" t="s">
        <v>14</v>
      </c>
      <c r="G2904" t="s">
        <v>62</v>
      </c>
      <c r="H2904">
        <v>2</v>
      </c>
      <c r="I2904" s="3">
        <v>62.08</v>
      </c>
      <c r="J2904" t="s">
        <v>16</v>
      </c>
      <c r="K2904" t="s">
        <v>30</v>
      </c>
      <c r="L2904" s="4">
        <f>Table4[[#This Row],[quantity]]*Table4[[#This Row],[unit_price]]</f>
        <v>124.16</v>
      </c>
      <c r="M2904">
        <f>COUNTIFS($C$2:$C$3934,Table4[[#This Row],[customer_id]])</f>
        <v>3</v>
      </c>
      <c r="N2904" t="str">
        <f>IF(Table4[[#This Row],[customer_order_count]]=1,"New Customer","Repeat Customer")</f>
        <v>Repeat Customer</v>
      </c>
    </row>
    <row r="2905" spans="1:14">
      <c r="A2905" t="s">
        <v>751</v>
      </c>
      <c r="B2905" s="1">
        <v>45171</v>
      </c>
      <c r="C2905" t="s">
        <v>752</v>
      </c>
      <c r="D2905" t="s">
        <v>452</v>
      </c>
      <c r="E2905" t="s">
        <v>21</v>
      </c>
      <c r="F2905" t="s">
        <v>56</v>
      </c>
      <c r="G2905" t="s">
        <v>254</v>
      </c>
      <c r="H2905">
        <v>2</v>
      </c>
      <c r="I2905" s="3">
        <v>62.11</v>
      </c>
      <c r="J2905" t="s">
        <v>24</v>
      </c>
      <c r="K2905" t="s">
        <v>17</v>
      </c>
      <c r="L2905" s="4">
        <f>Table4[[#This Row],[quantity]]*Table4[[#This Row],[unit_price]]</f>
        <v>124.22</v>
      </c>
      <c r="M2905">
        <f>COUNTIFS($C$2:$C$3934,Table4[[#This Row],[customer_id]])</f>
        <v>7</v>
      </c>
      <c r="N2905" t="str">
        <f>IF(Table4[[#This Row],[customer_order_count]]=1,"New Customer","Repeat Customer")</f>
        <v>Repeat Customer</v>
      </c>
    </row>
    <row r="2906" spans="1:14">
      <c r="A2906" t="s">
        <v>3909</v>
      </c>
      <c r="B2906" s="1">
        <v>45145</v>
      </c>
      <c r="C2906" t="s">
        <v>3910</v>
      </c>
      <c r="D2906" t="s">
        <v>1348</v>
      </c>
      <c r="E2906" t="s">
        <v>21</v>
      </c>
      <c r="F2906" t="s">
        <v>56</v>
      </c>
      <c r="G2906" t="s">
        <v>254</v>
      </c>
      <c r="H2906">
        <v>1</v>
      </c>
      <c r="I2906" s="3">
        <v>62.15</v>
      </c>
      <c r="J2906" t="s">
        <v>16</v>
      </c>
      <c r="K2906" t="s">
        <v>40</v>
      </c>
      <c r="L2906" s="4">
        <f>Table4[[#This Row],[quantity]]*Table4[[#This Row],[unit_price]]</f>
        <v>62.15</v>
      </c>
      <c r="M2906">
        <f>COUNTIFS($C$2:$C$3934,Table4[[#This Row],[customer_id]])</f>
        <v>2</v>
      </c>
      <c r="N2906" t="str">
        <f>IF(Table4[[#This Row],[customer_order_count]]=1,"New Customer","Repeat Customer")</f>
        <v>Repeat Customer</v>
      </c>
    </row>
    <row r="2907" spans="1:14">
      <c r="A2907" t="s">
        <v>3594</v>
      </c>
      <c r="B2907" s="1">
        <v>45031</v>
      </c>
      <c r="C2907" t="s">
        <v>886</v>
      </c>
      <c r="D2907" t="s">
        <v>887</v>
      </c>
      <c r="E2907" t="s">
        <v>21</v>
      </c>
      <c r="F2907" t="s">
        <v>14</v>
      </c>
      <c r="G2907" t="s">
        <v>34</v>
      </c>
      <c r="H2907">
        <v>5</v>
      </c>
      <c r="I2907" s="3">
        <v>62.15</v>
      </c>
      <c r="J2907" t="s">
        <v>85</v>
      </c>
      <c r="K2907" t="s">
        <v>40</v>
      </c>
      <c r="L2907" s="4">
        <f>Table4[[#This Row],[quantity]]*Table4[[#This Row],[unit_price]]</f>
        <v>310.75</v>
      </c>
      <c r="M2907">
        <f>COUNTIFS($C$2:$C$3934,Table4[[#This Row],[customer_id]])</f>
        <v>4</v>
      </c>
      <c r="N2907" t="str">
        <f>IF(Table4[[#This Row],[customer_order_count]]=1,"New Customer","Repeat Customer")</f>
        <v>Repeat Customer</v>
      </c>
    </row>
    <row r="2908" spans="1:14">
      <c r="A2908" t="s">
        <v>2440</v>
      </c>
      <c r="B2908" s="1">
        <v>45234</v>
      </c>
      <c r="C2908" t="s">
        <v>2272</v>
      </c>
      <c r="D2908" t="s">
        <v>299</v>
      </c>
      <c r="E2908" t="s">
        <v>21</v>
      </c>
      <c r="F2908" t="s">
        <v>70</v>
      </c>
      <c r="G2908" t="s">
        <v>337</v>
      </c>
      <c r="H2908">
        <v>3</v>
      </c>
      <c r="I2908" s="3">
        <v>62.25</v>
      </c>
      <c r="J2908" t="s">
        <v>16</v>
      </c>
      <c r="K2908" t="s">
        <v>30</v>
      </c>
      <c r="L2908" s="4">
        <f>Table4[[#This Row],[quantity]]*Table4[[#This Row],[unit_price]]</f>
        <v>186.75</v>
      </c>
      <c r="M2908">
        <f>COUNTIFS($C$2:$C$3934,Table4[[#This Row],[customer_id]])</f>
        <v>2</v>
      </c>
      <c r="N2908" t="str">
        <f>IF(Table4[[#This Row],[customer_order_count]]=1,"New Customer","Repeat Customer")</f>
        <v>Repeat Customer</v>
      </c>
    </row>
    <row r="2909" spans="1:14">
      <c r="A2909" t="s">
        <v>945</v>
      </c>
      <c r="B2909" s="1">
        <v>44954</v>
      </c>
      <c r="C2909" t="s">
        <v>946</v>
      </c>
      <c r="D2909" t="s">
        <v>947</v>
      </c>
      <c r="E2909" t="s">
        <v>21</v>
      </c>
      <c r="F2909" t="s">
        <v>70</v>
      </c>
      <c r="G2909" t="s">
        <v>146</v>
      </c>
      <c r="H2909">
        <v>1</v>
      </c>
      <c r="I2909" s="3">
        <v>62.28</v>
      </c>
      <c r="J2909" t="s">
        <v>255</v>
      </c>
      <c r="K2909" t="s">
        <v>30</v>
      </c>
      <c r="L2909" s="4">
        <f>Table4[[#This Row],[quantity]]*Table4[[#This Row],[unit_price]]</f>
        <v>62.28</v>
      </c>
      <c r="M2909">
        <f>COUNTIFS($C$2:$C$3934,Table4[[#This Row],[customer_id]])</f>
        <v>4</v>
      </c>
      <c r="N2909" t="str">
        <f>IF(Table4[[#This Row],[customer_order_count]]=1,"New Customer","Repeat Customer")</f>
        <v>Repeat Customer</v>
      </c>
    </row>
    <row r="2910" spans="1:14">
      <c r="A2910" t="s">
        <v>4193</v>
      </c>
      <c r="B2910" s="1">
        <v>45546</v>
      </c>
      <c r="C2910" t="s">
        <v>151</v>
      </c>
      <c r="D2910" t="s">
        <v>152</v>
      </c>
      <c r="E2910" t="s">
        <v>21</v>
      </c>
      <c r="F2910" t="s">
        <v>70</v>
      </c>
      <c r="G2910" t="s">
        <v>110</v>
      </c>
      <c r="H2910">
        <v>1</v>
      </c>
      <c r="I2910" s="3">
        <v>62.58</v>
      </c>
      <c r="J2910" t="s">
        <v>16</v>
      </c>
      <c r="K2910" t="s">
        <v>30</v>
      </c>
      <c r="L2910" s="4">
        <f>Table4[[#This Row],[quantity]]*Table4[[#This Row],[unit_price]]</f>
        <v>62.58</v>
      </c>
      <c r="M2910">
        <f>COUNTIFS($C$2:$C$3934,Table4[[#This Row],[customer_id]])</f>
        <v>3</v>
      </c>
      <c r="N2910" t="str">
        <f>IF(Table4[[#This Row],[customer_order_count]]=1,"New Customer","Repeat Customer")</f>
        <v>Repeat Customer</v>
      </c>
    </row>
    <row r="2911" spans="1:14">
      <c r="A2911" t="s">
        <v>3258</v>
      </c>
      <c r="B2911" s="1">
        <v>45058</v>
      </c>
      <c r="C2911" t="s">
        <v>747</v>
      </c>
      <c r="D2911" s="2" t="s">
        <v>5257</v>
      </c>
      <c r="E2911" t="s">
        <v>61</v>
      </c>
      <c r="F2911" t="s">
        <v>14</v>
      </c>
      <c r="G2911" t="s">
        <v>100</v>
      </c>
      <c r="H2911">
        <v>1</v>
      </c>
      <c r="I2911" s="3">
        <v>62.6</v>
      </c>
      <c r="J2911" t="s">
        <v>16</v>
      </c>
      <c r="K2911" t="s">
        <v>30</v>
      </c>
      <c r="L2911" s="4">
        <f>Table4[[#This Row],[quantity]]*Table4[[#This Row],[unit_price]]</f>
        <v>62.6</v>
      </c>
      <c r="M2911">
        <f>COUNTIFS($C$2:$C$3934,Table4[[#This Row],[customer_id]])</f>
        <v>4</v>
      </c>
      <c r="N2911" t="str">
        <f>IF(Table4[[#This Row],[customer_order_count]]=1,"New Customer","Repeat Customer")</f>
        <v>Repeat Customer</v>
      </c>
    </row>
    <row r="2912" spans="1:14">
      <c r="A2912" t="s">
        <v>3741</v>
      </c>
      <c r="B2912" s="1">
        <v>45457</v>
      </c>
      <c r="C2912" t="s">
        <v>2214</v>
      </c>
      <c r="D2912" s="5" t="s">
        <v>2215</v>
      </c>
      <c r="E2912" t="s">
        <v>21</v>
      </c>
      <c r="F2912" t="s">
        <v>14</v>
      </c>
      <c r="G2912" t="s">
        <v>62</v>
      </c>
      <c r="H2912">
        <v>1</v>
      </c>
      <c r="I2912" s="3">
        <v>62.61</v>
      </c>
      <c r="J2912" t="s">
        <v>16</v>
      </c>
      <c r="K2912" t="s">
        <v>30</v>
      </c>
      <c r="L2912" s="4">
        <f>Table4[[#This Row],[quantity]]*Table4[[#This Row],[unit_price]]</f>
        <v>62.61</v>
      </c>
      <c r="M2912">
        <f>COUNTIFS($C$2:$C$3934,Table4[[#This Row],[customer_id]])</f>
        <v>5</v>
      </c>
      <c r="N2912" t="str">
        <f>IF(Table4[[#This Row],[customer_order_count]]=1,"New Customer","Repeat Customer")</f>
        <v>Repeat Customer</v>
      </c>
    </row>
    <row r="2913" spans="1:14">
      <c r="A2913" t="s">
        <v>5117</v>
      </c>
      <c r="B2913" s="1">
        <v>45113</v>
      </c>
      <c r="C2913" t="s">
        <v>2110</v>
      </c>
      <c r="D2913" t="s">
        <v>2111</v>
      </c>
      <c r="E2913" t="s">
        <v>21</v>
      </c>
      <c r="F2913" t="s">
        <v>70</v>
      </c>
      <c r="G2913" t="s">
        <v>146</v>
      </c>
      <c r="H2913">
        <v>1</v>
      </c>
      <c r="I2913" s="3">
        <v>62.67</v>
      </c>
      <c r="J2913" t="s">
        <v>16</v>
      </c>
      <c r="K2913" t="s">
        <v>35</v>
      </c>
      <c r="L2913" s="4">
        <f>Table4[[#This Row],[quantity]]*Table4[[#This Row],[unit_price]]</f>
        <v>62.67</v>
      </c>
      <c r="M2913">
        <f>COUNTIFS($C$2:$C$3934,Table4[[#This Row],[customer_id]])</f>
        <v>5</v>
      </c>
      <c r="N2913" t="str">
        <f>IF(Table4[[#This Row],[customer_order_count]]=1,"New Customer","Repeat Customer")</f>
        <v>Repeat Customer</v>
      </c>
    </row>
    <row r="2914" spans="1:14">
      <c r="A2914" t="s">
        <v>4604</v>
      </c>
      <c r="B2914" s="1">
        <v>45005</v>
      </c>
      <c r="C2914" t="s">
        <v>1977</v>
      </c>
      <c r="D2914" t="s">
        <v>491</v>
      </c>
      <c r="E2914" t="s">
        <v>44</v>
      </c>
      <c r="F2914" t="s">
        <v>56</v>
      </c>
      <c r="G2914" t="s">
        <v>153</v>
      </c>
      <c r="H2914">
        <v>5</v>
      </c>
      <c r="I2914" s="3">
        <v>62.7</v>
      </c>
      <c r="J2914" t="s">
        <v>16</v>
      </c>
      <c r="K2914" t="s">
        <v>17</v>
      </c>
      <c r="L2914" s="4">
        <f>Table4[[#This Row],[quantity]]*Table4[[#This Row],[unit_price]]</f>
        <v>313.5</v>
      </c>
      <c r="M2914">
        <f>COUNTIFS($C$2:$C$3934,Table4[[#This Row],[customer_id]])</f>
        <v>3</v>
      </c>
      <c r="N2914" t="str">
        <f>IF(Table4[[#This Row],[customer_order_count]]=1,"New Customer","Repeat Customer")</f>
        <v>Repeat Customer</v>
      </c>
    </row>
    <row r="2915" spans="1:14">
      <c r="A2915" t="s">
        <v>107</v>
      </c>
      <c r="B2915" s="1">
        <v>45495</v>
      </c>
      <c r="C2915" t="s">
        <v>108</v>
      </c>
      <c r="D2915" t="s">
        <v>109</v>
      </c>
      <c r="E2915" t="s">
        <v>106</v>
      </c>
      <c r="F2915" t="s">
        <v>70</v>
      </c>
      <c r="G2915" t="s">
        <v>110</v>
      </c>
      <c r="H2915">
        <v>4</v>
      </c>
      <c r="I2915" s="3">
        <v>62.83</v>
      </c>
      <c r="J2915" t="s">
        <v>16</v>
      </c>
      <c r="K2915" t="s">
        <v>35</v>
      </c>
      <c r="L2915" s="4">
        <f>Table4[[#This Row],[quantity]]*Table4[[#This Row],[unit_price]]</f>
        <v>251.32</v>
      </c>
      <c r="M2915">
        <f>COUNTIFS($C$2:$C$3934,Table4[[#This Row],[customer_id]])</f>
        <v>4</v>
      </c>
      <c r="N2915" t="str">
        <f>IF(Table4[[#This Row],[customer_order_count]]=1,"New Customer","Repeat Customer")</f>
        <v>Repeat Customer</v>
      </c>
    </row>
    <row r="2916" spans="1:14">
      <c r="A2916" t="s">
        <v>2073</v>
      </c>
      <c r="B2916" s="1">
        <v>45338</v>
      </c>
      <c r="C2916" t="s">
        <v>604</v>
      </c>
      <c r="D2916" t="s">
        <v>38</v>
      </c>
      <c r="E2916" t="s">
        <v>21</v>
      </c>
      <c r="F2916" t="s">
        <v>70</v>
      </c>
      <c r="G2916" t="s">
        <v>110</v>
      </c>
      <c r="H2916">
        <v>1</v>
      </c>
      <c r="I2916" s="3">
        <v>62.9</v>
      </c>
      <c r="J2916" t="s">
        <v>16</v>
      </c>
      <c r="K2916" t="s">
        <v>17</v>
      </c>
      <c r="L2916" s="4">
        <f>Table4[[#This Row],[quantity]]*Table4[[#This Row],[unit_price]]</f>
        <v>62.9</v>
      </c>
      <c r="M2916">
        <f>COUNTIFS($C$2:$C$3934,Table4[[#This Row],[customer_id]])</f>
        <v>7</v>
      </c>
      <c r="N2916" t="str">
        <f>IF(Table4[[#This Row],[customer_order_count]]=1,"New Customer","Repeat Customer")</f>
        <v>Repeat Customer</v>
      </c>
    </row>
    <row r="2917" spans="1:14">
      <c r="A2917" t="s">
        <v>3713</v>
      </c>
      <c r="B2917" s="1">
        <v>45210</v>
      </c>
      <c r="C2917" t="s">
        <v>1585</v>
      </c>
      <c r="D2917" t="s">
        <v>48</v>
      </c>
      <c r="E2917" t="s">
        <v>44</v>
      </c>
      <c r="F2917" t="s">
        <v>79</v>
      </c>
      <c r="G2917" t="s">
        <v>541</v>
      </c>
      <c r="H2917">
        <v>1</v>
      </c>
      <c r="I2917" s="3">
        <v>62.9</v>
      </c>
      <c r="J2917" t="s">
        <v>16</v>
      </c>
      <c r="K2917" t="s">
        <v>35</v>
      </c>
      <c r="L2917" s="4">
        <f>Table4[[#This Row],[quantity]]*Table4[[#This Row],[unit_price]]</f>
        <v>62.9</v>
      </c>
      <c r="M2917">
        <f>COUNTIFS($C$2:$C$3934,Table4[[#This Row],[customer_id]])</f>
        <v>4</v>
      </c>
      <c r="N2917" t="str">
        <f>IF(Table4[[#This Row],[customer_order_count]]=1,"New Customer","Repeat Customer")</f>
        <v>Repeat Customer</v>
      </c>
    </row>
    <row r="2918" spans="1:14">
      <c r="A2918" t="s">
        <v>2775</v>
      </c>
      <c r="B2918" s="1">
        <v>45512</v>
      </c>
      <c r="C2918" t="s">
        <v>379</v>
      </c>
      <c r="D2918" t="s">
        <v>380</v>
      </c>
      <c r="E2918" t="s">
        <v>44</v>
      </c>
      <c r="F2918" t="s">
        <v>70</v>
      </c>
      <c r="G2918" t="s">
        <v>170</v>
      </c>
      <c r="H2918">
        <v>2</v>
      </c>
      <c r="I2918" s="3">
        <v>62.91</v>
      </c>
      <c r="J2918" t="s">
        <v>16</v>
      </c>
      <c r="K2918" t="s">
        <v>17</v>
      </c>
      <c r="L2918" s="4">
        <f>Table4[[#This Row],[quantity]]*Table4[[#This Row],[unit_price]]</f>
        <v>125.82</v>
      </c>
      <c r="M2918">
        <f>COUNTIFS($C$2:$C$3934,Table4[[#This Row],[customer_id]])</f>
        <v>7</v>
      </c>
      <c r="N2918" t="str">
        <f>IF(Table4[[#This Row],[customer_order_count]]=1,"New Customer","Repeat Customer")</f>
        <v>Repeat Customer</v>
      </c>
    </row>
    <row r="2919" spans="1:14">
      <c r="A2919" t="s">
        <v>5005</v>
      </c>
      <c r="B2919" s="1">
        <v>44948</v>
      </c>
      <c r="C2919" t="s">
        <v>2144</v>
      </c>
      <c r="D2919" t="s">
        <v>27</v>
      </c>
      <c r="E2919" t="s">
        <v>21</v>
      </c>
      <c r="F2919" t="s">
        <v>56</v>
      </c>
      <c r="G2919" t="s">
        <v>422</v>
      </c>
      <c r="H2919">
        <v>1</v>
      </c>
      <c r="I2919" s="3">
        <v>62.92</v>
      </c>
      <c r="J2919" t="s">
        <v>16</v>
      </c>
      <c r="K2919" t="s">
        <v>40</v>
      </c>
      <c r="L2919" s="4">
        <f>Table4[[#This Row],[quantity]]*Table4[[#This Row],[unit_price]]</f>
        <v>62.92</v>
      </c>
      <c r="M2919">
        <f>COUNTIFS($C$2:$C$3934,Table4[[#This Row],[customer_id]])</f>
        <v>10</v>
      </c>
      <c r="N2919" t="str">
        <f>IF(Table4[[#This Row],[customer_order_count]]=1,"New Customer","Repeat Customer")</f>
        <v>Repeat Customer</v>
      </c>
    </row>
    <row r="2920" spans="1:14">
      <c r="A2920" t="s">
        <v>1465</v>
      </c>
      <c r="B2920" s="1">
        <v>45652</v>
      </c>
      <c r="C2920" t="s">
        <v>285</v>
      </c>
      <c r="D2920" s="2" t="s">
        <v>5257</v>
      </c>
      <c r="E2920" t="s">
        <v>21</v>
      </c>
      <c r="F2920" t="s">
        <v>70</v>
      </c>
      <c r="G2920" t="s">
        <v>110</v>
      </c>
      <c r="H2920">
        <v>1</v>
      </c>
      <c r="I2920" s="3">
        <v>62.93</v>
      </c>
      <c r="J2920" t="s">
        <v>16</v>
      </c>
      <c r="K2920" t="s">
        <v>30</v>
      </c>
      <c r="L2920" s="4">
        <f>Table4[[#This Row],[quantity]]*Table4[[#This Row],[unit_price]]</f>
        <v>62.93</v>
      </c>
      <c r="M2920">
        <f>COUNTIFS($C$2:$C$3934,Table4[[#This Row],[customer_id]])</f>
        <v>9</v>
      </c>
      <c r="N2920" t="str">
        <f>IF(Table4[[#This Row],[customer_order_count]]=1,"New Customer","Repeat Customer")</f>
        <v>Repeat Customer</v>
      </c>
    </row>
    <row r="2921" spans="1:14">
      <c r="A2921" t="s">
        <v>843</v>
      </c>
      <c r="B2921" s="1">
        <v>45114</v>
      </c>
      <c r="C2921" t="s">
        <v>844</v>
      </c>
      <c r="D2921" s="5" t="s">
        <v>20</v>
      </c>
      <c r="E2921" t="s">
        <v>61</v>
      </c>
      <c r="F2921" t="s">
        <v>56</v>
      </c>
      <c r="G2921" t="s">
        <v>210</v>
      </c>
      <c r="H2921">
        <v>2</v>
      </c>
      <c r="I2921" s="3">
        <v>63</v>
      </c>
      <c r="J2921" t="s">
        <v>16</v>
      </c>
      <c r="K2921" t="s">
        <v>17</v>
      </c>
      <c r="L2921" s="4">
        <f>Table4[[#This Row],[quantity]]*Table4[[#This Row],[unit_price]]</f>
        <v>126</v>
      </c>
      <c r="M2921">
        <f>COUNTIFS($C$2:$C$3934,Table4[[#This Row],[customer_id]])</f>
        <v>5</v>
      </c>
      <c r="N2921" t="str">
        <f>IF(Table4[[#This Row],[customer_order_count]]=1,"New Customer","Repeat Customer")</f>
        <v>Repeat Customer</v>
      </c>
    </row>
    <row r="2922" spans="1:14">
      <c r="A2922" t="s">
        <v>1982</v>
      </c>
      <c r="B2922" s="1">
        <v>45084</v>
      </c>
      <c r="C2922" t="s">
        <v>274</v>
      </c>
      <c r="D2922" t="s">
        <v>275</v>
      </c>
      <c r="E2922" t="s">
        <v>21</v>
      </c>
      <c r="F2922" t="s">
        <v>14</v>
      </c>
      <c r="G2922" t="s">
        <v>34</v>
      </c>
      <c r="H2922">
        <v>3</v>
      </c>
      <c r="I2922" s="3">
        <v>63.04</v>
      </c>
      <c r="J2922" t="s">
        <v>24</v>
      </c>
      <c r="K2922" t="s">
        <v>30</v>
      </c>
      <c r="L2922" s="4">
        <f>Table4[[#This Row],[quantity]]*Table4[[#This Row],[unit_price]]</f>
        <v>189.12</v>
      </c>
      <c r="M2922">
        <f>COUNTIFS($C$2:$C$3934,Table4[[#This Row],[customer_id]])</f>
        <v>3</v>
      </c>
      <c r="N2922" t="str">
        <f>IF(Table4[[#This Row],[customer_order_count]]=1,"New Customer","Repeat Customer")</f>
        <v>Repeat Customer</v>
      </c>
    </row>
    <row r="2923" spans="1:14">
      <c r="A2923" t="s">
        <v>2986</v>
      </c>
      <c r="B2923" s="1">
        <v>45531</v>
      </c>
      <c r="C2923" t="s">
        <v>1472</v>
      </c>
      <c r="D2923" t="s">
        <v>1473</v>
      </c>
      <c r="E2923" t="s">
        <v>21</v>
      </c>
      <c r="F2923" t="s">
        <v>79</v>
      </c>
      <c r="G2923" t="s">
        <v>96</v>
      </c>
      <c r="H2923">
        <v>1</v>
      </c>
      <c r="I2923" s="3">
        <v>63.09</v>
      </c>
      <c r="J2923" t="s">
        <v>16</v>
      </c>
      <c r="K2923" t="s">
        <v>17</v>
      </c>
      <c r="L2923" s="4">
        <f>Table4[[#This Row],[quantity]]*Table4[[#This Row],[unit_price]]</f>
        <v>63.09</v>
      </c>
      <c r="M2923">
        <f>COUNTIFS($C$2:$C$3934,Table4[[#This Row],[customer_id]])</f>
        <v>5</v>
      </c>
      <c r="N2923" t="str">
        <f>IF(Table4[[#This Row],[customer_order_count]]=1,"New Customer","Repeat Customer")</f>
        <v>Repeat Customer</v>
      </c>
    </row>
    <row r="2924" spans="1:14">
      <c r="A2924" t="s">
        <v>4273</v>
      </c>
      <c r="B2924" s="1">
        <v>45414</v>
      </c>
      <c r="C2924" t="s">
        <v>431</v>
      </c>
      <c r="D2924" t="s">
        <v>432</v>
      </c>
      <c r="E2924" t="s">
        <v>21</v>
      </c>
      <c r="F2924" t="s">
        <v>79</v>
      </c>
      <c r="G2924" t="s">
        <v>230</v>
      </c>
      <c r="H2924">
        <v>1</v>
      </c>
      <c r="I2924" s="3">
        <v>63.17</v>
      </c>
      <c r="J2924" t="s">
        <v>16</v>
      </c>
      <c r="K2924" t="s">
        <v>30</v>
      </c>
      <c r="L2924" s="4">
        <f>Table4[[#This Row],[quantity]]*Table4[[#This Row],[unit_price]]</f>
        <v>63.17</v>
      </c>
      <c r="M2924">
        <f>COUNTIFS($C$2:$C$3934,Table4[[#This Row],[customer_id]])</f>
        <v>7</v>
      </c>
      <c r="N2924" t="str">
        <f>IF(Table4[[#This Row],[customer_order_count]]=1,"New Customer","Repeat Customer")</f>
        <v>Repeat Customer</v>
      </c>
    </row>
    <row r="2925" spans="1:14">
      <c r="A2925" t="s">
        <v>2060</v>
      </c>
      <c r="B2925" s="1">
        <v>44950</v>
      </c>
      <c r="C2925" t="s">
        <v>1827</v>
      </c>
      <c r="D2925" t="s">
        <v>1828</v>
      </c>
      <c r="E2925" t="s">
        <v>21</v>
      </c>
      <c r="F2925" t="s">
        <v>79</v>
      </c>
      <c r="G2925" t="s">
        <v>200</v>
      </c>
      <c r="H2925">
        <v>1</v>
      </c>
      <c r="I2925" s="3">
        <v>63.23</v>
      </c>
      <c r="J2925" t="s">
        <v>16</v>
      </c>
      <c r="K2925" t="s">
        <v>35</v>
      </c>
      <c r="L2925" s="4">
        <f>Table4[[#This Row],[quantity]]*Table4[[#This Row],[unit_price]]</f>
        <v>63.23</v>
      </c>
      <c r="M2925">
        <f>COUNTIFS($C$2:$C$3934,Table4[[#This Row],[customer_id]])</f>
        <v>4</v>
      </c>
      <c r="N2925" t="str">
        <f>IF(Table4[[#This Row],[customer_order_count]]=1,"New Customer","Repeat Customer")</f>
        <v>Repeat Customer</v>
      </c>
    </row>
    <row r="2926" spans="1:14">
      <c r="A2926" t="s">
        <v>2664</v>
      </c>
      <c r="B2926" s="1">
        <v>45489</v>
      </c>
      <c r="C2926" t="s">
        <v>1968</v>
      </c>
      <c r="D2926" t="s">
        <v>292</v>
      </c>
      <c r="E2926" t="s">
        <v>21</v>
      </c>
      <c r="F2926" t="s">
        <v>70</v>
      </c>
      <c r="G2926" t="s">
        <v>89</v>
      </c>
      <c r="H2926">
        <v>4</v>
      </c>
      <c r="I2926" s="3">
        <v>63.24</v>
      </c>
      <c r="J2926" t="s">
        <v>16</v>
      </c>
      <c r="K2926" t="s">
        <v>17</v>
      </c>
      <c r="L2926" s="4">
        <f>Table4[[#This Row],[quantity]]*Table4[[#This Row],[unit_price]]</f>
        <v>252.96</v>
      </c>
      <c r="M2926">
        <f>COUNTIFS($C$2:$C$3934,Table4[[#This Row],[customer_id]])</f>
        <v>6</v>
      </c>
      <c r="N2926" t="str">
        <f>IF(Table4[[#This Row],[customer_order_count]]=1,"New Customer","Repeat Customer")</f>
        <v>Repeat Customer</v>
      </c>
    </row>
    <row r="2927" spans="1:14">
      <c r="A2927" t="s">
        <v>2390</v>
      </c>
      <c r="B2927" s="1">
        <v>45587</v>
      </c>
      <c r="C2927" t="s">
        <v>2222</v>
      </c>
      <c r="D2927" t="s">
        <v>372</v>
      </c>
      <c r="E2927" t="s">
        <v>61</v>
      </c>
      <c r="F2927" t="s">
        <v>56</v>
      </c>
      <c r="G2927" t="s">
        <v>118</v>
      </c>
      <c r="H2927">
        <v>4</v>
      </c>
      <c r="I2927" s="3">
        <v>63.44</v>
      </c>
      <c r="J2927" t="s">
        <v>16</v>
      </c>
      <c r="K2927" t="s">
        <v>35</v>
      </c>
      <c r="L2927" s="4">
        <f>Table4[[#This Row],[quantity]]*Table4[[#This Row],[unit_price]]</f>
        <v>253.76</v>
      </c>
      <c r="M2927">
        <f>COUNTIFS($C$2:$C$3934,Table4[[#This Row],[customer_id]])</f>
        <v>3</v>
      </c>
      <c r="N2927" t="str">
        <f>IF(Table4[[#This Row],[customer_order_count]]=1,"New Customer","Repeat Customer")</f>
        <v>Repeat Customer</v>
      </c>
    </row>
    <row r="2928" spans="1:14">
      <c r="A2928" t="s">
        <v>4901</v>
      </c>
      <c r="B2928" s="1">
        <v>45108</v>
      </c>
      <c r="C2928" t="s">
        <v>1808</v>
      </c>
      <c r="D2928" t="s">
        <v>124</v>
      </c>
      <c r="E2928" t="s">
        <v>21</v>
      </c>
      <c r="F2928" t="s">
        <v>14</v>
      </c>
      <c r="G2928" t="s">
        <v>39</v>
      </c>
      <c r="H2928">
        <v>1</v>
      </c>
      <c r="I2928" s="3">
        <v>63.46</v>
      </c>
      <c r="J2928" t="s">
        <v>16</v>
      </c>
      <c r="K2928" t="s">
        <v>35</v>
      </c>
      <c r="L2928" s="4">
        <f>Table4[[#This Row],[quantity]]*Table4[[#This Row],[unit_price]]</f>
        <v>63.46</v>
      </c>
      <c r="M2928">
        <f>COUNTIFS($C$2:$C$3934,Table4[[#This Row],[customer_id]])</f>
        <v>4</v>
      </c>
      <c r="N2928" t="str">
        <f>IF(Table4[[#This Row],[customer_order_count]]=1,"New Customer","Repeat Customer")</f>
        <v>Repeat Customer</v>
      </c>
    </row>
    <row r="2929" spans="1:14">
      <c r="A2929" t="s">
        <v>3760</v>
      </c>
      <c r="B2929" s="1">
        <v>45593</v>
      </c>
      <c r="C2929" t="s">
        <v>518</v>
      </c>
      <c r="D2929" t="s">
        <v>519</v>
      </c>
      <c r="E2929" t="s">
        <v>21</v>
      </c>
      <c r="F2929" t="s">
        <v>70</v>
      </c>
      <c r="G2929" t="s">
        <v>110</v>
      </c>
      <c r="H2929">
        <v>1</v>
      </c>
      <c r="I2929" s="3">
        <v>63.46</v>
      </c>
      <c r="J2929" t="s">
        <v>16</v>
      </c>
      <c r="K2929" t="s">
        <v>17</v>
      </c>
      <c r="L2929" s="4">
        <f>Table4[[#This Row],[quantity]]*Table4[[#This Row],[unit_price]]</f>
        <v>63.46</v>
      </c>
      <c r="M2929">
        <f>COUNTIFS($C$2:$C$3934,Table4[[#This Row],[customer_id]])</f>
        <v>7</v>
      </c>
      <c r="N2929" t="str">
        <f>IF(Table4[[#This Row],[customer_order_count]]=1,"New Customer","Repeat Customer")</f>
        <v>Repeat Customer</v>
      </c>
    </row>
    <row r="2930" spans="1:14">
      <c r="A2930" t="s">
        <v>3046</v>
      </c>
      <c r="B2930" s="1">
        <v>45204</v>
      </c>
      <c r="C2930" t="s">
        <v>364</v>
      </c>
      <c r="D2930" t="s">
        <v>365</v>
      </c>
      <c r="E2930" t="s">
        <v>21</v>
      </c>
      <c r="F2930" t="s">
        <v>79</v>
      </c>
      <c r="G2930" t="s">
        <v>80</v>
      </c>
      <c r="H2930">
        <v>3</v>
      </c>
      <c r="I2930" s="3">
        <v>63.47</v>
      </c>
      <c r="J2930" t="s">
        <v>16</v>
      </c>
      <c r="K2930" s="2" t="s">
        <v>5256</v>
      </c>
      <c r="L2930" s="4">
        <f>Table4[[#This Row],[quantity]]*Table4[[#This Row],[unit_price]]</f>
        <v>190.41</v>
      </c>
      <c r="M2930">
        <f>COUNTIFS($C$2:$C$3934,Table4[[#This Row],[customer_id]])</f>
        <v>6</v>
      </c>
      <c r="N2930" t="str">
        <f>IF(Table4[[#This Row],[customer_order_count]]=1,"New Customer","Repeat Customer")</f>
        <v>Repeat Customer</v>
      </c>
    </row>
    <row r="2931" spans="1:14">
      <c r="A2931" t="s">
        <v>5081</v>
      </c>
      <c r="B2931" s="1">
        <v>45332</v>
      </c>
      <c r="C2931" t="s">
        <v>1817</v>
      </c>
      <c r="D2931" t="s">
        <v>1818</v>
      </c>
      <c r="E2931" t="s">
        <v>61</v>
      </c>
      <c r="F2931" t="s">
        <v>79</v>
      </c>
      <c r="G2931" t="s">
        <v>80</v>
      </c>
      <c r="H2931">
        <v>1</v>
      </c>
      <c r="I2931" s="3">
        <v>63.49</v>
      </c>
      <c r="J2931" t="s">
        <v>16</v>
      </c>
      <c r="K2931" s="5" t="s">
        <v>30</v>
      </c>
      <c r="L2931" s="4">
        <f>Table4[[#This Row],[quantity]]*Table4[[#This Row],[unit_price]]</f>
        <v>63.49</v>
      </c>
      <c r="M2931">
        <f>COUNTIFS($C$2:$C$3934,Table4[[#This Row],[customer_id]])</f>
        <v>4</v>
      </c>
      <c r="N2931" t="str">
        <f>IF(Table4[[#This Row],[customer_order_count]]=1,"New Customer","Repeat Customer")</f>
        <v>Repeat Customer</v>
      </c>
    </row>
    <row r="2932" spans="1:14">
      <c r="A2932" t="s">
        <v>5127</v>
      </c>
      <c r="B2932" s="1">
        <v>45403</v>
      </c>
      <c r="C2932" t="s">
        <v>3412</v>
      </c>
      <c r="D2932" t="s">
        <v>3413</v>
      </c>
      <c r="E2932" t="s">
        <v>21</v>
      </c>
      <c r="F2932" t="s">
        <v>14</v>
      </c>
      <c r="G2932" t="s">
        <v>39</v>
      </c>
      <c r="H2932">
        <v>1</v>
      </c>
      <c r="I2932" s="3">
        <v>63.54</v>
      </c>
      <c r="J2932" t="s">
        <v>85</v>
      </c>
      <c r="K2932" t="s">
        <v>17</v>
      </c>
      <c r="L2932" s="4">
        <f>Table4[[#This Row],[quantity]]*Table4[[#This Row],[unit_price]]</f>
        <v>63.54</v>
      </c>
      <c r="M2932">
        <f>COUNTIFS($C$2:$C$3934,Table4[[#This Row],[customer_id]])</f>
        <v>6</v>
      </c>
      <c r="N2932" t="str">
        <f>IF(Table4[[#This Row],[customer_order_count]]=1,"New Customer","Repeat Customer")</f>
        <v>Repeat Customer</v>
      </c>
    </row>
    <row r="2933" spans="1:14">
      <c r="A2933" t="s">
        <v>4253</v>
      </c>
      <c r="B2933" s="1">
        <v>44936</v>
      </c>
      <c r="C2933" t="s">
        <v>1449</v>
      </c>
      <c r="D2933" s="2" t="s">
        <v>5257</v>
      </c>
      <c r="E2933" t="s">
        <v>21</v>
      </c>
      <c r="F2933" t="s">
        <v>70</v>
      </c>
      <c r="G2933" t="s">
        <v>170</v>
      </c>
      <c r="H2933">
        <v>2</v>
      </c>
      <c r="I2933" s="3">
        <v>63.58</v>
      </c>
      <c r="J2933" t="s">
        <v>16</v>
      </c>
      <c r="K2933" t="s">
        <v>35</v>
      </c>
      <c r="L2933" s="4">
        <f>Table4[[#This Row],[quantity]]*Table4[[#This Row],[unit_price]]</f>
        <v>127.16</v>
      </c>
      <c r="M2933">
        <f>COUNTIFS($C$2:$C$3934,Table4[[#This Row],[customer_id]])</f>
        <v>4</v>
      </c>
      <c r="N2933" t="str">
        <f>IF(Table4[[#This Row],[customer_order_count]]=1,"New Customer","Repeat Customer")</f>
        <v>Repeat Customer</v>
      </c>
    </row>
    <row r="2934" spans="1:14">
      <c r="A2934" t="s">
        <v>2258</v>
      </c>
      <c r="B2934" s="1">
        <v>45652</v>
      </c>
      <c r="C2934" t="s">
        <v>822</v>
      </c>
      <c r="D2934" s="5" t="s">
        <v>496</v>
      </c>
      <c r="E2934" t="s">
        <v>21</v>
      </c>
      <c r="F2934" t="s">
        <v>14</v>
      </c>
      <c r="G2934" t="s">
        <v>15</v>
      </c>
      <c r="H2934">
        <v>4</v>
      </c>
      <c r="I2934" s="3">
        <v>63.62</v>
      </c>
      <c r="J2934" t="s">
        <v>16</v>
      </c>
      <c r="K2934" t="s">
        <v>40</v>
      </c>
      <c r="L2934" s="4">
        <f>Table4[[#This Row],[quantity]]*Table4[[#This Row],[unit_price]]</f>
        <v>254.48</v>
      </c>
      <c r="M2934">
        <f>COUNTIFS($C$2:$C$3934,Table4[[#This Row],[customer_id]])</f>
        <v>6</v>
      </c>
      <c r="N2934" t="str">
        <f>IF(Table4[[#This Row],[customer_order_count]]=1,"New Customer","Repeat Customer")</f>
        <v>Repeat Customer</v>
      </c>
    </row>
    <row r="2935" spans="1:14">
      <c r="A2935" t="s">
        <v>3213</v>
      </c>
      <c r="B2935" s="1">
        <v>44950</v>
      </c>
      <c r="C2935" t="s">
        <v>606</v>
      </c>
      <c r="D2935" t="s">
        <v>269</v>
      </c>
      <c r="E2935" t="s">
        <v>61</v>
      </c>
      <c r="F2935" t="s">
        <v>14</v>
      </c>
      <c r="G2935" t="s">
        <v>34</v>
      </c>
      <c r="H2935">
        <v>3</v>
      </c>
      <c r="I2935" s="3">
        <v>63.72</v>
      </c>
      <c r="J2935" t="s">
        <v>24</v>
      </c>
      <c r="K2935" t="s">
        <v>40</v>
      </c>
      <c r="L2935" s="4">
        <f>Table4[[#This Row],[quantity]]*Table4[[#This Row],[unit_price]]</f>
        <v>191.16</v>
      </c>
      <c r="M2935">
        <f>COUNTIFS($C$2:$C$3934,Table4[[#This Row],[customer_id]])</f>
        <v>6</v>
      </c>
      <c r="N2935" t="str">
        <f>IF(Table4[[#This Row],[customer_order_count]]=1,"New Customer","Repeat Customer")</f>
        <v>Repeat Customer</v>
      </c>
    </row>
    <row r="2936" spans="1:14">
      <c r="A2936" t="s">
        <v>3233</v>
      </c>
      <c r="B2936" s="1">
        <v>45348</v>
      </c>
      <c r="C2936" t="s">
        <v>3234</v>
      </c>
      <c r="D2936" t="s">
        <v>43</v>
      </c>
      <c r="E2936" t="s">
        <v>21</v>
      </c>
      <c r="F2936" t="s">
        <v>79</v>
      </c>
      <c r="G2936" t="s">
        <v>230</v>
      </c>
      <c r="H2936">
        <v>1</v>
      </c>
      <c r="I2936" s="3">
        <v>63.76</v>
      </c>
      <c r="J2936" t="s">
        <v>16</v>
      </c>
      <c r="K2936" t="s">
        <v>30</v>
      </c>
      <c r="L2936" s="4">
        <f>Table4[[#This Row],[quantity]]*Table4[[#This Row],[unit_price]]</f>
        <v>63.76</v>
      </c>
      <c r="M2936">
        <f>COUNTIFS($C$2:$C$3934,Table4[[#This Row],[customer_id]])</f>
        <v>4</v>
      </c>
      <c r="N2936" t="str">
        <f>IF(Table4[[#This Row],[customer_order_count]]=1,"New Customer","Repeat Customer")</f>
        <v>Repeat Customer</v>
      </c>
    </row>
    <row r="2937" spans="1:14">
      <c r="A2937" t="s">
        <v>2894</v>
      </c>
      <c r="B2937" s="1">
        <v>45035</v>
      </c>
      <c r="C2937" t="s">
        <v>413</v>
      </c>
      <c r="D2937" t="s">
        <v>414</v>
      </c>
      <c r="E2937" t="s">
        <v>21</v>
      </c>
      <c r="F2937" t="s">
        <v>14</v>
      </c>
      <c r="G2937" t="s">
        <v>62</v>
      </c>
      <c r="H2937">
        <v>2</v>
      </c>
      <c r="I2937" s="3">
        <v>63.86</v>
      </c>
      <c r="J2937" t="s">
        <v>85</v>
      </c>
      <c r="K2937" t="s">
        <v>17</v>
      </c>
      <c r="L2937" s="4">
        <f>Table4[[#This Row],[quantity]]*Table4[[#This Row],[unit_price]]</f>
        <v>127.72</v>
      </c>
      <c r="M2937">
        <f>COUNTIFS($C$2:$C$3934,Table4[[#This Row],[customer_id]])</f>
        <v>8</v>
      </c>
      <c r="N2937" t="str">
        <f>IF(Table4[[#This Row],[customer_order_count]]=1,"New Customer","Repeat Customer")</f>
        <v>Repeat Customer</v>
      </c>
    </row>
    <row r="2938" spans="1:14">
      <c r="A2938" t="s">
        <v>5054</v>
      </c>
      <c r="B2938" s="1">
        <v>45244</v>
      </c>
      <c r="C2938" t="s">
        <v>1222</v>
      </c>
      <c r="D2938" t="s">
        <v>229</v>
      </c>
      <c r="E2938" t="s">
        <v>21</v>
      </c>
      <c r="F2938" t="s">
        <v>56</v>
      </c>
      <c r="G2938" t="s">
        <v>422</v>
      </c>
      <c r="H2938">
        <v>1</v>
      </c>
      <c r="I2938" s="3">
        <v>63.918390804597685</v>
      </c>
      <c r="J2938" t="s">
        <v>16</v>
      </c>
      <c r="K2938" t="s">
        <v>35</v>
      </c>
      <c r="L2938" s="4">
        <f>Table4[[#This Row],[quantity]]*Table4[[#This Row],[unit_price]]</f>
        <v>63.918390804597685</v>
      </c>
      <c r="M2938">
        <f>COUNTIFS($C$2:$C$3934,Table4[[#This Row],[customer_id]])</f>
        <v>4</v>
      </c>
      <c r="N2938" t="str">
        <f>IF(Table4[[#This Row],[customer_order_count]]=1,"New Customer","Repeat Customer")</f>
        <v>Repeat Customer</v>
      </c>
    </row>
    <row r="2939" spans="1:14">
      <c r="A2939" t="s">
        <v>1615</v>
      </c>
      <c r="B2939" s="1">
        <v>45547</v>
      </c>
      <c r="C2939" t="s">
        <v>1616</v>
      </c>
      <c r="D2939" t="s">
        <v>544</v>
      </c>
      <c r="E2939" t="s">
        <v>21</v>
      </c>
      <c r="F2939" t="s">
        <v>56</v>
      </c>
      <c r="G2939" t="s">
        <v>422</v>
      </c>
      <c r="H2939">
        <v>1</v>
      </c>
      <c r="I2939" s="3">
        <v>63.918390804597685</v>
      </c>
      <c r="J2939" t="s">
        <v>255</v>
      </c>
      <c r="K2939" t="s">
        <v>30</v>
      </c>
      <c r="L2939" s="4">
        <f>Table4[[#This Row],[quantity]]*Table4[[#This Row],[unit_price]]</f>
        <v>63.918390804597685</v>
      </c>
      <c r="M2939">
        <f>COUNTIFS($C$2:$C$3934,Table4[[#This Row],[customer_id]])</f>
        <v>5</v>
      </c>
      <c r="N2939" t="str">
        <f>IF(Table4[[#This Row],[customer_order_count]]=1,"New Customer","Repeat Customer")</f>
        <v>Repeat Customer</v>
      </c>
    </row>
    <row r="2940" spans="1:14">
      <c r="A2940" t="s">
        <v>3501</v>
      </c>
      <c r="B2940" s="1">
        <v>45192</v>
      </c>
      <c r="C2940" t="s">
        <v>164</v>
      </c>
      <c r="D2940" t="s">
        <v>165</v>
      </c>
      <c r="E2940" t="s">
        <v>44</v>
      </c>
      <c r="F2940" t="s">
        <v>56</v>
      </c>
      <c r="G2940" t="s">
        <v>422</v>
      </c>
      <c r="H2940">
        <v>1</v>
      </c>
      <c r="I2940" s="3">
        <v>63.918390804597685</v>
      </c>
      <c r="J2940" t="s">
        <v>16</v>
      </c>
      <c r="K2940" t="s">
        <v>40</v>
      </c>
      <c r="L2940" s="4">
        <f>Table4[[#This Row],[quantity]]*Table4[[#This Row],[unit_price]]</f>
        <v>63.918390804597685</v>
      </c>
      <c r="M2940">
        <f>COUNTIFS($C$2:$C$3934,Table4[[#This Row],[customer_id]])</f>
        <v>6</v>
      </c>
      <c r="N2940" t="str">
        <f>IF(Table4[[#This Row],[customer_order_count]]=1,"New Customer","Repeat Customer")</f>
        <v>Repeat Customer</v>
      </c>
    </row>
    <row r="2941" spans="1:14">
      <c r="A2941" t="s">
        <v>3282</v>
      </c>
      <c r="B2941" s="1">
        <v>45092</v>
      </c>
      <c r="C2941" t="s">
        <v>907</v>
      </c>
      <c r="D2941" t="s">
        <v>275</v>
      </c>
      <c r="E2941" t="s">
        <v>21</v>
      </c>
      <c r="F2941" t="s">
        <v>56</v>
      </c>
      <c r="G2941" t="s">
        <v>210</v>
      </c>
      <c r="H2941">
        <v>4</v>
      </c>
      <c r="I2941" s="3">
        <v>63.94</v>
      </c>
      <c r="J2941" t="s">
        <v>24</v>
      </c>
      <c r="K2941" t="s">
        <v>40</v>
      </c>
      <c r="L2941" s="4">
        <f>Table4[[#This Row],[quantity]]*Table4[[#This Row],[unit_price]]</f>
        <v>255.76</v>
      </c>
      <c r="M2941">
        <f>COUNTIFS($C$2:$C$3934,Table4[[#This Row],[customer_id]])</f>
        <v>4</v>
      </c>
      <c r="N2941" t="str">
        <f>IF(Table4[[#This Row],[customer_order_count]]=1,"New Customer","Repeat Customer")</f>
        <v>Repeat Customer</v>
      </c>
    </row>
    <row r="2942" spans="1:14">
      <c r="A2942" t="s">
        <v>896</v>
      </c>
      <c r="B2942" s="1">
        <v>44938</v>
      </c>
      <c r="C2942" t="s">
        <v>897</v>
      </c>
      <c r="D2942" t="s">
        <v>831</v>
      </c>
      <c r="E2942" t="s">
        <v>21</v>
      </c>
      <c r="F2942" t="s">
        <v>56</v>
      </c>
      <c r="G2942" t="s">
        <v>422</v>
      </c>
      <c r="H2942">
        <v>1</v>
      </c>
      <c r="I2942" s="3">
        <v>63.99</v>
      </c>
      <c r="J2942" t="s">
        <v>85</v>
      </c>
      <c r="K2942" t="s">
        <v>17</v>
      </c>
      <c r="L2942" s="4">
        <f>Table4[[#This Row],[quantity]]*Table4[[#This Row],[unit_price]]</f>
        <v>63.99</v>
      </c>
      <c r="M2942">
        <f>COUNTIFS($C$2:$C$3934,Table4[[#This Row],[customer_id]])</f>
        <v>6</v>
      </c>
      <c r="N2942" t="str">
        <f>IF(Table4[[#This Row],[customer_order_count]]=1,"New Customer","Repeat Customer")</f>
        <v>Repeat Customer</v>
      </c>
    </row>
    <row r="2943" spans="1:14">
      <c r="A2943" t="s">
        <v>3254</v>
      </c>
      <c r="B2943" s="1">
        <v>45475</v>
      </c>
      <c r="C2943" t="s">
        <v>771</v>
      </c>
      <c r="D2943" t="s">
        <v>772</v>
      </c>
      <c r="E2943" t="s">
        <v>21</v>
      </c>
      <c r="F2943" t="s">
        <v>14</v>
      </c>
      <c r="G2943" t="s">
        <v>39</v>
      </c>
      <c r="H2943">
        <v>3</v>
      </c>
      <c r="I2943" s="3">
        <v>64.06</v>
      </c>
      <c r="J2943" t="s">
        <v>16</v>
      </c>
      <c r="K2943" t="s">
        <v>35</v>
      </c>
      <c r="L2943" s="4">
        <f>Table4[[#This Row],[quantity]]*Table4[[#This Row],[unit_price]]</f>
        <v>192.18</v>
      </c>
      <c r="M2943">
        <f>COUNTIFS($C$2:$C$3934,Table4[[#This Row],[customer_id]])</f>
        <v>5</v>
      </c>
      <c r="N2943" t="str">
        <f>IF(Table4[[#This Row],[customer_order_count]]=1,"New Customer","Repeat Customer")</f>
        <v>Repeat Customer</v>
      </c>
    </row>
    <row r="2944" spans="1:14">
      <c r="A2944" t="s">
        <v>970</v>
      </c>
      <c r="B2944" s="1">
        <v>45179</v>
      </c>
      <c r="C2944" t="s">
        <v>971</v>
      </c>
      <c r="D2944" t="s">
        <v>569</v>
      </c>
      <c r="E2944" t="s">
        <v>21</v>
      </c>
      <c r="F2944" t="s">
        <v>70</v>
      </c>
      <c r="G2944" t="s">
        <v>146</v>
      </c>
      <c r="H2944">
        <v>2</v>
      </c>
      <c r="I2944" s="3">
        <v>64.09</v>
      </c>
      <c r="J2944" t="s">
        <v>16</v>
      </c>
      <c r="K2944" t="s">
        <v>40</v>
      </c>
      <c r="L2944" s="4">
        <f>Table4[[#This Row],[quantity]]*Table4[[#This Row],[unit_price]]</f>
        <v>128.18</v>
      </c>
      <c r="M2944">
        <f>COUNTIFS($C$2:$C$3934,Table4[[#This Row],[customer_id]])</f>
        <v>7</v>
      </c>
      <c r="N2944" t="str">
        <f>IF(Table4[[#This Row],[customer_order_count]]=1,"New Customer","Repeat Customer")</f>
        <v>Repeat Customer</v>
      </c>
    </row>
    <row r="2945" spans="1:14">
      <c r="A2945" t="s">
        <v>5234</v>
      </c>
      <c r="B2945" s="1">
        <v>45169</v>
      </c>
      <c r="C2945" t="s">
        <v>2086</v>
      </c>
      <c r="D2945" t="s">
        <v>650</v>
      </c>
      <c r="E2945" t="s">
        <v>44</v>
      </c>
      <c r="F2945" t="s">
        <v>14</v>
      </c>
      <c r="G2945" t="s">
        <v>62</v>
      </c>
      <c r="H2945">
        <v>1</v>
      </c>
      <c r="I2945" s="3">
        <v>64.099999999999994</v>
      </c>
      <c r="J2945" t="s">
        <v>16</v>
      </c>
      <c r="K2945" t="s">
        <v>35</v>
      </c>
      <c r="L2945" s="4">
        <f>Table4[[#This Row],[quantity]]*Table4[[#This Row],[unit_price]]</f>
        <v>64.099999999999994</v>
      </c>
      <c r="M2945">
        <f>COUNTIFS($C$2:$C$3934,Table4[[#This Row],[customer_id]])</f>
        <v>7</v>
      </c>
      <c r="N2945" t="str">
        <f>IF(Table4[[#This Row],[customer_order_count]]=1,"New Customer","Repeat Customer")</f>
        <v>Repeat Customer</v>
      </c>
    </row>
    <row r="2946" spans="1:14">
      <c r="A2946" t="s">
        <v>3454</v>
      </c>
      <c r="B2946" s="1">
        <v>44992</v>
      </c>
      <c r="C2946" t="s">
        <v>252</v>
      </c>
      <c r="D2946" t="s">
        <v>253</v>
      </c>
      <c r="E2946" t="s">
        <v>44</v>
      </c>
      <c r="F2946" t="s">
        <v>14</v>
      </c>
      <c r="G2946" t="s">
        <v>62</v>
      </c>
      <c r="H2946">
        <v>2</v>
      </c>
      <c r="I2946" s="3">
        <v>64.12</v>
      </c>
      <c r="J2946" t="s">
        <v>16</v>
      </c>
      <c r="K2946" t="s">
        <v>40</v>
      </c>
      <c r="L2946" s="4">
        <f>Table4[[#This Row],[quantity]]*Table4[[#This Row],[unit_price]]</f>
        <v>128.24</v>
      </c>
      <c r="M2946">
        <f>COUNTIFS($C$2:$C$3934,Table4[[#This Row],[customer_id]])</f>
        <v>5</v>
      </c>
      <c r="N2946" t="str">
        <f>IF(Table4[[#This Row],[customer_order_count]]=1,"New Customer","Repeat Customer")</f>
        <v>Repeat Customer</v>
      </c>
    </row>
    <row r="2947" spans="1:14">
      <c r="A2947" t="s">
        <v>4076</v>
      </c>
      <c r="B2947" s="1">
        <v>45279</v>
      </c>
      <c r="C2947" t="s">
        <v>547</v>
      </c>
      <c r="D2947" t="s">
        <v>510</v>
      </c>
      <c r="E2947" t="s">
        <v>21</v>
      </c>
      <c r="F2947" t="s">
        <v>14</v>
      </c>
      <c r="G2947" t="s">
        <v>15</v>
      </c>
      <c r="H2947">
        <v>1</v>
      </c>
      <c r="I2947" s="3">
        <v>64.150000000000006</v>
      </c>
      <c r="J2947" t="s">
        <v>16</v>
      </c>
      <c r="K2947" t="s">
        <v>30</v>
      </c>
      <c r="L2947" s="4">
        <f>Table4[[#This Row],[quantity]]*Table4[[#This Row],[unit_price]]</f>
        <v>64.150000000000006</v>
      </c>
      <c r="M2947">
        <f>COUNTIFS($C$2:$C$3934,Table4[[#This Row],[customer_id]])</f>
        <v>4</v>
      </c>
      <c r="N2947" t="str">
        <f>IF(Table4[[#This Row],[customer_order_count]]=1,"New Customer","Repeat Customer")</f>
        <v>Repeat Customer</v>
      </c>
    </row>
    <row r="2948" spans="1:14">
      <c r="A2948" t="s">
        <v>4176</v>
      </c>
      <c r="B2948" s="1">
        <v>45626</v>
      </c>
      <c r="C2948" t="s">
        <v>718</v>
      </c>
      <c r="D2948" t="s">
        <v>719</v>
      </c>
      <c r="E2948" t="s">
        <v>21</v>
      </c>
      <c r="F2948" t="s">
        <v>14</v>
      </c>
      <c r="G2948" t="s">
        <v>34</v>
      </c>
      <c r="H2948">
        <v>1</v>
      </c>
      <c r="I2948" s="3">
        <v>64.16</v>
      </c>
      <c r="J2948" t="s">
        <v>16</v>
      </c>
      <c r="K2948" s="2" t="s">
        <v>5256</v>
      </c>
      <c r="L2948" s="4">
        <f>Table4[[#This Row],[quantity]]*Table4[[#This Row],[unit_price]]</f>
        <v>64.16</v>
      </c>
      <c r="M2948">
        <f>COUNTIFS($C$2:$C$3934,Table4[[#This Row],[customer_id]])</f>
        <v>2</v>
      </c>
      <c r="N2948" t="str">
        <f>IF(Table4[[#This Row],[customer_order_count]]=1,"New Customer","Repeat Customer")</f>
        <v>Repeat Customer</v>
      </c>
    </row>
    <row r="2949" spans="1:14">
      <c r="A2949" t="s">
        <v>2601</v>
      </c>
      <c r="B2949" s="1">
        <v>45490</v>
      </c>
      <c r="C2949" t="s">
        <v>1079</v>
      </c>
      <c r="D2949" t="s">
        <v>1080</v>
      </c>
      <c r="E2949" t="s">
        <v>21</v>
      </c>
      <c r="F2949" t="s">
        <v>14</v>
      </c>
      <c r="G2949" t="s">
        <v>62</v>
      </c>
      <c r="H2949">
        <v>2</v>
      </c>
      <c r="I2949" s="3">
        <v>64.17</v>
      </c>
      <c r="J2949" t="s">
        <v>24</v>
      </c>
      <c r="K2949" s="5" t="s">
        <v>17</v>
      </c>
      <c r="L2949" s="4">
        <f>Table4[[#This Row],[quantity]]*Table4[[#This Row],[unit_price]]</f>
        <v>128.34</v>
      </c>
      <c r="M2949">
        <f>COUNTIFS($C$2:$C$3934,Table4[[#This Row],[customer_id]])</f>
        <v>7</v>
      </c>
      <c r="N2949" t="str">
        <f>IF(Table4[[#This Row],[customer_order_count]]=1,"New Customer","Repeat Customer")</f>
        <v>Repeat Customer</v>
      </c>
    </row>
    <row r="2950" spans="1:14">
      <c r="A2950" t="s">
        <v>610</v>
      </c>
      <c r="B2950" s="1">
        <v>45599</v>
      </c>
      <c r="C2950" t="s">
        <v>611</v>
      </c>
      <c r="D2950" t="s">
        <v>612</v>
      </c>
      <c r="E2950" t="s">
        <v>21</v>
      </c>
      <c r="F2950" t="s">
        <v>56</v>
      </c>
      <c r="G2950" t="s">
        <v>75</v>
      </c>
      <c r="H2950">
        <v>1</v>
      </c>
      <c r="I2950" s="3">
        <v>64.172839506172835</v>
      </c>
      <c r="J2950" t="s">
        <v>16</v>
      </c>
      <c r="K2950" t="s">
        <v>40</v>
      </c>
      <c r="L2950" s="4">
        <f>Table4[[#This Row],[quantity]]*Table4[[#This Row],[unit_price]]</f>
        <v>64.172839506172835</v>
      </c>
      <c r="M2950">
        <f>COUNTIFS($C$2:$C$3934,Table4[[#This Row],[customer_id]])</f>
        <v>6</v>
      </c>
      <c r="N2950" t="str">
        <f>IF(Table4[[#This Row],[customer_order_count]]=1,"New Customer","Repeat Customer")</f>
        <v>Repeat Customer</v>
      </c>
    </row>
    <row r="2951" spans="1:14">
      <c r="A2951" t="s">
        <v>2043</v>
      </c>
      <c r="B2951" s="1">
        <v>45172</v>
      </c>
      <c r="C2951" t="s">
        <v>1105</v>
      </c>
      <c r="D2951" t="s">
        <v>609</v>
      </c>
      <c r="E2951" t="s">
        <v>21</v>
      </c>
      <c r="F2951" t="s">
        <v>56</v>
      </c>
      <c r="G2951" t="s">
        <v>75</v>
      </c>
      <c r="H2951">
        <v>4</v>
      </c>
      <c r="I2951" s="3">
        <v>64.172839506172835</v>
      </c>
      <c r="J2951" t="s">
        <v>16</v>
      </c>
      <c r="K2951" t="s">
        <v>17</v>
      </c>
      <c r="L2951" s="4">
        <f>Table4[[#This Row],[quantity]]*Table4[[#This Row],[unit_price]]</f>
        <v>256.69135802469134</v>
      </c>
      <c r="M2951">
        <f>COUNTIFS($C$2:$C$3934,Table4[[#This Row],[customer_id]])</f>
        <v>6</v>
      </c>
      <c r="N2951" t="str">
        <f>IF(Table4[[#This Row],[customer_order_count]]=1,"New Customer","Repeat Customer")</f>
        <v>Repeat Customer</v>
      </c>
    </row>
    <row r="2952" spans="1:14">
      <c r="A2952" t="s">
        <v>4748</v>
      </c>
      <c r="B2952" s="1">
        <v>45181</v>
      </c>
      <c r="C2952" t="s">
        <v>490</v>
      </c>
      <c r="D2952" t="s">
        <v>491</v>
      </c>
      <c r="E2952" t="s">
        <v>21</v>
      </c>
      <c r="F2952" t="s">
        <v>56</v>
      </c>
      <c r="G2952" t="s">
        <v>75</v>
      </c>
      <c r="H2952">
        <v>4</v>
      </c>
      <c r="I2952" s="3">
        <v>64.172839506172835</v>
      </c>
      <c r="J2952" t="s">
        <v>24</v>
      </c>
      <c r="K2952" t="s">
        <v>35</v>
      </c>
      <c r="L2952" s="4">
        <f>Table4[[#This Row],[quantity]]*Table4[[#This Row],[unit_price]]</f>
        <v>256.69135802469134</v>
      </c>
      <c r="M2952">
        <f>COUNTIFS($C$2:$C$3934,Table4[[#This Row],[customer_id]])</f>
        <v>5</v>
      </c>
      <c r="N2952" t="str">
        <f>IF(Table4[[#This Row],[customer_order_count]]=1,"New Customer","Repeat Customer")</f>
        <v>Repeat Customer</v>
      </c>
    </row>
    <row r="2953" spans="1:14">
      <c r="A2953" t="s">
        <v>4899</v>
      </c>
      <c r="B2953" s="1">
        <v>44989</v>
      </c>
      <c r="C2953" t="s">
        <v>2347</v>
      </c>
      <c r="D2953" t="s">
        <v>1036</v>
      </c>
      <c r="E2953" t="s">
        <v>21</v>
      </c>
      <c r="F2953" t="s">
        <v>70</v>
      </c>
      <c r="G2953" t="s">
        <v>337</v>
      </c>
      <c r="H2953">
        <v>2</v>
      </c>
      <c r="I2953" s="3">
        <v>64.19</v>
      </c>
      <c r="J2953" t="s">
        <v>16</v>
      </c>
      <c r="K2953" t="s">
        <v>40</v>
      </c>
      <c r="L2953" s="4">
        <f>Table4[[#This Row],[quantity]]*Table4[[#This Row],[unit_price]]</f>
        <v>128.38</v>
      </c>
      <c r="M2953">
        <f>COUNTIFS($C$2:$C$3934,Table4[[#This Row],[customer_id]])</f>
        <v>7</v>
      </c>
      <c r="N2953" t="str">
        <f>IF(Table4[[#This Row],[customer_order_count]]=1,"New Customer","Repeat Customer")</f>
        <v>Repeat Customer</v>
      </c>
    </row>
    <row r="2954" spans="1:14">
      <c r="A2954" t="s">
        <v>4827</v>
      </c>
      <c r="B2954" s="1">
        <v>45656</v>
      </c>
      <c r="C2954" t="s">
        <v>1286</v>
      </c>
      <c r="D2954" t="s">
        <v>576</v>
      </c>
      <c r="E2954" t="s">
        <v>44</v>
      </c>
      <c r="F2954" t="s">
        <v>70</v>
      </c>
      <c r="G2954" t="s">
        <v>89</v>
      </c>
      <c r="H2954">
        <v>1</v>
      </c>
      <c r="I2954" s="3">
        <v>64.209999999999994</v>
      </c>
      <c r="J2954" t="s">
        <v>16</v>
      </c>
      <c r="K2954" t="s">
        <v>40</v>
      </c>
      <c r="L2954" s="4">
        <f>Table4[[#This Row],[quantity]]*Table4[[#This Row],[unit_price]]</f>
        <v>64.209999999999994</v>
      </c>
      <c r="M2954">
        <f>COUNTIFS($C$2:$C$3934,Table4[[#This Row],[customer_id]])</f>
        <v>2</v>
      </c>
      <c r="N2954" t="str">
        <f>IF(Table4[[#This Row],[customer_order_count]]=1,"New Customer","Repeat Customer")</f>
        <v>Repeat Customer</v>
      </c>
    </row>
    <row r="2955" spans="1:14">
      <c r="A2955" t="s">
        <v>4487</v>
      </c>
      <c r="B2955" s="1">
        <v>45500</v>
      </c>
      <c r="C2955" t="s">
        <v>581</v>
      </c>
      <c r="D2955" t="s">
        <v>582</v>
      </c>
      <c r="E2955" t="s">
        <v>21</v>
      </c>
      <c r="F2955" t="s">
        <v>56</v>
      </c>
      <c r="G2955" t="s">
        <v>254</v>
      </c>
      <c r="H2955">
        <v>1</v>
      </c>
      <c r="I2955" s="3">
        <v>64.209999999999994</v>
      </c>
      <c r="J2955" t="s">
        <v>16</v>
      </c>
      <c r="K2955" t="s">
        <v>17</v>
      </c>
      <c r="L2955" s="4">
        <f>Table4[[#This Row],[quantity]]*Table4[[#This Row],[unit_price]]</f>
        <v>64.209999999999994</v>
      </c>
      <c r="M2955">
        <f>COUNTIFS($C$2:$C$3934,Table4[[#This Row],[customer_id]])</f>
        <v>6</v>
      </c>
      <c r="N2955" t="str">
        <f>IF(Table4[[#This Row],[customer_order_count]]=1,"New Customer","Repeat Customer")</f>
        <v>Repeat Customer</v>
      </c>
    </row>
    <row r="2956" spans="1:14">
      <c r="A2956" t="s">
        <v>2637</v>
      </c>
      <c r="B2956" s="1">
        <v>45361</v>
      </c>
      <c r="C2956" t="s">
        <v>663</v>
      </c>
      <c r="D2956" t="s">
        <v>48</v>
      </c>
      <c r="E2956" t="s">
        <v>21</v>
      </c>
      <c r="F2956" t="s">
        <v>70</v>
      </c>
      <c r="G2956" t="s">
        <v>89</v>
      </c>
      <c r="H2956">
        <v>4</v>
      </c>
      <c r="I2956" s="3">
        <v>64.23</v>
      </c>
      <c r="J2956" t="s">
        <v>16</v>
      </c>
      <c r="K2956" t="s">
        <v>30</v>
      </c>
      <c r="L2956" s="4">
        <f>Table4[[#This Row],[quantity]]*Table4[[#This Row],[unit_price]]</f>
        <v>256.92</v>
      </c>
      <c r="M2956">
        <f>COUNTIFS($C$2:$C$3934,Table4[[#This Row],[customer_id]])</f>
        <v>9</v>
      </c>
      <c r="N2956" t="str">
        <f>IF(Table4[[#This Row],[customer_order_count]]=1,"New Customer","Repeat Customer")</f>
        <v>Repeat Customer</v>
      </c>
    </row>
    <row r="2957" spans="1:14">
      <c r="A2957" t="s">
        <v>3064</v>
      </c>
      <c r="B2957" s="1">
        <v>45383</v>
      </c>
      <c r="C2957" t="s">
        <v>1325</v>
      </c>
      <c r="D2957" t="s">
        <v>693</v>
      </c>
      <c r="E2957" t="s">
        <v>21</v>
      </c>
      <c r="F2957" t="s">
        <v>56</v>
      </c>
      <c r="G2957" t="s">
        <v>75</v>
      </c>
      <c r="H2957">
        <v>1</v>
      </c>
      <c r="I2957" s="3">
        <v>64.25</v>
      </c>
      <c r="J2957" t="s">
        <v>16</v>
      </c>
      <c r="K2957" t="s">
        <v>40</v>
      </c>
      <c r="L2957" s="4">
        <f>Table4[[#This Row],[quantity]]*Table4[[#This Row],[unit_price]]</f>
        <v>64.25</v>
      </c>
      <c r="M2957">
        <f>COUNTIFS($C$2:$C$3934,Table4[[#This Row],[customer_id]])</f>
        <v>5</v>
      </c>
      <c r="N2957" t="str">
        <f>IF(Table4[[#This Row],[customer_order_count]]=1,"New Customer","Repeat Customer")</f>
        <v>Repeat Customer</v>
      </c>
    </row>
    <row r="2958" spans="1:14">
      <c r="A2958" t="s">
        <v>1467</v>
      </c>
      <c r="B2958" s="1">
        <v>45318</v>
      </c>
      <c r="C2958" t="s">
        <v>1468</v>
      </c>
      <c r="D2958" t="s">
        <v>425</v>
      </c>
      <c r="E2958" t="s">
        <v>21</v>
      </c>
      <c r="F2958" t="s">
        <v>79</v>
      </c>
      <c r="G2958" t="s">
        <v>398</v>
      </c>
      <c r="H2958">
        <v>2</v>
      </c>
      <c r="I2958" s="3">
        <v>64.28</v>
      </c>
      <c r="J2958" t="s">
        <v>16</v>
      </c>
      <c r="K2958" t="s">
        <v>17</v>
      </c>
      <c r="L2958" s="4">
        <f>Table4[[#This Row],[quantity]]*Table4[[#This Row],[unit_price]]</f>
        <v>128.56</v>
      </c>
      <c r="M2958">
        <f>COUNTIFS($C$2:$C$3934,Table4[[#This Row],[customer_id]])</f>
        <v>2</v>
      </c>
      <c r="N2958" t="str">
        <f>IF(Table4[[#This Row],[customer_order_count]]=1,"New Customer","Repeat Customer")</f>
        <v>Repeat Customer</v>
      </c>
    </row>
    <row r="2959" spans="1:14">
      <c r="A2959" t="s">
        <v>4823</v>
      </c>
      <c r="B2959" s="1">
        <v>45072</v>
      </c>
      <c r="C2959" t="s">
        <v>739</v>
      </c>
      <c r="D2959" t="s">
        <v>740</v>
      </c>
      <c r="E2959" t="s">
        <v>21</v>
      </c>
      <c r="F2959" t="s">
        <v>79</v>
      </c>
      <c r="G2959" t="s">
        <v>541</v>
      </c>
      <c r="H2959">
        <v>2</v>
      </c>
      <c r="I2959" s="3">
        <v>64.319999999999993</v>
      </c>
      <c r="J2959" t="s">
        <v>16</v>
      </c>
      <c r="K2959" t="s">
        <v>35</v>
      </c>
      <c r="L2959" s="4">
        <f>Table4[[#This Row],[quantity]]*Table4[[#This Row],[unit_price]]</f>
        <v>128.63999999999999</v>
      </c>
      <c r="M2959">
        <f>COUNTIFS($C$2:$C$3934,Table4[[#This Row],[customer_id]])</f>
        <v>7</v>
      </c>
      <c r="N2959" t="str">
        <f>IF(Table4[[#This Row],[customer_order_count]]=1,"New Customer","Repeat Customer")</f>
        <v>Repeat Customer</v>
      </c>
    </row>
    <row r="2960" spans="1:14">
      <c r="A2960" t="s">
        <v>2878</v>
      </c>
      <c r="B2960" s="1">
        <v>45228</v>
      </c>
      <c r="C2960" t="s">
        <v>116</v>
      </c>
      <c r="D2960" t="s">
        <v>117</v>
      </c>
      <c r="E2960" t="s">
        <v>21</v>
      </c>
      <c r="F2960" t="s">
        <v>56</v>
      </c>
      <c r="G2960" t="s">
        <v>57</v>
      </c>
      <c r="H2960">
        <v>1</v>
      </c>
      <c r="I2960" s="3">
        <v>64.44</v>
      </c>
      <c r="J2960" t="s">
        <v>16</v>
      </c>
      <c r="K2960" t="s">
        <v>17</v>
      </c>
      <c r="L2960" s="4">
        <f>Table4[[#This Row],[quantity]]*Table4[[#This Row],[unit_price]]</f>
        <v>64.44</v>
      </c>
      <c r="M2960">
        <f>COUNTIFS($C$2:$C$3934,Table4[[#This Row],[customer_id]])</f>
        <v>2</v>
      </c>
      <c r="N2960" t="str">
        <f>IF(Table4[[#This Row],[customer_order_count]]=1,"New Customer","Repeat Customer")</f>
        <v>Repeat Customer</v>
      </c>
    </row>
    <row r="2961" spans="1:14">
      <c r="A2961" t="s">
        <v>1392</v>
      </c>
      <c r="B2961" s="1">
        <v>45243</v>
      </c>
      <c r="C2961" t="s">
        <v>1315</v>
      </c>
      <c r="D2961" t="s">
        <v>887</v>
      </c>
      <c r="E2961" t="s">
        <v>44</v>
      </c>
      <c r="F2961" t="s">
        <v>14</v>
      </c>
      <c r="G2961" t="s">
        <v>258</v>
      </c>
      <c r="H2961">
        <v>4</v>
      </c>
      <c r="I2961" s="3">
        <v>64.48</v>
      </c>
      <c r="J2961" t="s">
        <v>16</v>
      </c>
      <c r="K2961" t="s">
        <v>35</v>
      </c>
      <c r="L2961" s="4">
        <f>Table4[[#This Row],[quantity]]*Table4[[#This Row],[unit_price]]</f>
        <v>257.92</v>
      </c>
      <c r="M2961">
        <f>COUNTIFS($C$2:$C$3934,Table4[[#This Row],[customer_id]])</f>
        <v>4</v>
      </c>
      <c r="N2961" t="str">
        <f>IF(Table4[[#This Row],[customer_order_count]]=1,"New Customer","Repeat Customer")</f>
        <v>Repeat Customer</v>
      </c>
    </row>
    <row r="2962" spans="1:14">
      <c r="A2962" t="s">
        <v>3032</v>
      </c>
      <c r="B2962" s="1">
        <v>44976</v>
      </c>
      <c r="C2962" t="s">
        <v>853</v>
      </c>
      <c r="D2962" t="s">
        <v>854</v>
      </c>
      <c r="E2962" t="s">
        <v>21</v>
      </c>
      <c r="F2962" t="s">
        <v>70</v>
      </c>
      <c r="G2962" t="s">
        <v>146</v>
      </c>
      <c r="H2962">
        <v>1</v>
      </c>
      <c r="I2962" s="3">
        <v>64.540000000000006</v>
      </c>
      <c r="J2962" t="s">
        <v>85</v>
      </c>
      <c r="K2962" t="s">
        <v>17</v>
      </c>
      <c r="L2962" s="4">
        <f>Table4[[#This Row],[quantity]]*Table4[[#This Row],[unit_price]]</f>
        <v>64.540000000000006</v>
      </c>
      <c r="M2962">
        <f>COUNTIFS($C$2:$C$3934,Table4[[#This Row],[customer_id]])</f>
        <v>9</v>
      </c>
      <c r="N2962" t="str">
        <f>IF(Table4[[#This Row],[customer_order_count]]=1,"New Customer","Repeat Customer")</f>
        <v>Repeat Customer</v>
      </c>
    </row>
    <row r="2963" spans="1:14">
      <c r="A2963" t="s">
        <v>1137</v>
      </c>
      <c r="B2963" s="1">
        <v>45423</v>
      </c>
      <c r="C2963" t="s">
        <v>469</v>
      </c>
      <c r="D2963" t="s">
        <v>428</v>
      </c>
      <c r="E2963" t="s">
        <v>21</v>
      </c>
      <c r="F2963" t="s">
        <v>70</v>
      </c>
      <c r="G2963" t="s">
        <v>170</v>
      </c>
      <c r="H2963">
        <v>1</v>
      </c>
      <c r="I2963" s="3">
        <v>64.540000000000006</v>
      </c>
      <c r="J2963" t="s">
        <v>24</v>
      </c>
      <c r="K2963" t="s">
        <v>17</v>
      </c>
      <c r="L2963" s="4">
        <f>Table4[[#This Row],[quantity]]*Table4[[#This Row],[unit_price]]</f>
        <v>64.540000000000006</v>
      </c>
      <c r="M2963">
        <f>COUNTIFS($C$2:$C$3934,Table4[[#This Row],[customer_id]])</f>
        <v>8</v>
      </c>
      <c r="N2963" t="str">
        <f>IF(Table4[[#This Row],[customer_order_count]]=1,"New Customer","Repeat Customer")</f>
        <v>Repeat Customer</v>
      </c>
    </row>
    <row r="2964" spans="1:14">
      <c r="A2964" t="s">
        <v>2510</v>
      </c>
      <c r="B2964" s="1">
        <v>45255</v>
      </c>
      <c r="C2964" t="s">
        <v>317</v>
      </c>
      <c r="D2964" t="s">
        <v>318</v>
      </c>
      <c r="E2964" t="s">
        <v>44</v>
      </c>
      <c r="F2964" t="s">
        <v>70</v>
      </c>
      <c r="G2964" t="s">
        <v>110</v>
      </c>
      <c r="H2964">
        <v>1</v>
      </c>
      <c r="I2964" s="3">
        <v>64.569999999999993</v>
      </c>
      <c r="J2964" t="s">
        <v>16</v>
      </c>
      <c r="K2964" s="2" t="s">
        <v>5256</v>
      </c>
      <c r="L2964" s="4">
        <f>Table4[[#This Row],[quantity]]*Table4[[#This Row],[unit_price]]</f>
        <v>64.569999999999993</v>
      </c>
      <c r="M2964">
        <f>COUNTIFS($C$2:$C$3934,Table4[[#This Row],[customer_id]])</f>
        <v>5</v>
      </c>
      <c r="N2964" t="str">
        <f>IF(Table4[[#This Row],[customer_order_count]]=1,"New Customer","Repeat Customer")</f>
        <v>Repeat Customer</v>
      </c>
    </row>
    <row r="2965" spans="1:14">
      <c r="A2965" t="s">
        <v>3503</v>
      </c>
      <c r="B2965" s="1">
        <v>45349</v>
      </c>
      <c r="C2965" t="s">
        <v>3504</v>
      </c>
      <c r="D2965" t="s">
        <v>173</v>
      </c>
      <c r="E2965" t="s">
        <v>21</v>
      </c>
      <c r="F2965" t="s">
        <v>56</v>
      </c>
      <c r="G2965" t="s">
        <v>118</v>
      </c>
      <c r="H2965">
        <v>1</v>
      </c>
      <c r="I2965" s="3">
        <v>64.617323943661987</v>
      </c>
      <c r="J2965" t="s">
        <v>16</v>
      </c>
      <c r="K2965" s="5" t="s">
        <v>30</v>
      </c>
      <c r="L2965" s="4">
        <f>Table4[[#This Row],[quantity]]*Table4[[#This Row],[unit_price]]</f>
        <v>64.617323943661987</v>
      </c>
      <c r="M2965">
        <f>COUNTIFS($C$2:$C$3934,Table4[[#This Row],[customer_id]])</f>
        <v>4</v>
      </c>
      <c r="N2965" t="str">
        <f>IF(Table4[[#This Row],[customer_order_count]]=1,"New Customer","Repeat Customer")</f>
        <v>Repeat Customer</v>
      </c>
    </row>
    <row r="2966" spans="1:14">
      <c r="A2966" t="s">
        <v>3610</v>
      </c>
      <c r="B2966" s="1">
        <v>45600</v>
      </c>
      <c r="C2966" t="s">
        <v>1540</v>
      </c>
      <c r="D2966" t="s">
        <v>928</v>
      </c>
      <c r="E2966" t="s">
        <v>21</v>
      </c>
      <c r="F2966" t="s">
        <v>56</v>
      </c>
      <c r="G2966" t="s">
        <v>118</v>
      </c>
      <c r="H2966">
        <v>1</v>
      </c>
      <c r="I2966" s="3">
        <v>64.617323943661987</v>
      </c>
      <c r="J2966" t="s">
        <v>16</v>
      </c>
      <c r="K2966" t="s">
        <v>35</v>
      </c>
      <c r="L2966" s="4">
        <f>Table4[[#This Row],[quantity]]*Table4[[#This Row],[unit_price]]</f>
        <v>64.617323943661987</v>
      </c>
      <c r="M2966">
        <f>COUNTIFS($C$2:$C$3934,Table4[[#This Row],[customer_id]])</f>
        <v>6</v>
      </c>
      <c r="N2966" t="str">
        <f>IF(Table4[[#This Row],[customer_order_count]]=1,"New Customer","Repeat Customer")</f>
        <v>Repeat Customer</v>
      </c>
    </row>
    <row r="2967" spans="1:14">
      <c r="A2967" t="s">
        <v>1233</v>
      </c>
      <c r="B2967" s="1">
        <v>44952</v>
      </c>
      <c r="C2967" t="s">
        <v>215</v>
      </c>
      <c r="D2967" t="s">
        <v>216</v>
      </c>
      <c r="E2967" t="s">
        <v>21</v>
      </c>
      <c r="F2967" t="s">
        <v>70</v>
      </c>
      <c r="G2967" t="s">
        <v>337</v>
      </c>
      <c r="H2967">
        <v>3</v>
      </c>
      <c r="I2967" s="3">
        <v>64.63</v>
      </c>
      <c r="J2967" t="s">
        <v>16</v>
      </c>
      <c r="K2967" t="s">
        <v>40</v>
      </c>
      <c r="L2967" s="4">
        <f>Table4[[#This Row],[quantity]]*Table4[[#This Row],[unit_price]]</f>
        <v>193.89</v>
      </c>
      <c r="M2967">
        <f>COUNTIFS($C$2:$C$3934,Table4[[#This Row],[customer_id]])</f>
        <v>8</v>
      </c>
      <c r="N2967" t="str">
        <f>IF(Table4[[#This Row],[customer_order_count]]=1,"New Customer","Repeat Customer")</f>
        <v>Repeat Customer</v>
      </c>
    </row>
    <row r="2968" spans="1:14">
      <c r="A2968" t="s">
        <v>3087</v>
      </c>
      <c r="B2968" s="1">
        <v>45585</v>
      </c>
      <c r="C2968" t="s">
        <v>702</v>
      </c>
      <c r="D2968" t="s">
        <v>20</v>
      </c>
      <c r="E2968" t="s">
        <v>21</v>
      </c>
      <c r="F2968" t="s">
        <v>14</v>
      </c>
      <c r="G2968" t="s">
        <v>39</v>
      </c>
      <c r="H2968">
        <v>1</v>
      </c>
      <c r="I2968" s="3">
        <v>64.69</v>
      </c>
      <c r="J2968" t="s">
        <v>24</v>
      </c>
      <c r="K2968" s="2" t="s">
        <v>5256</v>
      </c>
      <c r="L2968" s="4">
        <f>Table4[[#This Row],[quantity]]*Table4[[#This Row],[unit_price]]</f>
        <v>64.69</v>
      </c>
      <c r="M2968">
        <f>COUNTIFS($C$2:$C$3934,Table4[[#This Row],[customer_id]])</f>
        <v>5</v>
      </c>
      <c r="N2968" t="str">
        <f>IF(Table4[[#This Row],[customer_order_count]]=1,"New Customer","Repeat Customer")</f>
        <v>Repeat Customer</v>
      </c>
    </row>
    <row r="2969" spans="1:14">
      <c r="A2969" t="s">
        <v>2349</v>
      </c>
      <c r="B2969" s="1">
        <v>45578</v>
      </c>
      <c r="C2969" t="s">
        <v>1194</v>
      </c>
      <c r="D2969" t="s">
        <v>1195</v>
      </c>
      <c r="E2969" t="s">
        <v>44</v>
      </c>
      <c r="F2969" t="s">
        <v>14</v>
      </c>
      <c r="G2969" t="s">
        <v>100</v>
      </c>
      <c r="H2969">
        <v>1</v>
      </c>
      <c r="I2969" s="3">
        <v>64.78</v>
      </c>
      <c r="J2969" t="s">
        <v>16</v>
      </c>
      <c r="K2969" s="5" t="s">
        <v>40</v>
      </c>
      <c r="L2969" s="4">
        <f>Table4[[#This Row],[quantity]]*Table4[[#This Row],[unit_price]]</f>
        <v>64.78</v>
      </c>
      <c r="M2969">
        <f>COUNTIFS($C$2:$C$3934,Table4[[#This Row],[customer_id]])</f>
        <v>4</v>
      </c>
      <c r="N2969" t="str">
        <f>IF(Table4[[#This Row],[customer_order_count]]=1,"New Customer","Repeat Customer")</f>
        <v>Repeat Customer</v>
      </c>
    </row>
    <row r="2970" spans="1:14">
      <c r="A2970" t="s">
        <v>517</v>
      </c>
      <c r="B2970" s="1">
        <v>45581</v>
      </c>
      <c r="C2970" t="s">
        <v>518</v>
      </c>
      <c r="D2970" t="s">
        <v>519</v>
      </c>
      <c r="E2970" t="s">
        <v>21</v>
      </c>
      <c r="F2970" t="s">
        <v>56</v>
      </c>
      <c r="G2970" t="s">
        <v>422</v>
      </c>
      <c r="H2970">
        <v>1</v>
      </c>
      <c r="I2970" s="3">
        <v>65.05</v>
      </c>
      <c r="J2970" t="s">
        <v>16</v>
      </c>
      <c r="K2970" t="s">
        <v>30</v>
      </c>
      <c r="L2970" s="4">
        <f>Table4[[#This Row],[quantity]]*Table4[[#This Row],[unit_price]]</f>
        <v>65.05</v>
      </c>
      <c r="M2970">
        <f>COUNTIFS($C$2:$C$3934,Table4[[#This Row],[customer_id]])</f>
        <v>7</v>
      </c>
      <c r="N2970" t="str">
        <f>IF(Table4[[#This Row],[customer_order_count]]=1,"New Customer","Repeat Customer")</f>
        <v>Repeat Customer</v>
      </c>
    </row>
    <row r="2971" spans="1:14">
      <c r="A2971" t="s">
        <v>3939</v>
      </c>
      <c r="B2971" s="1">
        <v>45183</v>
      </c>
      <c r="C2971" t="s">
        <v>2361</v>
      </c>
      <c r="D2971" t="s">
        <v>244</v>
      </c>
      <c r="E2971" t="s">
        <v>21</v>
      </c>
      <c r="F2971" t="s">
        <v>70</v>
      </c>
      <c r="G2971" t="s">
        <v>71</v>
      </c>
      <c r="H2971">
        <v>4</v>
      </c>
      <c r="I2971" s="3">
        <v>65.17</v>
      </c>
      <c r="J2971" t="s">
        <v>16</v>
      </c>
      <c r="K2971" t="s">
        <v>40</v>
      </c>
      <c r="L2971" s="4">
        <f>Table4[[#This Row],[quantity]]*Table4[[#This Row],[unit_price]]</f>
        <v>260.68</v>
      </c>
      <c r="M2971">
        <f>COUNTIFS($C$2:$C$3934,Table4[[#This Row],[customer_id]])</f>
        <v>6</v>
      </c>
      <c r="N2971" t="str">
        <f>IF(Table4[[#This Row],[customer_order_count]]=1,"New Customer","Repeat Customer")</f>
        <v>Repeat Customer</v>
      </c>
    </row>
    <row r="2972" spans="1:14">
      <c r="A2972" t="s">
        <v>4165</v>
      </c>
      <c r="B2972" s="1">
        <v>45554</v>
      </c>
      <c r="C2972" t="s">
        <v>2010</v>
      </c>
      <c r="D2972" t="s">
        <v>372</v>
      </c>
      <c r="E2972" t="s">
        <v>44</v>
      </c>
      <c r="F2972" t="s">
        <v>56</v>
      </c>
      <c r="G2972" t="s">
        <v>57</v>
      </c>
      <c r="H2972">
        <v>1</v>
      </c>
      <c r="I2972" s="3">
        <v>65.239999999999995</v>
      </c>
      <c r="J2972" t="s">
        <v>16</v>
      </c>
      <c r="K2972" t="s">
        <v>35</v>
      </c>
      <c r="L2972" s="4">
        <f>Table4[[#This Row],[quantity]]*Table4[[#This Row],[unit_price]]</f>
        <v>65.239999999999995</v>
      </c>
      <c r="M2972">
        <f>COUNTIFS($C$2:$C$3934,Table4[[#This Row],[customer_id]])</f>
        <v>5</v>
      </c>
      <c r="N2972" t="str">
        <f>IF(Table4[[#This Row],[customer_order_count]]=1,"New Customer","Repeat Customer")</f>
        <v>Repeat Customer</v>
      </c>
    </row>
    <row r="2973" spans="1:14">
      <c r="A2973" t="s">
        <v>1931</v>
      </c>
      <c r="B2973" s="1">
        <v>45034</v>
      </c>
      <c r="C2973" t="s">
        <v>483</v>
      </c>
      <c r="D2973" t="s">
        <v>484</v>
      </c>
      <c r="E2973" t="s">
        <v>61</v>
      </c>
      <c r="F2973" t="s">
        <v>14</v>
      </c>
      <c r="G2973" t="s">
        <v>15</v>
      </c>
      <c r="H2973">
        <v>3</v>
      </c>
      <c r="I2973" s="3">
        <v>65.25</v>
      </c>
      <c r="J2973" t="s">
        <v>16</v>
      </c>
      <c r="K2973" t="s">
        <v>35</v>
      </c>
      <c r="L2973" s="4">
        <f>Table4[[#This Row],[quantity]]*Table4[[#This Row],[unit_price]]</f>
        <v>195.75</v>
      </c>
      <c r="M2973">
        <f>COUNTIFS($C$2:$C$3934,Table4[[#This Row],[customer_id]])</f>
        <v>4</v>
      </c>
      <c r="N2973" t="str">
        <f>IF(Table4[[#This Row],[customer_order_count]]=1,"New Customer","Repeat Customer")</f>
        <v>Repeat Customer</v>
      </c>
    </row>
    <row r="2974" spans="1:14">
      <c r="A2974" t="s">
        <v>1565</v>
      </c>
      <c r="B2974" s="1">
        <v>45630</v>
      </c>
      <c r="C2974" t="s">
        <v>335</v>
      </c>
      <c r="D2974" t="s">
        <v>213</v>
      </c>
      <c r="E2974" t="s">
        <v>21</v>
      </c>
      <c r="F2974" t="s">
        <v>14</v>
      </c>
      <c r="G2974" t="s">
        <v>39</v>
      </c>
      <c r="H2974">
        <v>1</v>
      </c>
      <c r="I2974" s="3">
        <v>65.34</v>
      </c>
      <c r="J2974" t="s">
        <v>16</v>
      </c>
      <c r="K2974" t="s">
        <v>40</v>
      </c>
      <c r="L2974" s="4">
        <f>Table4[[#This Row],[quantity]]*Table4[[#This Row],[unit_price]]</f>
        <v>65.34</v>
      </c>
      <c r="M2974">
        <f>COUNTIFS($C$2:$C$3934,Table4[[#This Row],[customer_id]])</f>
        <v>4</v>
      </c>
      <c r="N2974" t="str">
        <f>IF(Table4[[#This Row],[customer_order_count]]=1,"New Customer","Repeat Customer")</f>
        <v>Repeat Customer</v>
      </c>
    </row>
    <row r="2975" spans="1:14">
      <c r="A2975" t="s">
        <v>3950</v>
      </c>
      <c r="B2975" s="1">
        <v>45134</v>
      </c>
      <c r="C2975" t="s">
        <v>1999</v>
      </c>
      <c r="D2975" t="s">
        <v>1907</v>
      </c>
      <c r="E2975" t="s">
        <v>44</v>
      </c>
      <c r="F2975" t="s">
        <v>56</v>
      </c>
      <c r="G2975" t="s">
        <v>254</v>
      </c>
      <c r="H2975">
        <v>1</v>
      </c>
      <c r="I2975" s="3">
        <v>65.37</v>
      </c>
      <c r="J2975" t="s">
        <v>16</v>
      </c>
      <c r="K2975" t="s">
        <v>17</v>
      </c>
      <c r="L2975" s="4">
        <f>Table4[[#This Row],[quantity]]*Table4[[#This Row],[unit_price]]</f>
        <v>65.37</v>
      </c>
      <c r="M2975">
        <f>COUNTIFS($C$2:$C$3934,Table4[[#This Row],[customer_id]])</f>
        <v>6</v>
      </c>
      <c r="N2975" t="str">
        <f>IF(Table4[[#This Row],[customer_order_count]]=1,"New Customer","Repeat Customer")</f>
        <v>Repeat Customer</v>
      </c>
    </row>
    <row r="2976" spans="1:14">
      <c r="A2976" t="s">
        <v>3766</v>
      </c>
      <c r="B2976" s="1">
        <v>45582</v>
      </c>
      <c r="C2976" t="s">
        <v>2282</v>
      </c>
      <c r="D2976" t="s">
        <v>2283</v>
      </c>
      <c r="E2976" t="s">
        <v>61</v>
      </c>
      <c r="F2976" t="s">
        <v>70</v>
      </c>
      <c r="G2976" t="s">
        <v>89</v>
      </c>
      <c r="H2976">
        <v>2</v>
      </c>
      <c r="I2976" s="3">
        <v>65.37</v>
      </c>
      <c r="J2976" t="s">
        <v>16</v>
      </c>
      <c r="K2976" t="s">
        <v>17</v>
      </c>
      <c r="L2976" s="4">
        <f>Table4[[#This Row],[quantity]]*Table4[[#This Row],[unit_price]]</f>
        <v>130.74</v>
      </c>
      <c r="M2976">
        <f>COUNTIFS($C$2:$C$3934,Table4[[#This Row],[customer_id]])</f>
        <v>2</v>
      </c>
      <c r="N2976" t="str">
        <f>IF(Table4[[#This Row],[customer_order_count]]=1,"New Customer","Repeat Customer")</f>
        <v>Repeat Customer</v>
      </c>
    </row>
    <row r="2977" spans="1:14">
      <c r="A2977" t="s">
        <v>4098</v>
      </c>
      <c r="B2977" s="1">
        <v>45516</v>
      </c>
      <c r="C2977" t="s">
        <v>77</v>
      </c>
      <c r="D2977" t="s">
        <v>78</v>
      </c>
      <c r="E2977" t="s">
        <v>21</v>
      </c>
      <c r="F2977" t="s">
        <v>70</v>
      </c>
      <c r="G2977" t="s">
        <v>526</v>
      </c>
      <c r="H2977">
        <v>4</v>
      </c>
      <c r="I2977" s="3">
        <v>65.39</v>
      </c>
      <c r="J2977" t="s">
        <v>16</v>
      </c>
      <c r="K2977" t="s">
        <v>35</v>
      </c>
      <c r="L2977" s="4">
        <f>Table4[[#This Row],[quantity]]*Table4[[#This Row],[unit_price]]</f>
        <v>261.56</v>
      </c>
      <c r="M2977">
        <f>COUNTIFS($C$2:$C$3934,Table4[[#This Row],[customer_id]])</f>
        <v>6</v>
      </c>
      <c r="N2977" t="str">
        <f>IF(Table4[[#This Row],[customer_order_count]]=1,"New Customer","Repeat Customer")</f>
        <v>Repeat Customer</v>
      </c>
    </row>
    <row r="2978" spans="1:14">
      <c r="A2978" t="s">
        <v>1732</v>
      </c>
      <c r="B2978" s="1">
        <v>45382</v>
      </c>
      <c r="C2978" t="s">
        <v>771</v>
      </c>
      <c r="D2978" t="s">
        <v>772</v>
      </c>
      <c r="E2978" t="s">
        <v>21</v>
      </c>
      <c r="F2978" t="s">
        <v>14</v>
      </c>
      <c r="G2978" t="s">
        <v>100</v>
      </c>
      <c r="H2978">
        <v>1</v>
      </c>
      <c r="I2978" s="3">
        <v>65.400000000000006</v>
      </c>
      <c r="J2978" t="s">
        <v>16</v>
      </c>
      <c r="K2978" t="s">
        <v>35</v>
      </c>
      <c r="L2978" s="4">
        <f>Table4[[#This Row],[quantity]]*Table4[[#This Row],[unit_price]]</f>
        <v>65.400000000000006</v>
      </c>
      <c r="M2978">
        <f>COUNTIFS($C$2:$C$3934,Table4[[#This Row],[customer_id]])</f>
        <v>5</v>
      </c>
      <c r="N2978" t="str">
        <f>IF(Table4[[#This Row],[customer_order_count]]=1,"New Customer","Repeat Customer")</f>
        <v>Repeat Customer</v>
      </c>
    </row>
    <row r="2979" spans="1:14">
      <c r="A2979" t="s">
        <v>2994</v>
      </c>
      <c r="B2979" s="1">
        <v>45417</v>
      </c>
      <c r="C2979" t="s">
        <v>2266</v>
      </c>
      <c r="D2979" t="s">
        <v>464</v>
      </c>
      <c r="E2979" t="s">
        <v>44</v>
      </c>
      <c r="F2979" t="s">
        <v>14</v>
      </c>
      <c r="G2979" t="s">
        <v>34</v>
      </c>
      <c r="H2979">
        <v>1</v>
      </c>
      <c r="I2979" s="3">
        <v>65.489999999999995</v>
      </c>
      <c r="J2979" t="s">
        <v>16</v>
      </c>
      <c r="K2979" t="s">
        <v>30</v>
      </c>
      <c r="L2979" s="4">
        <f>Table4[[#This Row],[quantity]]*Table4[[#This Row],[unit_price]]</f>
        <v>65.489999999999995</v>
      </c>
      <c r="M2979">
        <f>COUNTIFS($C$2:$C$3934,Table4[[#This Row],[customer_id]])</f>
        <v>5</v>
      </c>
      <c r="N2979" t="str">
        <f>IF(Table4[[#This Row],[customer_order_count]]=1,"New Customer","Repeat Customer")</f>
        <v>Repeat Customer</v>
      </c>
    </row>
    <row r="2980" spans="1:14">
      <c r="A2980" t="s">
        <v>4540</v>
      </c>
      <c r="B2980" s="1">
        <v>45650</v>
      </c>
      <c r="C2980" t="s">
        <v>424</v>
      </c>
      <c r="D2980" t="s">
        <v>425</v>
      </c>
      <c r="E2980" t="s">
        <v>21</v>
      </c>
      <c r="F2980" t="s">
        <v>14</v>
      </c>
      <c r="G2980" t="s">
        <v>258</v>
      </c>
      <c r="H2980">
        <v>2</v>
      </c>
      <c r="I2980" s="3">
        <v>65.510000000000005</v>
      </c>
      <c r="J2980" t="s">
        <v>16</v>
      </c>
      <c r="K2980" t="s">
        <v>17</v>
      </c>
      <c r="L2980" s="4">
        <f>Table4[[#This Row],[quantity]]*Table4[[#This Row],[unit_price]]</f>
        <v>131.02000000000001</v>
      </c>
      <c r="M2980">
        <f>COUNTIFS($C$2:$C$3934,Table4[[#This Row],[customer_id]])</f>
        <v>7</v>
      </c>
      <c r="N2980" t="str">
        <f>IF(Table4[[#This Row],[customer_order_count]]=1,"New Customer","Repeat Customer")</f>
        <v>Repeat Customer</v>
      </c>
    </row>
    <row r="2981" spans="1:14">
      <c r="A2981" t="s">
        <v>3398</v>
      </c>
      <c r="B2981" s="1">
        <v>45564</v>
      </c>
      <c r="C2981" t="s">
        <v>3211</v>
      </c>
      <c r="D2981" t="s">
        <v>950</v>
      </c>
      <c r="E2981" t="s">
        <v>21</v>
      </c>
      <c r="F2981" t="s">
        <v>56</v>
      </c>
      <c r="G2981" t="s">
        <v>210</v>
      </c>
      <c r="H2981">
        <v>3</v>
      </c>
      <c r="I2981" s="3">
        <v>65.52</v>
      </c>
      <c r="J2981" t="s">
        <v>16</v>
      </c>
      <c r="K2981" t="s">
        <v>40</v>
      </c>
      <c r="L2981" s="4">
        <f>Table4[[#This Row],[quantity]]*Table4[[#This Row],[unit_price]]</f>
        <v>196.56</v>
      </c>
      <c r="M2981">
        <f>COUNTIFS($C$2:$C$3934,Table4[[#This Row],[customer_id]])</f>
        <v>6</v>
      </c>
      <c r="N2981" t="str">
        <f>IF(Table4[[#This Row],[customer_order_count]]=1,"New Customer","Repeat Customer")</f>
        <v>Repeat Customer</v>
      </c>
    </row>
    <row r="2982" spans="1:14">
      <c r="A2982" t="s">
        <v>4451</v>
      </c>
      <c r="B2982" s="1">
        <v>45414</v>
      </c>
      <c r="C2982" t="s">
        <v>1084</v>
      </c>
      <c r="D2982" t="s">
        <v>953</v>
      </c>
      <c r="E2982" t="s">
        <v>21</v>
      </c>
      <c r="F2982" t="s">
        <v>14</v>
      </c>
      <c r="G2982" t="s">
        <v>39</v>
      </c>
      <c r="H2982">
        <v>1</v>
      </c>
      <c r="I2982" s="3">
        <v>65.540000000000006</v>
      </c>
      <c r="J2982" t="s">
        <v>16</v>
      </c>
      <c r="K2982" t="s">
        <v>40</v>
      </c>
      <c r="L2982" s="4">
        <f>Table4[[#This Row],[quantity]]*Table4[[#This Row],[unit_price]]</f>
        <v>65.540000000000006</v>
      </c>
      <c r="M2982">
        <f>COUNTIFS($C$2:$C$3934,Table4[[#This Row],[customer_id]])</f>
        <v>6</v>
      </c>
      <c r="N2982" t="str">
        <f>IF(Table4[[#This Row],[customer_order_count]]=1,"New Customer","Repeat Customer")</f>
        <v>Repeat Customer</v>
      </c>
    </row>
    <row r="2983" spans="1:14">
      <c r="A2983" t="s">
        <v>4356</v>
      </c>
      <c r="B2983" s="1">
        <v>45194</v>
      </c>
      <c r="C2983" t="s">
        <v>1338</v>
      </c>
      <c r="D2983" t="s">
        <v>152</v>
      </c>
      <c r="E2983" t="s">
        <v>21</v>
      </c>
      <c r="F2983" t="s">
        <v>14</v>
      </c>
      <c r="G2983" t="s">
        <v>62</v>
      </c>
      <c r="H2983">
        <v>2</v>
      </c>
      <c r="I2983" s="3">
        <v>65.72</v>
      </c>
      <c r="J2983" t="s">
        <v>16</v>
      </c>
      <c r="K2983" t="s">
        <v>17</v>
      </c>
      <c r="L2983" s="4">
        <f>Table4[[#This Row],[quantity]]*Table4[[#This Row],[unit_price]]</f>
        <v>131.44</v>
      </c>
      <c r="M2983">
        <f>COUNTIFS($C$2:$C$3934,Table4[[#This Row],[customer_id]])</f>
        <v>7</v>
      </c>
      <c r="N2983" t="str">
        <f>IF(Table4[[#This Row],[customer_order_count]]=1,"New Customer","Repeat Customer")</f>
        <v>Repeat Customer</v>
      </c>
    </row>
    <row r="2984" spans="1:14">
      <c r="A2984" t="s">
        <v>735</v>
      </c>
      <c r="B2984" s="1">
        <v>45116</v>
      </c>
      <c r="C2984" t="s">
        <v>655</v>
      </c>
      <c r="D2984" t="s">
        <v>597</v>
      </c>
      <c r="E2984" t="s">
        <v>21</v>
      </c>
      <c r="F2984" t="s">
        <v>79</v>
      </c>
      <c r="G2984" t="s">
        <v>541</v>
      </c>
      <c r="H2984">
        <v>4</v>
      </c>
      <c r="I2984" s="3">
        <v>65.72</v>
      </c>
      <c r="J2984" t="s">
        <v>16</v>
      </c>
      <c r="K2984" t="s">
        <v>35</v>
      </c>
      <c r="L2984" s="4">
        <f>Table4[[#This Row],[quantity]]*Table4[[#This Row],[unit_price]]</f>
        <v>262.88</v>
      </c>
      <c r="M2984">
        <f>COUNTIFS($C$2:$C$3934,Table4[[#This Row],[customer_id]])</f>
        <v>12</v>
      </c>
      <c r="N2984" t="str">
        <f>IF(Table4[[#This Row],[customer_order_count]]=1,"New Customer","Repeat Customer")</f>
        <v>Repeat Customer</v>
      </c>
    </row>
    <row r="2985" spans="1:14">
      <c r="A2985" t="s">
        <v>4397</v>
      </c>
      <c r="B2985" s="1">
        <v>45357</v>
      </c>
      <c r="C2985" t="s">
        <v>2766</v>
      </c>
      <c r="D2985" t="s">
        <v>181</v>
      </c>
      <c r="E2985" t="s">
        <v>21</v>
      </c>
      <c r="F2985" t="s">
        <v>70</v>
      </c>
      <c r="G2985" t="s">
        <v>110</v>
      </c>
      <c r="H2985">
        <v>4</v>
      </c>
      <c r="I2985" s="3">
        <v>65.760000000000005</v>
      </c>
      <c r="J2985" t="s">
        <v>16</v>
      </c>
      <c r="K2985" t="s">
        <v>35</v>
      </c>
      <c r="L2985" s="4">
        <f>Table4[[#This Row],[quantity]]*Table4[[#This Row],[unit_price]]</f>
        <v>263.04000000000002</v>
      </c>
      <c r="M2985">
        <f>COUNTIFS($C$2:$C$3934,Table4[[#This Row],[customer_id]])</f>
        <v>4</v>
      </c>
      <c r="N2985" t="str">
        <f>IF(Table4[[#This Row],[customer_order_count]]=1,"New Customer","Repeat Customer")</f>
        <v>Repeat Customer</v>
      </c>
    </row>
    <row r="2986" spans="1:14">
      <c r="A2986" t="s">
        <v>4822</v>
      </c>
      <c r="B2986" s="1">
        <v>45278</v>
      </c>
      <c r="C2986" t="s">
        <v>342</v>
      </c>
      <c r="D2986" t="s">
        <v>343</v>
      </c>
      <c r="E2986" t="s">
        <v>44</v>
      </c>
      <c r="F2986" t="s">
        <v>14</v>
      </c>
      <c r="G2986" t="s">
        <v>39</v>
      </c>
      <c r="H2986">
        <v>2</v>
      </c>
      <c r="I2986" s="3">
        <v>65.8</v>
      </c>
      <c r="J2986" t="s">
        <v>16</v>
      </c>
      <c r="K2986" t="s">
        <v>40</v>
      </c>
      <c r="L2986" s="4">
        <f>Table4[[#This Row],[quantity]]*Table4[[#This Row],[unit_price]]</f>
        <v>131.6</v>
      </c>
      <c r="M2986">
        <f>COUNTIFS($C$2:$C$3934,Table4[[#This Row],[customer_id]])</f>
        <v>8</v>
      </c>
      <c r="N2986" t="str">
        <f>IF(Table4[[#This Row],[customer_order_count]]=1,"New Customer","Repeat Customer")</f>
        <v>Repeat Customer</v>
      </c>
    </row>
    <row r="2987" spans="1:14">
      <c r="A2987" t="s">
        <v>1311</v>
      </c>
      <c r="B2987" s="1">
        <v>45019</v>
      </c>
      <c r="C2987" t="s">
        <v>1312</v>
      </c>
      <c r="D2987" t="s">
        <v>693</v>
      </c>
      <c r="E2987" t="s">
        <v>21</v>
      </c>
      <c r="F2987" t="s">
        <v>56</v>
      </c>
      <c r="G2987" t="s">
        <v>254</v>
      </c>
      <c r="H2987">
        <v>1</v>
      </c>
      <c r="I2987" s="3">
        <v>65.819999999999993</v>
      </c>
      <c r="J2987" t="s">
        <v>16</v>
      </c>
      <c r="K2987" t="s">
        <v>30</v>
      </c>
      <c r="L2987" s="4">
        <f>Table4[[#This Row],[quantity]]*Table4[[#This Row],[unit_price]]</f>
        <v>65.819999999999993</v>
      </c>
      <c r="M2987">
        <f>COUNTIFS($C$2:$C$3934,Table4[[#This Row],[customer_id]])</f>
        <v>5</v>
      </c>
      <c r="N2987" t="str">
        <f>IF(Table4[[#This Row],[customer_order_count]]=1,"New Customer","Repeat Customer")</f>
        <v>Repeat Customer</v>
      </c>
    </row>
    <row r="2988" spans="1:14">
      <c r="A2988" t="s">
        <v>4194</v>
      </c>
      <c r="B2988" s="1">
        <v>44980</v>
      </c>
      <c r="C2988" t="s">
        <v>2211</v>
      </c>
      <c r="D2988" t="s">
        <v>1412</v>
      </c>
      <c r="E2988" t="s">
        <v>21</v>
      </c>
      <c r="F2988" t="s">
        <v>79</v>
      </c>
      <c r="G2988" t="s">
        <v>200</v>
      </c>
      <c r="H2988">
        <v>4</v>
      </c>
      <c r="I2988" s="3">
        <v>65.849999999999994</v>
      </c>
      <c r="J2988" t="s">
        <v>16</v>
      </c>
      <c r="K2988" t="s">
        <v>35</v>
      </c>
      <c r="L2988" s="4">
        <f>Table4[[#This Row],[quantity]]*Table4[[#This Row],[unit_price]]</f>
        <v>263.39999999999998</v>
      </c>
      <c r="M2988">
        <f>COUNTIFS($C$2:$C$3934,Table4[[#This Row],[customer_id]])</f>
        <v>6</v>
      </c>
      <c r="N2988" t="str">
        <f>IF(Table4[[#This Row],[customer_order_count]]=1,"New Customer","Repeat Customer")</f>
        <v>Repeat Customer</v>
      </c>
    </row>
    <row r="2989" spans="1:14">
      <c r="A2989" t="s">
        <v>378</v>
      </c>
      <c r="B2989" s="1">
        <v>44984</v>
      </c>
      <c r="C2989" t="s">
        <v>379</v>
      </c>
      <c r="D2989" t="s">
        <v>380</v>
      </c>
      <c r="E2989" t="s">
        <v>44</v>
      </c>
      <c r="F2989" t="s">
        <v>14</v>
      </c>
      <c r="G2989" t="s">
        <v>62</v>
      </c>
      <c r="H2989">
        <v>2</v>
      </c>
      <c r="I2989" s="3">
        <v>65.94</v>
      </c>
      <c r="J2989" t="s">
        <v>16</v>
      </c>
      <c r="K2989" t="s">
        <v>35</v>
      </c>
      <c r="L2989" s="4">
        <f>Table4[[#This Row],[quantity]]*Table4[[#This Row],[unit_price]]</f>
        <v>131.88</v>
      </c>
      <c r="M2989">
        <f>COUNTIFS($C$2:$C$3934,Table4[[#This Row],[customer_id]])</f>
        <v>7</v>
      </c>
      <c r="N2989" t="str">
        <f>IF(Table4[[#This Row],[customer_order_count]]=1,"New Customer","Repeat Customer")</f>
        <v>Repeat Customer</v>
      </c>
    </row>
    <row r="2990" spans="1:14">
      <c r="A2990" t="s">
        <v>2391</v>
      </c>
      <c r="B2990" s="1">
        <v>45359</v>
      </c>
      <c r="C2990" t="s">
        <v>64</v>
      </c>
      <c r="D2990" t="s">
        <v>65</v>
      </c>
      <c r="E2990" t="s">
        <v>44</v>
      </c>
      <c r="F2990" t="s">
        <v>70</v>
      </c>
      <c r="G2990" t="s">
        <v>146</v>
      </c>
      <c r="H2990">
        <v>1</v>
      </c>
      <c r="I2990" s="3">
        <v>65.98</v>
      </c>
      <c r="J2990" t="s">
        <v>16</v>
      </c>
      <c r="K2990" t="s">
        <v>35</v>
      </c>
      <c r="L2990" s="4">
        <f>Table4[[#This Row],[quantity]]*Table4[[#This Row],[unit_price]]</f>
        <v>65.98</v>
      </c>
      <c r="M2990">
        <f>COUNTIFS($C$2:$C$3934,Table4[[#This Row],[customer_id]])</f>
        <v>3</v>
      </c>
      <c r="N2990" t="str">
        <f>IF(Table4[[#This Row],[customer_order_count]]=1,"New Customer","Repeat Customer")</f>
        <v>Repeat Customer</v>
      </c>
    </row>
    <row r="2991" spans="1:14">
      <c r="A2991" t="s">
        <v>3555</v>
      </c>
      <c r="B2991" s="1">
        <v>45433</v>
      </c>
      <c r="C2991" t="s">
        <v>585</v>
      </c>
      <c r="D2991" t="s">
        <v>560</v>
      </c>
      <c r="E2991" t="s">
        <v>44</v>
      </c>
      <c r="F2991" t="s">
        <v>56</v>
      </c>
      <c r="G2991" t="s">
        <v>254</v>
      </c>
      <c r="H2991">
        <v>5</v>
      </c>
      <c r="I2991" s="3">
        <v>65.98</v>
      </c>
      <c r="J2991" t="s">
        <v>16</v>
      </c>
      <c r="K2991" t="s">
        <v>40</v>
      </c>
      <c r="L2991" s="4">
        <f>Table4[[#This Row],[quantity]]*Table4[[#This Row],[unit_price]]</f>
        <v>329.90000000000003</v>
      </c>
      <c r="M2991">
        <f>COUNTIFS($C$2:$C$3934,Table4[[#This Row],[customer_id]])</f>
        <v>3</v>
      </c>
      <c r="N2991" t="str">
        <f>IF(Table4[[#This Row],[customer_order_count]]=1,"New Customer","Repeat Customer")</f>
        <v>Repeat Customer</v>
      </c>
    </row>
    <row r="2992" spans="1:14">
      <c r="A2992" t="s">
        <v>2524</v>
      </c>
      <c r="B2992" s="1">
        <v>45035</v>
      </c>
      <c r="C2992" t="s">
        <v>376</v>
      </c>
      <c r="D2992" t="s">
        <v>377</v>
      </c>
      <c r="E2992" t="s">
        <v>21</v>
      </c>
      <c r="F2992" t="s">
        <v>56</v>
      </c>
      <c r="G2992" t="s">
        <v>254</v>
      </c>
      <c r="H2992">
        <v>4</v>
      </c>
      <c r="I2992" s="3">
        <v>66.06</v>
      </c>
      <c r="J2992" t="s">
        <v>16</v>
      </c>
      <c r="K2992" t="s">
        <v>17</v>
      </c>
      <c r="L2992" s="4">
        <f>Table4[[#This Row],[quantity]]*Table4[[#This Row],[unit_price]]</f>
        <v>264.24</v>
      </c>
      <c r="M2992">
        <f>COUNTIFS($C$2:$C$3934,Table4[[#This Row],[customer_id]])</f>
        <v>3</v>
      </c>
      <c r="N2992" t="str">
        <f>IF(Table4[[#This Row],[customer_order_count]]=1,"New Customer","Repeat Customer")</f>
        <v>Repeat Customer</v>
      </c>
    </row>
    <row r="2993" spans="1:14">
      <c r="A2993" t="s">
        <v>3195</v>
      </c>
      <c r="B2993" s="1">
        <v>45286</v>
      </c>
      <c r="C2993" t="s">
        <v>521</v>
      </c>
      <c r="D2993" t="s">
        <v>522</v>
      </c>
      <c r="E2993" t="s">
        <v>44</v>
      </c>
      <c r="F2993" t="s">
        <v>70</v>
      </c>
      <c r="G2993" t="s">
        <v>170</v>
      </c>
      <c r="H2993">
        <v>4</v>
      </c>
      <c r="I2993" s="3">
        <v>66.06</v>
      </c>
      <c r="J2993" t="s">
        <v>16</v>
      </c>
      <c r="K2993" t="s">
        <v>17</v>
      </c>
      <c r="L2993" s="4">
        <f>Table4[[#This Row],[quantity]]*Table4[[#This Row],[unit_price]]</f>
        <v>264.24</v>
      </c>
      <c r="M2993">
        <f>COUNTIFS($C$2:$C$3934,Table4[[#This Row],[customer_id]])</f>
        <v>5</v>
      </c>
      <c r="N2993" t="str">
        <f>IF(Table4[[#This Row],[customer_order_count]]=1,"New Customer","Repeat Customer")</f>
        <v>Repeat Customer</v>
      </c>
    </row>
    <row r="2994" spans="1:14">
      <c r="A2994" t="s">
        <v>846</v>
      </c>
      <c r="B2994" s="1">
        <v>45359</v>
      </c>
      <c r="C2994" t="s">
        <v>385</v>
      </c>
      <c r="D2994" t="s">
        <v>278</v>
      </c>
      <c r="E2994" t="s">
        <v>21</v>
      </c>
      <c r="F2994" t="s">
        <v>70</v>
      </c>
      <c r="G2994" t="s">
        <v>71</v>
      </c>
      <c r="H2994">
        <v>1</v>
      </c>
      <c r="I2994" s="3">
        <v>66.069999999999993</v>
      </c>
      <c r="J2994" t="s">
        <v>16</v>
      </c>
      <c r="K2994" t="s">
        <v>30</v>
      </c>
      <c r="L2994" s="4">
        <f>Table4[[#This Row],[quantity]]*Table4[[#This Row],[unit_price]]</f>
        <v>66.069999999999993</v>
      </c>
      <c r="M2994">
        <f>COUNTIFS($C$2:$C$3934,Table4[[#This Row],[customer_id]])</f>
        <v>6</v>
      </c>
      <c r="N2994" t="str">
        <f>IF(Table4[[#This Row],[customer_order_count]]=1,"New Customer","Repeat Customer")</f>
        <v>Repeat Customer</v>
      </c>
    </row>
    <row r="2995" spans="1:14">
      <c r="A2995" t="s">
        <v>2122</v>
      </c>
      <c r="B2995" s="1">
        <v>45243</v>
      </c>
      <c r="C2995" t="s">
        <v>1254</v>
      </c>
      <c r="D2995" t="s">
        <v>1255</v>
      </c>
      <c r="E2995" t="s">
        <v>44</v>
      </c>
      <c r="F2995" t="s">
        <v>70</v>
      </c>
      <c r="G2995" t="s">
        <v>71</v>
      </c>
      <c r="H2995">
        <v>1</v>
      </c>
      <c r="I2995" s="3">
        <v>66.099999999999994</v>
      </c>
      <c r="J2995" t="s">
        <v>16</v>
      </c>
      <c r="K2995" t="s">
        <v>30</v>
      </c>
      <c r="L2995" s="4">
        <f>Table4[[#This Row],[quantity]]*Table4[[#This Row],[unit_price]]</f>
        <v>66.099999999999994</v>
      </c>
      <c r="M2995">
        <f>COUNTIFS($C$2:$C$3934,Table4[[#This Row],[customer_id]])</f>
        <v>5</v>
      </c>
      <c r="N2995" t="str">
        <f>IF(Table4[[#This Row],[customer_order_count]]=1,"New Customer","Repeat Customer")</f>
        <v>Repeat Customer</v>
      </c>
    </row>
    <row r="2996" spans="1:14">
      <c r="A2996" t="s">
        <v>86</v>
      </c>
      <c r="B2996" s="1">
        <v>45432</v>
      </c>
      <c r="C2996" t="s">
        <v>87</v>
      </c>
      <c r="D2996" t="s">
        <v>88</v>
      </c>
      <c r="E2996" t="s">
        <v>21</v>
      </c>
      <c r="F2996" t="s">
        <v>70</v>
      </c>
      <c r="G2996" t="s">
        <v>89</v>
      </c>
      <c r="H2996">
        <v>2</v>
      </c>
      <c r="I2996" s="3">
        <v>66.209999999999994</v>
      </c>
      <c r="J2996" t="s">
        <v>24</v>
      </c>
      <c r="K2996" t="s">
        <v>40</v>
      </c>
      <c r="L2996" s="4">
        <f>Table4[[#This Row],[quantity]]*Table4[[#This Row],[unit_price]]</f>
        <v>132.41999999999999</v>
      </c>
      <c r="M2996">
        <f>COUNTIFS($C$2:$C$3934,Table4[[#This Row],[customer_id]])</f>
        <v>4</v>
      </c>
      <c r="N2996" t="str">
        <f>IF(Table4[[#This Row],[customer_order_count]]=1,"New Customer","Repeat Customer")</f>
        <v>Repeat Customer</v>
      </c>
    </row>
    <row r="2997" spans="1:14">
      <c r="A2997" t="s">
        <v>5057</v>
      </c>
      <c r="B2997" s="1">
        <v>44955</v>
      </c>
      <c r="C2997" t="s">
        <v>777</v>
      </c>
      <c r="D2997" t="s">
        <v>778</v>
      </c>
      <c r="E2997" t="s">
        <v>44</v>
      </c>
      <c r="F2997" t="s">
        <v>14</v>
      </c>
      <c r="G2997" t="s">
        <v>34</v>
      </c>
      <c r="H2997">
        <v>1</v>
      </c>
      <c r="I2997" s="3">
        <v>66.23</v>
      </c>
      <c r="J2997" t="s">
        <v>16</v>
      </c>
      <c r="K2997" t="s">
        <v>30</v>
      </c>
      <c r="L2997" s="4">
        <f>Table4[[#This Row],[quantity]]*Table4[[#This Row],[unit_price]]</f>
        <v>66.23</v>
      </c>
      <c r="M2997">
        <f>COUNTIFS($C$2:$C$3934,Table4[[#This Row],[customer_id]])</f>
        <v>3</v>
      </c>
      <c r="N2997" t="str">
        <f>IF(Table4[[#This Row],[customer_order_count]]=1,"New Customer","Repeat Customer")</f>
        <v>Repeat Customer</v>
      </c>
    </row>
    <row r="2998" spans="1:14">
      <c r="A2998" t="s">
        <v>1190</v>
      </c>
      <c r="B2998" s="1">
        <v>45131</v>
      </c>
      <c r="C2998" t="s">
        <v>1191</v>
      </c>
      <c r="D2998" t="s">
        <v>1192</v>
      </c>
      <c r="E2998" t="s">
        <v>44</v>
      </c>
      <c r="F2998" t="s">
        <v>70</v>
      </c>
      <c r="G2998" t="s">
        <v>71</v>
      </c>
      <c r="H2998">
        <v>1</v>
      </c>
      <c r="I2998" s="3">
        <v>66.3</v>
      </c>
      <c r="J2998" t="s">
        <v>16</v>
      </c>
      <c r="K2998" t="s">
        <v>30</v>
      </c>
      <c r="L2998" s="4">
        <f>Table4[[#This Row],[quantity]]*Table4[[#This Row],[unit_price]]</f>
        <v>66.3</v>
      </c>
      <c r="M2998">
        <f>COUNTIFS($C$2:$C$3934,Table4[[#This Row],[customer_id]])</f>
        <v>3</v>
      </c>
      <c r="N2998" t="str">
        <f>IF(Table4[[#This Row],[customer_order_count]]=1,"New Customer","Repeat Customer")</f>
        <v>Repeat Customer</v>
      </c>
    </row>
    <row r="2999" spans="1:14">
      <c r="A2999" t="s">
        <v>3175</v>
      </c>
      <c r="B2999" s="1">
        <v>45269</v>
      </c>
      <c r="C2999" t="s">
        <v>1038</v>
      </c>
      <c r="D2999" t="s">
        <v>560</v>
      </c>
      <c r="E2999" t="s">
        <v>21</v>
      </c>
      <c r="F2999" t="s">
        <v>14</v>
      </c>
      <c r="G2999" t="s">
        <v>258</v>
      </c>
      <c r="H2999">
        <v>1</v>
      </c>
      <c r="I2999" s="3">
        <v>66.33</v>
      </c>
      <c r="J2999" t="s">
        <v>85</v>
      </c>
      <c r="K2999" t="s">
        <v>35</v>
      </c>
      <c r="L2999" s="4">
        <f>Table4[[#This Row],[quantity]]*Table4[[#This Row],[unit_price]]</f>
        <v>66.33</v>
      </c>
      <c r="M2999">
        <f>COUNTIFS($C$2:$C$3934,Table4[[#This Row],[customer_id]])</f>
        <v>6</v>
      </c>
      <c r="N2999" t="str">
        <f>IF(Table4[[#This Row],[customer_order_count]]=1,"New Customer","Repeat Customer")</f>
        <v>Repeat Customer</v>
      </c>
    </row>
    <row r="3000" spans="1:14">
      <c r="A3000" t="s">
        <v>3671</v>
      </c>
      <c r="B3000" s="1">
        <v>45443</v>
      </c>
      <c r="C3000" t="s">
        <v>2119</v>
      </c>
      <c r="D3000" t="s">
        <v>48</v>
      </c>
      <c r="E3000" t="s">
        <v>21</v>
      </c>
      <c r="F3000" t="s">
        <v>70</v>
      </c>
      <c r="G3000" t="s">
        <v>89</v>
      </c>
      <c r="H3000">
        <v>4</v>
      </c>
      <c r="I3000" s="3">
        <v>66.36</v>
      </c>
      <c r="J3000" t="s">
        <v>16</v>
      </c>
      <c r="K3000" t="s">
        <v>30</v>
      </c>
      <c r="L3000" s="4">
        <f>Table4[[#This Row],[quantity]]*Table4[[#This Row],[unit_price]]</f>
        <v>265.44</v>
      </c>
      <c r="M3000">
        <f>COUNTIFS($C$2:$C$3934,Table4[[#This Row],[customer_id]])</f>
        <v>3</v>
      </c>
      <c r="N3000" t="str">
        <f>IF(Table4[[#This Row],[customer_order_count]]=1,"New Customer","Repeat Customer")</f>
        <v>Repeat Customer</v>
      </c>
    </row>
    <row r="3001" spans="1:14">
      <c r="A3001" t="s">
        <v>2941</v>
      </c>
      <c r="B3001" s="1">
        <v>45400</v>
      </c>
      <c r="C3001" t="s">
        <v>1123</v>
      </c>
      <c r="D3001" t="s">
        <v>1124</v>
      </c>
      <c r="E3001" t="s">
        <v>44</v>
      </c>
      <c r="F3001" t="s">
        <v>79</v>
      </c>
      <c r="G3001" t="s">
        <v>541</v>
      </c>
      <c r="H3001">
        <v>2</v>
      </c>
      <c r="I3001" s="3">
        <v>66.39</v>
      </c>
      <c r="J3001" t="s">
        <v>16</v>
      </c>
      <c r="K3001" t="s">
        <v>40</v>
      </c>
      <c r="L3001" s="4">
        <f>Table4[[#This Row],[quantity]]*Table4[[#This Row],[unit_price]]</f>
        <v>132.78</v>
      </c>
      <c r="M3001">
        <f>COUNTIFS($C$2:$C$3934,Table4[[#This Row],[customer_id]])</f>
        <v>4</v>
      </c>
      <c r="N3001" t="str">
        <f>IF(Table4[[#This Row],[customer_order_count]]=1,"New Customer","Repeat Customer")</f>
        <v>Repeat Customer</v>
      </c>
    </row>
    <row r="3002" spans="1:14">
      <c r="A3002" t="s">
        <v>3578</v>
      </c>
      <c r="B3002" s="1">
        <v>45210</v>
      </c>
      <c r="C3002" t="s">
        <v>1614</v>
      </c>
      <c r="D3002" t="s">
        <v>496</v>
      </c>
      <c r="E3002" t="s">
        <v>106</v>
      </c>
      <c r="F3002" t="s">
        <v>70</v>
      </c>
      <c r="G3002" t="s">
        <v>526</v>
      </c>
      <c r="H3002">
        <v>4</v>
      </c>
      <c r="I3002" s="3">
        <v>66.42</v>
      </c>
      <c r="J3002" t="s">
        <v>85</v>
      </c>
      <c r="K3002" t="s">
        <v>40</v>
      </c>
      <c r="L3002" s="4">
        <f>Table4[[#This Row],[quantity]]*Table4[[#This Row],[unit_price]]</f>
        <v>265.68</v>
      </c>
      <c r="M3002">
        <f>COUNTIFS($C$2:$C$3934,Table4[[#This Row],[customer_id]])</f>
        <v>2</v>
      </c>
      <c r="N3002" t="str">
        <f>IF(Table4[[#This Row],[customer_order_count]]=1,"New Customer","Repeat Customer")</f>
        <v>Repeat Customer</v>
      </c>
    </row>
    <row r="3003" spans="1:14">
      <c r="A3003" t="s">
        <v>4688</v>
      </c>
      <c r="B3003" s="1">
        <v>45620</v>
      </c>
      <c r="C3003" t="s">
        <v>126</v>
      </c>
      <c r="D3003" t="s">
        <v>127</v>
      </c>
      <c r="E3003" t="s">
        <v>21</v>
      </c>
      <c r="F3003" t="s">
        <v>79</v>
      </c>
      <c r="G3003" t="s">
        <v>230</v>
      </c>
      <c r="H3003">
        <v>1</v>
      </c>
      <c r="I3003" s="3">
        <v>66.45</v>
      </c>
      <c r="J3003" t="s">
        <v>16</v>
      </c>
      <c r="K3003" t="s">
        <v>30</v>
      </c>
      <c r="L3003" s="4">
        <f>Table4[[#This Row],[quantity]]*Table4[[#This Row],[unit_price]]</f>
        <v>66.45</v>
      </c>
      <c r="M3003">
        <f>COUNTIFS($C$2:$C$3934,Table4[[#This Row],[customer_id]])</f>
        <v>4</v>
      </c>
      <c r="N3003" t="str">
        <f>IF(Table4[[#This Row],[customer_order_count]]=1,"New Customer","Repeat Customer")</f>
        <v>Repeat Customer</v>
      </c>
    </row>
    <row r="3004" spans="1:14">
      <c r="A3004" t="s">
        <v>4667</v>
      </c>
      <c r="B3004" s="1">
        <v>45361</v>
      </c>
      <c r="C3004" t="s">
        <v>880</v>
      </c>
      <c r="D3004" t="s">
        <v>881</v>
      </c>
      <c r="E3004" t="s">
        <v>21</v>
      </c>
      <c r="F3004" t="s">
        <v>79</v>
      </c>
      <c r="G3004" t="s">
        <v>200</v>
      </c>
      <c r="H3004">
        <v>2</v>
      </c>
      <c r="I3004" s="3">
        <v>66.45</v>
      </c>
      <c r="J3004" t="s">
        <v>24</v>
      </c>
      <c r="K3004" t="s">
        <v>35</v>
      </c>
      <c r="L3004" s="4">
        <f>Table4[[#This Row],[quantity]]*Table4[[#This Row],[unit_price]]</f>
        <v>132.9</v>
      </c>
      <c r="M3004">
        <f>COUNTIFS($C$2:$C$3934,Table4[[#This Row],[customer_id]])</f>
        <v>6</v>
      </c>
      <c r="N3004" t="str">
        <f>IF(Table4[[#This Row],[customer_order_count]]=1,"New Customer","Repeat Customer")</f>
        <v>Repeat Customer</v>
      </c>
    </row>
    <row r="3005" spans="1:14">
      <c r="A3005" t="s">
        <v>1334</v>
      </c>
      <c r="B3005" s="1">
        <v>45610</v>
      </c>
      <c r="C3005" t="s">
        <v>1335</v>
      </c>
      <c r="D3005" t="s">
        <v>1336</v>
      </c>
      <c r="E3005" t="s">
        <v>21</v>
      </c>
      <c r="F3005" t="s">
        <v>56</v>
      </c>
      <c r="G3005" t="s">
        <v>153</v>
      </c>
      <c r="H3005">
        <v>1</v>
      </c>
      <c r="I3005" s="3">
        <v>66.52</v>
      </c>
      <c r="J3005" t="s">
        <v>16</v>
      </c>
      <c r="K3005" t="s">
        <v>17</v>
      </c>
      <c r="L3005" s="4">
        <f>Table4[[#This Row],[quantity]]*Table4[[#This Row],[unit_price]]</f>
        <v>66.52</v>
      </c>
      <c r="M3005">
        <f>COUNTIFS($C$2:$C$3934,Table4[[#This Row],[customer_id]])</f>
        <v>7</v>
      </c>
      <c r="N3005" t="str">
        <f>IF(Table4[[#This Row],[customer_order_count]]=1,"New Customer","Repeat Customer")</f>
        <v>Repeat Customer</v>
      </c>
    </row>
    <row r="3006" spans="1:14">
      <c r="A3006" t="s">
        <v>1976</v>
      </c>
      <c r="B3006" s="1">
        <v>44967</v>
      </c>
      <c r="C3006" t="s">
        <v>1977</v>
      </c>
      <c r="D3006" t="s">
        <v>491</v>
      </c>
      <c r="E3006" t="s">
        <v>44</v>
      </c>
      <c r="F3006" t="s">
        <v>56</v>
      </c>
      <c r="G3006" t="s">
        <v>153</v>
      </c>
      <c r="H3006">
        <v>1</v>
      </c>
      <c r="I3006" s="3">
        <v>66.540000000000006</v>
      </c>
      <c r="J3006" t="s">
        <v>16</v>
      </c>
      <c r="K3006" t="s">
        <v>35</v>
      </c>
      <c r="L3006" s="4">
        <f>Table4[[#This Row],[quantity]]*Table4[[#This Row],[unit_price]]</f>
        <v>66.540000000000006</v>
      </c>
      <c r="M3006">
        <f>COUNTIFS($C$2:$C$3934,Table4[[#This Row],[customer_id]])</f>
        <v>3</v>
      </c>
      <c r="N3006" t="str">
        <f>IF(Table4[[#This Row],[customer_order_count]]=1,"New Customer","Repeat Customer")</f>
        <v>Repeat Customer</v>
      </c>
    </row>
    <row r="3007" spans="1:14">
      <c r="A3007" t="s">
        <v>3075</v>
      </c>
      <c r="B3007" s="1">
        <v>45405</v>
      </c>
      <c r="C3007" t="s">
        <v>999</v>
      </c>
      <c r="D3007" t="s">
        <v>1000</v>
      </c>
      <c r="E3007" t="s">
        <v>21</v>
      </c>
      <c r="F3007" t="s">
        <v>56</v>
      </c>
      <c r="G3007" t="s">
        <v>75</v>
      </c>
      <c r="H3007">
        <v>2</v>
      </c>
      <c r="I3007" s="3">
        <v>66.540000000000006</v>
      </c>
      <c r="J3007" t="s">
        <v>16</v>
      </c>
      <c r="K3007" t="s">
        <v>40</v>
      </c>
      <c r="L3007" s="4">
        <f>Table4[[#This Row],[quantity]]*Table4[[#This Row],[unit_price]]</f>
        <v>133.08000000000001</v>
      </c>
      <c r="M3007">
        <f>COUNTIFS($C$2:$C$3934,Table4[[#This Row],[customer_id]])</f>
        <v>5</v>
      </c>
      <c r="N3007" t="str">
        <f>IF(Table4[[#This Row],[customer_order_count]]=1,"New Customer","Repeat Customer")</f>
        <v>Repeat Customer</v>
      </c>
    </row>
    <row r="3008" spans="1:14">
      <c r="A3008" t="s">
        <v>792</v>
      </c>
      <c r="B3008" s="1">
        <v>45251</v>
      </c>
      <c r="C3008" t="s">
        <v>793</v>
      </c>
      <c r="D3008" t="s">
        <v>794</v>
      </c>
      <c r="E3008" t="s">
        <v>44</v>
      </c>
      <c r="F3008" t="s">
        <v>79</v>
      </c>
      <c r="G3008" t="s">
        <v>204</v>
      </c>
      <c r="H3008">
        <v>1</v>
      </c>
      <c r="I3008" s="3">
        <v>66.56</v>
      </c>
      <c r="J3008" t="s">
        <v>16</v>
      </c>
      <c r="K3008" t="s">
        <v>35</v>
      </c>
      <c r="L3008" s="4">
        <f>Table4[[#This Row],[quantity]]*Table4[[#This Row],[unit_price]]</f>
        <v>66.56</v>
      </c>
      <c r="M3008">
        <f>COUNTIFS($C$2:$C$3934,Table4[[#This Row],[customer_id]])</f>
        <v>5</v>
      </c>
      <c r="N3008" t="str">
        <f>IF(Table4[[#This Row],[customer_order_count]]=1,"New Customer","Repeat Customer")</f>
        <v>Repeat Customer</v>
      </c>
    </row>
    <row r="3009" spans="1:14">
      <c r="A3009" t="s">
        <v>1592</v>
      </c>
      <c r="B3009" s="1">
        <v>45213</v>
      </c>
      <c r="C3009" t="s">
        <v>1593</v>
      </c>
      <c r="D3009" t="s">
        <v>304</v>
      </c>
      <c r="E3009" t="s">
        <v>44</v>
      </c>
      <c r="F3009" t="s">
        <v>70</v>
      </c>
      <c r="G3009" t="s">
        <v>146</v>
      </c>
      <c r="H3009">
        <v>2</v>
      </c>
      <c r="I3009" s="3">
        <v>66.59</v>
      </c>
      <c r="J3009" t="s">
        <v>16</v>
      </c>
      <c r="K3009" t="s">
        <v>40</v>
      </c>
      <c r="L3009" s="4">
        <f>Table4[[#This Row],[quantity]]*Table4[[#This Row],[unit_price]]</f>
        <v>133.18</v>
      </c>
      <c r="M3009">
        <f>COUNTIFS($C$2:$C$3934,Table4[[#This Row],[customer_id]])</f>
        <v>4</v>
      </c>
      <c r="N3009" t="str">
        <f>IF(Table4[[#This Row],[customer_order_count]]=1,"New Customer","Repeat Customer")</f>
        <v>Repeat Customer</v>
      </c>
    </row>
    <row r="3010" spans="1:14">
      <c r="A3010" t="s">
        <v>837</v>
      </c>
      <c r="B3010" s="1">
        <v>45635</v>
      </c>
      <c r="C3010" t="s">
        <v>838</v>
      </c>
      <c r="D3010" t="s">
        <v>839</v>
      </c>
      <c r="E3010" t="s">
        <v>44</v>
      </c>
      <c r="F3010" t="s">
        <v>56</v>
      </c>
      <c r="G3010" t="s">
        <v>210</v>
      </c>
      <c r="H3010">
        <v>1</v>
      </c>
      <c r="I3010" s="3">
        <v>66.62</v>
      </c>
      <c r="J3010" t="s">
        <v>255</v>
      </c>
      <c r="K3010" t="s">
        <v>17</v>
      </c>
      <c r="L3010" s="4">
        <f>Table4[[#This Row],[quantity]]*Table4[[#This Row],[unit_price]]</f>
        <v>66.62</v>
      </c>
      <c r="M3010">
        <f>COUNTIFS($C$2:$C$3934,Table4[[#This Row],[customer_id]])</f>
        <v>5</v>
      </c>
      <c r="N3010" t="str">
        <f>IF(Table4[[#This Row],[customer_order_count]]=1,"New Customer","Repeat Customer")</f>
        <v>Repeat Customer</v>
      </c>
    </row>
    <row r="3011" spans="1:14">
      <c r="A3011" t="s">
        <v>3767</v>
      </c>
      <c r="B3011" s="1">
        <v>45060</v>
      </c>
      <c r="C3011" t="s">
        <v>1530</v>
      </c>
      <c r="D3011" t="s">
        <v>834</v>
      </c>
      <c r="E3011" t="s">
        <v>21</v>
      </c>
      <c r="F3011" t="s">
        <v>56</v>
      </c>
      <c r="G3011" t="s">
        <v>254</v>
      </c>
      <c r="H3011">
        <v>1</v>
      </c>
      <c r="I3011" s="3">
        <v>66.63</v>
      </c>
      <c r="J3011" t="s">
        <v>16</v>
      </c>
      <c r="K3011" t="s">
        <v>17</v>
      </c>
      <c r="L3011" s="4">
        <f>Table4[[#This Row],[quantity]]*Table4[[#This Row],[unit_price]]</f>
        <v>66.63</v>
      </c>
      <c r="M3011">
        <f>COUNTIFS($C$2:$C$3934,Table4[[#This Row],[customer_id]])</f>
        <v>8</v>
      </c>
      <c r="N3011" t="str">
        <f>IF(Table4[[#This Row],[customer_order_count]]=1,"New Customer","Repeat Customer")</f>
        <v>Repeat Customer</v>
      </c>
    </row>
    <row r="3012" spans="1:14">
      <c r="A3012" t="s">
        <v>4622</v>
      </c>
      <c r="B3012" s="1">
        <v>45642</v>
      </c>
      <c r="C3012" t="s">
        <v>611</v>
      </c>
      <c r="D3012" t="s">
        <v>612</v>
      </c>
      <c r="E3012" t="s">
        <v>21</v>
      </c>
      <c r="F3012" t="s">
        <v>56</v>
      </c>
      <c r="G3012" t="s">
        <v>153</v>
      </c>
      <c r="H3012">
        <v>4</v>
      </c>
      <c r="I3012" s="3">
        <v>66.78</v>
      </c>
      <c r="J3012" t="s">
        <v>85</v>
      </c>
      <c r="K3012" t="s">
        <v>40</v>
      </c>
      <c r="L3012" s="4">
        <f>Table4[[#This Row],[quantity]]*Table4[[#This Row],[unit_price]]</f>
        <v>267.12</v>
      </c>
      <c r="M3012">
        <f>COUNTIFS($C$2:$C$3934,Table4[[#This Row],[customer_id]])</f>
        <v>6</v>
      </c>
      <c r="N3012" t="str">
        <f>IF(Table4[[#This Row],[customer_order_count]]=1,"New Customer","Repeat Customer")</f>
        <v>Repeat Customer</v>
      </c>
    </row>
    <row r="3013" spans="1:14">
      <c r="A3013" t="s">
        <v>3661</v>
      </c>
      <c r="B3013" s="1">
        <v>45076</v>
      </c>
      <c r="C3013" t="s">
        <v>309</v>
      </c>
      <c r="D3013" t="s">
        <v>310</v>
      </c>
      <c r="E3013" t="s">
        <v>44</v>
      </c>
      <c r="F3013" t="s">
        <v>56</v>
      </c>
      <c r="G3013" t="s">
        <v>153</v>
      </c>
      <c r="H3013">
        <v>1</v>
      </c>
      <c r="I3013" s="3">
        <v>66.84</v>
      </c>
      <c r="J3013" t="s">
        <v>16</v>
      </c>
      <c r="K3013" t="s">
        <v>30</v>
      </c>
      <c r="L3013" s="4">
        <f>Table4[[#This Row],[quantity]]*Table4[[#This Row],[unit_price]]</f>
        <v>66.84</v>
      </c>
      <c r="M3013">
        <f>COUNTIFS($C$2:$C$3934,Table4[[#This Row],[customer_id]])</f>
        <v>8</v>
      </c>
      <c r="N3013" t="str">
        <f>IF(Table4[[#This Row],[customer_order_count]]=1,"New Customer","Repeat Customer")</f>
        <v>Repeat Customer</v>
      </c>
    </row>
    <row r="3014" spans="1:14">
      <c r="A3014" t="s">
        <v>2262</v>
      </c>
      <c r="B3014" s="1">
        <v>45512</v>
      </c>
      <c r="C3014" t="s">
        <v>1263</v>
      </c>
      <c r="D3014" t="s">
        <v>1264</v>
      </c>
      <c r="E3014" t="s">
        <v>21</v>
      </c>
      <c r="F3014" t="s">
        <v>70</v>
      </c>
      <c r="G3014" t="s">
        <v>89</v>
      </c>
      <c r="H3014">
        <v>3</v>
      </c>
      <c r="I3014" s="3">
        <v>66.87</v>
      </c>
      <c r="J3014" t="s">
        <v>255</v>
      </c>
      <c r="K3014" t="s">
        <v>35</v>
      </c>
      <c r="L3014" s="4">
        <f>Table4[[#This Row],[quantity]]*Table4[[#This Row],[unit_price]]</f>
        <v>200.61</v>
      </c>
      <c r="M3014">
        <f>COUNTIFS($C$2:$C$3934,Table4[[#This Row],[customer_id]])</f>
        <v>5</v>
      </c>
      <c r="N3014" t="str">
        <f>IF(Table4[[#This Row],[customer_order_count]]=1,"New Customer","Repeat Customer")</f>
        <v>Repeat Customer</v>
      </c>
    </row>
    <row r="3015" spans="1:14">
      <c r="A3015" t="s">
        <v>4355</v>
      </c>
      <c r="B3015" s="1">
        <v>45069</v>
      </c>
      <c r="C3015" t="s">
        <v>12</v>
      </c>
      <c r="D3015" t="s">
        <v>13</v>
      </c>
      <c r="E3015" t="s">
        <v>21</v>
      </c>
      <c r="F3015" t="s">
        <v>79</v>
      </c>
      <c r="G3015" t="s">
        <v>398</v>
      </c>
      <c r="H3015">
        <v>1</v>
      </c>
      <c r="I3015" s="3">
        <v>66.92</v>
      </c>
      <c r="J3015" t="s">
        <v>16</v>
      </c>
      <c r="K3015" t="s">
        <v>35</v>
      </c>
      <c r="L3015" s="4">
        <f>Table4[[#This Row],[quantity]]*Table4[[#This Row],[unit_price]]</f>
        <v>66.92</v>
      </c>
      <c r="M3015">
        <f>COUNTIFS($C$2:$C$3934,Table4[[#This Row],[customer_id]])</f>
        <v>10</v>
      </c>
      <c r="N3015" t="str">
        <f>IF(Table4[[#This Row],[customer_order_count]]=1,"New Customer","Repeat Customer")</f>
        <v>Repeat Customer</v>
      </c>
    </row>
    <row r="3016" spans="1:14">
      <c r="A3016" t="s">
        <v>2066</v>
      </c>
      <c r="B3016" s="1">
        <v>45590</v>
      </c>
      <c r="C3016" t="s">
        <v>2067</v>
      </c>
      <c r="D3016" t="s">
        <v>165</v>
      </c>
      <c r="E3016" t="s">
        <v>21</v>
      </c>
      <c r="F3016" t="s">
        <v>70</v>
      </c>
      <c r="G3016" t="s">
        <v>170</v>
      </c>
      <c r="H3016">
        <v>2</v>
      </c>
      <c r="I3016" s="3">
        <v>67.02</v>
      </c>
      <c r="J3016" t="s">
        <v>16</v>
      </c>
      <c r="K3016" t="s">
        <v>17</v>
      </c>
      <c r="L3016" s="4">
        <f>Table4[[#This Row],[quantity]]*Table4[[#This Row],[unit_price]]</f>
        <v>134.04</v>
      </c>
      <c r="M3016">
        <f>COUNTIFS($C$2:$C$3934,Table4[[#This Row],[customer_id]])</f>
        <v>4</v>
      </c>
      <c r="N3016" t="str">
        <f>IF(Table4[[#This Row],[customer_order_count]]=1,"New Customer","Repeat Customer")</f>
        <v>Repeat Customer</v>
      </c>
    </row>
    <row r="3017" spans="1:14">
      <c r="A3017" t="s">
        <v>3995</v>
      </c>
      <c r="B3017" s="1">
        <v>45126</v>
      </c>
      <c r="C3017" t="s">
        <v>3122</v>
      </c>
      <c r="D3017" t="s">
        <v>1832</v>
      </c>
      <c r="E3017" t="s">
        <v>61</v>
      </c>
      <c r="F3017" t="s">
        <v>79</v>
      </c>
      <c r="G3017" t="s">
        <v>200</v>
      </c>
      <c r="H3017">
        <v>2</v>
      </c>
      <c r="I3017" s="3">
        <v>67.06</v>
      </c>
      <c r="J3017" t="s">
        <v>16</v>
      </c>
      <c r="K3017" t="s">
        <v>35</v>
      </c>
      <c r="L3017" s="4">
        <f>Table4[[#This Row],[quantity]]*Table4[[#This Row],[unit_price]]</f>
        <v>134.12</v>
      </c>
      <c r="M3017">
        <f>COUNTIFS($C$2:$C$3934,Table4[[#This Row],[customer_id]])</f>
        <v>4</v>
      </c>
      <c r="N3017" t="str">
        <f>IF(Table4[[#This Row],[customer_order_count]]=1,"New Customer","Repeat Customer")</f>
        <v>Repeat Customer</v>
      </c>
    </row>
    <row r="3018" spans="1:14">
      <c r="A3018" t="s">
        <v>2420</v>
      </c>
      <c r="B3018" s="1">
        <v>45480</v>
      </c>
      <c r="C3018" t="s">
        <v>1999</v>
      </c>
      <c r="D3018" t="s">
        <v>1907</v>
      </c>
      <c r="E3018" t="s">
        <v>44</v>
      </c>
      <c r="F3018" t="s">
        <v>70</v>
      </c>
      <c r="G3018" t="s">
        <v>71</v>
      </c>
      <c r="H3018">
        <v>1</v>
      </c>
      <c r="I3018" s="3">
        <v>67.14</v>
      </c>
      <c r="J3018" t="s">
        <v>85</v>
      </c>
      <c r="K3018" t="s">
        <v>30</v>
      </c>
      <c r="L3018" s="4">
        <f>Table4[[#This Row],[quantity]]*Table4[[#This Row],[unit_price]]</f>
        <v>67.14</v>
      </c>
      <c r="M3018">
        <f>COUNTIFS($C$2:$C$3934,Table4[[#This Row],[customer_id]])</f>
        <v>6</v>
      </c>
      <c r="N3018" t="str">
        <f>IF(Table4[[#This Row],[customer_order_count]]=1,"New Customer","Repeat Customer")</f>
        <v>Repeat Customer</v>
      </c>
    </row>
    <row r="3019" spans="1:14">
      <c r="A3019" t="s">
        <v>1427</v>
      </c>
      <c r="B3019" s="1">
        <v>45148</v>
      </c>
      <c r="C3019" t="s">
        <v>225</v>
      </c>
      <c r="D3019" s="2" t="s">
        <v>5257</v>
      </c>
      <c r="E3019" t="s">
        <v>21</v>
      </c>
      <c r="F3019" t="s">
        <v>14</v>
      </c>
      <c r="G3019" t="s">
        <v>100</v>
      </c>
      <c r="H3019">
        <v>1</v>
      </c>
      <c r="I3019" s="3">
        <v>67.16</v>
      </c>
      <c r="J3019" t="s">
        <v>16</v>
      </c>
      <c r="K3019" t="s">
        <v>17</v>
      </c>
      <c r="L3019" s="4">
        <f>Table4[[#This Row],[quantity]]*Table4[[#This Row],[unit_price]]</f>
        <v>67.16</v>
      </c>
      <c r="M3019">
        <f>COUNTIFS($C$2:$C$3934,Table4[[#This Row],[customer_id]])</f>
        <v>7</v>
      </c>
      <c r="N3019" t="str">
        <f>IF(Table4[[#This Row],[customer_order_count]]=1,"New Customer","Repeat Customer")</f>
        <v>Repeat Customer</v>
      </c>
    </row>
    <row r="3020" spans="1:14">
      <c r="A3020" t="s">
        <v>3326</v>
      </c>
      <c r="B3020" s="1">
        <v>45023</v>
      </c>
      <c r="C3020" t="s">
        <v>3327</v>
      </c>
      <c r="D3020" s="5" t="s">
        <v>1412</v>
      </c>
      <c r="E3020" t="s">
        <v>44</v>
      </c>
      <c r="F3020" t="s">
        <v>70</v>
      </c>
      <c r="G3020" t="s">
        <v>170</v>
      </c>
      <c r="H3020">
        <v>2</v>
      </c>
      <c r="I3020" s="3">
        <v>67.180000000000007</v>
      </c>
      <c r="J3020" t="s">
        <v>16</v>
      </c>
      <c r="K3020" t="s">
        <v>35</v>
      </c>
      <c r="L3020" s="4">
        <f>Table4[[#This Row],[quantity]]*Table4[[#This Row],[unit_price]]</f>
        <v>134.36000000000001</v>
      </c>
      <c r="M3020">
        <f>COUNTIFS($C$2:$C$3934,Table4[[#This Row],[customer_id]])</f>
        <v>2</v>
      </c>
      <c r="N3020" t="str">
        <f>IF(Table4[[#This Row],[customer_order_count]]=1,"New Customer","Repeat Customer")</f>
        <v>Repeat Customer</v>
      </c>
    </row>
    <row r="3021" spans="1:14">
      <c r="A3021" t="s">
        <v>1967</v>
      </c>
      <c r="B3021" s="1">
        <v>44979</v>
      </c>
      <c r="C3021" t="s">
        <v>1968</v>
      </c>
      <c r="D3021" t="s">
        <v>292</v>
      </c>
      <c r="E3021" t="s">
        <v>21</v>
      </c>
      <c r="F3021" t="s">
        <v>79</v>
      </c>
      <c r="G3021" t="s">
        <v>541</v>
      </c>
      <c r="H3021">
        <v>2</v>
      </c>
      <c r="I3021" s="3">
        <v>67.209999999999994</v>
      </c>
      <c r="J3021" t="s">
        <v>16</v>
      </c>
      <c r="K3021" t="s">
        <v>40</v>
      </c>
      <c r="L3021" s="4">
        <f>Table4[[#This Row],[quantity]]*Table4[[#This Row],[unit_price]]</f>
        <v>134.41999999999999</v>
      </c>
      <c r="M3021">
        <f>COUNTIFS($C$2:$C$3934,Table4[[#This Row],[customer_id]])</f>
        <v>6</v>
      </c>
      <c r="N3021" t="str">
        <f>IF(Table4[[#This Row],[customer_order_count]]=1,"New Customer","Repeat Customer")</f>
        <v>Repeat Customer</v>
      </c>
    </row>
    <row r="3022" spans="1:14">
      <c r="A3022" t="s">
        <v>2710</v>
      </c>
      <c r="B3022" s="1">
        <v>45459</v>
      </c>
      <c r="C3022" t="s">
        <v>969</v>
      </c>
      <c r="D3022" t="s">
        <v>365</v>
      </c>
      <c r="E3022" t="s">
        <v>21</v>
      </c>
      <c r="F3022" t="s">
        <v>14</v>
      </c>
      <c r="G3022" t="s">
        <v>15</v>
      </c>
      <c r="H3022">
        <v>1</v>
      </c>
      <c r="I3022" s="3">
        <v>67.28</v>
      </c>
      <c r="J3022" t="s">
        <v>16</v>
      </c>
      <c r="K3022" t="s">
        <v>30</v>
      </c>
      <c r="L3022" s="4">
        <f>Table4[[#This Row],[quantity]]*Table4[[#This Row],[unit_price]]</f>
        <v>67.28</v>
      </c>
      <c r="M3022">
        <f>COUNTIFS($C$2:$C$3934,Table4[[#This Row],[customer_id]])</f>
        <v>5</v>
      </c>
      <c r="N3022" t="str">
        <f>IF(Table4[[#This Row],[customer_order_count]]=1,"New Customer","Repeat Customer")</f>
        <v>Repeat Customer</v>
      </c>
    </row>
    <row r="3023" spans="1:14">
      <c r="A3023" t="s">
        <v>4557</v>
      </c>
      <c r="B3023" s="1">
        <v>45119</v>
      </c>
      <c r="C3023" t="s">
        <v>1257</v>
      </c>
      <c r="D3023" t="s">
        <v>917</v>
      </c>
      <c r="E3023" t="s">
        <v>21</v>
      </c>
      <c r="F3023" t="s">
        <v>56</v>
      </c>
      <c r="G3023" t="s">
        <v>57</v>
      </c>
      <c r="H3023">
        <v>1</v>
      </c>
      <c r="I3023" s="3">
        <v>67.37</v>
      </c>
      <c r="J3023" t="s">
        <v>16</v>
      </c>
      <c r="K3023" t="s">
        <v>40</v>
      </c>
      <c r="L3023" s="4">
        <f>Table4[[#This Row],[quantity]]*Table4[[#This Row],[unit_price]]</f>
        <v>67.37</v>
      </c>
      <c r="M3023">
        <f>COUNTIFS($C$2:$C$3934,Table4[[#This Row],[customer_id]])</f>
        <v>6</v>
      </c>
      <c r="N3023" t="str">
        <f>IF(Table4[[#This Row],[customer_order_count]]=1,"New Customer","Repeat Customer")</f>
        <v>Repeat Customer</v>
      </c>
    </row>
    <row r="3024" spans="1:14">
      <c r="A3024" t="s">
        <v>1971</v>
      </c>
      <c r="B3024" s="1">
        <v>45342</v>
      </c>
      <c r="C3024" t="s">
        <v>861</v>
      </c>
      <c r="D3024" t="s">
        <v>787</v>
      </c>
      <c r="E3024" t="s">
        <v>21</v>
      </c>
      <c r="F3024" t="s">
        <v>56</v>
      </c>
      <c r="G3024" t="s">
        <v>422</v>
      </c>
      <c r="H3024">
        <v>2</v>
      </c>
      <c r="I3024" s="3">
        <v>67.37</v>
      </c>
      <c r="J3024" t="s">
        <v>16</v>
      </c>
      <c r="K3024" t="s">
        <v>40</v>
      </c>
      <c r="L3024" s="4">
        <f>Table4[[#This Row],[quantity]]*Table4[[#This Row],[unit_price]]</f>
        <v>134.74</v>
      </c>
      <c r="M3024">
        <f>COUNTIFS($C$2:$C$3934,Table4[[#This Row],[customer_id]])</f>
        <v>9</v>
      </c>
      <c r="N3024" t="str">
        <f>IF(Table4[[#This Row],[customer_order_count]]=1,"New Customer","Repeat Customer")</f>
        <v>Repeat Customer</v>
      </c>
    </row>
    <row r="3025" spans="1:14">
      <c r="A3025" t="s">
        <v>1741</v>
      </c>
      <c r="B3025" s="1">
        <v>45517</v>
      </c>
      <c r="C3025" t="s">
        <v>1049</v>
      </c>
      <c r="D3025" t="s">
        <v>1050</v>
      </c>
      <c r="E3025" t="s">
        <v>44</v>
      </c>
      <c r="F3025" t="s">
        <v>56</v>
      </c>
      <c r="G3025" t="s">
        <v>254</v>
      </c>
      <c r="H3025">
        <v>1</v>
      </c>
      <c r="I3025" s="3">
        <v>67.379666666666608</v>
      </c>
      <c r="J3025" t="s">
        <v>16</v>
      </c>
      <c r="K3025" t="s">
        <v>35</v>
      </c>
      <c r="L3025" s="4">
        <f>Table4[[#This Row],[quantity]]*Table4[[#This Row],[unit_price]]</f>
        <v>67.379666666666608</v>
      </c>
      <c r="M3025">
        <f>COUNTIFS($C$2:$C$3934,Table4[[#This Row],[customer_id]])</f>
        <v>5</v>
      </c>
      <c r="N3025" t="str">
        <f>IF(Table4[[#This Row],[customer_order_count]]=1,"New Customer","Repeat Customer")</f>
        <v>Repeat Customer</v>
      </c>
    </row>
    <row r="3026" spans="1:14">
      <c r="A3026" t="s">
        <v>5250</v>
      </c>
      <c r="B3026" s="1">
        <v>45444</v>
      </c>
      <c r="C3026" t="s">
        <v>1429</v>
      </c>
      <c r="D3026" t="s">
        <v>1430</v>
      </c>
      <c r="E3026" t="s">
        <v>21</v>
      </c>
      <c r="F3026" t="s">
        <v>79</v>
      </c>
      <c r="G3026" t="s">
        <v>204</v>
      </c>
      <c r="H3026">
        <v>1</v>
      </c>
      <c r="I3026" s="3">
        <v>67.44</v>
      </c>
      <c r="J3026" t="s">
        <v>255</v>
      </c>
      <c r="K3026" s="2" t="s">
        <v>5256</v>
      </c>
      <c r="L3026" s="4">
        <f>Table4[[#This Row],[quantity]]*Table4[[#This Row],[unit_price]]</f>
        <v>67.44</v>
      </c>
      <c r="M3026">
        <f>COUNTIFS($C$2:$C$3934,Table4[[#This Row],[customer_id]])</f>
        <v>4</v>
      </c>
      <c r="N3026" t="str">
        <f>IF(Table4[[#This Row],[customer_order_count]]=1,"New Customer","Repeat Customer")</f>
        <v>Repeat Customer</v>
      </c>
    </row>
    <row r="3027" spans="1:14">
      <c r="A3027" t="s">
        <v>4630</v>
      </c>
      <c r="B3027" s="1">
        <v>45297</v>
      </c>
      <c r="C3027" t="s">
        <v>990</v>
      </c>
      <c r="D3027" t="s">
        <v>991</v>
      </c>
      <c r="E3027" t="s">
        <v>21</v>
      </c>
      <c r="F3027" t="s">
        <v>70</v>
      </c>
      <c r="G3027" t="s">
        <v>170</v>
      </c>
      <c r="H3027">
        <v>1</v>
      </c>
      <c r="I3027" s="3">
        <v>67.45</v>
      </c>
      <c r="J3027" t="s">
        <v>16</v>
      </c>
      <c r="K3027" s="5" t="s">
        <v>17</v>
      </c>
      <c r="L3027" s="4">
        <f>Table4[[#This Row],[quantity]]*Table4[[#This Row],[unit_price]]</f>
        <v>67.45</v>
      </c>
      <c r="M3027">
        <f>COUNTIFS($C$2:$C$3934,Table4[[#This Row],[customer_id]])</f>
        <v>5</v>
      </c>
      <c r="N3027" t="str">
        <f>IF(Table4[[#This Row],[customer_order_count]]=1,"New Customer","Repeat Customer")</f>
        <v>Repeat Customer</v>
      </c>
    </row>
    <row r="3028" spans="1:14">
      <c r="A3028" t="s">
        <v>2921</v>
      </c>
      <c r="B3028" s="1">
        <v>44956</v>
      </c>
      <c r="C3028" t="s">
        <v>2922</v>
      </c>
      <c r="D3028" t="s">
        <v>519</v>
      </c>
      <c r="E3028" t="s">
        <v>44</v>
      </c>
      <c r="F3028" t="s">
        <v>14</v>
      </c>
      <c r="G3028" t="s">
        <v>100</v>
      </c>
      <c r="H3028">
        <v>4</v>
      </c>
      <c r="I3028" s="3">
        <v>67.52</v>
      </c>
      <c r="J3028" t="s">
        <v>16</v>
      </c>
      <c r="K3028" t="s">
        <v>30</v>
      </c>
      <c r="L3028" s="4">
        <f>Table4[[#This Row],[quantity]]*Table4[[#This Row],[unit_price]]</f>
        <v>270.08</v>
      </c>
      <c r="M3028">
        <f>COUNTIFS($C$2:$C$3934,Table4[[#This Row],[customer_id]])</f>
        <v>4</v>
      </c>
      <c r="N3028" t="str">
        <f>IF(Table4[[#This Row],[customer_order_count]]=1,"New Customer","Repeat Customer")</f>
        <v>Repeat Customer</v>
      </c>
    </row>
    <row r="3029" spans="1:14">
      <c r="A3029" t="s">
        <v>5186</v>
      </c>
      <c r="B3029" s="1">
        <v>45221</v>
      </c>
      <c r="C3029" t="s">
        <v>2424</v>
      </c>
      <c r="D3029" t="s">
        <v>646</v>
      </c>
      <c r="E3029" t="s">
        <v>21</v>
      </c>
      <c r="F3029" t="s">
        <v>79</v>
      </c>
      <c r="G3029" t="s">
        <v>166</v>
      </c>
      <c r="H3029">
        <v>1</v>
      </c>
      <c r="I3029" s="3">
        <v>67.599999999999994</v>
      </c>
      <c r="J3029" t="s">
        <v>16</v>
      </c>
      <c r="K3029" t="s">
        <v>35</v>
      </c>
      <c r="L3029" s="4">
        <f>Table4[[#This Row],[quantity]]*Table4[[#This Row],[unit_price]]</f>
        <v>67.599999999999994</v>
      </c>
      <c r="M3029">
        <f>COUNTIFS($C$2:$C$3934,Table4[[#This Row],[customer_id]])</f>
        <v>6</v>
      </c>
      <c r="N3029" t="str">
        <f>IF(Table4[[#This Row],[customer_order_count]]=1,"New Customer","Repeat Customer")</f>
        <v>Repeat Customer</v>
      </c>
    </row>
    <row r="3030" spans="1:14">
      <c r="A3030" t="s">
        <v>3492</v>
      </c>
      <c r="B3030" s="1">
        <v>45417</v>
      </c>
      <c r="C3030" t="s">
        <v>876</v>
      </c>
      <c r="D3030" t="s">
        <v>877</v>
      </c>
      <c r="E3030" t="s">
        <v>21</v>
      </c>
      <c r="F3030" t="s">
        <v>56</v>
      </c>
      <c r="G3030" t="s">
        <v>210</v>
      </c>
      <c r="H3030">
        <v>1</v>
      </c>
      <c r="I3030" s="3">
        <v>67.599999999999994</v>
      </c>
      <c r="J3030" t="s">
        <v>16</v>
      </c>
      <c r="K3030" t="s">
        <v>30</v>
      </c>
      <c r="L3030" s="4">
        <f>Table4[[#This Row],[quantity]]*Table4[[#This Row],[unit_price]]</f>
        <v>67.599999999999994</v>
      </c>
      <c r="M3030">
        <f>COUNTIFS($C$2:$C$3934,Table4[[#This Row],[customer_id]])</f>
        <v>5</v>
      </c>
      <c r="N3030" t="str">
        <f>IF(Table4[[#This Row],[customer_order_count]]=1,"New Customer","Repeat Customer")</f>
        <v>Repeat Customer</v>
      </c>
    </row>
    <row r="3031" spans="1:14">
      <c r="A3031" t="s">
        <v>603</v>
      </c>
      <c r="B3031" s="1">
        <v>45157</v>
      </c>
      <c r="C3031" t="s">
        <v>604</v>
      </c>
      <c r="D3031" t="s">
        <v>38</v>
      </c>
      <c r="E3031" t="s">
        <v>21</v>
      </c>
      <c r="F3031" t="s">
        <v>14</v>
      </c>
      <c r="G3031" t="s">
        <v>15</v>
      </c>
      <c r="H3031">
        <v>1</v>
      </c>
      <c r="I3031" s="3">
        <v>67.63</v>
      </c>
      <c r="J3031" t="s">
        <v>16</v>
      </c>
      <c r="K3031" t="s">
        <v>40</v>
      </c>
      <c r="L3031" s="4">
        <f>Table4[[#This Row],[quantity]]*Table4[[#This Row],[unit_price]]</f>
        <v>67.63</v>
      </c>
      <c r="M3031">
        <f>COUNTIFS($C$2:$C$3934,Table4[[#This Row],[customer_id]])</f>
        <v>7</v>
      </c>
      <c r="N3031" t="str">
        <f>IF(Table4[[#This Row],[customer_order_count]]=1,"New Customer","Repeat Customer")</f>
        <v>Repeat Customer</v>
      </c>
    </row>
    <row r="3032" spans="1:14">
      <c r="A3032" t="s">
        <v>2335</v>
      </c>
      <c r="B3032" s="1">
        <v>45449</v>
      </c>
      <c r="C3032" t="s">
        <v>160</v>
      </c>
      <c r="D3032" s="2" t="s">
        <v>5257</v>
      </c>
      <c r="E3032" t="s">
        <v>21</v>
      </c>
      <c r="F3032" t="s">
        <v>56</v>
      </c>
      <c r="G3032" t="s">
        <v>57</v>
      </c>
      <c r="H3032">
        <v>1</v>
      </c>
      <c r="I3032" s="3">
        <v>67.73</v>
      </c>
      <c r="J3032" t="s">
        <v>16</v>
      </c>
      <c r="K3032" t="s">
        <v>35</v>
      </c>
      <c r="L3032" s="4">
        <f>Table4[[#This Row],[quantity]]*Table4[[#This Row],[unit_price]]</f>
        <v>67.73</v>
      </c>
      <c r="M3032">
        <f>COUNTIFS($C$2:$C$3934,Table4[[#This Row],[customer_id]])</f>
        <v>6</v>
      </c>
      <c r="N3032" t="str">
        <f>IF(Table4[[#This Row],[customer_order_count]]=1,"New Customer","Repeat Customer")</f>
        <v>Repeat Customer</v>
      </c>
    </row>
    <row r="3033" spans="1:14">
      <c r="A3033" t="s">
        <v>699</v>
      </c>
      <c r="B3033" s="1">
        <v>45001</v>
      </c>
      <c r="C3033" t="s">
        <v>700</v>
      </c>
      <c r="D3033" s="2" t="s">
        <v>5257</v>
      </c>
      <c r="E3033" t="s">
        <v>21</v>
      </c>
      <c r="F3033" t="s">
        <v>79</v>
      </c>
      <c r="G3033" t="s">
        <v>96</v>
      </c>
      <c r="H3033">
        <v>1</v>
      </c>
      <c r="I3033" s="3">
        <v>67.77</v>
      </c>
      <c r="J3033" t="s">
        <v>16</v>
      </c>
      <c r="K3033" t="s">
        <v>35</v>
      </c>
      <c r="L3033" s="4">
        <f>Table4[[#This Row],[quantity]]*Table4[[#This Row],[unit_price]]</f>
        <v>67.77</v>
      </c>
      <c r="M3033">
        <f>COUNTIFS($C$2:$C$3934,Table4[[#This Row],[customer_id]])</f>
        <v>5</v>
      </c>
      <c r="N3033" t="str">
        <f>IF(Table4[[#This Row],[customer_order_count]]=1,"New Customer","Repeat Customer")</f>
        <v>Repeat Customer</v>
      </c>
    </row>
    <row r="3034" spans="1:14">
      <c r="A3034" t="s">
        <v>2158</v>
      </c>
      <c r="B3034" s="1">
        <v>45020</v>
      </c>
      <c r="C3034" t="s">
        <v>1587</v>
      </c>
      <c r="D3034" s="5" t="s">
        <v>1588</v>
      </c>
      <c r="E3034" t="s">
        <v>21</v>
      </c>
      <c r="F3034" t="s">
        <v>79</v>
      </c>
      <c r="G3034" t="s">
        <v>204</v>
      </c>
      <c r="H3034">
        <v>4</v>
      </c>
      <c r="I3034" s="3">
        <v>67.819999999999993</v>
      </c>
      <c r="J3034" t="s">
        <v>16</v>
      </c>
      <c r="K3034" t="s">
        <v>40</v>
      </c>
      <c r="L3034" s="4">
        <f>Table4[[#This Row],[quantity]]*Table4[[#This Row],[unit_price]]</f>
        <v>271.27999999999997</v>
      </c>
      <c r="M3034">
        <f>COUNTIFS($C$2:$C$3934,Table4[[#This Row],[customer_id]])</f>
        <v>8</v>
      </c>
      <c r="N3034" t="str">
        <f>IF(Table4[[#This Row],[customer_order_count]]=1,"New Customer","Repeat Customer")</f>
        <v>Repeat Customer</v>
      </c>
    </row>
    <row r="3035" spans="1:14">
      <c r="A3035" t="s">
        <v>4849</v>
      </c>
      <c r="B3035" s="1">
        <v>45325</v>
      </c>
      <c r="C3035" t="s">
        <v>1095</v>
      </c>
      <c r="D3035" t="s">
        <v>229</v>
      </c>
      <c r="E3035" t="s">
        <v>21</v>
      </c>
      <c r="F3035" t="s">
        <v>79</v>
      </c>
      <c r="G3035" t="s">
        <v>200</v>
      </c>
      <c r="H3035">
        <v>3</v>
      </c>
      <c r="I3035" s="3">
        <v>67.849999999999994</v>
      </c>
      <c r="J3035" t="s">
        <v>24</v>
      </c>
      <c r="K3035" t="s">
        <v>35</v>
      </c>
      <c r="L3035" s="4">
        <f>Table4[[#This Row],[quantity]]*Table4[[#This Row],[unit_price]]</f>
        <v>203.54999999999998</v>
      </c>
      <c r="M3035">
        <f>COUNTIFS($C$2:$C$3934,Table4[[#This Row],[customer_id]])</f>
        <v>7</v>
      </c>
      <c r="N3035" t="str">
        <f>IF(Table4[[#This Row],[customer_order_count]]=1,"New Customer","Repeat Customer")</f>
        <v>Repeat Customer</v>
      </c>
    </row>
    <row r="3036" spans="1:14">
      <c r="A3036" t="s">
        <v>1572</v>
      </c>
      <c r="B3036" s="1">
        <v>45649</v>
      </c>
      <c r="C3036" t="s">
        <v>1573</v>
      </c>
      <c r="D3036" t="s">
        <v>693</v>
      </c>
      <c r="E3036" t="s">
        <v>21</v>
      </c>
      <c r="F3036" t="s">
        <v>70</v>
      </c>
      <c r="G3036" t="s">
        <v>337</v>
      </c>
      <c r="H3036">
        <v>2</v>
      </c>
      <c r="I3036" s="3">
        <v>67.89</v>
      </c>
      <c r="J3036" t="s">
        <v>24</v>
      </c>
      <c r="K3036" t="s">
        <v>35</v>
      </c>
      <c r="L3036" s="4">
        <f>Table4[[#This Row],[quantity]]*Table4[[#This Row],[unit_price]]</f>
        <v>135.78</v>
      </c>
      <c r="M3036">
        <f>COUNTIFS($C$2:$C$3934,Table4[[#This Row],[customer_id]])</f>
        <v>7</v>
      </c>
      <c r="N3036" t="str">
        <f>IF(Table4[[#This Row],[customer_order_count]]=1,"New Customer","Repeat Customer")</f>
        <v>Repeat Customer</v>
      </c>
    </row>
    <row r="3037" spans="1:14">
      <c r="A3037" t="s">
        <v>1299</v>
      </c>
      <c r="B3037" s="1">
        <v>45158</v>
      </c>
      <c r="C3037" t="s">
        <v>309</v>
      </c>
      <c r="D3037" t="s">
        <v>310</v>
      </c>
      <c r="E3037" t="s">
        <v>44</v>
      </c>
      <c r="F3037" t="s">
        <v>56</v>
      </c>
      <c r="G3037" t="s">
        <v>75</v>
      </c>
      <c r="H3037">
        <v>1</v>
      </c>
      <c r="I3037" s="3">
        <v>67.95</v>
      </c>
      <c r="J3037" t="s">
        <v>24</v>
      </c>
      <c r="K3037" t="s">
        <v>17</v>
      </c>
      <c r="L3037" s="4">
        <f>Table4[[#This Row],[quantity]]*Table4[[#This Row],[unit_price]]</f>
        <v>67.95</v>
      </c>
      <c r="M3037">
        <f>COUNTIFS($C$2:$C$3934,Table4[[#This Row],[customer_id]])</f>
        <v>8</v>
      </c>
      <c r="N3037" t="str">
        <f>IF(Table4[[#This Row],[customer_order_count]]=1,"New Customer","Repeat Customer")</f>
        <v>Repeat Customer</v>
      </c>
    </row>
    <row r="3038" spans="1:14">
      <c r="A3038" t="s">
        <v>2788</v>
      </c>
      <c r="B3038" s="1">
        <v>45450</v>
      </c>
      <c r="C3038" t="s">
        <v>2309</v>
      </c>
      <c r="D3038" t="s">
        <v>2310</v>
      </c>
      <c r="E3038" t="s">
        <v>21</v>
      </c>
      <c r="F3038" t="s">
        <v>56</v>
      </c>
      <c r="G3038" t="s">
        <v>57</v>
      </c>
      <c r="H3038">
        <v>1</v>
      </c>
      <c r="I3038" s="3">
        <v>67.97</v>
      </c>
      <c r="J3038" t="s">
        <v>16</v>
      </c>
      <c r="K3038" t="s">
        <v>40</v>
      </c>
      <c r="L3038" s="4">
        <f>Table4[[#This Row],[quantity]]*Table4[[#This Row],[unit_price]]</f>
        <v>67.97</v>
      </c>
      <c r="M3038">
        <f>COUNTIFS($C$2:$C$3934,Table4[[#This Row],[customer_id]])</f>
        <v>5</v>
      </c>
      <c r="N3038" t="str">
        <f>IF(Table4[[#This Row],[customer_order_count]]=1,"New Customer","Repeat Customer")</f>
        <v>Repeat Customer</v>
      </c>
    </row>
    <row r="3039" spans="1:14">
      <c r="A3039" t="s">
        <v>1420</v>
      </c>
      <c r="B3039" s="1">
        <v>45576</v>
      </c>
      <c r="C3039" t="s">
        <v>1421</v>
      </c>
      <c r="D3039" t="s">
        <v>340</v>
      </c>
      <c r="E3039" t="s">
        <v>21</v>
      </c>
      <c r="F3039" t="s">
        <v>79</v>
      </c>
      <c r="G3039" t="s">
        <v>541</v>
      </c>
      <c r="H3039">
        <v>3</v>
      </c>
      <c r="I3039" s="3">
        <v>68.02</v>
      </c>
      <c r="J3039" t="s">
        <v>16</v>
      </c>
      <c r="K3039" s="2" t="s">
        <v>5256</v>
      </c>
      <c r="L3039" s="4">
        <f>Table4[[#This Row],[quantity]]*Table4[[#This Row],[unit_price]]</f>
        <v>204.06</v>
      </c>
      <c r="M3039">
        <f>COUNTIFS($C$2:$C$3934,Table4[[#This Row],[customer_id]])</f>
        <v>3</v>
      </c>
      <c r="N3039" t="str">
        <f>IF(Table4[[#This Row],[customer_order_count]]=1,"New Customer","Repeat Customer")</f>
        <v>Repeat Customer</v>
      </c>
    </row>
    <row r="3040" spans="1:14">
      <c r="A3040" t="s">
        <v>4735</v>
      </c>
      <c r="B3040" s="1">
        <v>45326</v>
      </c>
      <c r="C3040" t="s">
        <v>3344</v>
      </c>
      <c r="D3040" t="s">
        <v>725</v>
      </c>
      <c r="E3040" t="s">
        <v>44</v>
      </c>
      <c r="F3040" t="s">
        <v>56</v>
      </c>
      <c r="G3040" t="s">
        <v>210</v>
      </c>
      <c r="H3040">
        <v>1</v>
      </c>
      <c r="I3040" s="3">
        <v>68.05</v>
      </c>
      <c r="J3040" t="s">
        <v>24</v>
      </c>
      <c r="K3040" s="5" t="s">
        <v>30</v>
      </c>
      <c r="L3040" s="4">
        <f>Table4[[#This Row],[quantity]]*Table4[[#This Row],[unit_price]]</f>
        <v>68.05</v>
      </c>
      <c r="M3040">
        <f>COUNTIFS($C$2:$C$3934,Table4[[#This Row],[customer_id]])</f>
        <v>4</v>
      </c>
      <c r="N3040" t="str">
        <f>IF(Table4[[#This Row],[customer_order_count]]=1,"New Customer","Repeat Customer")</f>
        <v>Repeat Customer</v>
      </c>
    </row>
    <row r="3041" spans="1:14">
      <c r="A3041" t="s">
        <v>3722</v>
      </c>
      <c r="B3041" s="1">
        <v>45194</v>
      </c>
      <c r="C3041" t="s">
        <v>1097</v>
      </c>
      <c r="D3041" t="s">
        <v>560</v>
      </c>
      <c r="E3041" t="s">
        <v>21</v>
      </c>
      <c r="F3041" t="s">
        <v>56</v>
      </c>
      <c r="G3041" t="s">
        <v>75</v>
      </c>
      <c r="H3041">
        <v>5</v>
      </c>
      <c r="I3041" s="3">
        <v>68.180000000000007</v>
      </c>
      <c r="J3041" t="s">
        <v>16</v>
      </c>
      <c r="K3041" t="s">
        <v>40</v>
      </c>
      <c r="L3041" s="4">
        <f>Table4[[#This Row],[quantity]]*Table4[[#This Row],[unit_price]]</f>
        <v>340.90000000000003</v>
      </c>
      <c r="M3041">
        <f>COUNTIFS($C$2:$C$3934,Table4[[#This Row],[customer_id]])</f>
        <v>7</v>
      </c>
      <c r="N3041" t="str">
        <f>IF(Table4[[#This Row],[customer_order_count]]=1,"New Customer","Repeat Customer")</f>
        <v>Repeat Customer</v>
      </c>
    </row>
    <row r="3042" spans="1:14">
      <c r="A3042" t="s">
        <v>3574</v>
      </c>
      <c r="B3042" s="1">
        <v>44941</v>
      </c>
      <c r="C3042" t="s">
        <v>1384</v>
      </c>
      <c r="D3042" t="s">
        <v>828</v>
      </c>
      <c r="E3042" t="s">
        <v>21</v>
      </c>
      <c r="F3042" t="s">
        <v>14</v>
      </c>
      <c r="G3042" t="s">
        <v>34</v>
      </c>
      <c r="H3042">
        <v>1</v>
      </c>
      <c r="I3042" s="3">
        <v>68.23</v>
      </c>
      <c r="J3042" t="s">
        <v>16</v>
      </c>
      <c r="K3042" t="s">
        <v>35</v>
      </c>
      <c r="L3042" s="4">
        <f>Table4[[#This Row],[quantity]]*Table4[[#This Row],[unit_price]]</f>
        <v>68.23</v>
      </c>
      <c r="M3042">
        <f>COUNTIFS($C$2:$C$3934,Table4[[#This Row],[customer_id]])</f>
        <v>4</v>
      </c>
      <c r="N3042" t="str">
        <f>IF(Table4[[#This Row],[customer_order_count]]=1,"New Customer","Repeat Customer")</f>
        <v>Repeat Customer</v>
      </c>
    </row>
    <row r="3043" spans="1:14">
      <c r="A3043" t="s">
        <v>5170</v>
      </c>
      <c r="B3043" s="1">
        <v>45448</v>
      </c>
      <c r="C3043" t="s">
        <v>2219</v>
      </c>
      <c r="D3043" t="s">
        <v>414</v>
      </c>
      <c r="E3043" t="s">
        <v>44</v>
      </c>
      <c r="F3043" t="s">
        <v>79</v>
      </c>
      <c r="G3043" t="s">
        <v>398</v>
      </c>
      <c r="H3043">
        <v>1</v>
      </c>
      <c r="I3043" s="3">
        <v>68.239999999999995</v>
      </c>
      <c r="J3043" t="s">
        <v>16</v>
      </c>
      <c r="K3043" t="s">
        <v>30</v>
      </c>
      <c r="L3043" s="4">
        <f>Table4[[#This Row],[quantity]]*Table4[[#This Row],[unit_price]]</f>
        <v>68.239999999999995</v>
      </c>
      <c r="M3043">
        <f>COUNTIFS($C$2:$C$3934,Table4[[#This Row],[customer_id]])</f>
        <v>4</v>
      </c>
      <c r="N3043" t="str">
        <f>IF(Table4[[#This Row],[customer_order_count]]=1,"New Customer","Repeat Customer")</f>
        <v>Repeat Customer</v>
      </c>
    </row>
    <row r="3044" spans="1:14">
      <c r="A3044" t="s">
        <v>5233</v>
      </c>
      <c r="B3044" s="1">
        <v>45392</v>
      </c>
      <c r="C3044" t="s">
        <v>2661</v>
      </c>
      <c r="D3044" s="2" t="s">
        <v>5257</v>
      </c>
      <c r="E3044" t="s">
        <v>21</v>
      </c>
      <c r="F3044" t="s">
        <v>70</v>
      </c>
      <c r="G3044" t="s">
        <v>110</v>
      </c>
      <c r="H3044">
        <v>1</v>
      </c>
      <c r="I3044" s="3">
        <v>68.38</v>
      </c>
      <c r="J3044" t="s">
        <v>16</v>
      </c>
      <c r="K3044" s="2" t="s">
        <v>5256</v>
      </c>
      <c r="L3044" s="4">
        <f>Table4[[#This Row],[quantity]]*Table4[[#This Row],[unit_price]]</f>
        <v>68.38</v>
      </c>
      <c r="M3044">
        <f>COUNTIFS($C$2:$C$3934,Table4[[#This Row],[customer_id]])</f>
        <v>3</v>
      </c>
      <c r="N3044" t="str">
        <f>IF(Table4[[#This Row],[customer_order_count]]=1,"New Customer","Repeat Customer")</f>
        <v>Repeat Customer</v>
      </c>
    </row>
    <row r="3045" spans="1:14">
      <c r="A3045" t="s">
        <v>2623</v>
      </c>
      <c r="B3045" s="1">
        <v>45355</v>
      </c>
      <c r="C3045" t="s">
        <v>925</v>
      </c>
      <c r="D3045" s="5" t="s">
        <v>383</v>
      </c>
      <c r="E3045" t="s">
        <v>21</v>
      </c>
      <c r="F3045" t="s">
        <v>14</v>
      </c>
      <c r="G3045" t="s">
        <v>100</v>
      </c>
      <c r="H3045">
        <v>3</v>
      </c>
      <c r="I3045" s="3">
        <v>68.400000000000006</v>
      </c>
      <c r="J3045" t="s">
        <v>16</v>
      </c>
      <c r="K3045" s="5" t="s">
        <v>30</v>
      </c>
      <c r="L3045" s="4">
        <f>Table4[[#This Row],[quantity]]*Table4[[#This Row],[unit_price]]</f>
        <v>205.20000000000002</v>
      </c>
      <c r="M3045">
        <f>COUNTIFS($C$2:$C$3934,Table4[[#This Row],[customer_id]])</f>
        <v>6</v>
      </c>
      <c r="N3045" t="str">
        <f>IF(Table4[[#This Row],[customer_order_count]]=1,"New Customer","Repeat Customer")</f>
        <v>Repeat Customer</v>
      </c>
    </row>
    <row r="3046" spans="1:14">
      <c r="A3046" t="s">
        <v>2332</v>
      </c>
      <c r="B3046" s="1">
        <v>45007</v>
      </c>
      <c r="C3046" t="s">
        <v>967</v>
      </c>
      <c r="D3046" t="s">
        <v>717</v>
      </c>
      <c r="E3046" t="s">
        <v>21</v>
      </c>
      <c r="F3046" t="s">
        <v>70</v>
      </c>
      <c r="G3046" t="s">
        <v>337</v>
      </c>
      <c r="H3046">
        <v>1</v>
      </c>
      <c r="I3046" s="3">
        <v>68.510000000000005</v>
      </c>
      <c r="J3046" t="s">
        <v>16</v>
      </c>
      <c r="K3046" t="s">
        <v>30</v>
      </c>
      <c r="L3046" s="4">
        <f>Table4[[#This Row],[quantity]]*Table4[[#This Row],[unit_price]]</f>
        <v>68.510000000000005</v>
      </c>
      <c r="M3046">
        <f>COUNTIFS($C$2:$C$3934,Table4[[#This Row],[customer_id]])</f>
        <v>3</v>
      </c>
      <c r="N3046" t="str">
        <f>IF(Table4[[#This Row],[customer_order_count]]=1,"New Customer","Repeat Customer")</f>
        <v>Repeat Customer</v>
      </c>
    </row>
    <row r="3047" spans="1:14">
      <c r="A3047" t="s">
        <v>2138</v>
      </c>
      <c r="B3047" s="1">
        <v>45137</v>
      </c>
      <c r="C3047" t="s">
        <v>2139</v>
      </c>
      <c r="D3047" t="s">
        <v>2140</v>
      </c>
      <c r="E3047" t="s">
        <v>21</v>
      </c>
      <c r="F3047" t="s">
        <v>14</v>
      </c>
      <c r="G3047" t="s">
        <v>258</v>
      </c>
      <c r="H3047">
        <v>1</v>
      </c>
      <c r="I3047" s="3">
        <v>68.55</v>
      </c>
      <c r="J3047" t="s">
        <v>16</v>
      </c>
      <c r="K3047" t="s">
        <v>35</v>
      </c>
      <c r="L3047" s="4">
        <f>Table4[[#This Row],[quantity]]*Table4[[#This Row],[unit_price]]</f>
        <v>68.55</v>
      </c>
      <c r="M3047">
        <f>COUNTIFS($C$2:$C$3934,Table4[[#This Row],[customer_id]])</f>
        <v>6</v>
      </c>
      <c r="N3047" t="str">
        <f>IF(Table4[[#This Row],[customer_order_count]]=1,"New Customer","Repeat Customer")</f>
        <v>Repeat Customer</v>
      </c>
    </row>
    <row r="3048" spans="1:14">
      <c r="A3048" t="s">
        <v>2285</v>
      </c>
      <c r="B3048" s="1">
        <v>45059</v>
      </c>
      <c r="C3048" t="s">
        <v>1468</v>
      </c>
      <c r="D3048" t="s">
        <v>425</v>
      </c>
      <c r="E3048" t="s">
        <v>21</v>
      </c>
      <c r="F3048" t="s">
        <v>70</v>
      </c>
      <c r="G3048" t="s">
        <v>89</v>
      </c>
      <c r="H3048">
        <v>2</v>
      </c>
      <c r="I3048" s="3">
        <v>68.67</v>
      </c>
      <c r="J3048" t="s">
        <v>16</v>
      </c>
      <c r="K3048" t="s">
        <v>40</v>
      </c>
      <c r="L3048" s="4">
        <f>Table4[[#This Row],[quantity]]*Table4[[#This Row],[unit_price]]</f>
        <v>137.34</v>
      </c>
      <c r="M3048">
        <f>COUNTIFS($C$2:$C$3934,Table4[[#This Row],[customer_id]])</f>
        <v>2</v>
      </c>
      <c r="N3048" t="str">
        <f>IF(Table4[[#This Row],[customer_order_count]]=1,"New Customer","Repeat Customer")</f>
        <v>Repeat Customer</v>
      </c>
    </row>
    <row r="3049" spans="1:14">
      <c r="A3049" t="s">
        <v>3663</v>
      </c>
      <c r="B3049" s="1">
        <v>45066</v>
      </c>
      <c r="C3049" t="s">
        <v>2768</v>
      </c>
      <c r="D3049" t="s">
        <v>1907</v>
      </c>
      <c r="E3049" t="s">
        <v>44</v>
      </c>
      <c r="F3049" t="s">
        <v>70</v>
      </c>
      <c r="G3049" t="s">
        <v>337</v>
      </c>
      <c r="H3049">
        <v>4</v>
      </c>
      <c r="I3049" s="3">
        <v>68.67</v>
      </c>
      <c r="J3049" t="s">
        <v>16</v>
      </c>
      <c r="K3049" t="s">
        <v>40</v>
      </c>
      <c r="L3049" s="4">
        <f>Table4[[#This Row],[quantity]]*Table4[[#This Row],[unit_price]]</f>
        <v>274.68</v>
      </c>
      <c r="M3049">
        <f>COUNTIFS($C$2:$C$3934,Table4[[#This Row],[customer_id]])</f>
        <v>2</v>
      </c>
      <c r="N3049" t="str">
        <f>IF(Table4[[#This Row],[customer_order_count]]=1,"New Customer","Repeat Customer")</f>
        <v>Repeat Customer</v>
      </c>
    </row>
    <row r="3050" spans="1:14">
      <c r="A3050" t="s">
        <v>386</v>
      </c>
      <c r="B3050" s="1">
        <v>45269</v>
      </c>
      <c r="C3050" t="s">
        <v>387</v>
      </c>
      <c r="D3050" t="s">
        <v>388</v>
      </c>
      <c r="E3050" t="s">
        <v>21</v>
      </c>
      <c r="F3050" t="s">
        <v>14</v>
      </c>
      <c r="G3050" t="s">
        <v>39</v>
      </c>
      <c r="H3050">
        <v>5</v>
      </c>
      <c r="I3050" s="3">
        <v>68.67</v>
      </c>
      <c r="J3050" t="s">
        <v>16</v>
      </c>
      <c r="K3050" t="s">
        <v>35</v>
      </c>
      <c r="L3050" s="4">
        <f>Table4[[#This Row],[quantity]]*Table4[[#This Row],[unit_price]]</f>
        <v>343.35</v>
      </c>
      <c r="M3050">
        <f>COUNTIFS($C$2:$C$3934,Table4[[#This Row],[customer_id]])</f>
        <v>4</v>
      </c>
      <c r="N3050" t="str">
        <f>IF(Table4[[#This Row],[customer_order_count]]=1,"New Customer","Repeat Customer")</f>
        <v>Repeat Customer</v>
      </c>
    </row>
    <row r="3051" spans="1:14">
      <c r="A3051" t="s">
        <v>4611</v>
      </c>
      <c r="B3051" s="1">
        <v>45144</v>
      </c>
      <c r="C3051" t="s">
        <v>1309</v>
      </c>
      <c r="D3051" t="s">
        <v>1310</v>
      </c>
      <c r="E3051" t="s">
        <v>21</v>
      </c>
      <c r="F3051" t="s">
        <v>79</v>
      </c>
      <c r="G3051" t="s">
        <v>398</v>
      </c>
      <c r="H3051">
        <v>1</v>
      </c>
      <c r="I3051" s="3">
        <v>68.680000000000007</v>
      </c>
      <c r="J3051" t="s">
        <v>255</v>
      </c>
      <c r="K3051" t="s">
        <v>40</v>
      </c>
      <c r="L3051" s="4">
        <f>Table4[[#This Row],[quantity]]*Table4[[#This Row],[unit_price]]</f>
        <v>68.680000000000007</v>
      </c>
      <c r="M3051">
        <f>COUNTIFS($C$2:$C$3934,Table4[[#This Row],[customer_id]])</f>
        <v>5</v>
      </c>
      <c r="N3051" t="str">
        <f>IF(Table4[[#This Row],[customer_order_count]]=1,"New Customer","Repeat Customer")</f>
        <v>Repeat Customer</v>
      </c>
    </row>
    <row r="3052" spans="1:14">
      <c r="A3052" t="s">
        <v>3797</v>
      </c>
      <c r="B3052" s="1">
        <v>45091</v>
      </c>
      <c r="C3052" t="s">
        <v>927</v>
      </c>
      <c r="D3052" t="s">
        <v>928</v>
      </c>
      <c r="E3052" t="s">
        <v>44</v>
      </c>
      <c r="F3052" t="s">
        <v>70</v>
      </c>
      <c r="G3052" t="s">
        <v>170</v>
      </c>
      <c r="H3052">
        <v>2</v>
      </c>
      <c r="I3052" s="3">
        <v>68.72</v>
      </c>
      <c r="J3052" t="s">
        <v>16</v>
      </c>
      <c r="K3052" t="s">
        <v>40</v>
      </c>
      <c r="L3052" s="4">
        <f>Table4[[#This Row],[quantity]]*Table4[[#This Row],[unit_price]]</f>
        <v>137.44</v>
      </c>
      <c r="M3052">
        <f>COUNTIFS($C$2:$C$3934,Table4[[#This Row],[customer_id]])</f>
        <v>6</v>
      </c>
      <c r="N3052" t="str">
        <f>IF(Table4[[#This Row],[customer_order_count]]=1,"New Customer","Repeat Customer")</f>
        <v>Repeat Customer</v>
      </c>
    </row>
    <row r="3053" spans="1:14">
      <c r="A3053" t="s">
        <v>2026</v>
      </c>
      <c r="B3053" s="1">
        <v>45380</v>
      </c>
      <c r="C3053" t="s">
        <v>2027</v>
      </c>
      <c r="D3053" t="s">
        <v>425</v>
      </c>
      <c r="E3053" t="s">
        <v>44</v>
      </c>
      <c r="F3053" t="s">
        <v>79</v>
      </c>
      <c r="G3053" t="s">
        <v>96</v>
      </c>
      <c r="H3053">
        <v>1</v>
      </c>
      <c r="I3053" s="3">
        <v>68.760000000000005</v>
      </c>
      <c r="J3053" t="s">
        <v>255</v>
      </c>
      <c r="K3053" t="s">
        <v>35</v>
      </c>
      <c r="L3053" s="4">
        <f>Table4[[#This Row],[quantity]]*Table4[[#This Row],[unit_price]]</f>
        <v>68.760000000000005</v>
      </c>
      <c r="M3053">
        <f>COUNTIFS($C$2:$C$3934,Table4[[#This Row],[customer_id]])</f>
        <v>2</v>
      </c>
      <c r="N3053" t="str">
        <f>IF(Table4[[#This Row],[customer_order_count]]=1,"New Customer","Repeat Customer")</f>
        <v>Repeat Customer</v>
      </c>
    </row>
    <row r="3054" spans="1:14">
      <c r="A3054" t="s">
        <v>3990</v>
      </c>
      <c r="B3054" s="1">
        <v>45321</v>
      </c>
      <c r="C3054" t="s">
        <v>2897</v>
      </c>
      <c r="D3054" t="s">
        <v>1054</v>
      </c>
      <c r="E3054" t="s">
        <v>44</v>
      </c>
      <c r="F3054" t="s">
        <v>79</v>
      </c>
      <c r="G3054" t="s">
        <v>96</v>
      </c>
      <c r="H3054">
        <v>1</v>
      </c>
      <c r="I3054" s="3">
        <v>68.78</v>
      </c>
      <c r="J3054" t="s">
        <v>16</v>
      </c>
      <c r="K3054" t="s">
        <v>35</v>
      </c>
      <c r="L3054" s="4">
        <f>Table4[[#This Row],[quantity]]*Table4[[#This Row],[unit_price]]</f>
        <v>68.78</v>
      </c>
      <c r="M3054">
        <f>COUNTIFS($C$2:$C$3934,Table4[[#This Row],[customer_id]])</f>
        <v>2</v>
      </c>
      <c r="N3054" t="str">
        <f>IF(Table4[[#This Row],[customer_order_count]]=1,"New Customer","Repeat Customer")</f>
        <v>Repeat Customer</v>
      </c>
    </row>
    <row r="3055" spans="1:14">
      <c r="A3055" t="s">
        <v>1608</v>
      </c>
      <c r="B3055" s="1">
        <v>45258</v>
      </c>
      <c r="C3055" t="s">
        <v>757</v>
      </c>
      <c r="D3055" t="s">
        <v>758</v>
      </c>
      <c r="E3055" t="s">
        <v>21</v>
      </c>
      <c r="F3055" t="s">
        <v>70</v>
      </c>
      <c r="G3055" t="s">
        <v>71</v>
      </c>
      <c r="H3055">
        <v>1</v>
      </c>
      <c r="I3055" s="3">
        <v>68.790000000000006</v>
      </c>
      <c r="J3055" t="s">
        <v>16</v>
      </c>
      <c r="K3055" t="s">
        <v>35</v>
      </c>
      <c r="L3055" s="4">
        <f>Table4[[#This Row],[quantity]]*Table4[[#This Row],[unit_price]]</f>
        <v>68.790000000000006</v>
      </c>
      <c r="M3055">
        <f>COUNTIFS($C$2:$C$3934,Table4[[#This Row],[customer_id]])</f>
        <v>4</v>
      </c>
      <c r="N3055" t="str">
        <f>IF(Table4[[#This Row],[customer_order_count]]=1,"New Customer","Repeat Customer")</f>
        <v>Repeat Customer</v>
      </c>
    </row>
    <row r="3056" spans="1:14">
      <c r="A3056" t="s">
        <v>3141</v>
      </c>
      <c r="B3056" s="1">
        <v>45129</v>
      </c>
      <c r="C3056" t="s">
        <v>1260</v>
      </c>
      <c r="D3056" t="s">
        <v>173</v>
      </c>
      <c r="E3056" t="s">
        <v>21</v>
      </c>
      <c r="F3056" t="s">
        <v>70</v>
      </c>
      <c r="G3056" t="s">
        <v>146</v>
      </c>
      <c r="H3056">
        <v>1</v>
      </c>
      <c r="I3056" s="3">
        <v>68.900000000000006</v>
      </c>
      <c r="J3056" t="s">
        <v>16</v>
      </c>
      <c r="K3056" t="s">
        <v>35</v>
      </c>
      <c r="L3056" s="4">
        <f>Table4[[#This Row],[quantity]]*Table4[[#This Row],[unit_price]]</f>
        <v>68.900000000000006</v>
      </c>
      <c r="M3056">
        <f>COUNTIFS($C$2:$C$3934,Table4[[#This Row],[customer_id]])</f>
        <v>4</v>
      </c>
      <c r="N3056" t="str">
        <f>IF(Table4[[#This Row],[customer_order_count]]=1,"New Customer","Repeat Customer")</f>
        <v>Repeat Customer</v>
      </c>
    </row>
    <row r="3057" spans="1:14">
      <c r="A3057" t="s">
        <v>76</v>
      </c>
      <c r="B3057" s="1">
        <v>45143</v>
      </c>
      <c r="C3057" t="s">
        <v>77</v>
      </c>
      <c r="D3057" t="s">
        <v>78</v>
      </c>
      <c r="E3057" t="s">
        <v>21</v>
      </c>
      <c r="F3057" t="s">
        <v>79</v>
      </c>
      <c r="G3057" t="s">
        <v>80</v>
      </c>
      <c r="H3057">
        <v>1</v>
      </c>
      <c r="I3057" s="3">
        <v>68.92</v>
      </c>
      <c r="J3057" t="s">
        <v>16</v>
      </c>
      <c r="K3057" t="s">
        <v>35</v>
      </c>
      <c r="L3057" s="4">
        <f>Table4[[#This Row],[quantity]]*Table4[[#This Row],[unit_price]]</f>
        <v>68.92</v>
      </c>
      <c r="M3057">
        <f>COUNTIFS($C$2:$C$3934,Table4[[#This Row],[customer_id]])</f>
        <v>6</v>
      </c>
      <c r="N3057" t="str">
        <f>IF(Table4[[#This Row],[customer_order_count]]=1,"New Customer","Repeat Customer")</f>
        <v>Repeat Customer</v>
      </c>
    </row>
    <row r="3058" spans="1:14">
      <c r="A3058" t="s">
        <v>2644</v>
      </c>
      <c r="B3058" s="1">
        <v>45378</v>
      </c>
      <c r="C3058" t="s">
        <v>12</v>
      </c>
      <c r="D3058" t="s">
        <v>13</v>
      </c>
      <c r="E3058" t="s">
        <v>21</v>
      </c>
      <c r="F3058" t="s">
        <v>79</v>
      </c>
      <c r="G3058" t="s">
        <v>200</v>
      </c>
      <c r="H3058">
        <v>1</v>
      </c>
      <c r="I3058" s="3">
        <v>68.959999999999994</v>
      </c>
      <c r="J3058" t="s">
        <v>16</v>
      </c>
      <c r="K3058" t="s">
        <v>40</v>
      </c>
      <c r="L3058" s="4">
        <f>Table4[[#This Row],[quantity]]*Table4[[#This Row],[unit_price]]</f>
        <v>68.959999999999994</v>
      </c>
      <c r="M3058">
        <f>COUNTIFS($C$2:$C$3934,Table4[[#This Row],[customer_id]])</f>
        <v>10</v>
      </c>
      <c r="N3058" t="str">
        <f>IF(Table4[[#This Row],[customer_order_count]]=1,"New Customer","Repeat Customer")</f>
        <v>Repeat Customer</v>
      </c>
    </row>
    <row r="3059" spans="1:14">
      <c r="A3059" t="s">
        <v>4374</v>
      </c>
      <c r="B3059" s="1">
        <v>45620</v>
      </c>
      <c r="C3059" t="s">
        <v>1010</v>
      </c>
      <c r="D3059" t="s">
        <v>566</v>
      </c>
      <c r="E3059" t="s">
        <v>44</v>
      </c>
      <c r="F3059" t="s">
        <v>70</v>
      </c>
      <c r="G3059" t="s">
        <v>89</v>
      </c>
      <c r="H3059">
        <v>1</v>
      </c>
      <c r="I3059" s="3">
        <v>69.010000000000005</v>
      </c>
      <c r="J3059" t="s">
        <v>16</v>
      </c>
      <c r="K3059" t="s">
        <v>30</v>
      </c>
      <c r="L3059" s="4">
        <f>Table4[[#This Row],[quantity]]*Table4[[#This Row],[unit_price]]</f>
        <v>69.010000000000005</v>
      </c>
      <c r="M3059">
        <f>COUNTIFS($C$2:$C$3934,Table4[[#This Row],[customer_id]])</f>
        <v>5</v>
      </c>
      <c r="N3059" t="str">
        <f>IF(Table4[[#This Row],[customer_order_count]]=1,"New Customer","Repeat Customer")</f>
        <v>Repeat Customer</v>
      </c>
    </row>
    <row r="3060" spans="1:14">
      <c r="A3060" t="s">
        <v>2607</v>
      </c>
      <c r="B3060" s="1">
        <v>45197</v>
      </c>
      <c r="C3060" t="s">
        <v>1815</v>
      </c>
      <c r="D3060" t="s">
        <v>684</v>
      </c>
      <c r="E3060" t="s">
        <v>21</v>
      </c>
      <c r="F3060" t="s">
        <v>56</v>
      </c>
      <c r="G3060" t="s">
        <v>118</v>
      </c>
      <c r="H3060">
        <v>1</v>
      </c>
      <c r="I3060" s="3">
        <v>69.03</v>
      </c>
      <c r="J3060" t="s">
        <v>16</v>
      </c>
      <c r="K3060" t="s">
        <v>17</v>
      </c>
      <c r="L3060" s="4">
        <f>Table4[[#This Row],[quantity]]*Table4[[#This Row],[unit_price]]</f>
        <v>69.03</v>
      </c>
      <c r="M3060">
        <f>COUNTIFS($C$2:$C$3934,Table4[[#This Row],[customer_id]])</f>
        <v>8</v>
      </c>
      <c r="N3060" t="str">
        <f>IF(Table4[[#This Row],[customer_order_count]]=1,"New Customer","Repeat Customer")</f>
        <v>Repeat Customer</v>
      </c>
    </row>
    <row r="3061" spans="1:14">
      <c r="A3061" t="s">
        <v>3982</v>
      </c>
      <c r="B3061" s="1">
        <v>45390</v>
      </c>
      <c r="C3061" t="s">
        <v>1127</v>
      </c>
      <c r="D3061" t="s">
        <v>947</v>
      </c>
      <c r="E3061" t="s">
        <v>21</v>
      </c>
      <c r="F3061" t="s">
        <v>70</v>
      </c>
      <c r="G3061" t="s">
        <v>526</v>
      </c>
      <c r="H3061">
        <v>2</v>
      </c>
      <c r="I3061" s="3">
        <v>69.11</v>
      </c>
      <c r="J3061" t="s">
        <v>16</v>
      </c>
      <c r="K3061" t="s">
        <v>35</v>
      </c>
      <c r="L3061" s="4">
        <f>Table4[[#This Row],[quantity]]*Table4[[#This Row],[unit_price]]</f>
        <v>138.22</v>
      </c>
      <c r="M3061">
        <f>COUNTIFS($C$2:$C$3934,Table4[[#This Row],[customer_id]])</f>
        <v>7</v>
      </c>
      <c r="N3061" t="str">
        <f>IF(Table4[[#This Row],[customer_order_count]]=1,"New Customer","Repeat Customer")</f>
        <v>Repeat Customer</v>
      </c>
    </row>
    <row r="3062" spans="1:14">
      <c r="A3062" t="s">
        <v>3535</v>
      </c>
      <c r="B3062" s="1">
        <v>45294</v>
      </c>
      <c r="C3062" t="s">
        <v>1537</v>
      </c>
      <c r="D3062" t="s">
        <v>1179</v>
      </c>
      <c r="E3062" t="s">
        <v>21</v>
      </c>
      <c r="F3062" t="s">
        <v>70</v>
      </c>
      <c r="G3062" t="s">
        <v>89</v>
      </c>
      <c r="H3062">
        <v>2</v>
      </c>
      <c r="I3062" s="3">
        <v>69.14</v>
      </c>
      <c r="J3062" t="s">
        <v>85</v>
      </c>
      <c r="K3062" t="s">
        <v>30</v>
      </c>
      <c r="L3062" s="4">
        <f>Table4[[#This Row],[quantity]]*Table4[[#This Row],[unit_price]]</f>
        <v>138.28</v>
      </c>
      <c r="M3062">
        <f>COUNTIFS($C$2:$C$3934,Table4[[#This Row],[customer_id]])</f>
        <v>4</v>
      </c>
      <c r="N3062" t="str">
        <f>IF(Table4[[#This Row],[customer_order_count]]=1,"New Customer","Repeat Customer")</f>
        <v>Repeat Customer</v>
      </c>
    </row>
    <row r="3063" spans="1:14">
      <c r="A3063" t="s">
        <v>3416</v>
      </c>
      <c r="B3063" s="1">
        <v>45550</v>
      </c>
      <c r="C3063" t="s">
        <v>3417</v>
      </c>
      <c r="D3063" t="s">
        <v>592</v>
      </c>
      <c r="E3063" t="s">
        <v>21</v>
      </c>
      <c r="F3063" t="s">
        <v>70</v>
      </c>
      <c r="G3063" t="s">
        <v>526</v>
      </c>
      <c r="H3063">
        <v>2</v>
      </c>
      <c r="I3063" s="3">
        <v>69.17</v>
      </c>
      <c r="J3063" t="s">
        <v>16</v>
      </c>
      <c r="K3063" t="s">
        <v>17</v>
      </c>
      <c r="L3063" s="4">
        <f>Table4[[#This Row],[quantity]]*Table4[[#This Row],[unit_price]]</f>
        <v>138.34</v>
      </c>
      <c r="M3063">
        <f>COUNTIFS($C$2:$C$3934,Table4[[#This Row],[customer_id]])</f>
        <v>2</v>
      </c>
      <c r="N3063" t="str">
        <f>IF(Table4[[#This Row],[customer_order_count]]=1,"New Customer","Repeat Customer")</f>
        <v>Repeat Customer</v>
      </c>
    </row>
    <row r="3064" spans="1:14">
      <c r="A3064" t="s">
        <v>2734</v>
      </c>
      <c r="B3064" s="1">
        <v>45240</v>
      </c>
      <c r="C3064" t="s">
        <v>1786</v>
      </c>
      <c r="D3064" t="s">
        <v>1736</v>
      </c>
      <c r="E3064" t="s">
        <v>44</v>
      </c>
      <c r="F3064" t="s">
        <v>79</v>
      </c>
      <c r="G3064" t="s">
        <v>230</v>
      </c>
      <c r="H3064">
        <v>1</v>
      </c>
      <c r="I3064" s="3">
        <v>69.180000000000007</v>
      </c>
      <c r="J3064" t="s">
        <v>16</v>
      </c>
      <c r="K3064" t="s">
        <v>17</v>
      </c>
      <c r="L3064" s="4">
        <f>Table4[[#This Row],[quantity]]*Table4[[#This Row],[unit_price]]</f>
        <v>69.180000000000007</v>
      </c>
      <c r="M3064">
        <f>COUNTIFS($C$2:$C$3934,Table4[[#This Row],[customer_id]])</f>
        <v>6</v>
      </c>
      <c r="N3064" t="str">
        <f>IF(Table4[[#This Row],[customer_order_count]]=1,"New Customer","Repeat Customer")</f>
        <v>Repeat Customer</v>
      </c>
    </row>
    <row r="3065" spans="1:14">
      <c r="A3065" t="s">
        <v>1728</v>
      </c>
      <c r="B3065" s="1">
        <v>45011</v>
      </c>
      <c r="C3065" t="s">
        <v>451</v>
      </c>
      <c r="D3065" t="s">
        <v>452</v>
      </c>
      <c r="E3065" t="s">
        <v>44</v>
      </c>
      <c r="F3065" t="s">
        <v>14</v>
      </c>
      <c r="G3065" t="s">
        <v>34</v>
      </c>
      <c r="H3065">
        <v>1</v>
      </c>
      <c r="I3065" s="3">
        <v>69.37</v>
      </c>
      <c r="J3065" t="s">
        <v>16</v>
      </c>
      <c r="K3065" t="s">
        <v>30</v>
      </c>
      <c r="L3065" s="4">
        <f>Table4[[#This Row],[quantity]]*Table4[[#This Row],[unit_price]]</f>
        <v>69.37</v>
      </c>
      <c r="M3065">
        <f>COUNTIFS($C$2:$C$3934,Table4[[#This Row],[customer_id]])</f>
        <v>8</v>
      </c>
      <c r="N3065" t="str">
        <f>IF(Table4[[#This Row],[customer_order_count]]=1,"New Customer","Repeat Customer")</f>
        <v>Repeat Customer</v>
      </c>
    </row>
    <row r="3066" spans="1:14">
      <c r="A3066" t="s">
        <v>4086</v>
      </c>
      <c r="B3066" s="1">
        <v>45234</v>
      </c>
      <c r="C3066" t="s">
        <v>1814</v>
      </c>
      <c r="D3066" t="s">
        <v>1453</v>
      </c>
      <c r="E3066" t="s">
        <v>21</v>
      </c>
      <c r="F3066" t="s">
        <v>70</v>
      </c>
      <c r="G3066" t="s">
        <v>170</v>
      </c>
      <c r="H3066">
        <v>3</v>
      </c>
      <c r="I3066" s="3">
        <v>69.489999999999995</v>
      </c>
      <c r="J3066" t="s">
        <v>16</v>
      </c>
      <c r="K3066" t="s">
        <v>30</v>
      </c>
      <c r="L3066" s="4">
        <f>Table4[[#This Row],[quantity]]*Table4[[#This Row],[unit_price]]</f>
        <v>208.46999999999997</v>
      </c>
      <c r="M3066">
        <f>COUNTIFS($C$2:$C$3934,Table4[[#This Row],[customer_id]])</f>
        <v>8</v>
      </c>
      <c r="N3066" t="str">
        <f>IF(Table4[[#This Row],[customer_order_count]]=1,"New Customer","Repeat Customer")</f>
        <v>Repeat Customer</v>
      </c>
    </row>
    <row r="3067" spans="1:14">
      <c r="A3067" t="s">
        <v>2093</v>
      </c>
      <c r="B3067" s="1">
        <v>45300</v>
      </c>
      <c r="C3067" t="s">
        <v>91</v>
      </c>
      <c r="D3067" t="s">
        <v>92</v>
      </c>
      <c r="E3067" t="s">
        <v>21</v>
      </c>
      <c r="F3067" t="s">
        <v>14</v>
      </c>
      <c r="G3067" t="s">
        <v>34</v>
      </c>
      <c r="H3067">
        <v>2</v>
      </c>
      <c r="I3067" s="3">
        <v>69.510000000000005</v>
      </c>
      <c r="J3067" t="s">
        <v>255</v>
      </c>
      <c r="K3067" t="s">
        <v>17</v>
      </c>
      <c r="L3067" s="4">
        <f>Table4[[#This Row],[quantity]]*Table4[[#This Row],[unit_price]]</f>
        <v>139.02000000000001</v>
      </c>
      <c r="M3067">
        <f>COUNTIFS($C$2:$C$3934,Table4[[#This Row],[customer_id]])</f>
        <v>6</v>
      </c>
      <c r="N3067" t="str">
        <f>IF(Table4[[#This Row],[customer_order_count]]=1,"New Customer","Repeat Customer")</f>
        <v>Repeat Customer</v>
      </c>
    </row>
    <row r="3068" spans="1:14">
      <c r="A3068" t="s">
        <v>3021</v>
      </c>
      <c r="B3068" s="1">
        <v>45434</v>
      </c>
      <c r="C3068" t="s">
        <v>1350</v>
      </c>
      <c r="D3068" t="s">
        <v>48</v>
      </c>
      <c r="E3068" t="s">
        <v>21</v>
      </c>
      <c r="F3068" t="s">
        <v>56</v>
      </c>
      <c r="G3068" t="s">
        <v>422</v>
      </c>
      <c r="H3068">
        <v>2</v>
      </c>
      <c r="I3068" s="3">
        <v>69.53</v>
      </c>
      <c r="J3068" t="s">
        <v>16</v>
      </c>
      <c r="K3068" t="s">
        <v>35</v>
      </c>
      <c r="L3068" s="4">
        <f>Table4[[#This Row],[quantity]]*Table4[[#This Row],[unit_price]]</f>
        <v>139.06</v>
      </c>
      <c r="M3068">
        <f>COUNTIFS($C$2:$C$3934,Table4[[#This Row],[customer_id]])</f>
        <v>5</v>
      </c>
      <c r="N3068" t="str">
        <f>IF(Table4[[#This Row],[customer_order_count]]=1,"New Customer","Repeat Customer")</f>
        <v>Repeat Customer</v>
      </c>
    </row>
    <row r="3069" spans="1:14">
      <c r="A3069" t="s">
        <v>2649</v>
      </c>
      <c r="B3069" s="1">
        <v>45142</v>
      </c>
      <c r="C3069" t="s">
        <v>2650</v>
      </c>
      <c r="D3069" t="s">
        <v>2024</v>
      </c>
      <c r="E3069" t="s">
        <v>21</v>
      </c>
      <c r="F3069" t="s">
        <v>79</v>
      </c>
      <c r="G3069" t="s">
        <v>200</v>
      </c>
      <c r="H3069">
        <v>3</v>
      </c>
      <c r="I3069" s="3">
        <v>69.56</v>
      </c>
      <c r="J3069" t="s">
        <v>16</v>
      </c>
      <c r="K3069" t="s">
        <v>40</v>
      </c>
      <c r="L3069" s="4">
        <f>Table4[[#This Row],[quantity]]*Table4[[#This Row],[unit_price]]</f>
        <v>208.68</v>
      </c>
      <c r="M3069">
        <f>COUNTIFS($C$2:$C$3934,Table4[[#This Row],[customer_id]])</f>
        <v>4</v>
      </c>
      <c r="N3069" t="str">
        <f>IF(Table4[[#This Row],[customer_order_count]]=1,"New Customer","Repeat Customer")</f>
        <v>Repeat Customer</v>
      </c>
    </row>
    <row r="3070" spans="1:14">
      <c r="A3070" t="s">
        <v>2405</v>
      </c>
      <c r="B3070" s="1">
        <v>45148</v>
      </c>
      <c r="C3070" t="s">
        <v>807</v>
      </c>
      <c r="D3070" t="s">
        <v>808</v>
      </c>
      <c r="E3070" t="s">
        <v>21</v>
      </c>
      <c r="F3070" t="s">
        <v>56</v>
      </c>
      <c r="G3070" t="s">
        <v>254</v>
      </c>
      <c r="H3070">
        <v>1</v>
      </c>
      <c r="I3070" s="3">
        <v>69.63</v>
      </c>
      <c r="J3070" t="s">
        <v>16</v>
      </c>
      <c r="K3070" t="s">
        <v>17</v>
      </c>
      <c r="L3070" s="4">
        <f>Table4[[#This Row],[quantity]]*Table4[[#This Row],[unit_price]]</f>
        <v>69.63</v>
      </c>
      <c r="M3070">
        <f>COUNTIFS($C$2:$C$3934,Table4[[#This Row],[customer_id]])</f>
        <v>6</v>
      </c>
      <c r="N3070" t="str">
        <f>IF(Table4[[#This Row],[customer_order_count]]=1,"New Customer","Repeat Customer")</f>
        <v>Repeat Customer</v>
      </c>
    </row>
    <row r="3071" spans="1:14">
      <c r="A3071" t="s">
        <v>2600</v>
      </c>
      <c r="B3071" s="1">
        <v>45514</v>
      </c>
      <c r="C3071" t="s">
        <v>895</v>
      </c>
      <c r="D3071" t="s">
        <v>149</v>
      </c>
      <c r="E3071" t="s">
        <v>21</v>
      </c>
      <c r="F3071" t="s">
        <v>56</v>
      </c>
      <c r="G3071" t="s">
        <v>254</v>
      </c>
      <c r="H3071">
        <v>2</v>
      </c>
      <c r="I3071" s="3">
        <v>69.64</v>
      </c>
      <c r="J3071" t="s">
        <v>85</v>
      </c>
      <c r="K3071" t="s">
        <v>40</v>
      </c>
      <c r="L3071" s="4">
        <f>Table4[[#This Row],[quantity]]*Table4[[#This Row],[unit_price]]</f>
        <v>139.28</v>
      </c>
      <c r="M3071">
        <f>COUNTIFS($C$2:$C$3934,Table4[[#This Row],[customer_id]])</f>
        <v>7</v>
      </c>
      <c r="N3071" t="str">
        <f>IF(Table4[[#This Row],[customer_order_count]]=1,"New Customer","Repeat Customer")</f>
        <v>Repeat Customer</v>
      </c>
    </row>
    <row r="3072" spans="1:14">
      <c r="A3072" t="s">
        <v>2387</v>
      </c>
      <c r="B3072" s="1">
        <v>45154</v>
      </c>
      <c r="C3072" t="s">
        <v>471</v>
      </c>
      <c r="D3072" t="s">
        <v>472</v>
      </c>
      <c r="E3072" t="s">
        <v>21</v>
      </c>
      <c r="F3072" t="s">
        <v>56</v>
      </c>
      <c r="G3072" t="s">
        <v>153</v>
      </c>
      <c r="H3072">
        <v>1</v>
      </c>
      <c r="I3072" s="3">
        <v>69.67</v>
      </c>
      <c r="J3072" t="s">
        <v>16</v>
      </c>
      <c r="K3072" t="s">
        <v>40</v>
      </c>
      <c r="L3072" s="4">
        <f>Table4[[#This Row],[quantity]]*Table4[[#This Row],[unit_price]]</f>
        <v>69.67</v>
      </c>
      <c r="M3072">
        <f>COUNTIFS($C$2:$C$3934,Table4[[#This Row],[customer_id]])</f>
        <v>4</v>
      </c>
      <c r="N3072" t="str">
        <f>IF(Table4[[#This Row],[customer_order_count]]=1,"New Customer","Repeat Customer")</f>
        <v>Repeat Customer</v>
      </c>
    </row>
    <row r="3073" spans="1:14">
      <c r="A3073" t="s">
        <v>1451</v>
      </c>
      <c r="B3073" s="1">
        <v>44938</v>
      </c>
      <c r="C3073" t="s">
        <v>1452</v>
      </c>
      <c r="D3073" t="s">
        <v>1453</v>
      </c>
      <c r="E3073" t="s">
        <v>21</v>
      </c>
      <c r="F3073" t="s">
        <v>14</v>
      </c>
      <c r="G3073" t="s">
        <v>62</v>
      </c>
      <c r="H3073">
        <v>1</v>
      </c>
      <c r="I3073" s="3">
        <v>69.73</v>
      </c>
      <c r="J3073" t="s">
        <v>16</v>
      </c>
      <c r="K3073" t="s">
        <v>35</v>
      </c>
      <c r="L3073" s="4">
        <f>Table4[[#This Row],[quantity]]*Table4[[#This Row],[unit_price]]</f>
        <v>69.73</v>
      </c>
      <c r="M3073">
        <f>COUNTIFS($C$2:$C$3934,Table4[[#This Row],[customer_id]])</f>
        <v>7</v>
      </c>
      <c r="N3073" t="str">
        <f>IF(Table4[[#This Row],[customer_order_count]]=1,"New Customer","Repeat Customer")</f>
        <v>Repeat Customer</v>
      </c>
    </row>
    <row r="3074" spans="1:14">
      <c r="A3074" t="s">
        <v>5038</v>
      </c>
      <c r="B3074" s="1">
        <v>45622</v>
      </c>
      <c r="C3074" t="s">
        <v>2976</v>
      </c>
      <c r="D3074" t="s">
        <v>499</v>
      </c>
      <c r="E3074" t="s">
        <v>21</v>
      </c>
      <c r="F3074" t="s">
        <v>14</v>
      </c>
      <c r="G3074" t="s">
        <v>15</v>
      </c>
      <c r="H3074">
        <v>1</v>
      </c>
      <c r="I3074" s="3">
        <v>69.78</v>
      </c>
      <c r="J3074" t="s">
        <v>16</v>
      </c>
      <c r="K3074" t="s">
        <v>17</v>
      </c>
      <c r="L3074" s="4">
        <f>Table4[[#This Row],[quantity]]*Table4[[#This Row],[unit_price]]</f>
        <v>69.78</v>
      </c>
      <c r="M3074">
        <f>COUNTIFS($C$2:$C$3934,Table4[[#This Row],[customer_id]])</f>
        <v>4</v>
      </c>
      <c r="N3074" t="str">
        <f>IF(Table4[[#This Row],[customer_order_count]]=1,"New Customer","Repeat Customer")</f>
        <v>Repeat Customer</v>
      </c>
    </row>
    <row r="3075" spans="1:14">
      <c r="A3075" t="s">
        <v>1944</v>
      </c>
      <c r="B3075" s="1">
        <v>45286</v>
      </c>
      <c r="C3075" t="s">
        <v>1347</v>
      </c>
      <c r="D3075" t="s">
        <v>1348</v>
      </c>
      <c r="E3075" t="s">
        <v>21</v>
      </c>
      <c r="F3075" t="s">
        <v>14</v>
      </c>
      <c r="G3075" t="s">
        <v>100</v>
      </c>
      <c r="H3075">
        <v>1</v>
      </c>
      <c r="I3075" s="3">
        <v>69.78</v>
      </c>
      <c r="J3075" t="s">
        <v>16</v>
      </c>
      <c r="K3075" t="s">
        <v>30</v>
      </c>
      <c r="L3075" s="4">
        <f>Table4[[#This Row],[quantity]]*Table4[[#This Row],[unit_price]]</f>
        <v>69.78</v>
      </c>
      <c r="M3075">
        <f>COUNTIFS($C$2:$C$3934,Table4[[#This Row],[customer_id]])</f>
        <v>2</v>
      </c>
      <c r="N3075" t="str">
        <f>IF(Table4[[#This Row],[customer_order_count]]=1,"New Customer","Repeat Customer")</f>
        <v>Repeat Customer</v>
      </c>
    </row>
    <row r="3076" spans="1:14">
      <c r="A3076" t="s">
        <v>4138</v>
      </c>
      <c r="B3076" s="1">
        <v>45362</v>
      </c>
      <c r="C3076" t="s">
        <v>249</v>
      </c>
      <c r="D3076" t="s">
        <v>250</v>
      </c>
      <c r="E3076" t="s">
        <v>21</v>
      </c>
      <c r="F3076" t="s">
        <v>56</v>
      </c>
      <c r="G3076" t="s">
        <v>422</v>
      </c>
      <c r="H3076">
        <v>1</v>
      </c>
      <c r="I3076" s="3">
        <v>69.790000000000006</v>
      </c>
      <c r="J3076" t="s">
        <v>16</v>
      </c>
      <c r="K3076" t="s">
        <v>30</v>
      </c>
      <c r="L3076" s="4">
        <f>Table4[[#This Row],[quantity]]*Table4[[#This Row],[unit_price]]</f>
        <v>69.790000000000006</v>
      </c>
      <c r="M3076">
        <f>COUNTIFS($C$2:$C$3934,Table4[[#This Row],[customer_id]])</f>
        <v>12</v>
      </c>
      <c r="N3076" t="str">
        <f>IF(Table4[[#This Row],[customer_order_count]]=1,"New Customer","Repeat Customer")</f>
        <v>Repeat Customer</v>
      </c>
    </row>
    <row r="3077" spans="1:14">
      <c r="A3077" t="s">
        <v>3776</v>
      </c>
      <c r="B3077" s="1">
        <v>45302</v>
      </c>
      <c r="C3077" t="s">
        <v>3355</v>
      </c>
      <c r="D3077" t="s">
        <v>1461</v>
      </c>
      <c r="E3077" t="s">
        <v>21</v>
      </c>
      <c r="F3077" t="s">
        <v>79</v>
      </c>
      <c r="G3077" t="s">
        <v>398</v>
      </c>
      <c r="H3077">
        <v>5</v>
      </c>
      <c r="I3077" s="3">
        <v>69.8</v>
      </c>
      <c r="J3077" t="s">
        <v>16</v>
      </c>
      <c r="K3077" t="s">
        <v>40</v>
      </c>
      <c r="L3077" s="4">
        <f>Table4[[#This Row],[quantity]]*Table4[[#This Row],[unit_price]]</f>
        <v>349</v>
      </c>
      <c r="M3077">
        <f>COUNTIFS($C$2:$C$3934,Table4[[#This Row],[customer_id]])</f>
        <v>4</v>
      </c>
      <c r="N3077" t="str">
        <f>IF(Table4[[#This Row],[customer_order_count]]=1,"New Customer","Repeat Customer")</f>
        <v>Repeat Customer</v>
      </c>
    </row>
    <row r="3078" spans="1:14">
      <c r="A3078" t="s">
        <v>5219</v>
      </c>
      <c r="B3078" s="1">
        <v>45630</v>
      </c>
      <c r="C3078" t="s">
        <v>3327</v>
      </c>
      <c r="D3078" t="s">
        <v>1412</v>
      </c>
      <c r="E3078" t="s">
        <v>44</v>
      </c>
      <c r="F3078" t="s">
        <v>70</v>
      </c>
      <c r="G3078" t="s">
        <v>526</v>
      </c>
      <c r="H3078">
        <v>1</v>
      </c>
      <c r="I3078" s="3">
        <v>69.849999999999994</v>
      </c>
      <c r="J3078" t="s">
        <v>16</v>
      </c>
      <c r="K3078" t="s">
        <v>30</v>
      </c>
      <c r="L3078" s="4">
        <f>Table4[[#This Row],[quantity]]*Table4[[#This Row],[unit_price]]</f>
        <v>69.849999999999994</v>
      </c>
      <c r="M3078">
        <f>COUNTIFS($C$2:$C$3934,Table4[[#This Row],[customer_id]])</f>
        <v>2</v>
      </c>
      <c r="N3078" t="str">
        <f>IF(Table4[[#This Row],[customer_order_count]]=1,"New Customer","Repeat Customer")</f>
        <v>Repeat Customer</v>
      </c>
    </row>
    <row r="3079" spans="1:14">
      <c r="A3079" t="s">
        <v>3471</v>
      </c>
      <c r="B3079" s="1">
        <v>45510</v>
      </c>
      <c r="C3079" t="s">
        <v>2239</v>
      </c>
      <c r="D3079" t="s">
        <v>95</v>
      </c>
      <c r="E3079" t="s">
        <v>21</v>
      </c>
      <c r="F3079" t="s">
        <v>56</v>
      </c>
      <c r="G3079" t="s">
        <v>153</v>
      </c>
      <c r="H3079">
        <v>1</v>
      </c>
      <c r="I3079" s="3">
        <v>69.866582278481062</v>
      </c>
      <c r="J3079" t="s">
        <v>16</v>
      </c>
      <c r="K3079" t="s">
        <v>35</v>
      </c>
      <c r="L3079" s="4">
        <f>Table4[[#This Row],[quantity]]*Table4[[#This Row],[unit_price]]</f>
        <v>69.866582278481062</v>
      </c>
      <c r="M3079">
        <f>COUNTIFS($C$2:$C$3934,Table4[[#This Row],[customer_id]])</f>
        <v>10</v>
      </c>
      <c r="N3079" t="str">
        <f>IF(Table4[[#This Row],[customer_order_count]]=1,"New Customer","Repeat Customer")</f>
        <v>Repeat Customer</v>
      </c>
    </row>
    <row r="3080" spans="1:14">
      <c r="A3080" t="s">
        <v>1259</v>
      </c>
      <c r="B3080" s="1">
        <v>45575</v>
      </c>
      <c r="C3080" t="s">
        <v>1260</v>
      </c>
      <c r="D3080" t="s">
        <v>173</v>
      </c>
      <c r="E3080" t="s">
        <v>21</v>
      </c>
      <c r="F3080" t="s">
        <v>56</v>
      </c>
      <c r="G3080" t="s">
        <v>153</v>
      </c>
      <c r="H3080">
        <v>1</v>
      </c>
      <c r="I3080" s="3">
        <v>69.866582278481062</v>
      </c>
      <c r="J3080" t="s">
        <v>16</v>
      </c>
      <c r="K3080" t="s">
        <v>17</v>
      </c>
      <c r="L3080" s="4">
        <f>Table4[[#This Row],[quantity]]*Table4[[#This Row],[unit_price]]</f>
        <v>69.866582278481062</v>
      </c>
      <c r="M3080">
        <f>COUNTIFS($C$2:$C$3934,Table4[[#This Row],[customer_id]])</f>
        <v>4</v>
      </c>
      <c r="N3080" t="str">
        <f>IF(Table4[[#This Row],[customer_order_count]]=1,"New Customer","Repeat Customer")</f>
        <v>Repeat Customer</v>
      </c>
    </row>
    <row r="3081" spans="1:14">
      <c r="A3081" t="s">
        <v>1943</v>
      </c>
      <c r="B3081" s="1">
        <v>45075</v>
      </c>
      <c r="C3081" t="s">
        <v>786</v>
      </c>
      <c r="D3081" t="s">
        <v>787</v>
      </c>
      <c r="E3081" t="s">
        <v>61</v>
      </c>
      <c r="F3081" t="s">
        <v>70</v>
      </c>
      <c r="G3081" t="s">
        <v>110</v>
      </c>
      <c r="H3081">
        <v>2</v>
      </c>
      <c r="I3081" s="3">
        <v>69.91</v>
      </c>
      <c r="J3081" t="s">
        <v>16</v>
      </c>
      <c r="K3081" s="2" t="s">
        <v>5256</v>
      </c>
      <c r="L3081" s="4">
        <f>Table4[[#This Row],[quantity]]*Table4[[#This Row],[unit_price]]</f>
        <v>139.82</v>
      </c>
      <c r="M3081">
        <f>COUNTIFS($C$2:$C$3934,Table4[[#This Row],[customer_id]])</f>
        <v>2</v>
      </c>
      <c r="N3081" t="str">
        <f>IF(Table4[[#This Row],[customer_order_count]]=1,"New Customer","Repeat Customer")</f>
        <v>Repeat Customer</v>
      </c>
    </row>
    <row r="3082" spans="1:14">
      <c r="A3082" t="s">
        <v>1701</v>
      </c>
      <c r="B3082" s="1">
        <v>45606</v>
      </c>
      <c r="C3082" t="s">
        <v>368</v>
      </c>
      <c r="D3082" t="s">
        <v>369</v>
      </c>
      <c r="E3082" t="s">
        <v>21</v>
      </c>
      <c r="F3082" t="s">
        <v>70</v>
      </c>
      <c r="G3082" t="s">
        <v>337</v>
      </c>
      <c r="H3082">
        <v>1</v>
      </c>
      <c r="I3082" s="3">
        <v>69.930000000000007</v>
      </c>
      <c r="J3082" t="s">
        <v>16</v>
      </c>
      <c r="K3082" s="5" t="s">
        <v>17</v>
      </c>
      <c r="L3082" s="4">
        <f>Table4[[#This Row],[quantity]]*Table4[[#This Row],[unit_price]]</f>
        <v>69.930000000000007</v>
      </c>
      <c r="M3082">
        <f>COUNTIFS($C$2:$C$3934,Table4[[#This Row],[customer_id]])</f>
        <v>7</v>
      </c>
      <c r="N3082" t="str">
        <f>IF(Table4[[#This Row],[customer_order_count]]=1,"New Customer","Repeat Customer")</f>
        <v>Repeat Customer</v>
      </c>
    </row>
    <row r="3083" spans="1:14">
      <c r="A3083" t="s">
        <v>1844</v>
      </c>
      <c r="B3083" s="1">
        <v>45390</v>
      </c>
      <c r="C3083" t="s">
        <v>1118</v>
      </c>
      <c r="D3083" t="s">
        <v>881</v>
      </c>
      <c r="E3083" t="s">
        <v>44</v>
      </c>
      <c r="F3083" t="s">
        <v>70</v>
      </c>
      <c r="G3083" t="s">
        <v>526</v>
      </c>
      <c r="H3083">
        <v>2</v>
      </c>
      <c r="I3083" s="3">
        <v>69.989999999999995</v>
      </c>
      <c r="J3083" t="s">
        <v>16</v>
      </c>
      <c r="K3083" t="s">
        <v>17</v>
      </c>
      <c r="L3083" s="4">
        <f>Table4[[#This Row],[quantity]]*Table4[[#This Row],[unit_price]]</f>
        <v>139.97999999999999</v>
      </c>
      <c r="M3083">
        <f>COUNTIFS($C$2:$C$3934,Table4[[#This Row],[customer_id]])</f>
        <v>6</v>
      </c>
      <c r="N3083" t="str">
        <f>IF(Table4[[#This Row],[customer_order_count]]=1,"New Customer","Repeat Customer")</f>
        <v>Repeat Customer</v>
      </c>
    </row>
    <row r="3084" spans="1:14">
      <c r="A3084" t="s">
        <v>1980</v>
      </c>
      <c r="B3084" s="1">
        <v>44990</v>
      </c>
      <c r="C3084" t="s">
        <v>1763</v>
      </c>
      <c r="D3084" t="s">
        <v>1103</v>
      </c>
      <c r="E3084" t="s">
        <v>21</v>
      </c>
      <c r="F3084" t="s">
        <v>70</v>
      </c>
      <c r="G3084" t="s">
        <v>170</v>
      </c>
      <c r="H3084">
        <v>1</v>
      </c>
      <c r="I3084" s="3">
        <v>70.03</v>
      </c>
      <c r="J3084" t="s">
        <v>24</v>
      </c>
      <c r="K3084" t="s">
        <v>17</v>
      </c>
      <c r="L3084" s="4">
        <f>Table4[[#This Row],[quantity]]*Table4[[#This Row],[unit_price]]</f>
        <v>70.03</v>
      </c>
      <c r="M3084">
        <f>COUNTIFS($C$2:$C$3934,Table4[[#This Row],[customer_id]])</f>
        <v>8</v>
      </c>
      <c r="N3084" t="str">
        <f>IF(Table4[[#This Row],[customer_order_count]]=1,"New Customer","Repeat Customer")</f>
        <v>Repeat Customer</v>
      </c>
    </row>
    <row r="3085" spans="1:14">
      <c r="A3085" t="s">
        <v>1308</v>
      </c>
      <c r="B3085" s="1">
        <v>45459</v>
      </c>
      <c r="C3085" t="s">
        <v>1309</v>
      </c>
      <c r="D3085" t="s">
        <v>1310</v>
      </c>
      <c r="E3085" t="s">
        <v>21</v>
      </c>
      <c r="F3085" t="s">
        <v>70</v>
      </c>
      <c r="G3085" t="s">
        <v>146</v>
      </c>
      <c r="H3085">
        <v>1</v>
      </c>
      <c r="I3085" s="3">
        <v>70.03</v>
      </c>
      <c r="J3085" t="s">
        <v>16</v>
      </c>
      <c r="K3085" t="s">
        <v>35</v>
      </c>
      <c r="L3085" s="4">
        <f>Table4[[#This Row],[quantity]]*Table4[[#This Row],[unit_price]]</f>
        <v>70.03</v>
      </c>
      <c r="M3085">
        <f>COUNTIFS($C$2:$C$3934,Table4[[#This Row],[customer_id]])</f>
        <v>5</v>
      </c>
      <c r="N3085" t="str">
        <f>IF(Table4[[#This Row],[customer_order_count]]=1,"New Customer","Repeat Customer")</f>
        <v>Repeat Customer</v>
      </c>
    </row>
    <row r="3086" spans="1:14">
      <c r="A3086" t="s">
        <v>3222</v>
      </c>
      <c r="B3086" s="1">
        <v>45088</v>
      </c>
      <c r="C3086" t="s">
        <v>2560</v>
      </c>
      <c r="D3086" t="s">
        <v>828</v>
      </c>
      <c r="E3086" t="s">
        <v>44</v>
      </c>
      <c r="F3086" t="s">
        <v>56</v>
      </c>
      <c r="G3086" t="s">
        <v>57</v>
      </c>
      <c r="H3086">
        <v>4</v>
      </c>
      <c r="I3086" s="3">
        <v>70.03</v>
      </c>
      <c r="J3086" t="s">
        <v>16</v>
      </c>
      <c r="K3086" t="s">
        <v>40</v>
      </c>
      <c r="L3086" s="4">
        <f>Table4[[#This Row],[quantity]]*Table4[[#This Row],[unit_price]]</f>
        <v>280.12</v>
      </c>
      <c r="M3086">
        <f>COUNTIFS($C$2:$C$3934,Table4[[#This Row],[customer_id]])</f>
        <v>5</v>
      </c>
      <c r="N3086" t="str">
        <f>IF(Table4[[#This Row],[customer_order_count]]=1,"New Customer","Repeat Customer")</f>
        <v>Repeat Customer</v>
      </c>
    </row>
    <row r="3087" spans="1:14">
      <c r="A3087" t="s">
        <v>2333</v>
      </c>
      <c r="B3087" s="1">
        <v>45007</v>
      </c>
      <c r="C3087" t="s">
        <v>619</v>
      </c>
      <c r="D3087" t="s">
        <v>620</v>
      </c>
      <c r="E3087" t="s">
        <v>21</v>
      </c>
      <c r="F3087" t="s">
        <v>14</v>
      </c>
      <c r="G3087" t="s">
        <v>100</v>
      </c>
      <c r="H3087">
        <v>1</v>
      </c>
      <c r="I3087" s="3">
        <v>70.12</v>
      </c>
      <c r="J3087" t="s">
        <v>16</v>
      </c>
      <c r="K3087" t="s">
        <v>17</v>
      </c>
      <c r="L3087" s="4">
        <f>Table4[[#This Row],[quantity]]*Table4[[#This Row],[unit_price]]</f>
        <v>70.12</v>
      </c>
      <c r="M3087">
        <f>COUNTIFS($C$2:$C$3934,Table4[[#This Row],[customer_id]])</f>
        <v>4</v>
      </c>
      <c r="N3087" t="str">
        <f>IF(Table4[[#This Row],[customer_order_count]]=1,"New Customer","Repeat Customer")</f>
        <v>Repeat Customer</v>
      </c>
    </row>
    <row r="3088" spans="1:14">
      <c r="A3088" t="s">
        <v>3881</v>
      </c>
      <c r="B3088" s="1">
        <v>45107</v>
      </c>
      <c r="C3088" t="s">
        <v>3603</v>
      </c>
      <c r="D3088" s="2" t="s">
        <v>5257</v>
      </c>
      <c r="E3088" t="s">
        <v>61</v>
      </c>
      <c r="F3088" t="s">
        <v>56</v>
      </c>
      <c r="G3088" t="s">
        <v>422</v>
      </c>
      <c r="H3088">
        <v>1</v>
      </c>
      <c r="I3088" s="3">
        <v>70.12</v>
      </c>
      <c r="J3088" t="s">
        <v>16</v>
      </c>
      <c r="K3088" t="s">
        <v>40</v>
      </c>
      <c r="L3088" s="4">
        <f>Table4[[#This Row],[quantity]]*Table4[[#This Row],[unit_price]]</f>
        <v>70.12</v>
      </c>
      <c r="M3088">
        <f>COUNTIFS($C$2:$C$3934,Table4[[#This Row],[customer_id]])</f>
        <v>2</v>
      </c>
      <c r="N3088" t="str">
        <f>IF(Table4[[#This Row],[customer_order_count]]=1,"New Customer","Repeat Customer")</f>
        <v>Repeat Customer</v>
      </c>
    </row>
    <row r="3089" spans="1:14">
      <c r="A3089" t="s">
        <v>5255</v>
      </c>
      <c r="B3089" s="1">
        <v>45493</v>
      </c>
      <c r="C3089" t="s">
        <v>2819</v>
      </c>
      <c r="D3089" s="5" t="s">
        <v>1241</v>
      </c>
      <c r="E3089" t="s">
        <v>21</v>
      </c>
      <c r="F3089" t="s">
        <v>70</v>
      </c>
      <c r="G3089" t="s">
        <v>71</v>
      </c>
      <c r="H3089">
        <v>1</v>
      </c>
      <c r="I3089" s="3">
        <v>70.13</v>
      </c>
      <c r="J3089" t="s">
        <v>16</v>
      </c>
      <c r="K3089" t="s">
        <v>30</v>
      </c>
      <c r="L3089" s="4">
        <f>Table4[[#This Row],[quantity]]*Table4[[#This Row],[unit_price]]</f>
        <v>70.13</v>
      </c>
      <c r="M3089">
        <f>COUNTIFS($C$2:$C$3934,Table4[[#This Row],[customer_id]])</f>
        <v>2</v>
      </c>
      <c r="N3089" t="str">
        <f>IF(Table4[[#This Row],[customer_order_count]]=1,"New Customer","Repeat Customer")</f>
        <v>Repeat Customer</v>
      </c>
    </row>
    <row r="3090" spans="1:14">
      <c r="A3090" t="s">
        <v>1044</v>
      </c>
      <c r="B3090" s="1">
        <v>44963</v>
      </c>
      <c r="C3090" t="s">
        <v>1045</v>
      </c>
      <c r="D3090" t="s">
        <v>478</v>
      </c>
      <c r="E3090" t="s">
        <v>21</v>
      </c>
      <c r="F3090" t="s">
        <v>70</v>
      </c>
      <c r="G3090" t="s">
        <v>170</v>
      </c>
      <c r="H3090">
        <v>3</v>
      </c>
      <c r="I3090" s="3">
        <v>70.150000000000006</v>
      </c>
      <c r="J3090" t="s">
        <v>16</v>
      </c>
      <c r="K3090" t="s">
        <v>35</v>
      </c>
      <c r="L3090" s="4">
        <f>Table4[[#This Row],[quantity]]*Table4[[#This Row],[unit_price]]</f>
        <v>210.45000000000002</v>
      </c>
      <c r="M3090">
        <f>COUNTIFS($C$2:$C$3934,Table4[[#This Row],[customer_id]])</f>
        <v>4</v>
      </c>
      <c r="N3090" t="str">
        <f>IF(Table4[[#This Row],[customer_order_count]]=1,"New Customer","Repeat Customer")</f>
        <v>Repeat Customer</v>
      </c>
    </row>
    <row r="3091" spans="1:14">
      <c r="A3091" t="s">
        <v>3994</v>
      </c>
      <c r="B3091" s="1">
        <v>45389</v>
      </c>
      <c r="C3091" t="s">
        <v>2584</v>
      </c>
      <c r="D3091" t="s">
        <v>1121</v>
      </c>
      <c r="E3091" t="s">
        <v>61</v>
      </c>
      <c r="F3091" t="s">
        <v>79</v>
      </c>
      <c r="G3091" t="s">
        <v>230</v>
      </c>
      <c r="H3091">
        <v>3</v>
      </c>
      <c r="I3091" s="3">
        <v>70.16</v>
      </c>
      <c r="J3091" t="s">
        <v>85</v>
      </c>
      <c r="K3091" t="s">
        <v>17</v>
      </c>
      <c r="L3091" s="4">
        <f>Table4[[#This Row],[quantity]]*Table4[[#This Row],[unit_price]]</f>
        <v>210.48</v>
      </c>
      <c r="M3091">
        <f>COUNTIFS($C$2:$C$3934,Table4[[#This Row],[customer_id]])</f>
        <v>2</v>
      </c>
      <c r="N3091" t="str">
        <f>IF(Table4[[#This Row],[customer_order_count]]=1,"New Customer","Repeat Customer")</f>
        <v>Repeat Customer</v>
      </c>
    </row>
    <row r="3092" spans="1:14">
      <c r="A3092" t="s">
        <v>3645</v>
      </c>
      <c r="B3092" s="1">
        <v>45084</v>
      </c>
      <c r="C3092" t="s">
        <v>2320</v>
      </c>
      <c r="D3092" t="s">
        <v>310</v>
      </c>
      <c r="E3092" t="s">
        <v>44</v>
      </c>
      <c r="F3092" t="s">
        <v>70</v>
      </c>
      <c r="G3092" t="s">
        <v>337</v>
      </c>
      <c r="H3092">
        <v>1</v>
      </c>
      <c r="I3092" s="3">
        <v>70.17</v>
      </c>
      <c r="J3092" t="s">
        <v>16</v>
      </c>
      <c r="K3092" t="s">
        <v>17</v>
      </c>
      <c r="L3092" s="4">
        <f>Table4[[#This Row],[quantity]]*Table4[[#This Row],[unit_price]]</f>
        <v>70.17</v>
      </c>
      <c r="M3092">
        <f>COUNTIFS($C$2:$C$3934,Table4[[#This Row],[customer_id]])</f>
        <v>6</v>
      </c>
      <c r="N3092" t="str">
        <f>IF(Table4[[#This Row],[customer_order_count]]=1,"New Customer","Repeat Customer")</f>
        <v>Repeat Customer</v>
      </c>
    </row>
    <row r="3093" spans="1:14">
      <c r="A3093" t="s">
        <v>615</v>
      </c>
      <c r="B3093" s="1">
        <v>45648</v>
      </c>
      <c r="C3093" t="s">
        <v>616</v>
      </c>
      <c r="D3093" t="s">
        <v>617</v>
      </c>
      <c r="E3093" t="s">
        <v>21</v>
      </c>
      <c r="F3093" t="s">
        <v>79</v>
      </c>
      <c r="G3093" t="s">
        <v>166</v>
      </c>
      <c r="H3093">
        <v>2</v>
      </c>
      <c r="I3093" s="3">
        <v>70.180000000000007</v>
      </c>
      <c r="J3093" t="s">
        <v>16</v>
      </c>
      <c r="K3093" t="s">
        <v>17</v>
      </c>
      <c r="L3093" s="4">
        <f>Table4[[#This Row],[quantity]]*Table4[[#This Row],[unit_price]]</f>
        <v>140.36000000000001</v>
      </c>
      <c r="M3093">
        <f>COUNTIFS($C$2:$C$3934,Table4[[#This Row],[customer_id]])</f>
        <v>5</v>
      </c>
      <c r="N3093" t="str">
        <f>IF(Table4[[#This Row],[customer_order_count]]=1,"New Customer","Repeat Customer")</f>
        <v>Repeat Customer</v>
      </c>
    </row>
    <row r="3094" spans="1:14">
      <c r="A3094" t="s">
        <v>2520</v>
      </c>
      <c r="B3094" s="1">
        <v>45123</v>
      </c>
      <c r="C3094" t="s">
        <v>2521</v>
      </c>
      <c r="D3094" t="s">
        <v>1036</v>
      </c>
      <c r="E3094" t="s">
        <v>21</v>
      </c>
      <c r="F3094" t="s">
        <v>14</v>
      </c>
      <c r="G3094" t="s">
        <v>39</v>
      </c>
      <c r="H3094">
        <v>1</v>
      </c>
      <c r="I3094" s="3">
        <v>70.239999999999995</v>
      </c>
      <c r="J3094" t="s">
        <v>16</v>
      </c>
      <c r="K3094" t="s">
        <v>40</v>
      </c>
      <c r="L3094" s="4">
        <f>Table4[[#This Row],[quantity]]*Table4[[#This Row],[unit_price]]</f>
        <v>70.239999999999995</v>
      </c>
      <c r="M3094">
        <f>COUNTIFS($C$2:$C$3934,Table4[[#This Row],[customer_id]])</f>
        <v>1</v>
      </c>
      <c r="N3094" t="str">
        <f>IF(Table4[[#This Row],[customer_order_count]]=1,"New Customer","Repeat Customer")</f>
        <v>New Customer</v>
      </c>
    </row>
    <row r="3095" spans="1:14">
      <c r="A3095" t="s">
        <v>4140</v>
      </c>
      <c r="B3095" s="1">
        <v>45182</v>
      </c>
      <c r="C3095" t="s">
        <v>1921</v>
      </c>
      <c r="D3095" t="s">
        <v>1922</v>
      </c>
      <c r="E3095" t="s">
        <v>21</v>
      </c>
      <c r="F3095" t="s">
        <v>79</v>
      </c>
      <c r="G3095" t="s">
        <v>96</v>
      </c>
      <c r="H3095">
        <v>2</v>
      </c>
      <c r="I3095" s="3">
        <v>70.28</v>
      </c>
      <c r="J3095" t="s">
        <v>16</v>
      </c>
      <c r="K3095" t="s">
        <v>17</v>
      </c>
      <c r="L3095" s="4">
        <f>Table4[[#This Row],[quantity]]*Table4[[#This Row],[unit_price]]</f>
        <v>140.56</v>
      </c>
      <c r="M3095">
        <f>COUNTIFS($C$2:$C$3934,Table4[[#This Row],[customer_id]])</f>
        <v>5</v>
      </c>
      <c r="N3095" t="str">
        <f>IF(Table4[[#This Row],[customer_order_count]]=1,"New Customer","Repeat Customer")</f>
        <v>Repeat Customer</v>
      </c>
    </row>
    <row r="3096" spans="1:14">
      <c r="A3096" t="s">
        <v>4445</v>
      </c>
      <c r="B3096" s="1">
        <v>44950</v>
      </c>
      <c r="C3096" t="s">
        <v>3665</v>
      </c>
      <c r="D3096" t="s">
        <v>3666</v>
      </c>
      <c r="E3096" t="s">
        <v>21</v>
      </c>
      <c r="F3096" t="s">
        <v>79</v>
      </c>
      <c r="G3096" t="s">
        <v>96</v>
      </c>
      <c r="H3096">
        <v>3</v>
      </c>
      <c r="I3096" s="3">
        <v>70.28</v>
      </c>
      <c r="J3096" t="s">
        <v>16</v>
      </c>
      <c r="K3096" t="s">
        <v>35</v>
      </c>
      <c r="L3096" s="4">
        <f>Table4[[#This Row],[quantity]]*Table4[[#This Row],[unit_price]]</f>
        <v>210.84</v>
      </c>
      <c r="M3096">
        <f>COUNTIFS($C$2:$C$3934,Table4[[#This Row],[customer_id]])</f>
        <v>4</v>
      </c>
      <c r="N3096" t="str">
        <f>IF(Table4[[#This Row],[customer_order_count]]=1,"New Customer","Repeat Customer")</f>
        <v>Repeat Customer</v>
      </c>
    </row>
    <row r="3097" spans="1:14">
      <c r="A3097" t="s">
        <v>4149</v>
      </c>
      <c r="B3097" s="1">
        <v>45541</v>
      </c>
      <c r="C3097" t="s">
        <v>2086</v>
      </c>
      <c r="D3097" t="s">
        <v>650</v>
      </c>
      <c r="E3097" t="s">
        <v>44</v>
      </c>
      <c r="F3097" t="s">
        <v>70</v>
      </c>
      <c r="G3097" t="s">
        <v>110</v>
      </c>
      <c r="H3097">
        <v>2</v>
      </c>
      <c r="I3097" s="3">
        <v>70.3</v>
      </c>
      <c r="J3097" t="s">
        <v>16</v>
      </c>
      <c r="K3097" t="s">
        <v>30</v>
      </c>
      <c r="L3097" s="4">
        <f>Table4[[#This Row],[quantity]]*Table4[[#This Row],[unit_price]]</f>
        <v>140.6</v>
      </c>
      <c r="M3097">
        <f>COUNTIFS($C$2:$C$3934,Table4[[#This Row],[customer_id]])</f>
        <v>7</v>
      </c>
      <c r="N3097" t="str">
        <f>IF(Table4[[#This Row],[customer_order_count]]=1,"New Customer","Repeat Customer")</f>
        <v>Repeat Customer</v>
      </c>
    </row>
    <row r="3098" spans="1:14">
      <c r="A3098" t="s">
        <v>3711</v>
      </c>
      <c r="B3098" s="1">
        <v>45012</v>
      </c>
      <c r="C3098" t="s">
        <v>616</v>
      </c>
      <c r="D3098" t="s">
        <v>617</v>
      </c>
      <c r="E3098" t="s">
        <v>21</v>
      </c>
      <c r="F3098" t="s">
        <v>79</v>
      </c>
      <c r="G3098" t="s">
        <v>541</v>
      </c>
      <c r="H3098">
        <v>2</v>
      </c>
      <c r="I3098" s="3">
        <v>70.31</v>
      </c>
      <c r="J3098" t="s">
        <v>16</v>
      </c>
      <c r="K3098" t="s">
        <v>35</v>
      </c>
      <c r="L3098" s="4">
        <f>Table4[[#This Row],[quantity]]*Table4[[#This Row],[unit_price]]</f>
        <v>140.62</v>
      </c>
      <c r="M3098">
        <f>COUNTIFS($C$2:$C$3934,Table4[[#This Row],[customer_id]])</f>
        <v>5</v>
      </c>
      <c r="N3098" t="str">
        <f>IF(Table4[[#This Row],[customer_order_count]]=1,"New Customer","Repeat Customer")</f>
        <v>Repeat Customer</v>
      </c>
    </row>
    <row r="3099" spans="1:14">
      <c r="A3099" t="s">
        <v>1809</v>
      </c>
      <c r="B3099" s="1">
        <v>44989</v>
      </c>
      <c r="C3099" t="s">
        <v>589</v>
      </c>
      <c r="D3099" t="s">
        <v>406</v>
      </c>
      <c r="E3099" t="s">
        <v>21</v>
      </c>
      <c r="F3099" t="s">
        <v>14</v>
      </c>
      <c r="G3099" t="s">
        <v>34</v>
      </c>
      <c r="H3099">
        <v>1</v>
      </c>
      <c r="I3099" s="3">
        <v>70.33</v>
      </c>
      <c r="J3099" t="s">
        <v>16</v>
      </c>
      <c r="K3099" t="s">
        <v>30</v>
      </c>
      <c r="L3099" s="4">
        <f>Table4[[#This Row],[quantity]]*Table4[[#This Row],[unit_price]]</f>
        <v>70.33</v>
      </c>
      <c r="M3099">
        <f>COUNTIFS($C$2:$C$3934,Table4[[#This Row],[customer_id]])</f>
        <v>9</v>
      </c>
      <c r="N3099" t="str">
        <f>IF(Table4[[#This Row],[customer_order_count]]=1,"New Customer","Repeat Customer")</f>
        <v>Repeat Customer</v>
      </c>
    </row>
    <row r="3100" spans="1:14">
      <c r="A3100" t="s">
        <v>3391</v>
      </c>
      <c r="B3100" s="1">
        <v>45108</v>
      </c>
      <c r="C3100" t="s">
        <v>1312</v>
      </c>
      <c r="D3100" t="s">
        <v>693</v>
      </c>
      <c r="E3100" t="s">
        <v>21</v>
      </c>
      <c r="F3100" t="s">
        <v>70</v>
      </c>
      <c r="G3100" t="s">
        <v>89</v>
      </c>
      <c r="H3100">
        <v>3</v>
      </c>
      <c r="I3100" s="3">
        <v>70.349999999999994</v>
      </c>
      <c r="J3100" t="s">
        <v>255</v>
      </c>
      <c r="K3100" t="s">
        <v>30</v>
      </c>
      <c r="L3100" s="4">
        <f>Table4[[#This Row],[quantity]]*Table4[[#This Row],[unit_price]]</f>
        <v>211.04999999999998</v>
      </c>
      <c r="M3100">
        <f>COUNTIFS($C$2:$C$3934,Table4[[#This Row],[customer_id]])</f>
        <v>5</v>
      </c>
      <c r="N3100" t="str">
        <f>IF(Table4[[#This Row],[customer_order_count]]=1,"New Customer","Repeat Customer")</f>
        <v>Repeat Customer</v>
      </c>
    </row>
    <row r="3101" spans="1:14">
      <c r="A3101" t="s">
        <v>2344</v>
      </c>
      <c r="B3101" s="1">
        <v>45191</v>
      </c>
      <c r="C3101" t="s">
        <v>1593</v>
      </c>
      <c r="D3101" t="s">
        <v>304</v>
      </c>
      <c r="E3101" t="s">
        <v>44</v>
      </c>
      <c r="F3101" t="s">
        <v>56</v>
      </c>
      <c r="G3101" t="s">
        <v>153</v>
      </c>
      <c r="H3101">
        <v>2</v>
      </c>
      <c r="I3101" s="3">
        <v>70.459999999999994</v>
      </c>
      <c r="J3101" t="s">
        <v>16</v>
      </c>
      <c r="K3101" t="s">
        <v>40</v>
      </c>
      <c r="L3101" s="4">
        <f>Table4[[#This Row],[quantity]]*Table4[[#This Row],[unit_price]]</f>
        <v>140.91999999999999</v>
      </c>
      <c r="M3101">
        <f>COUNTIFS($C$2:$C$3934,Table4[[#This Row],[customer_id]])</f>
        <v>4</v>
      </c>
      <c r="N3101" t="str">
        <f>IF(Table4[[#This Row],[customer_order_count]]=1,"New Customer","Repeat Customer")</f>
        <v>Repeat Customer</v>
      </c>
    </row>
    <row r="3102" spans="1:14">
      <c r="A3102" t="s">
        <v>1689</v>
      </c>
      <c r="B3102" s="1">
        <v>45169</v>
      </c>
      <c r="C3102" t="s">
        <v>1690</v>
      </c>
      <c r="D3102" t="s">
        <v>1691</v>
      </c>
      <c r="E3102" t="s">
        <v>44</v>
      </c>
      <c r="F3102" t="s">
        <v>79</v>
      </c>
      <c r="G3102" t="s">
        <v>96</v>
      </c>
      <c r="H3102">
        <v>2</v>
      </c>
      <c r="I3102" s="3">
        <v>70.489999999999995</v>
      </c>
      <c r="J3102" t="s">
        <v>85</v>
      </c>
      <c r="K3102" t="s">
        <v>35</v>
      </c>
      <c r="L3102" s="4">
        <f>Table4[[#This Row],[quantity]]*Table4[[#This Row],[unit_price]]</f>
        <v>140.97999999999999</v>
      </c>
      <c r="M3102">
        <f>COUNTIFS($C$2:$C$3934,Table4[[#This Row],[customer_id]])</f>
        <v>5</v>
      </c>
      <c r="N3102" t="str">
        <f>IF(Table4[[#This Row],[customer_order_count]]=1,"New Customer","Repeat Customer")</f>
        <v>Repeat Customer</v>
      </c>
    </row>
    <row r="3103" spans="1:14">
      <c r="A3103" t="s">
        <v>5041</v>
      </c>
      <c r="B3103" s="1">
        <v>45604</v>
      </c>
      <c r="C3103" t="s">
        <v>2214</v>
      </c>
      <c r="D3103" t="s">
        <v>2215</v>
      </c>
      <c r="E3103" t="s">
        <v>21</v>
      </c>
      <c r="F3103" t="s">
        <v>70</v>
      </c>
      <c r="G3103" t="s">
        <v>89</v>
      </c>
      <c r="H3103">
        <v>2</v>
      </c>
      <c r="I3103" s="3">
        <v>70.510000000000005</v>
      </c>
      <c r="J3103" t="s">
        <v>16</v>
      </c>
      <c r="K3103" t="s">
        <v>17</v>
      </c>
      <c r="L3103" s="4">
        <f>Table4[[#This Row],[quantity]]*Table4[[#This Row],[unit_price]]</f>
        <v>141.02000000000001</v>
      </c>
      <c r="M3103">
        <f>COUNTIFS($C$2:$C$3934,Table4[[#This Row],[customer_id]])</f>
        <v>5</v>
      </c>
      <c r="N3103" t="str">
        <f>IF(Table4[[#This Row],[customer_order_count]]=1,"New Customer","Repeat Customer")</f>
        <v>Repeat Customer</v>
      </c>
    </row>
    <row r="3104" spans="1:14">
      <c r="A3104" t="s">
        <v>1716</v>
      </c>
      <c r="B3104" s="1">
        <v>45639</v>
      </c>
      <c r="C3104" t="s">
        <v>1717</v>
      </c>
      <c r="D3104" t="s">
        <v>573</v>
      </c>
      <c r="E3104" t="s">
        <v>21</v>
      </c>
      <c r="F3104" t="s">
        <v>79</v>
      </c>
      <c r="G3104" t="s">
        <v>200</v>
      </c>
      <c r="H3104">
        <v>2</v>
      </c>
      <c r="I3104" s="3">
        <v>70.55</v>
      </c>
      <c r="J3104" t="s">
        <v>16</v>
      </c>
      <c r="K3104" t="s">
        <v>30</v>
      </c>
      <c r="L3104" s="4">
        <f>Table4[[#This Row],[quantity]]*Table4[[#This Row],[unit_price]]</f>
        <v>141.1</v>
      </c>
      <c r="M3104">
        <f>COUNTIFS($C$2:$C$3934,Table4[[#This Row],[customer_id]])</f>
        <v>7</v>
      </c>
      <c r="N3104" t="str">
        <f>IF(Table4[[#This Row],[customer_order_count]]=1,"New Customer","Repeat Customer")</f>
        <v>Repeat Customer</v>
      </c>
    </row>
    <row r="3105" spans="1:14">
      <c r="A3105" t="s">
        <v>3768</v>
      </c>
      <c r="B3105" s="1">
        <v>45146</v>
      </c>
      <c r="C3105" t="s">
        <v>1780</v>
      </c>
      <c r="D3105" t="s">
        <v>169</v>
      </c>
      <c r="E3105" t="s">
        <v>44</v>
      </c>
      <c r="F3105" t="s">
        <v>56</v>
      </c>
      <c r="G3105" t="s">
        <v>254</v>
      </c>
      <c r="H3105">
        <v>1</v>
      </c>
      <c r="I3105" s="3">
        <v>70.72</v>
      </c>
      <c r="J3105" t="s">
        <v>16</v>
      </c>
      <c r="K3105" s="2" t="s">
        <v>5256</v>
      </c>
      <c r="L3105" s="4">
        <f>Table4[[#This Row],[quantity]]*Table4[[#This Row],[unit_price]]</f>
        <v>70.72</v>
      </c>
      <c r="M3105">
        <f>COUNTIFS($C$2:$C$3934,Table4[[#This Row],[customer_id]])</f>
        <v>6</v>
      </c>
      <c r="N3105" t="str">
        <f>IF(Table4[[#This Row],[customer_order_count]]=1,"New Customer","Repeat Customer")</f>
        <v>Repeat Customer</v>
      </c>
    </row>
    <row r="3106" spans="1:14">
      <c r="A3106" t="s">
        <v>5254</v>
      </c>
      <c r="B3106" s="1">
        <v>45062</v>
      </c>
      <c r="C3106" t="s">
        <v>1123</v>
      </c>
      <c r="D3106" s="2" t="s">
        <v>5257</v>
      </c>
      <c r="E3106" t="s">
        <v>44</v>
      </c>
      <c r="F3106" t="s">
        <v>14</v>
      </c>
      <c r="G3106" t="s">
        <v>100</v>
      </c>
      <c r="H3106">
        <v>1</v>
      </c>
      <c r="I3106" s="3">
        <v>70.739999999999995</v>
      </c>
      <c r="J3106" t="s">
        <v>16</v>
      </c>
      <c r="K3106" s="5" t="s">
        <v>17</v>
      </c>
      <c r="L3106" s="4">
        <f>Table4[[#This Row],[quantity]]*Table4[[#This Row],[unit_price]]</f>
        <v>70.739999999999995</v>
      </c>
      <c r="M3106">
        <f>COUNTIFS($C$2:$C$3934,Table4[[#This Row],[customer_id]])</f>
        <v>4</v>
      </c>
      <c r="N3106" t="str">
        <f>IF(Table4[[#This Row],[customer_order_count]]=1,"New Customer","Repeat Customer")</f>
        <v>Repeat Customer</v>
      </c>
    </row>
    <row r="3107" spans="1:14">
      <c r="A3107" t="s">
        <v>968</v>
      </c>
      <c r="B3107" s="1">
        <v>45586</v>
      </c>
      <c r="C3107" t="s">
        <v>969</v>
      </c>
      <c r="D3107" s="5" t="s">
        <v>365</v>
      </c>
      <c r="E3107" t="s">
        <v>21</v>
      </c>
      <c r="F3107" t="s">
        <v>14</v>
      </c>
      <c r="G3107" t="s">
        <v>34</v>
      </c>
      <c r="H3107">
        <v>1</v>
      </c>
      <c r="I3107" s="3">
        <v>70.84</v>
      </c>
      <c r="J3107" t="s">
        <v>16</v>
      </c>
      <c r="K3107" t="s">
        <v>35</v>
      </c>
      <c r="L3107" s="4">
        <f>Table4[[#This Row],[quantity]]*Table4[[#This Row],[unit_price]]</f>
        <v>70.84</v>
      </c>
      <c r="M3107">
        <f>COUNTIFS($C$2:$C$3934,Table4[[#This Row],[customer_id]])</f>
        <v>5</v>
      </c>
      <c r="N3107" t="str">
        <f>IF(Table4[[#This Row],[customer_order_count]]=1,"New Customer","Repeat Customer")</f>
        <v>Repeat Customer</v>
      </c>
    </row>
    <row r="3108" spans="1:14">
      <c r="A3108" t="s">
        <v>4856</v>
      </c>
      <c r="B3108" s="1">
        <v>45240</v>
      </c>
      <c r="C3108" t="s">
        <v>1246</v>
      </c>
      <c r="D3108" t="s">
        <v>947</v>
      </c>
      <c r="E3108" t="s">
        <v>21</v>
      </c>
      <c r="F3108" t="s">
        <v>79</v>
      </c>
      <c r="G3108" t="s">
        <v>230</v>
      </c>
      <c r="H3108">
        <v>1</v>
      </c>
      <c r="I3108" s="3">
        <v>70.94</v>
      </c>
      <c r="J3108" t="s">
        <v>16</v>
      </c>
      <c r="K3108" t="s">
        <v>30</v>
      </c>
      <c r="L3108" s="4">
        <f>Table4[[#This Row],[quantity]]*Table4[[#This Row],[unit_price]]</f>
        <v>70.94</v>
      </c>
      <c r="M3108">
        <f>COUNTIFS($C$2:$C$3934,Table4[[#This Row],[customer_id]])</f>
        <v>8</v>
      </c>
      <c r="N3108" t="str">
        <f>IF(Table4[[#This Row],[customer_order_count]]=1,"New Customer","Repeat Customer")</f>
        <v>Repeat Customer</v>
      </c>
    </row>
    <row r="3109" spans="1:14">
      <c r="A3109" t="s">
        <v>4038</v>
      </c>
      <c r="B3109" s="1">
        <v>45008</v>
      </c>
      <c r="C3109" t="s">
        <v>4039</v>
      </c>
      <c r="D3109" t="s">
        <v>138</v>
      </c>
      <c r="E3109" t="s">
        <v>21</v>
      </c>
      <c r="F3109" t="s">
        <v>70</v>
      </c>
      <c r="G3109" t="s">
        <v>110</v>
      </c>
      <c r="H3109">
        <v>2</v>
      </c>
      <c r="I3109" s="3">
        <v>70.98</v>
      </c>
      <c r="J3109" t="s">
        <v>16</v>
      </c>
      <c r="K3109" t="s">
        <v>30</v>
      </c>
      <c r="L3109" s="4">
        <f>Table4[[#This Row],[quantity]]*Table4[[#This Row],[unit_price]]</f>
        <v>141.96</v>
      </c>
      <c r="M3109">
        <f>COUNTIFS($C$2:$C$3934,Table4[[#This Row],[customer_id]])</f>
        <v>2</v>
      </c>
      <c r="N3109" t="str">
        <f>IF(Table4[[#This Row],[customer_order_count]]=1,"New Customer","Repeat Customer")</f>
        <v>Repeat Customer</v>
      </c>
    </row>
    <row r="3110" spans="1:14">
      <c r="A3110" t="s">
        <v>2699</v>
      </c>
      <c r="B3110" s="1">
        <v>44950</v>
      </c>
      <c r="C3110" t="s">
        <v>563</v>
      </c>
      <c r="D3110" t="s">
        <v>203</v>
      </c>
      <c r="E3110" t="s">
        <v>21</v>
      </c>
      <c r="F3110" t="s">
        <v>56</v>
      </c>
      <c r="G3110" t="s">
        <v>57</v>
      </c>
      <c r="H3110">
        <v>1</v>
      </c>
      <c r="I3110" s="3">
        <v>71.031917808219177</v>
      </c>
      <c r="J3110" t="s">
        <v>16</v>
      </c>
      <c r="K3110" t="s">
        <v>17</v>
      </c>
      <c r="L3110" s="4">
        <f>Table4[[#This Row],[quantity]]*Table4[[#This Row],[unit_price]]</f>
        <v>71.031917808219177</v>
      </c>
      <c r="M3110">
        <f>COUNTIFS($C$2:$C$3934,Table4[[#This Row],[customer_id]])</f>
        <v>6</v>
      </c>
      <c r="N3110" t="str">
        <f>IF(Table4[[#This Row],[customer_order_count]]=1,"New Customer","Repeat Customer")</f>
        <v>Repeat Customer</v>
      </c>
    </row>
    <row r="3111" spans="1:14">
      <c r="A3111" t="s">
        <v>2421</v>
      </c>
      <c r="B3111" s="1">
        <v>45210</v>
      </c>
      <c r="C3111" t="s">
        <v>1803</v>
      </c>
      <c r="D3111" t="s">
        <v>1804</v>
      </c>
      <c r="E3111" t="s">
        <v>21</v>
      </c>
      <c r="F3111" t="s">
        <v>56</v>
      </c>
      <c r="G3111" t="s">
        <v>57</v>
      </c>
      <c r="H3111">
        <v>1</v>
      </c>
      <c r="I3111" s="3">
        <v>71.031917808219177</v>
      </c>
      <c r="J3111" t="s">
        <v>16</v>
      </c>
      <c r="K3111" t="s">
        <v>30</v>
      </c>
      <c r="L3111" s="4">
        <f>Table4[[#This Row],[quantity]]*Table4[[#This Row],[unit_price]]</f>
        <v>71.031917808219177</v>
      </c>
      <c r="M3111">
        <f>COUNTIFS($C$2:$C$3934,Table4[[#This Row],[customer_id]])</f>
        <v>5</v>
      </c>
      <c r="N3111" t="str">
        <f>IF(Table4[[#This Row],[customer_order_count]]=1,"New Customer","Repeat Customer")</f>
        <v>Repeat Customer</v>
      </c>
    </row>
    <row r="3112" spans="1:14">
      <c r="A3112" t="s">
        <v>1283</v>
      </c>
      <c r="B3112" s="1">
        <v>45467</v>
      </c>
      <c r="C3112" t="s">
        <v>1266</v>
      </c>
      <c r="D3112" t="s">
        <v>828</v>
      </c>
      <c r="E3112" t="s">
        <v>21</v>
      </c>
      <c r="F3112" t="s">
        <v>56</v>
      </c>
      <c r="G3112" t="s">
        <v>57</v>
      </c>
      <c r="H3112">
        <v>1</v>
      </c>
      <c r="I3112" s="3">
        <v>71.031917808219177</v>
      </c>
      <c r="J3112" t="s">
        <v>16</v>
      </c>
      <c r="K3112" t="s">
        <v>35</v>
      </c>
      <c r="L3112" s="4">
        <f>Table4[[#This Row],[quantity]]*Table4[[#This Row],[unit_price]]</f>
        <v>71.031917808219177</v>
      </c>
      <c r="M3112">
        <f>COUNTIFS($C$2:$C$3934,Table4[[#This Row],[customer_id]])</f>
        <v>7</v>
      </c>
      <c r="N3112" t="str">
        <f>IF(Table4[[#This Row],[customer_order_count]]=1,"New Customer","Repeat Customer")</f>
        <v>Repeat Customer</v>
      </c>
    </row>
    <row r="3113" spans="1:14">
      <c r="A3113" t="s">
        <v>4798</v>
      </c>
      <c r="B3113" s="1">
        <v>45441</v>
      </c>
      <c r="C3113" t="s">
        <v>1522</v>
      </c>
      <c r="D3113" t="s">
        <v>1523</v>
      </c>
      <c r="E3113" t="s">
        <v>21</v>
      </c>
      <c r="F3113" t="s">
        <v>70</v>
      </c>
      <c r="G3113" t="s">
        <v>89</v>
      </c>
      <c r="H3113">
        <v>2</v>
      </c>
      <c r="I3113" s="3">
        <v>71.08</v>
      </c>
      <c r="J3113" t="s">
        <v>16</v>
      </c>
      <c r="K3113" t="s">
        <v>17</v>
      </c>
      <c r="L3113" s="4">
        <f>Table4[[#This Row],[quantity]]*Table4[[#This Row],[unit_price]]</f>
        <v>142.16</v>
      </c>
      <c r="M3113">
        <f>COUNTIFS($C$2:$C$3934,Table4[[#This Row],[customer_id]])</f>
        <v>11</v>
      </c>
      <c r="N3113" t="str">
        <f>IF(Table4[[#This Row],[customer_order_count]]=1,"New Customer","Repeat Customer")</f>
        <v>Repeat Customer</v>
      </c>
    </row>
    <row r="3114" spans="1:14">
      <c r="A3114" t="s">
        <v>4969</v>
      </c>
      <c r="B3114" s="1">
        <v>44997</v>
      </c>
      <c r="C3114" t="s">
        <v>1898</v>
      </c>
      <c r="D3114" t="s">
        <v>947</v>
      </c>
      <c r="E3114" t="s">
        <v>44</v>
      </c>
      <c r="F3114" t="s">
        <v>70</v>
      </c>
      <c r="G3114" t="s">
        <v>337</v>
      </c>
      <c r="H3114">
        <v>1</v>
      </c>
      <c r="I3114" s="3">
        <v>71.099999999999994</v>
      </c>
      <c r="J3114" t="s">
        <v>16</v>
      </c>
      <c r="K3114" t="s">
        <v>35</v>
      </c>
      <c r="L3114" s="4">
        <f>Table4[[#This Row],[quantity]]*Table4[[#This Row],[unit_price]]</f>
        <v>71.099999999999994</v>
      </c>
      <c r="M3114">
        <f>COUNTIFS($C$2:$C$3934,Table4[[#This Row],[customer_id]])</f>
        <v>4</v>
      </c>
      <c r="N3114" t="str">
        <f>IF(Table4[[#This Row],[customer_order_count]]=1,"New Customer","Repeat Customer")</f>
        <v>Repeat Customer</v>
      </c>
    </row>
    <row r="3115" spans="1:14">
      <c r="A3115" t="s">
        <v>4494</v>
      </c>
      <c r="B3115" s="1">
        <v>45469</v>
      </c>
      <c r="C3115" t="s">
        <v>1296</v>
      </c>
      <c r="D3115" t="s">
        <v>1156</v>
      </c>
      <c r="E3115" t="s">
        <v>44</v>
      </c>
      <c r="F3115" t="s">
        <v>79</v>
      </c>
      <c r="G3115" t="s">
        <v>204</v>
      </c>
      <c r="H3115">
        <v>1</v>
      </c>
      <c r="I3115" s="3">
        <v>71.11</v>
      </c>
      <c r="J3115" t="s">
        <v>16</v>
      </c>
      <c r="K3115" t="s">
        <v>17</v>
      </c>
      <c r="L3115" s="4">
        <f>Table4[[#This Row],[quantity]]*Table4[[#This Row],[unit_price]]</f>
        <v>71.11</v>
      </c>
      <c r="M3115">
        <f>COUNTIFS($C$2:$C$3934,Table4[[#This Row],[customer_id]])</f>
        <v>4</v>
      </c>
      <c r="N3115" t="str">
        <f>IF(Table4[[#This Row],[customer_order_count]]=1,"New Customer","Repeat Customer")</f>
        <v>Repeat Customer</v>
      </c>
    </row>
    <row r="3116" spans="1:14">
      <c r="A3116" t="s">
        <v>1277</v>
      </c>
      <c r="B3116" s="1">
        <v>45381</v>
      </c>
      <c r="C3116" t="s">
        <v>1278</v>
      </c>
      <c r="D3116" t="s">
        <v>27</v>
      </c>
      <c r="E3116" t="s">
        <v>21</v>
      </c>
      <c r="F3116" t="s">
        <v>14</v>
      </c>
      <c r="G3116" t="s">
        <v>34</v>
      </c>
      <c r="H3116">
        <v>2</v>
      </c>
      <c r="I3116" s="3">
        <v>71.13</v>
      </c>
      <c r="J3116" t="s">
        <v>16</v>
      </c>
      <c r="K3116" t="s">
        <v>17</v>
      </c>
      <c r="L3116" s="4">
        <f>Table4[[#This Row],[quantity]]*Table4[[#This Row],[unit_price]]</f>
        <v>142.26</v>
      </c>
      <c r="M3116">
        <f>COUNTIFS($C$2:$C$3934,Table4[[#This Row],[customer_id]])</f>
        <v>4</v>
      </c>
      <c r="N3116" t="str">
        <f>IF(Table4[[#This Row],[customer_order_count]]=1,"New Customer","Repeat Customer")</f>
        <v>Repeat Customer</v>
      </c>
    </row>
    <row r="3117" spans="1:14">
      <c r="A3117" t="s">
        <v>3774</v>
      </c>
      <c r="B3117" s="1">
        <v>45571</v>
      </c>
      <c r="C3117" t="s">
        <v>1021</v>
      </c>
      <c r="D3117" t="s">
        <v>1022</v>
      </c>
      <c r="E3117" t="s">
        <v>21</v>
      </c>
      <c r="F3117" t="s">
        <v>56</v>
      </c>
      <c r="G3117" t="s">
        <v>153</v>
      </c>
      <c r="H3117">
        <v>3</v>
      </c>
      <c r="I3117" s="3">
        <v>71.13</v>
      </c>
      <c r="J3117" t="s">
        <v>16</v>
      </c>
      <c r="K3117" t="s">
        <v>17</v>
      </c>
      <c r="L3117" s="4">
        <f>Table4[[#This Row],[quantity]]*Table4[[#This Row],[unit_price]]</f>
        <v>213.39</v>
      </c>
      <c r="M3117">
        <f>COUNTIFS($C$2:$C$3934,Table4[[#This Row],[customer_id]])</f>
        <v>6</v>
      </c>
      <c r="N3117" t="str">
        <f>IF(Table4[[#This Row],[customer_order_count]]=1,"New Customer","Repeat Customer")</f>
        <v>Repeat Customer</v>
      </c>
    </row>
    <row r="3118" spans="1:14">
      <c r="A3118" t="s">
        <v>3762</v>
      </c>
      <c r="B3118" s="1">
        <v>44963</v>
      </c>
      <c r="C3118" t="s">
        <v>2180</v>
      </c>
      <c r="D3118" t="s">
        <v>435</v>
      </c>
      <c r="E3118" t="s">
        <v>61</v>
      </c>
      <c r="F3118" t="s">
        <v>79</v>
      </c>
      <c r="G3118" t="s">
        <v>230</v>
      </c>
      <c r="H3118">
        <v>1</v>
      </c>
      <c r="I3118" s="3">
        <v>71.14</v>
      </c>
      <c r="J3118" t="s">
        <v>16</v>
      </c>
      <c r="K3118" t="s">
        <v>30</v>
      </c>
      <c r="L3118" s="4">
        <f>Table4[[#This Row],[quantity]]*Table4[[#This Row],[unit_price]]</f>
        <v>71.14</v>
      </c>
      <c r="M3118">
        <f>COUNTIFS($C$2:$C$3934,Table4[[#This Row],[customer_id]])</f>
        <v>2</v>
      </c>
      <c r="N3118" t="str">
        <f>IF(Table4[[#This Row],[customer_order_count]]=1,"New Customer","Repeat Customer")</f>
        <v>Repeat Customer</v>
      </c>
    </row>
    <row r="3119" spans="1:14">
      <c r="A3119" t="s">
        <v>3184</v>
      </c>
      <c r="B3119" s="1">
        <v>44978</v>
      </c>
      <c r="C3119" t="s">
        <v>1747</v>
      </c>
      <c r="D3119" t="s">
        <v>1748</v>
      </c>
      <c r="E3119" t="s">
        <v>21</v>
      </c>
      <c r="F3119" t="s">
        <v>14</v>
      </c>
      <c r="G3119" t="s">
        <v>258</v>
      </c>
      <c r="H3119">
        <v>2</v>
      </c>
      <c r="I3119" s="3">
        <v>71.17</v>
      </c>
      <c r="J3119" t="s">
        <v>16</v>
      </c>
      <c r="K3119" t="s">
        <v>40</v>
      </c>
      <c r="L3119" s="4">
        <f>Table4[[#This Row],[quantity]]*Table4[[#This Row],[unit_price]]</f>
        <v>142.34</v>
      </c>
      <c r="M3119">
        <f>COUNTIFS($C$2:$C$3934,Table4[[#This Row],[customer_id]])</f>
        <v>8</v>
      </c>
      <c r="N3119" t="str">
        <f>IF(Table4[[#This Row],[customer_order_count]]=1,"New Customer","Repeat Customer")</f>
        <v>Repeat Customer</v>
      </c>
    </row>
    <row r="3120" spans="1:14">
      <c r="A3120" t="s">
        <v>3571</v>
      </c>
      <c r="B3120" s="1">
        <v>45067</v>
      </c>
      <c r="C3120" t="s">
        <v>563</v>
      </c>
      <c r="D3120" t="s">
        <v>203</v>
      </c>
      <c r="E3120" t="s">
        <v>21</v>
      </c>
      <c r="F3120" t="s">
        <v>56</v>
      </c>
      <c r="G3120" t="s">
        <v>118</v>
      </c>
      <c r="H3120">
        <v>2</v>
      </c>
      <c r="I3120" s="3">
        <v>71.19</v>
      </c>
      <c r="J3120" t="s">
        <v>24</v>
      </c>
      <c r="K3120" t="s">
        <v>17</v>
      </c>
      <c r="L3120" s="4">
        <f>Table4[[#This Row],[quantity]]*Table4[[#This Row],[unit_price]]</f>
        <v>142.38</v>
      </c>
      <c r="M3120">
        <f>COUNTIFS($C$2:$C$3934,Table4[[#This Row],[customer_id]])</f>
        <v>6</v>
      </c>
      <c r="N3120" t="str">
        <f>IF(Table4[[#This Row],[customer_order_count]]=1,"New Customer","Repeat Customer")</f>
        <v>Repeat Customer</v>
      </c>
    </row>
    <row r="3121" spans="1:14">
      <c r="A3121" t="s">
        <v>2863</v>
      </c>
      <c r="B3121" s="1">
        <v>45566</v>
      </c>
      <c r="C3121" t="s">
        <v>2439</v>
      </c>
      <c r="D3121" t="s">
        <v>2152</v>
      </c>
      <c r="E3121" t="s">
        <v>21</v>
      </c>
      <c r="F3121" t="s">
        <v>79</v>
      </c>
      <c r="G3121" t="s">
        <v>398</v>
      </c>
      <c r="H3121">
        <v>1</v>
      </c>
      <c r="I3121" s="3">
        <v>71.290000000000006</v>
      </c>
      <c r="J3121" t="s">
        <v>16</v>
      </c>
      <c r="K3121" t="s">
        <v>17</v>
      </c>
      <c r="L3121" s="4">
        <f>Table4[[#This Row],[quantity]]*Table4[[#This Row],[unit_price]]</f>
        <v>71.290000000000006</v>
      </c>
      <c r="M3121">
        <f>COUNTIFS($C$2:$C$3934,Table4[[#This Row],[customer_id]])</f>
        <v>3</v>
      </c>
      <c r="N3121" t="str">
        <f>IF(Table4[[#This Row],[customer_order_count]]=1,"New Customer","Repeat Customer")</f>
        <v>Repeat Customer</v>
      </c>
    </row>
    <row r="3122" spans="1:14">
      <c r="A3122" t="s">
        <v>4779</v>
      </c>
      <c r="B3122" s="1">
        <v>45603</v>
      </c>
      <c r="C3122" t="s">
        <v>1447</v>
      </c>
      <c r="D3122" t="s">
        <v>55</v>
      </c>
      <c r="E3122" t="s">
        <v>21</v>
      </c>
      <c r="F3122" t="s">
        <v>70</v>
      </c>
      <c r="G3122" t="s">
        <v>89</v>
      </c>
      <c r="H3122">
        <v>1</v>
      </c>
      <c r="I3122" s="3">
        <v>71.290000000000006</v>
      </c>
      <c r="J3122" t="s">
        <v>16</v>
      </c>
      <c r="K3122" t="s">
        <v>40</v>
      </c>
      <c r="L3122" s="4">
        <f>Table4[[#This Row],[quantity]]*Table4[[#This Row],[unit_price]]</f>
        <v>71.290000000000006</v>
      </c>
      <c r="M3122">
        <f>COUNTIFS($C$2:$C$3934,Table4[[#This Row],[customer_id]])</f>
        <v>7</v>
      </c>
      <c r="N3122" t="str">
        <f>IF(Table4[[#This Row],[customer_order_count]]=1,"New Customer","Repeat Customer")</f>
        <v>Repeat Customer</v>
      </c>
    </row>
    <row r="3123" spans="1:14">
      <c r="A3123" t="s">
        <v>4502</v>
      </c>
      <c r="B3123" s="1">
        <v>45021</v>
      </c>
      <c r="C3123" t="s">
        <v>1240</v>
      </c>
      <c r="D3123" t="s">
        <v>1241</v>
      </c>
      <c r="E3123" t="s">
        <v>21</v>
      </c>
      <c r="F3123" t="s">
        <v>79</v>
      </c>
      <c r="G3123" t="s">
        <v>166</v>
      </c>
      <c r="H3123">
        <v>1</v>
      </c>
      <c r="I3123" s="3">
        <v>71.3</v>
      </c>
      <c r="J3123" t="s">
        <v>24</v>
      </c>
      <c r="K3123" t="s">
        <v>35</v>
      </c>
      <c r="L3123" s="4">
        <f>Table4[[#This Row],[quantity]]*Table4[[#This Row],[unit_price]]</f>
        <v>71.3</v>
      </c>
      <c r="M3123">
        <f>COUNTIFS($C$2:$C$3934,Table4[[#This Row],[customer_id]])</f>
        <v>12</v>
      </c>
      <c r="N3123" t="str">
        <f>IF(Table4[[#This Row],[customer_order_count]]=1,"New Customer","Repeat Customer")</f>
        <v>Repeat Customer</v>
      </c>
    </row>
    <row r="3124" spans="1:14">
      <c r="A3124" t="s">
        <v>3204</v>
      </c>
      <c r="B3124" s="1">
        <v>45223</v>
      </c>
      <c r="C3124" t="s">
        <v>1401</v>
      </c>
      <c r="D3124" t="s">
        <v>1402</v>
      </c>
      <c r="E3124" t="s">
        <v>21</v>
      </c>
      <c r="F3124" t="s">
        <v>70</v>
      </c>
      <c r="G3124" t="s">
        <v>526</v>
      </c>
      <c r="H3124">
        <v>2</v>
      </c>
      <c r="I3124" s="3">
        <v>71.349999999999994</v>
      </c>
      <c r="J3124" t="s">
        <v>16</v>
      </c>
      <c r="K3124" t="s">
        <v>35</v>
      </c>
      <c r="L3124" s="4">
        <f>Table4[[#This Row],[quantity]]*Table4[[#This Row],[unit_price]]</f>
        <v>142.69999999999999</v>
      </c>
      <c r="M3124">
        <f>COUNTIFS($C$2:$C$3934,Table4[[#This Row],[customer_id]])</f>
        <v>3</v>
      </c>
      <c r="N3124" t="str">
        <f>IF(Table4[[#This Row],[customer_order_count]]=1,"New Customer","Repeat Customer")</f>
        <v>Repeat Customer</v>
      </c>
    </row>
    <row r="3125" spans="1:14">
      <c r="A3125" t="s">
        <v>2133</v>
      </c>
      <c r="B3125" s="1">
        <v>45590</v>
      </c>
      <c r="C3125" t="s">
        <v>937</v>
      </c>
      <c r="D3125" t="s">
        <v>566</v>
      </c>
      <c r="E3125" t="s">
        <v>21</v>
      </c>
      <c r="F3125" t="s">
        <v>70</v>
      </c>
      <c r="G3125" t="s">
        <v>110</v>
      </c>
      <c r="H3125">
        <v>1</v>
      </c>
      <c r="I3125" s="3">
        <v>71.39</v>
      </c>
      <c r="J3125" t="s">
        <v>16</v>
      </c>
      <c r="K3125" t="s">
        <v>17</v>
      </c>
      <c r="L3125" s="4">
        <f>Table4[[#This Row],[quantity]]*Table4[[#This Row],[unit_price]]</f>
        <v>71.39</v>
      </c>
      <c r="M3125">
        <f>COUNTIFS($C$2:$C$3934,Table4[[#This Row],[customer_id]])</f>
        <v>7</v>
      </c>
      <c r="N3125" t="str">
        <f>IF(Table4[[#This Row],[customer_order_count]]=1,"New Customer","Repeat Customer")</f>
        <v>Repeat Customer</v>
      </c>
    </row>
    <row r="3126" spans="1:14">
      <c r="A3126" t="s">
        <v>4145</v>
      </c>
      <c r="B3126" s="1">
        <v>45469</v>
      </c>
      <c r="C3126" t="s">
        <v>3063</v>
      </c>
      <c r="D3126" t="s">
        <v>659</v>
      </c>
      <c r="E3126" t="s">
        <v>21</v>
      </c>
      <c r="F3126" t="s">
        <v>56</v>
      </c>
      <c r="G3126" t="s">
        <v>422</v>
      </c>
      <c r="H3126">
        <v>1</v>
      </c>
      <c r="I3126" s="3">
        <v>71.400000000000006</v>
      </c>
      <c r="J3126" t="s">
        <v>16</v>
      </c>
      <c r="K3126" t="s">
        <v>35</v>
      </c>
      <c r="L3126" s="4">
        <f>Table4[[#This Row],[quantity]]*Table4[[#This Row],[unit_price]]</f>
        <v>71.400000000000006</v>
      </c>
      <c r="M3126">
        <f>COUNTIFS($C$2:$C$3934,Table4[[#This Row],[customer_id]])</f>
        <v>5</v>
      </c>
      <c r="N3126" t="str">
        <f>IF(Table4[[#This Row],[customer_order_count]]=1,"New Customer","Repeat Customer")</f>
        <v>Repeat Customer</v>
      </c>
    </row>
    <row r="3127" spans="1:14">
      <c r="A3127" t="s">
        <v>3257</v>
      </c>
      <c r="B3127" s="1">
        <v>45606</v>
      </c>
      <c r="C3127" t="s">
        <v>2139</v>
      </c>
      <c r="D3127" t="s">
        <v>2140</v>
      </c>
      <c r="E3127" t="s">
        <v>21</v>
      </c>
      <c r="F3127" t="s">
        <v>14</v>
      </c>
      <c r="G3127" t="s">
        <v>34</v>
      </c>
      <c r="H3127">
        <v>2</v>
      </c>
      <c r="I3127" s="3">
        <v>71.489999999999995</v>
      </c>
      <c r="J3127" t="s">
        <v>16</v>
      </c>
      <c r="K3127" t="s">
        <v>17</v>
      </c>
      <c r="L3127" s="4">
        <f>Table4[[#This Row],[quantity]]*Table4[[#This Row],[unit_price]]</f>
        <v>142.97999999999999</v>
      </c>
      <c r="M3127">
        <f>COUNTIFS($C$2:$C$3934,Table4[[#This Row],[customer_id]])</f>
        <v>6</v>
      </c>
      <c r="N3127" t="str">
        <f>IF(Table4[[#This Row],[customer_order_count]]=1,"New Customer","Repeat Customer")</f>
        <v>Repeat Customer</v>
      </c>
    </row>
    <row r="3128" spans="1:14">
      <c r="A3128" t="s">
        <v>4493</v>
      </c>
      <c r="B3128" s="1">
        <v>45409</v>
      </c>
      <c r="C3128" t="s">
        <v>87</v>
      </c>
      <c r="D3128" t="s">
        <v>88</v>
      </c>
      <c r="E3128" t="s">
        <v>21</v>
      </c>
      <c r="F3128" t="s">
        <v>56</v>
      </c>
      <c r="G3128" t="s">
        <v>75</v>
      </c>
      <c r="H3128">
        <v>1</v>
      </c>
      <c r="I3128" s="3">
        <v>71.63</v>
      </c>
      <c r="J3128" t="s">
        <v>16</v>
      </c>
      <c r="K3128" t="s">
        <v>17</v>
      </c>
      <c r="L3128" s="4">
        <f>Table4[[#This Row],[quantity]]*Table4[[#This Row],[unit_price]]</f>
        <v>71.63</v>
      </c>
      <c r="M3128">
        <f>COUNTIFS($C$2:$C$3934,Table4[[#This Row],[customer_id]])</f>
        <v>4</v>
      </c>
      <c r="N3128" t="str">
        <f>IF(Table4[[#This Row],[customer_order_count]]=1,"New Customer","Repeat Customer")</f>
        <v>Repeat Customer</v>
      </c>
    </row>
    <row r="3129" spans="1:14">
      <c r="A3129" t="s">
        <v>433</v>
      </c>
      <c r="B3129" s="1">
        <v>44957</v>
      </c>
      <c r="C3129" t="s">
        <v>434</v>
      </c>
      <c r="D3129" t="s">
        <v>435</v>
      </c>
      <c r="E3129" t="s">
        <v>21</v>
      </c>
      <c r="F3129" t="s">
        <v>14</v>
      </c>
      <c r="G3129" t="s">
        <v>15</v>
      </c>
      <c r="H3129">
        <v>2</v>
      </c>
      <c r="I3129" s="3">
        <v>71.66</v>
      </c>
      <c r="J3129" t="s">
        <v>16</v>
      </c>
      <c r="K3129" t="s">
        <v>17</v>
      </c>
      <c r="L3129" s="4">
        <f>Table4[[#This Row],[quantity]]*Table4[[#This Row],[unit_price]]</f>
        <v>143.32</v>
      </c>
      <c r="M3129">
        <f>COUNTIFS($C$2:$C$3934,Table4[[#This Row],[customer_id]])</f>
        <v>5</v>
      </c>
      <c r="N3129" t="str">
        <f>IF(Table4[[#This Row],[customer_order_count]]=1,"New Customer","Repeat Customer")</f>
        <v>Repeat Customer</v>
      </c>
    </row>
    <row r="3130" spans="1:14">
      <c r="A3130" t="s">
        <v>3376</v>
      </c>
      <c r="B3130" s="1">
        <v>45596</v>
      </c>
      <c r="C3130" t="s">
        <v>3377</v>
      </c>
      <c r="D3130" t="s">
        <v>1804</v>
      </c>
      <c r="E3130" t="s">
        <v>44</v>
      </c>
      <c r="F3130" t="s">
        <v>14</v>
      </c>
      <c r="G3130" t="s">
        <v>100</v>
      </c>
      <c r="H3130">
        <v>1</v>
      </c>
      <c r="I3130" s="3">
        <v>71.77</v>
      </c>
      <c r="J3130" t="s">
        <v>16</v>
      </c>
      <c r="K3130" t="s">
        <v>40</v>
      </c>
      <c r="L3130" s="4">
        <f>Table4[[#This Row],[quantity]]*Table4[[#This Row],[unit_price]]</f>
        <v>71.77</v>
      </c>
      <c r="M3130">
        <f>COUNTIFS($C$2:$C$3934,Table4[[#This Row],[customer_id]])</f>
        <v>2</v>
      </c>
      <c r="N3130" t="str">
        <f>IF(Table4[[#This Row],[customer_order_count]]=1,"New Customer","Repeat Customer")</f>
        <v>Repeat Customer</v>
      </c>
    </row>
    <row r="3131" spans="1:14">
      <c r="A3131" t="s">
        <v>4040</v>
      </c>
      <c r="B3131" s="1">
        <v>45205</v>
      </c>
      <c r="C3131" t="s">
        <v>317</v>
      </c>
      <c r="D3131" t="s">
        <v>318</v>
      </c>
      <c r="E3131" t="s">
        <v>44</v>
      </c>
      <c r="F3131" t="s">
        <v>70</v>
      </c>
      <c r="G3131" t="s">
        <v>89</v>
      </c>
      <c r="H3131">
        <v>1</v>
      </c>
      <c r="I3131" s="3">
        <v>71.81</v>
      </c>
      <c r="J3131" t="s">
        <v>16</v>
      </c>
      <c r="K3131" t="s">
        <v>35</v>
      </c>
      <c r="L3131" s="4">
        <f>Table4[[#This Row],[quantity]]*Table4[[#This Row],[unit_price]]</f>
        <v>71.81</v>
      </c>
      <c r="M3131">
        <f>COUNTIFS($C$2:$C$3934,Table4[[#This Row],[customer_id]])</f>
        <v>5</v>
      </c>
      <c r="N3131" t="str">
        <f>IF(Table4[[#This Row],[customer_order_count]]=1,"New Customer","Repeat Customer")</f>
        <v>Repeat Customer</v>
      </c>
    </row>
    <row r="3132" spans="1:14">
      <c r="A3132" t="s">
        <v>2385</v>
      </c>
      <c r="B3132" s="1">
        <v>45475</v>
      </c>
      <c r="C3132" t="s">
        <v>175</v>
      </c>
      <c r="D3132" t="s">
        <v>105</v>
      </c>
      <c r="E3132" t="s">
        <v>44</v>
      </c>
      <c r="F3132" t="s">
        <v>70</v>
      </c>
      <c r="G3132" t="s">
        <v>110</v>
      </c>
      <c r="H3132">
        <v>1</v>
      </c>
      <c r="I3132" s="3">
        <v>71.89</v>
      </c>
      <c r="J3132" t="s">
        <v>16</v>
      </c>
      <c r="K3132" t="s">
        <v>30</v>
      </c>
      <c r="L3132" s="4">
        <f>Table4[[#This Row],[quantity]]*Table4[[#This Row],[unit_price]]</f>
        <v>71.89</v>
      </c>
      <c r="M3132">
        <f>COUNTIFS($C$2:$C$3934,Table4[[#This Row],[customer_id]])</f>
        <v>4</v>
      </c>
      <c r="N3132" t="str">
        <f>IF(Table4[[#This Row],[customer_order_count]]=1,"New Customer","Repeat Customer")</f>
        <v>Repeat Customer</v>
      </c>
    </row>
    <row r="3133" spans="1:14">
      <c r="A3133" t="s">
        <v>1805</v>
      </c>
      <c r="B3133" s="1">
        <v>45579</v>
      </c>
      <c r="C3133" t="s">
        <v>1047</v>
      </c>
      <c r="D3133" t="s">
        <v>627</v>
      </c>
      <c r="E3133" t="s">
        <v>21</v>
      </c>
      <c r="F3133" t="s">
        <v>79</v>
      </c>
      <c r="G3133" t="s">
        <v>200</v>
      </c>
      <c r="H3133">
        <v>2</v>
      </c>
      <c r="I3133" s="3">
        <v>71.94</v>
      </c>
      <c r="J3133" t="s">
        <v>16</v>
      </c>
      <c r="K3133" t="s">
        <v>17</v>
      </c>
      <c r="L3133" s="4">
        <f>Table4[[#This Row],[quantity]]*Table4[[#This Row],[unit_price]]</f>
        <v>143.88</v>
      </c>
      <c r="M3133">
        <f>COUNTIFS($C$2:$C$3934,Table4[[#This Row],[customer_id]])</f>
        <v>4</v>
      </c>
      <c r="N3133" t="str">
        <f>IF(Table4[[#This Row],[customer_order_count]]=1,"New Customer","Repeat Customer")</f>
        <v>Repeat Customer</v>
      </c>
    </row>
    <row r="3134" spans="1:14">
      <c r="A3134" t="s">
        <v>5178</v>
      </c>
      <c r="B3134" s="1">
        <v>45194</v>
      </c>
      <c r="C3134" t="s">
        <v>2010</v>
      </c>
      <c r="D3134" t="s">
        <v>372</v>
      </c>
      <c r="E3134" t="s">
        <v>44</v>
      </c>
      <c r="F3134" t="s">
        <v>14</v>
      </c>
      <c r="G3134" t="s">
        <v>15</v>
      </c>
      <c r="H3134">
        <v>2</v>
      </c>
      <c r="I3134" s="3">
        <v>71.94</v>
      </c>
      <c r="J3134" t="s">
        <v>16</v>
      </c>
      <c r="K3134" t="s">
        <v>17</v>
      </c>
      <c r="L3134" s="4">
        <f>Table4[[#This Row],[quantity]]*Table4[[#This Row],[unit_price]]</f>
        <v>143.88</v>
      </c>
      <c r="M3134">
        <f>COUNTIFS($C$2:$C$3934,Table4[[#This Row],[customer_id]])</f>
        <v>5</v>
      </c>
      <c r="N3134" t="str">
        <f>IF(Table4[[#This Row],[customer_order_count]]=1,"New Customer","Repeat Customer")</f>
        <v>Repeat Customer</v>
      </c>
    </row>
    <row r="3135" spans="1:14">
      <c r="A3135" t="s">
        <v>4881</v>
      </c>
      <c r="B3135" s="1">
        <v>45491</v>
      </c>
      <c r="C3135" t="s">
        <v>1513</v>
      </c>
      <c r="D3135" t="s">
        <v>1514</v>
      </c>
      <c r="E3135" t="s">
        <v>21</v>
      </c>
      <c r="F3135" t="s">
        <v>56</v>
      </c>
      <c r="G3135" t="s">
        <v>153</v>
      </c>
      <c r="H3135">
        <v>1</v>
      </c>
      <c r="I3135" s="3">
        <v>72.010000000000005</v>
      </c>
      <c r="J3135" t="s">
        <v>24</v>
      </c>
      <c r="K3135" s="2" t="s">
        <v>5256</v>
      </c>
      <c r="L3135" s="4">
        <f>Table4[[#This Row],[quantity]]*Table4[[#This Row],[unit_price]]</f>
        <v>72.010000000000005</v>
      </c>
      <c r="M3135">
        <f>COUNTIFS($C$2:$C$3934,Table4[[#This Row],[customer_id]])</f>
        <v>5</v>
      </c>
      <c r="N3135" t="str">
        <f>IF(Table4[[#This Row],[customer_order_count]]=1,"New Customer","Repeat Customer")</f>
        <v>Repeat Customer</v>
      </c>
    </row>
    <row r="3136" spans="1:14">
      <c r="A3136" t="s">
        <v>1970</v>
      </c>
      <c r="B3136" s="1">
        <v>45087</v>
      </c>
      <c r="C3136" t="s">
        <v>1708</v>
      </c>
      <c r="D3136" t="s">
        <v>127</v>
      </c>
      <c r="E3136" t="s">
        <v>21</v>
      </c>
      <c r="F3136" t="s">
        <v>70</v>
      </c>
      <c r="G3136" t="s">
        <v>89</v>
      </c>
      <c r="H3136">
        <v>1</v>
      </c>
      <c r="I3136" s="3">
        <v>72.069999999999993</v>
      </c>
      <c r="J3136" t="s">
        <v>16</v>
      </c>
      <c r="K3136" s="5" t="s">
        <v>40</v>
      </c>
      <c r="L3136" s="4">
        <f>Table4[[#This Row],[quantity]]*Table4[[#This Row],[unit_price]]</f>
        <v>72.069999999999993</v>
      </c>
      <c r="M3136">
        <f>COUNTIFS($C$2:$C$3934,Table4[[#This Row],[customer_id]])</f>
        <v>9</v>
      </c>
      <c r="N3136" t="str">
        <f>IF(Table4[[#This Row],[customer_order_count]]=1,"New Customer","Repeat Customer")</f>
        <v>Repeat Customer</v>
      </c>
    </row>
    <row r="3137" spans="1:14">
      <c r="A3137" t="s">
        <v>4673</v>
      </c>
      <c r="B3137" s="1">
        <v>45388</v>
      </c>
      <c r="C3137" t="s">
        <v>243</v>
      </c>
      <c r="D3137" t="s">
        <v>244</v>
      </c>
      <c r="E3137" t="s">
        <v>21</v>
      </c>
      <c r="F3137" t="s">
        <v>70</v>
      </c>
      <c r="G3137" t="s">
        <v>146</v>
      </c>
      <c r="H3137">
        <v>1</v>
      </c>
      <c r="I3137" s="3">
        <v>72.08</v>
      </c>
      <c r="J3137" t="s">
        <v>85</v>
      </c>
      <c r="K3137" t="s">
        <v>17</v>
      </c>
      <c r="L3137" s="4">
        <f>Table4[[#This Row],[quantity]]*Table4[[#This Row],[unit_price]]</f>
        <v>72.08</v>
      </c>
      <c r="M3137">
        <f>COUNTIFS($C$2:$C$3934,Table4[[#This Row],[customer_id]])</f>
        <v>8</v>
      </c>
      <c r="N3137" t="str">
        <f>IF(Table4[[#This Row],[customer_order_count]]=1,"New Customer","Repeat Customer")</f>
        <v>Repeat Customer</v>
      </c>
    </row>
    <row r="3138" spans="1:14">
      <c r="A3138" t="s">
        <v>2030</v>
      </c>
      <c r="B3138" s="1">
        <v>45345</v>
      </c>
      <c r="C3138" t="s">
        <v>434</v>
      </c>
      <c r="D3138" t="s">
        <v>435</v>
      </c>
      <c r="E3138" t="s">
        <v>21</v>
      </c>
      <c r="F3138" t="s">
        <v>79</v>
      </c>
      <c r="G3138" t="s">
        <v>166</v>
      </c>
      <c r="H3138">
        <v>1</v>
      </c>
      <c r="I3138" s="3">
        <v>72.099999999999994</v>
      </c>
      <c r="J3138" t="s">
        <v>16</v>
      </c>
      <c r="K3138" t="s">
        <v>30</v>
      </c>
      <c r="L3138" s="4">
        <f>Table4[[#This Row],[quantity]]*Table4[[#This Row],[unit_price]]</f>
        <v>72.099999999999994</v>
      </c>
      <c r="M3138">
        <f>COUNTIFS($C$2:$C$3934,Table4[[#This Row],[customer_id]])</f>
        <v>5</v>
      </c>
      <c r="N3138" t="str">
        <f>IF(Table4[[#This Row],[customer_order_count]]=1,"New Customer","Repeat Customer")</f>
        <v>Repeat Customer</v>
      </c>
    </row>
    <row r="3139" spans="1:14">
      <c r="A3139" t="s">
        <v>4931</v>
      </c>
      <c r="B3139" s="1">
        <v>45616</v>
      </c>
      <c r="C3139" t="s">
        <v>1993</v>
      </c>
      <c r="D3139" t="s">
        <v>289</v>
      </c>
      <c r="E3139" t="s">
        <v>44</v>
      </c>
      <c r="F3139" t="s">
        <v>79</v>
      </c>
      <c r="G3139" t="s">
        <v>398</v>
      </c>
      <c r="H3139">
        <v>1</v>
      </c>
      <c r="I3139" s="3">
        <v>72.13</v>
      </c>
      <c r="J3139" t="s">
        <v>16</v>
      </c>
      <c r="K3139" t="s">
        <v>35</v>
      </c>
      <c r="L3139" s="4">
        <f>Table4[[#This Row],[quantity]]*Table4[[#This Row],[unit_price]]</f>
        <v>72.13</v>
      </c>
      <c r="M3139">
        <f>COUNTIFS($C$2:$C$3934,Table4[[#This Row],[customer_id]])</f>
        <v>3</v>
      </c>
      <c r="N3139" t="str">
        <f>IF(Table4[[#This Row],[customer_order_count]]=1,"New Customer","Repeat Customer")</f>
        <v>Repeat Customer</v>
      </c>
    </row>
    <row r="3140" spans="1:14">
      <c r="A3140" t="s">
        <v>4349</v>
      </c>
      <c r="B3140" s="1">
        <v>45371</v>
      </c>
      <c r="C3140" t="s">
        <v>3665</v>
      </c>
      <c r="D3140" t="s">
        <v>3666</v>
      </c>
      <c r="E3140" t="s">
        <v>21</v>
      </c>
      <c r="F3140" t="s">
        <v>56</v>
      </c>
      <c r="G3140" t="s">
        <v>153</v>
      </c>
      <c r="H3140">
        <v>1</v>
      </c>
      <c r="I3140" s="3">
        <v>72.209999999999994</v>
      </c>
      <c r="J3140" t="s">
        <v>16</v>
      </c>
      <c r="K3140" t="s">
        <v>40</v>
      </c>
      <c r="L3140" s="4">
        <f>Table4[[#This Row],[quantity]]*Table4[[#This Row],[unit_price]]</f>
        <v>72.209999999999994</v>
      </c>
      <c r="M3140">
        <f>COUNTIFS($C$2:$C$3934,Table4[[#This Row],[customer_id]])</f>
        <v>4</v>
      </c>
      <c r="N3140" t="str">
        <f>IF(Table4[[#This Row],[customer_order_count]]=1,"New Customer","Repeat Customer")</f>
        <v>Repeat Customer</v>
      </c>
    </row>
    <row r="3141" spans="1:14">
      <c r="A3141" t="s">
        <v>3212</v>
      </c>
      <c r="B3141" s="1">
        <v>45173</v>
      </c>
      <c r="C3141" t="s">
        <v>572</v>
      </c>
      <c r="D3141" t="s">
        <v>573</v>
      </c>
      <c r="E3141" t="s">
        <v>21</v>
      </c>
      <c r="F3141" t="s">
        <v>70</v>
      </c>
      <c r="G3141" t="s">
        <v>170</v>
      </c>
      <c r="H3141">
        <v>1</v>
      </c>
      <c r="I3141" s="3">
        <v>72.349999999999994</v>
      </c>
      <c r="J3141" t="s">
        <v>16</v>
      </c>
      <c r="K3141" t="s">
        <v>40</v>
      </c>
      <c r="L3141" s="4">
        <f>Table4[[#This Row],[quantity]]*Table4[[#This Row],[unit_price]]</f>
        <v>72.349999999999994</v>
      </c>
      <c r="M3141">
        <f>COUNTIFS($C$2:$C$3934,Table4[[#This Row],[customer_id]])</f>
        <v>5</v>
      </c>
      <c r="N3141" t="str">
        <f>IF(Table4[[#This Row],[customer_order_count]]=1,"New Customer","Repeat Customer")</f>
        <v>Repeat Customer</v>
      </c>
    </row>
    <row r="3142" spans="1:14">
      <c r="A3142" t="s">
        <v>3802</v>
      </c>
      <c r="B3142" s="1">
        <v>45233</v>
      </c>
      <c r="C3142" t="s">
        <v>3803</v>
      </c>
      <c r="D3142" t="s">
        <v>1464</v>
      </c>
      <c r="E3142" t="s">
        <v>21</v>
      </c>
      <c r="F3142" t="s">
        <v>70</v>
      </c>
      <c r="G3142" t="s">
        <v>526</v>
      </c>
      <c r="H3142">
        <v>3</v>
      </c>
      <c r="I3142" s="3">
        <v>72.349999999999994</v>
      </c>
      <c r="J3142" t="s">
        <v>16</v>
      </c>
      <c r="K3142" t="s">
        <v>35</v>
      </c>
      <c r="L3142" s="4">
        <f>Table4[[#This Row],[quantity]]*Table4[[#This Row],[unit_price]]</f>
        <v>217.04999999999998</v>
      </c>
      <c r="M3142">
        <f>COUNTIFS($C$2:$C$3934,Table4[[#This Row],[customer_id]])</f>
        <v>2</v>
      </c>
      <c r="N3142" t="str">
        <f>IF(Table4[[#This Row],[customer_order_count]]=1,"New Customer","Repeat Customer")</f>
        <v>Repeat Customer</v>
      </c>
    </row>
    <row r="3143" spans="1:14">
      <c r="A3143" t="s">
        <v>1547</v>
      </c>
      <c r="B3143" s="1">
        <v>45048</v>
      </c>
      <c r="C3143" t="s">
        <v>1012</v>
      </c>
      <c r="D3143" t="s">
        <v>372</v>
      </c>
      <c r="E3143" t="s">
        <v>21</v>
      </c>
      <c r="F3143" t="s">
        <v>56</v>
      </c>
      <c r="G3143" t="s">
        <v>254</v>
      </c>
      <c r="H3143">
        <v>1</v>
      </c>
      <c r="I3143" s="3">
        <v>72.37</v>
      </c>
      <c r="J3143" t="s">
        <v>16</v>
      </c>
      <c r="K3143" t="s">
        <v>35</v>
      </c>
      <c r="L3143" s="4">
        <f>Table4[[#This Row],[quantity]]*Table4[[#This Row],[unit_price]]</f>
        <v>72.37</v>
      </c>
      <c r="M3143">
        <f>COUNTIFS($C$2:$C$3934,Table4[[#This Row],[customer_id]])</f>
        <v>6</v>
      </c>
      <c r="N3143" t="str">
        <f>IF(Table4[[#This Row],[customer_order_count]]=1,"New Customer","Repeat Customer")</f>
        <v>Repeat Customer</v>
      </c>
    </row>
    <row r="3144" spans="1:14">
      <c r="A3144" t="s">
        <v>4166</v>
      </c>
      <c r="B3144" s="1">
        <v>45406</v>
      </c>
      <c r="C3144" t="s">
        <v>379</v>
      </c>
      <c r="D3144" t="s">
        <v>380</v>
      </c>
      <c r="E3144" t="s">
        <v>44</v>
      </c>
      <c r="F3144" t="s">
        <v>70</v>
      </c>
      <c r="G3144" t="s">
        <v>71</v>
      </c>
      <c r="H3144">
        <v>2</v>
      </c>
      <c r="I3144" s="3">
        <v>72.38</v>
      </c>
      <c r="J3144" t="s">
        <v>16</v>
      </c>
      <c r="K3144" t="s">
        <v>35</v>
      </c>
      <c r="L3144" s="4">
        <f>Table4[[#This Row],[quantity]]*Table4[[#This Row],[unit_price]]</f>
        <v>144.76</v>
      </c>
      <c r="M3144">
        <f>COUNTIFS($C$2:$C$3934,Table4[[#This Row],[customer_id]])</f>
        <v>7</v>
      </c>
      <c r="N3144" t="str">
        <f>IF(Table4[[#This Row],[customer_order_count]]=1,"New Customer","Repeat Customer")</f>
        <v>Repeat Customer</v>
      </c>
    </row>
    <row r="3145" spans="1:14">
      <c r="A3145" t="s">
        <v>129</v>
      </c>
      <c r="B3145" s="1">
        <v>45124</v>
      </c>
      <c r="C3145" t="s">
        <v>130</v>
      </c>
      <c r="D3145" t="s">
        <v>131</v>
      </c>
      <c r="E3145" t="s">
        <v>21</v>
      </c>
      <c r="F3145" t="s">
        <v>14</v>
      </c>
      <c r="G3145" t="s">
        <v>34</v>
      </c>
      <c r="H3145">
        <v>1</v>
      </c>
      <c r="I3145" s="3">
        <v>72.430000000000007</v>
      </c>
      <c r="J3145" t="s">
        <v>85</v>
      </c>
      <c r="K3145" t="s">
        <v>40</v>
      </c>
      <c r="L3145" s="4">
        <f>Table4[[#This Row],[quantity]]*Table4[[#This Row],[unit_price]]</f>
        <v>72.430000000000007</v>
      </c>
      <c r="M3145">
        <f>COUNTIFS($C$2:$C$3934,Table4[[#This Row],[customer_id]])</f>
        <v>4</v>
      </c>
      <c r="N3145" t="str">
        <f>IF(Table4[[#This Row],[customer_order_count]]=1,"New Customer","Repeat Customer")</f>
        <v>Repeat Customer</v>
      </c>
    </row>
    <row r="3146" spans="1:14">
      <c r="A3146" t="s">
        <v>3411</v>
      </c>
      <c r="B3146" s="1">
        <v>45205</v>
      </c>
      <c r="C3146" t="s">
        <v>3412</v>
      </c>
      <c r="D3146" t="s">
        <v>3413</v>
      </c>
      <c r="E3146" t="s">
        <v>21</v>
      </c>
      <c r="F3146" t="s">
        <v>56</v>
      </c>
      <c r="G3146" t="s">
        <v>422</v>
      </c>
      <c r="H3146">
        <v>1</v>
      </c>
      <c r="I3146" s="3">
        <v>72.55</v>
      </c>
      <c r="J3146" t="s">
        <v>16</v>
      </c>
      <c r="K3146" t="s">
        <v>35</v>
      </c>
      <c r="L3146" s="4">
        <f>Table4[[#This Row],[quantity]]*Table4[[#This Row],[unit_price]]</f>
        <v>72.55</v>
      </c>
      <c r="M3146">
        <f>COUNTIFS($C$2:$C$3934,Table4[[#This Row],[customer_id]])</f>
        <v>6</v>
      </c>
      <c r="N3146" t="str">
        <f>IF(Table4[[#This Row],[customer_order_count]]=1,"New Customer","Repeat Customer")</f>
        <v>Repeat Customer</v>
      </c>
    </row>
    <row r="3147" spans="1:14">
      <c r="A3147" t="s">
        <v>4085</v>
      </c>
      <c r="B3147" s="1">
        <v>45386</v>
      </c>
      <c r="C3147" t="s">
        <v>1881</v>
      </c>
      <c r="D3147" t="s">
        <v>491</v>
      </c>
      <c r="E3147" t="s">
        <v>21</v>
      </c>
      <c r="F3147" t="s">
        <v>70</v>
      </c>
      <c r="G3147" t="s">
        <v>337</v>
      </c>
      <c r="H3147">
        <v>2</v>
      </c>
      <c r="I3147" s="3">
        <v>72.56</v>
      </c>
      <c r="J3147" t="s">
        <v>16</v>
      </c>
      <c r="K3147" s="2" t="s">
        <v>5256</v>
      </c>
      <c r="L3147" s="4">
        <f>Table4[[#This Row],[quantity]]*Table4[[#This Row],[unit_price]]</f>
        <v>145.12</v>
      </c>
      <c r="M3147">
        <f>COUNTIFS($C$2:$C$3934,Table4[[#This Row],[customer_id]])</f>
        <v>4</v>
      </c>
      <c r="N3147" t="str">
        <f>IF(Table4[[#This Row],[customer_order_count]]=1,"New Customer","Repeat Customer")</f>
        <v>Repeat Customer</v>
      </c>
    </row>
    <row r="3148" spans="1:14">
      <c r="A3148" t="s">
        <v>4874</v>
      </c>
      <c r="B3148" s="1">
        <v>45243</v>
      </c>
      <c r="C3148" t="s">
        <v>2512</v>
      </c>
      <c r="D3148" t="s">
        <v>1310</v>
      </c>
      <c r="E3148" t="s">
        <v>44</v>
      </c>
      <c r="F3148" t="s">
        <v>70</v>
      </c>
      <c r="G3148" t="s">
        <v>170</v>
      </c>
      <c r="H3148">
        <v>1</v>
      </c>
      <c r="I3148" s="3">
        <v>72.61</v>
      </c>
      <c r="J3148" t="s">
        <v>16</v>
      </c>
      <c r="K3148" s="5" t="s">
        <v>17</v>
      </c>
      <c r="L3148" s="4">
        <f>Table4[[#This Row],[quantity]]*Table4[[#This Row],[unit_price]]</f>
        <v>72.61</v>
      </c>
      <c r="M3148">
        <f>COUNTIFS($C$2:$C$3934,Table4[[#This Row],[customer_id]])</f>
        <v>2</v>
      </c>
      <c r="N3148" t="str">
        <f>IF(Table4[[#This Row],[customer_order_count]]=1,"New Customer","Repeat Customer")</f>
        <v>Repeat Customer</v>
      </c>
    </row>
    <row r="3149" spans="1:14">
      <c r="A3149" t="s">
        <v>3312</v>
      </c>
      <c r="B3149" s="1">
        <v>45601</v>
      </c>
      <c r="C3149" t="s">
        <v>1309</v>
      </c>
      <c r="D3149" t="s">
        <v>1310</v>
      </c>
      <c r="E3149" t="s">
        <v>21</v>
      </c>
      <c r="F3149" t="s">
        <v>79</v>
      </c>
      <c r="G3149" t="s">
        <v>200</v>
      </c>
      <c r="H3149">
        <v>1</v>
      </c>
      <c r="I3149" s="3">
        <v>72.72</v>
      </c>
      <c r="J3149" t="s">
        <v>16</v>
      </c>
      <c r="K3149" t="s">
        <v>35</v>
      </c>
      <c r="L3149" s="4">
        <f>Table4[[#This Row],[quantity]]*Table4[[#This Row],[unit_price]]</f>
        <v>72.72</v>
      </c>
      <c r="M3149">
        <f>COUNTIFS($C$2:$C$3934,Table4[[#This Row],[customer_id]])</f>
        <v>5</v>
      </c>
      <c r="N3149" t="str">
        <f>IF(Table4[[#This Row],[customer_order_count]]=1,"New Customer","Repeat Customer")</f>
        <v>Repeat Customer</v>
      </c>
    </row>
    <row r="3150" spans="1:14">
      <c r="A3150" t="s">
        <v>4914</v>
      </c>
      <c r="B3150" s="1">
        <v>45538</v>
      </c>
      <c r="C3150" t="s">
        <v>1912</v>
      </c>
      <c r="D3150" t="s">
        <v>513</v>
      </c>
      <c r="E3150" t="s">
        <v>21</v>
      </c>
      <c r="F3150" t="s">
        <v>70</v>
      </c>
      <c r="G3150" t="s">
        <v>337</v>
      </c>
      <c r="H3150">
        <v>1</v>
      </c>
      <c r="I3150" s="3">
        <v>72.75</v>
      </c>
      <c r="J3150" t="s">
        <v>16</v>
      </c>
      <c r="K3150" t="s">
        <v>35</v>
      </c>
      <c r="L3150" s="4">
        <f>Table4[[#This Row],[quantity]]*Table4[[#This Row],[unit_price]]</f>
        <v>72.75</v>
      </c>
      <c r="M3150">
        <f>COUNTIFS($C$2:$C$3934,Table4[[#This Row],[customer_id]])</f>
        <v>3</v>
      </c>
      <c r="N3150" t="str">
        <f>IF(Table4[[#This Row],[customer_order_count]]=1,"New Customer","Repeat Customer")</f>
        <v>Repeat Customer</v>
      </c>
    </row>
    <row r="3151" spans="1:14">
      <c r="A3151" t="s">
        <v>1699</v>
      </c>
      <c r="B3151" s="1">
        <v>45069</v>
      </c>
      <c r="C3151" t="s">
        <v>342</v>
      </c>
      <c r="D3151" s="2" t="s">
        <v>5257</v>
      </c>
      <c r="E3151" t="s">
        <v>44</v>
      </c>
      <c r="F3151" t="s">
        <v>70</v>
      </c>
      <c r="G3151" t="s">
        <v>337</v>
      </c>
      <c r="H3151">
        <v>1</v>
      </c>
      <c r="I3151" s="3">
        <v>72.75</v>
      </c>
      <c r="J3151" t="s">
        <v>16</v>
      </c>
      <c r="K3151" t="s">
        <v>40</v>
      </c>
      <c r="L3151" s="4">
        <f>Table4[[#This Row],[quantity]]*Table4[[#This Row],[unit_price]]</f>
        <v>72.75</v>
      </c>
      <c r="M3151">
        <f>COUNTIFS($C$2:$C$3934,Table4[[#This Row],[customer_id]])</f>
        <v>8</v>
      </c>
      <c r="N3151" t="str">
        <f>IF(Table4[[#This Row],[customer_order_count]]=1,"New Customer","Repeat Customer")</f>
        <v>Repeat Customer</v>
      </c>
    </row>
    <row r="3152" spans="1:14">
      <c r="A3152" t="s">
        <v>660</v>
      </c>
      <c r="B3152" s="1">
        <v>45363</v>
      </c>
      <c r="C3152" t="s">
        <v>661</v>
      </c>
      <c r="D3152" s="5" t="s">
        <v>359</v>
      </c>
      <c r="E3152" t="s">
        <v>44</v>
      </c>
      <c r="F3152" t="s">
        <v>70</v>
      </c>
      <c r="G3152" t="s">
        <v>526</v>
      </c>
      <c r="H3152">
        <v>1</v>
      </c>
      <c r="I3152" s="3">
        <v>72.92</v>
      </c>
      <c r="J3152" t="s">
        <v>255</v>
      </c>
      <c r="K3152" t="s">
        <v>35</v>
      </c>
      <c r="L3152" s="4">
        <f>Table4[[#This Row],[quantity]]*Table4[[#This Row],[unit_price]]</f>
        <v>72.92</v>
      </c>
      <c r="M3152">
        <f>COUNTIFS($C$2:$C$3934,Table4[[#This Row],[customer_id]])</f>
        <v>3</v>
      </c>
      <c r="N3152" t="str">
        <f>IF(Table4[[#This Row],[customer_order_count]]=1,"New Customer","Repeat Customer")</f>
        <v>Repeat Customer</v>
      </c>
    </row>
    <row r="3153" spans="1:14">
      <c r="A3153" t="s">
        <v>1149</v>
      </c>
      <c r="B3153" s="1">
        <v>45399</v>
      </c>
      <c r="C3153" t="s">
        <v>1012</v>
      </c>
      <c r="D3153" t="s">
        <v>372</v>
      </c>
      <c r="E3153" t="s">
        <v>21</v>
      </c>
      <c r="F3153" t="s">
        <v>14</v>
      </c>
      <c r="G3153" t="s">
        <v>62</v>
      </c>
      <c r="H3153">
        <v>1</v>
      </c>
      <c r="I3153" s="3">
        <v>72.97</v>
      </c>
      <c r="J3153" t="s">
        <v>16</v>
      </c>
      <c r="K3153" t="s">
        <v>40</v>
      </c>
      <c r="L3153" s="4">
        <f>Table4[[#This Row],[quantity]]*Table4[[#This Row],[unit_price]]</f>
        <v>72.97</v>
      </c>
      <c r="M3153">
        <f>COUNTIFS($C$2:$C$3934,Table4[[#This Row],[customer_id]])</f>
        <v>6</v>
      </c>
      <c r="N3153" t="str">
        <f>IF(Table4[[#This Row],[customer_order_count]]=1,"New Customer","Repeat Customer")</f>
        <v>Repeat Customer</v>
      </c>
    </row>
    <row r="3154" spans="1:14">
      <c r="A3154" t="s">
        <v>607</v>
      </c>
      <c r="B3154" s="1">
        <v>45443</v>
      </c>
      <c r="C3154" t="s">
        <v>608</v>
      </c>
      <c r="D3154" t="s">
        <v>609</v>
      </c>
      <c r="E3154" t="s">
        <v>44</v>
      </c>
      <c r="F3154" t="s">
        <v>56</v>
      </c>
      <c r="G3154" t="s">
        <v>254</v>
      </c>
      <c r="H3154">
        <v>1</v>
      </c>
      <c r="I3154" s="3">
        <v>73</v>
      </c>
      <c r="J3154" t="s">
        <v>16</v>
      </c>
      <c r="K3154" t="s">
        <v>30</v>
      </c>
      <c r="L3154" s="4">
        <f>Table4[[#This Row],[quantity]]*Table4[[#This Row],[unit_price]]</f>
        <v>73</v>
      </c>
      <c r="M3154">
        <f>COUNTIFS($C$2:$C$3934,Table4[[#This Row],[customer_id]])</f>
        <v>3</v>
      </c>
      <c r="N3154" t="str">
        <f>IF(Table4[[#This Row],[customer_order_count]]=1,"New Customer","Repeat Customer")</f>
        <v>Repeat Customer</v>
      </c>
    </row>
    <row r="3155" spans="1:14">
      <c r="A3155" t="s">
        <v>4694</v>
      </c>
      <c r="B3155" s="1">
        <v>45172</v>
      </c>
      <c r="C3155" t="s">
        <v>2069</v>
      </c>
      <c r="D3155" t="s">
        <v>646</v>
      </c>
      <c r="E3155" t="s">
        <v>44</v>
      </c>
      <c r="F3155" t="s">
        <v>56</v>
      </c>
      <c r="G3155" t="s">
        <v>210</v>
      </c>
      <c r="H3155">
        <v>2</v>
      </c>
      <c r="I3155" s="3">
        <v>73</v>
      </c>
      <c r="J3155" t="s">
        <v>16</v>
      </c>
      <c r="K3155" t="s">
        <v>17</v>
      </c>
      <c r="L3155" s="4">
        <f>Table4[[#This Row],[quantity]]*Table4[[#This Row],[unit_price]]</f>
        <v>146</v>
      </c>
      <c r="M3155">
        <f>COUNTIFS($C$2:$C$3934,Table4[[#This Row],[customer_id]])</f>
        <v>4</v>
      </c>
      <c r="N3155" t="str">
        <f>IF(Table4[[#This Row],[customer_order_count]]=1,"New Customer","Repeat Customer")</f>
        <v>Repeat Customer</v>
      </c>
    </row>
    <row r="3156" spans="1:14">
      <c r="A3156" t="s">
        <v>3848</v>
      </c>
      <c r="B3156" s="1">
        <v>45557</v>
      </c>
      <c r="C3156" t="s">
        <v>1185</v>
      </c>
      <c r="D3156" t="s">
        <v>1186</v>
      </c>
      <c r="E3156" t="s">
        <v>44</v>
      </c>
      <c r="F3156" t="s">
        <v>56</v>
      </c>
      <c r="G3156" t="s">
        <v>153</v>
      </c>
      <c r="H3156">
        <v>1</v>
      </c>
      <c r="I3156" s="3">
        <v>73.040000000000006</v>
      </c>
      <c r="J3156" t="s">
        <v>16</v>
      </c>
      <c r="K3156" t="s">
        <v>35</v>
      </c>
      <c r="L3156" s="4">
        <f>Table4[[#This Row],[quantity]]*Table4[[#This Row],[unit_price]]</f>
        <v>73.040000000000006</v>
      </c>
      <c r="M3156">
        <f>COUNTIFS($C$2:$C$3934,Table4[[#This Row],[customer_id]])</f>
        <v>5</v>
      </c>
      <c r="N3156" t="str">
        <f>IF(Table4[[#This Row],[customer_order_count]]=1,"New Customer","Repeat Customer")</f>
        <v>Repeat Customer</v>
      </c>
    </row>
    <row r="3157" spans="1:14">
      <c r="A3157" t="s">
        <v>1387</v>
      </c>
      <c r="B3157" s="1">
        <v>45318</v>
      </c>
      <c r="C3157" t="s">
        <v>895</v>
      </c>
      <c r="D3157" t="s">
        <v>149</v>
      </c>
      <c r="E3157" t="s">
        <v>21</v>
      </c>
      <c r="F3157" t="s">
        <v>14</v>
      </c>
      <c r="G3157" t="s">
        <v>62</v>
      </c>
      <c r="H3157">
        <v>1</v>
      </c>
      <c r="I3157" s="3">
        <v>73.06</v>
      </c>
      <c r="J3157" t="s">
        <v>16</v>
      </c>
      <c r="K3157" t="s">
        <v>17</v>
      </c>
      <c r="L3157" s="4">
        <f>Table4[[#This Row],[quantity]]*Table4[[#This Row],[unit_price]]</f>
        <v>73.06</v>
      </c>
      <c r="M3157">
        <f>COUNTIFS($C$2:$C$3934,Table4[[#This Row],[customer_id]])</f>
        <v>7</v>
      </c>
      <c r="N3157" t="str">
        <f>IF(Table4[[#This Row],[customer_order_count]]=1,"New Customer","Repeat Customer")</f>
        <v>Repeat Customer</v>
      </c>
    </row>
    <row r="3158" spans="1:14">
      <c r="A3158" t="s">
        <v>4331</v>
      </c>
      <c r="B3158" s="1">
        <v>45513</v>
      </c>
      <c r="C3158" t="s">
        <v>2717</v>
      </c>
      <c r="D3158" t="s">
        <v>173</v>
      </c>
      <c r="E3158" t="s">
        <v>21</v>
      </c>
      <c r="F3158" t="s">
        <v>56</v>
      </c>
      <c r="G3158" t="s">
        <v>75</v>
      </c>
      <c r="H3158">
        <v>1</v>
      </c>
      <c r="I3158" s="3">
        <v>73.08</v>
      </c>
      <c r="J3158" t="s">
        <v>16</v>
      </c>
      <c r="K3158" t="s">
        <v>30</v>
      </c>
      <c r="L3158" s="4">
        <f>Table4[[#This Row],[quantity]]*Table4[[#This Row],[unit_price]]</f>
        <v>73.08</v>
      </c>
      <c r="M3158">
        <f>COUNTIFS($C$2:$C$3934,Table4[[#This Row],[customer_id]])</f>
        <v>4</v>
      </c>
      <c r="N3158" t="str">
        <f>IF(Table4[[#This Row],[customer_order_count]]=1,"New Customer","Repeat Customer")</f>
        <v>Repeat Customer</v>
      </c>
    </row>
    <row r="3159" spans="1:14">
      <c r="A3159" t="s">
        <v>3688</v>
      </c>
      <c r="B3159" s="1">
        <v>45056</v>
      </c>
      <c r="C3159" t="s">
        <v>3056</v>
      </c>
      <c r="D3159" t="s">
        <v>2953</v>
      </c>
      <c r="E3159" t="s">
        <v>61</v>
      </c>
      <c r="F3159" t="s">
        <v>79</v>
      </c>
      <c r="G3159" t="s">
        <v>200</v>
      </c>
      <c r="H3159">
        <v>2</v>
      </c>
      <c r="I3159" s="3">
        <v>73.22</v>
      </c>
      <c r="J3159" t="s">
        <v>16</v>
      </c>
      <c r="K3159" t="s">
        <v>40</v>
      </c>
      <c r="L3159" s="4">
        <f>Table4[[#This Row],[quantity]]*Table4[[#This Row],[unit_price]]</f>
        <v>146.44</v>
      </c>
      <c r="M3159">
        <f>COUNTIFS($C$2:$C$3934,Table4[[#This Row],[customer_id]])</f>
        <v>3</v>
      </c>
      <c r="N3159" t="str">
        <f>IF(Table4[[#This Row],[customer_order_count]]=1,"New Customer","Repeat Customer")</f>
        <v>Repeat Customer</v>
      </c>
    </row>
    <row r="3160" spans="1:14">
      <c r="A3160" t="s">
        <v>2454</v>
      </c>
      <c r="B3160" s="1">
        <v>45106</v>
      </c>
      <c r="C3160" t="s">
        <v>1185</v>
      </c>
      <c r="D3160" t="s">
        <v>1186</v>
      </c>
      <c r="E3160" t="s">
        <v>44</v>
      </c>
      <c r="F3160" t="s">
        <v>14</v>
      </c>
      <c r="G3160" t="s">
        <v>39</v>
      </c>
      <c r="H3160">
        <v>1</v>
      </c>
      <c r="I3160" s="3">
        <v>73.25</v>
      </c>
      <c r="J3160" t="s">
        <v>16</v>
      </c>
      <c r="K3160" t="s">
        <v>17</v>
      </c>
      <c r="L3160" s="4">
        <f>Table4[[#This Row],[quantity]]*Table4[[#This Row],[unit_price]]</f>
        <v>73.25</v>
      </c>
      <c r="M3160">
        <f>COUNTIFS($C$2:$C$3934,Table4[[#This Row],[customer_id]])</f>
        <v>5</v>
      </c>
      <c r="N3160" t="str">
        <f>IF(Table4[[#This Row],[customer_order_count]]=1,"New Customer","Repeat Customer")</f>
        <v>Repeat Customer</v>
      </c>
    </row>
    <row r="3161" spans="1:14">
      <c r="A3161" t="s">
        <v>5229</v>
      </c>
      <c r="B3161" s="1">
        <v>45271</v>
      </c>
      <c r="C3161" t="s">
        <v>495</v>
      </c>
      <c r="D3161" t="s">
        <v>496</v>
      </c>
      <c r="E3161" t="s">
        <v>44</v>
      </c>
      <c r="F3161" t="s">
        <v>79</v>
      </c>
      <c r="G3161" t="s">
        <v>230</v>
      </c>
      <c r="H3161">
        <v>1</v>
      </c>
      <c r="I3161" s="3">
        <v>73.319999999999993</v>
      </c>
      <c r="J3161" t="s">
        <v>16</v>
      </c>
      <c r="K3161" t="s">
        <v>35</v>
      </c>
      <c r="L3161" s="4">
        <f>Table4[[#This Row],[quantity]]*Table4[[#This Row],[unit_price]]</f>
        <v>73.319999999999993</v>
      </c>
      <c r="M3161">
        <f>COUNTIFS($C$2:$C$3934,Table4[[#This Row],[customer_id]])</f>
        <v>4</v>
      </c>
      <c r="N3161" t="str">
        <f>IF(Table4[[#This Row],[customer_order_count]]=1,"New Customer","Repeat Customer")</f>
        <v>Repeat Customer</v>
      </c>
    </row>
    <row r="3162" spans="1:14">
      <c r="A3162" t="s">
        <v>1125</v>
      </c>
      <c r="B3162" s="1">
        <v>45623</v>
      </c>
      <c r="C3162" t="s">
        <v>228</v>
      </c>
      <c r="D3162" t="s">
        <v>229</v>
      </c>
      <c r="E3162" t="s">
        <v>21</v>
      </c>
      <c r="F3162" t="s">
        <v>14</v>
      </c>
      <c r="G3162" t="s">
        <v>15</v>
      </c>
      <c r="H3162">
        <v>1</v>
      </c>
      <c r="I3162" s="3">
        <v>73.38</v>
      </c>
      <c r="J3162" t="s">
        <v>16</v>
      </c>
      <c r="K3162" t="s">
        <v>35</v>
      </c>
      <c r="L3162" s="4">
        <f>Table4[[#This Row],[quantity]]*Table4[[#This Row],[unit_price]]</f>
        <v>73.38</v>
      </c>
      <c r="M3162">
        <f>COUNTIFS($C$2:$C$3934,Table4[[#This Row],[customer_id]])</f>
        <v>5</v>
      </c>
      <c r="N3162" t="str">
        <f>IF(Table4[[#This Row],[customer_order_count]]=1,"New Customer","Repeat Customer")</f>
        <v>Repeat Customer</v>
      </c>
    </row>
    <row r="3163" spans="1:14">
      <c r="A3163" t="s">
        <v>4016</v>
      </c>
      <c r="B3163" s="1">
        <v>45422</v>
      </c>
      <c r="C3163" t="s">
        <v>868</v>
      </c>
      <c r="D3163" t="s">
        <v>869</v>
      </c>
      <c r="E3163" t="s">
        <v>21</v>
      </c>
      <c r="F3163" t="s">
        <v>79</v>
      </c>
      <c r="G3163" t="s">
        <v>200</v>
      </c>
      <c r="H3163">
        <v>1</v>
      </c>
      <c r="I3163" s="3">
        <v>73.42</v>
      </c>
      <c r="J3163" t="s">
        <v>16</v>
      </c>
      <c r="K3163" t="s">
        <v>40</v>
      </c>
      <c r="L3163" s="4">
        <f>Table4[[#This Row],[quantity]]*Table4[[#This Row],[unit_price]]</f>
        <v>73.42</v>
      </c>
      <c r="M3163">
        <f>COUNTIFS($C$2:$C$3934,Table4[[#This Row],[customer_id]])</f>
        <v>7</v>
      </c>
      <c r="N3163" t="str">
        <f>IF(Table4[[#This Row],[customer_order_count]]=1,"New Customer","Repeat Customer")</f>
        <v>Repeat Customer</v>
      </c>
    </row>
    <row r="3164" spans="1:14">
      <c r="A3164" t="s">
        <v>621</v>
      </c>
      <c r="B3164" s="1">
        <v>45515</v>
      </c>
      <c r="C3164" t="s">
        <v>483</v>
      </c>
      <c r="D3164" t="s">
        <v>484</v>
      </c>
      <c r="E3164" t="s">
        <v>61</v>
      </c>
      <c r="F3164" t="s">
        <v>56</v>
      </c>
      <c r="G3164" t="s">
        <v>75</v>
      </c>
      <c r="H3164">
        <v>4</v>
      </c>
      <c r="I3164" s="3">
        <v>73.44</v>
      </c>
      <c r="J3164" t="s">
        <v>24</v>
      </c>
      <c r="K3164" t="s">
        <v>40</v>
      </c>
      <c r="L3164" s="4">
        <f>Table4[[#This Row],[quantity]]*Table4[[#This Row],[unit_price]]</f>
        <v>293.76</v>
      </c>
      <c r="M3164">
        <f>COUNTIFS($C$2:$C$3934,Table4[[#This Row],[customer_id]])</f>
        <v>4</v>
      </c>
      <c r="N3164" t="str">
        <f>IF(Table4[[#This Row],[customer_order_count]]=1,"New Customer","Repeat Customer")</f>
        <v>Repeat Customer</v>
      </c>
    </row>
    <row r="3165" spans="1:14">
      <c r="A3165" t="s">
        <v>635</v>
      </c>
      <c r="B3165" s="1">
        <v>45582</v>
      </c>
      <c r="C3165" t="s">
        <v>636</v>
      </c>
      <c r="D3165" s="2" t="s">
        <v>5257</v>
      </c>
      <c r="E3165" t="s">
        <v>44</v>
      </c>
      <c r="F3165" t="s">
        <v>79</v>
      </c>
      <c r="G3165" t="s">
        <v>166</v>
      </c>
      <c r="H3165">
        <v>1</v>
      </c>
      <c r="I3165" s="3">
        <v>73.540000000000006</v>
      </c>
      <c r="J3165" t="s">
        <v>16</v>
      </c>
      <c r="K3165" t="s">
        <v>30</v>
      </c>
      <c r="L3165" s="4">
        <f>Table4[[#This Row],[quantity]]*Table4[[#This Row],[unit_price]]</f>
        <v>73.540000000000006</v>
      </c>
      <c r="M3165">
        <f>COUNTIFS($C$2:$C$3934,Table4[[#This Row],[customer_id]])</f>
        <v>6</v>
      </c>
      <c r="N3165" t="str">
        <f>IF(Table4[[#This Row],[customer_order_count]]=1,"New Customer","Repeat Customer")</f>
        <v>Repeat Customer</v>
      </c>
    </row>
    <row r="3166" spans="1:14">
      <c r="A3166" t="s">
        <v>1171</v>
      </c>
      <c r="B3166" s="1">
        <v>45148</v>
      </c>
      <c r="C3166" t="s">
        <v>1047</v>
      </c>
      <c r="D3166" s="5" t="s">
        <v>627</v>
      </c>
      <c r="E3166" t="s">
        <v>21</v>
      </c>
      <c r="F3166" t="s">
        <v>79</v>
      </c>
      <c r="G3166" t="s">
        <v>230</v>
      </c>
      <c r="H3166">
        <v>1</v>
      </c>
      <c r="I3166" s="3">
        <v>73.55</v>
      </c>
      <c r="J3166" t="s">
        <v>16</v>
      </c>
      <c r="K3166" t="s">
        <v>35</v>
      </c>
      <c r="L3166" s="4">
        <f>Table4[[#This Row],[quantity]]*Table4[[#This Row],[unit_price]]</f>
        <v>73.55</v>
      </c>
      <c r="M3166">
        <f>COUNTIFS($C$2:$C$3934,Table4[[#This Row],[customer_id]])</f>
        <v>4</v>
      </c>
      <c r="N3166" t="str">
        <f>IF(Table4[[#This Row],[customer_order_count]]=1,"New Customer","Repeat Customer")</f>
        <v>Repeat Customer</v>
      </c>
    </row>
    <row r="3167" spans="1:14">
      <c r="A3167" t="s">
        <v>5089</v>
      </c>
      <c r="B3167" s="1">
        <v>45549</v>
      </c>
      <c r="C3167" t="s">
        <v>1240</v>
      </c>
      <c r="D3167" t="s">
        <v>1241</v>
      </c>
      <c r="E3167" t="s">
        <v>21</v>
      </c>
      <c r="F3167" t="s">
        <v>70</v>
      </c>
      <c r="G3167" t="s">
        <v>337</v>
      </c>
      <c r="H3167">
        <v>2</v>
      </c>
      <c r="I3167" s="3">
        <v>73.55</v>
      </c>
      <c r="J3167" t="s">
        <v>16</v>
      </c>
      <c r="K3167" t="s">
        <v>40</v>
      </c>
      <c r="L3167" s="4">
        <f>Table4[[#This Row],[quantity]]*Table4[[#This Row],[unit_price]]</f>
        <v>147.1</v>
      </c>
      <c r="M3167">
        <f>COUNTIFS($C$2:$C$3934,Table4[[#This Row],[customer_id]])</f>
        <v>12</v>
      </c>
      <c r="N3167" t="str">
        <f>IF(Table4[[#This Row],[customer_order_count]]=1,"New Customer","Repeat Customer")</f>
        <v>Repeat Customer</v>
      </c>
    </row>
    <row r="3168" spans="1:14">
      <c r="A3168" t="s">
        <v>3796</v>
      </c>
      <c r="B3168" s="1">
        <v>45485</v>
      </c>
      <c r="C3168" t="s">
        <v>556</v>
      </c>
      <c r="D3168" s="2" t="s">
        <v>5257</v>
      </c>
      <c r="E3168" t="s">
        <v>21</v>
      </c>
      <c r="F3168" t="s">
        <v>56</v>
      </c>
      <c r="G3168" t="s">
        <v>153</v>
      </c>
      <c r="H3168">
        <v>1</v>
      </c>
      <c r="I3168" s="3">
        <v>73.64</v>
      </c>
      <c r="J3168" t="s">
        <v>16</v>
      </c>
      <c r="K3168" t="s">
        <v>35</v>
      </c>
      <c r="L3168" s="4">
        <f>Table4[[#This Row],[quantity]]*Table4[[#This Row],[unit_price]]</f>
        <v>73.64</v>
      </c>
      <c r="M3168">
        <f>COUNTIFS($C$2:$C$3934,Table4[[#This Row],[customer_id]])</f>
        <v>7</v>
      </c>
      <c r="N3168" t="str">
        <f>IF(Table4[[#This Row],[customer_order_count]]=1,"New Customer","Repeat Customer")</f>
        <v>Repeat Customer</v>
      </c>
    </row>
    <row r="3169" spans="1:14">
      <c r="A3169" t="s">
        <v>5207</v>
      </c>
      <c r="B3169" s="1">
        <v>45417</v>
      </c>
      <c r="C3169" t="s">
        <v>971</v>
      </c>
      <c r="D3169" s="5" t="s">
        <v>569</v>
      </c>
      <c r="E3169" t="s">
        <v>21</v>
      </c>
      <c r="F3169" t="s">
        <v>70</v>
      </c>
      <c r="G3169" t="s">
        <v>110</v>
      </c>
      <c r="H3169">
        <v>1</v>
      </c>
      <c r="I3169" s="3">
        <v>73.650000000000006</v>
      </c>
      <c r="J3169" t="s">
        <v>16</v>
      </c>
      <c r="K3169" t="s">
        <v>30</v>
      </c>
      <c r="L3169" s="4">
        <f>Table4[[#This Row],[quantity]]*Table4[[#This Row],[unit_price]]</f>
        <v>73.650000000000006</v>
      </c>
      <c r="M3169">
        <f>COUNTIFS($C$2:$C$3934,Table4[[#This Row],[customer_id]])</f>
        <v>7</v>
      </c>
      <c r="N3169" t="str">
        <f>IF(Table4[[#This Row],[customer_order_count]]=1,"New Customer","Repeat Customer")</f>
        <v>Repeat Customer</v>
      </c>
    </row>
    <row r="3170" spans="1:14">
      <c r="A3170" t="s">
        <v>979</v>
      </c>
      <c r="B3170" s="1">
        <v>45175</v>
      </c>
      <c r="C3170" t="s">
        <v>980</v>
      </c>
      <c r="D3170" t="s">
        <v>981</v>
      </c>
      <c r="E3170" t="s">
        <v>21</v>
      </c>
      <c r="F3170" t="s">
        <v>70</v>
      </c>
      <c r="G3170" t="s">
        <v>526</v>
      </c>
      <c r="H3170">
        <v>1</v>
      </c>
      <c r="I3170" s="3">
        <v>73.849999999999994</v>
      </c>
      <c r="J3170" t="s">
        <v>16</v>
      </c>
      <c r="K3170" t="s">
        <v>40</v>
      </c>
      <c r="L3170" s="4">
        <f>Table4[[#This Row],[quantity]]*Table4[[#This Row],[unit_price]]</f>
        <v>73.849999999999994</v>
      </c>
      <c r="M3170">
        <f>COUNTIFS($C$2:$C$3934,Table4[[#This Row],[customer_id]])</f>
        <v>2</v>
      </c>
      <c r="N3170" t="str">
        <f>IF(Table4[[#This Row],[customer_order_count]]=1,"New Customer","Repeat Customer")</f>
        <v>Repeat Customer</v>
      </c>
    </row>
    <row r="3171" spans="1:14">
      <c r="A3171" t="s">
        <v>4642</v>
      </c>
      <c r="B3171" s="1">
        <v>45614</v>
      </c>
      <c r="C3171" t="s">
        <v>1325</v>
      </c>
      <c r="D3171" t="s">
        <v>693</v>
      </c>
      <c r="E3171" t="s">
        <v>21</v>
      </c>
      <c r="F3171" t="s">
        <v>14</v>
      </c>
      <c r="G3171" t="s">
        <v>258</v>
      </c>
      <c r="H3171">
        <v>2</v>
      </c>
      <c r="I3171" s="3">
        <v>73.89</v>
      </c>
      <c r="J3171" t="s">
        <v>16</v>
      </c>
      <c r="K3171" t="s">
        <v>17</v>
      </c>
      <c r="L3171" s="4">
        <f>Table4[[#This Row],[quantity]]*Table4[[#This Row],[unit_price]]</f>
        <v>147.78</v>
      </c>
      <c r="M3171">
        <f>COUNTIFS($C$2:$C$3934,Table4[[#This Row],[customer_id]])</f>
        <v>5</v>
      </c>
      <c r="N3171" t="str">
        <f>IF(Table4[[#This Row],[customer_order_count]]=1,"New Customer","Repeat Customer")</f>
        <v>Repeat Customer</v>
      </c>
    </row>
    <row r="3172" spans="1:14">
      <c r="A3172" t="s">
        <v>3294</v>
      </c>
      <c r="B3172" s="1">
        <v>45261</v>
      </c>
      <c r="C3172" t="s">
        <v>868</v>
      </c>
      <c r="D3172" t="s">
        <v>869</v>
      </c>
      <c r="E3172" t="s">
        <v>21</v>
      </c>
      <c r="F3172" t="s">
        <v>56</v>
      </c>
      <c r="G3172" t="s">
        <v>75</v>
      </c>
      <c r="H3172">
        <v>1</v>
      </c>
      <c r="I3172" s="3">
        <v>73.900000000000006</v>
      </c>
      <c r="J3172" t="s">
        <v>16</v>
      </c>
      <c r="K3172" t="s">
        <v>40</v>
      </c>
      <c r="L3172" s="4">
        <f>Table4[[#This Row],[quantity]]*Table4[[#This Row],[unit_price]]</f>
        <v>73.900000000000006</v>
      </c>
      <c r="M3172">
        <f>COUNTIFS($C$2:$C$3934,Table4[[#This Row],[customer_id]])</f>
        <v>7</v>
      </c>
      <c r="N3172" t="str">
        <f>IF(Table4[[#This Row],[customer_order_count]]=1,"New Customer","Repeat Customer")</f>
        <v>Repeat Customer</v>
      </c>
    </row>
    <row r="3173" spans="1:14">
      <c r="A3173" t="s">
        <v>2206</v>
      </c>
      <c r="B3173" s="1">
        <v>45029</v>
      </c>
      <c r="C3173" t="s">
        <v>1280</v>
      </c>
      <c r="D3173" t="s">
        <v>299</v>
      </c>
      <c r="E3173" t="s">
        <v>61</v>
      </c>
      <c r="F3173" t="s">
        <v>14</v>
      </c>
      <c r="G3173" t="s">
        <v>15</v>
      </c>
      <c r="H3173">
        <v>1</v>
      </c>
      <c r="I3173" s="3">
        <v>73.900000000000006</v>
      </c>
      <c r="J3173" t="s">
        <v>16</v>
      </c>
      <c r="K3173" t="s">
        <v>40</v>
      </c>
      <c r="L3173" s="4">
        <f>Table4[[#This Row],[quantity]]*Table4[[#This Row],[unit_price]]</f>
        <v>73.900000000000006</v>
      </c>
      <c r="M3173">
        <f>COUNTIFS($C$2:$C$3934,Table4[[#This Row],[customer_id]])</f>
        <v>3</v>
      </c>
      <c r="N3173" t="str">
        <f>IF(Table4[[#This Row],[customer_order_count]]=1,"New Customer","Repeat Customer")</f>
        <v>Repeat Customer</v>
      </c>
    </row>
    <row r="3174" spans="1:14">
      <c r="A3174" t="s">
        <v>906</v>
      </c>
      <c r="B3174" s="1">
        <v>44928</v>
      </c>
      <c r="C3174" t="s">
        <v>907</v>
      </c>
      <c r="D3174" t="s">
        <v>275</v>
      </c>
      <c r="E3174" t="s">
        <v>21</v>
      </c>
      <c r="F3174" t="s">
        <v>70</v>
      </c>
      <c r="G3174" t="s">
        <v>526</v>
      </c>
      <c r="H3174">
        <v>2</v>
      </c>
      <c r="I3174" s="3">
        <v>73.930000000000007</v>
      </c>
      <c r="J3174" t="s">
        <v>16</v>
      </c>
      <c r="K3174" t="s">
        <v>30</v>
      </c>
      <c r="L3174" s="4">
        <f>Table4[[#This Row],[quantity]]*Table4[[#This Row],[unit_price]]</f>
        <v>147.86000000000001</v>
      </c>
      <c r="M3174">
        <f>COUNTIFS($C$2:$C$3934,Table4[[#This Row],[customer_id]])</f>
        <v>4</v>
      </c>
      <c r="N3174" t="str">
        <f>IF(Table4[[#This Row],[customer_order_count]]=1,"New Customer","Repeat Customer")</f>
        <v>Repeat Customer</v>
      </c>
    </row>
    <row r="3175" spans="1:14">
      <c r="A3175" t="s">
        <v>4521</v>
      </c>
      <c r="B3175" s="1">
        <v>45031</v>
      </c>
      <c r="C3175" t="s">
        <v>291</v>
      </c>
      <c r="D3175" t="s">
        <v>292</v>
      </c>
      <c r="E3175" t="s">
        <v>21</v>
      </c>
      <c r="F3175" t="s">
        <v>56</v>
      </c>
      <c r="G3175" t="s">
        <v>75</v>
      </c>
      <c r="H3175">
        <v>4</v>
      </c>
      <c r="I3175" s="3">
        <v>73.930000000000007</v>
      </c>
      <c r="J3175" t="s">
        <v>16</v>
      </c>
      <c r="K3175" t="s">
        <v>30</v>
      </c>
      <c r="L3175" s="4">
        <f>Table4[[#This Row],[quantity]]*Table4[[#This Row],[unit_price]]</f>
        <v>295.72000000000003</v>
      </c>
      <c r="M3175">
        <f>COUNTIFS($C$2:$C$3934,Table4[[#This Row],[customer_id]])</f>
        <v>5</v>
      </c>
      <c r="N3175" t="str">
        <f>IF(Table4[[#This Row],[customer_order_count]]=1,"New Customer","Repeat Customer")</f>
        <v>Repeat Customer</v>
      </c>
    </row>
    <row r="3176" spans="1:14">
      <c r="A3176" t="s">
        <v>4274</v>
      </c>
      <c r="B3176" s="1">
        <v>45067</v>
      </c>
      <c r="C3176" t="s">
        <v>2899</v>
      </c>
      <c r="D3176" t="s">
        <v>650</v>
      </c>
      <c r="E3176" t="s">
        <v>61</v>
      </c>
      <c r="F3176" t="s">
        <v>70</v>
      </c>
      <c r="G3176" t="s">
        <v>146</v>
      </c>
      <c r="H3176">
        <v>1</v>
      </c>
      <c r="I3176" s="3">
        <v>73.98</v>
      </c>
      <c r="J3176" t="s">
        <v>16</v>
      </c>
      <c r="K3176" t="s">
        <v>30</v>
      </c>
      <c r="L3176" s="4">
        <f>Table4[[#This Row],[quantity]]*Table4[[#This Row],[unit_price]]</f>
        <v>73.98</v>
      </c>
      <c r="M3176">
        <f>COUNTIFS($C$2:$C$3934,Table4[[#This Row],[customer_id]])</f>
        <v>3</v>
      </c>
      <c r="N3176" t="str">
        <f>IF(Table4[[#This Row],[customer_order_count]]=1,"New Customer","Repeat Customer")</f>
        <v>Repeat Customer</v>
      </c>
    </row>
    <row r="3177" spans="1:14">
      <c r="A3177" t="s">
        <v>4210</v>
      </c>
      <c r="B3177" s="1">
        <v>45650</v>
      </c>
      <c r="C3177" t="s">
        <v>4211</v>
      </c>
      <c r="D3177" t="s">
        <v>1935</v>
      </c>
      <c r="E3177" t="s">
        <v>44</v>
      </c>
      <c r="F3177" t="s">
        <v>70</v>
      </c>
      <c r="G3177" t="s">
        <v>89</v>
      </c>
      <c r="H3177">
        <v>1</v>
      </c>
      <c r="I3177" s="3">
        <v>74.010000000000005</v>
      </c>
      <c r="J3177" t="s">
        <v>16</v>
      </c>
      <c r="K3177" t="s">
        <v>17</v>
      </c>
      <c r="L3177" s="4">
        <f>Table4[[#This Row],[quantity]]*Table4[[#This Row],[unit_price]]</f>
        <v>74.010000000000005</v>
      </c>
      <c r="M3177">
        <f>COUNTIFS($C$2:$C$3934,Table4[[#This Row],[customer_id]])</f>
        <v>2</v>
      </c>
      <c r="N3177" t="str">
        <f>IF(Table4[[#This Row],[customer_order_count]]=1,"New Customer","Repeat Customer")</f>
        <v>Repeat Customer</v>
      </c>
    </row>
    <row r="3178" spans="1:14">
      <c r="A3178" t="s">
        <v>746</v>
      </c>
      <c r="B3178" s="1">
        <v>45438</v>
      </c>
      <c r="C3178" t="s">
        <v>747</v>
      </c>
      <c r="D3178" t="s">
        <v>52</v>
      </c>
      <c r="E3178" t="s">
        <v>61</v>
      </c>
      <c r="F3178" t="s">
        <v>70</v>
      </c>
      <c r="G3178" t="s">
        <v>170</v>
      </c>
      <c r="H3178">
        <v>2</v>
      </c>
      <c r="I3178" s="3">
        <v>74.069999999999993</v>
      </c>
      <c r="J3178" t="s">
        <v>16</v>
      </c>
      <c r="K3178" s="2" t="s">
        <v>5256</v>
      </c>
      <c r="L3178" s="4">
        <f>Table4[[#This Row],[quantity]]*Table4[[#This Row],[unit_price]]</f>
        <v>148.13999999999999</v>
      </c>
      <c r="M3178">
        <f>COUNTIFS($C$2:$C$3934,Table4[[#This Row],[customer_id]])</f>
        <v>4</v>
      </c>
      <c r="N3178" t="str">
        <f>IF(Table4[[#This Row],[customer_order_count]]=1,"New Customer","Repeat Customer")</f>
        <v>Repeat Customer</v>
      </c>
    </row>
    <row r="3179" spans="1:14">
      <c r="A3179" t="s">
        <v>1856</v>
      </c>
      <c r="B3179" s="1">
        <v>45258</v>
      </c>
      <c r="C3179" t="s">
        <v>1573</v>
      </c>
      <c r="D3179" t="s">
        <v>693</v>
      </c>
      <c r="E3179" t="s">
        <v>21</v>
      </c>
      <c r="F3179" t="s">
        <v>14</v>
      </c>
      <c r="G3179" t="s">
        <v>15</v>
      </c>
      <c r="H3179">
        <v>5</v>
      </c>
      <c r="I3179" s="3">
        <v>74.099999999999994</v>
      </c>
      <c r="J3179" t="s">
        <v>24</v>
      </c>
      <c r="K3179" s="5" t="s">
        <v>30</v>
      </c>
      <c r="L3179" s="4">
        <f>Table4[[#This Row],[quantity]]*Table4[[#This Row],[unit_price]]</f>
        <v>370.5</v>
      </c>
      <c r="M3179">
        <f>COUNTIFS($C$2:$C$3934,Table4[[#This Row],[customer_id]])</f>
        <v>7</v>
      </c>
      <c r="N3179" t="str">
        <f>IF(Table4[[#This Row],[customer_order_count]]=1,"New Customer","Repeat Customer")</f>
        <v>Repeat Customer</v>
      </c>
    </row>
    <row r="3180" spans="1:14">
      <c r="A3180" t="s">
        <v>4097</v>
      </c>
      <c r="B3180" s="1">
        <v>44951</v>
      </c>
      <c r="C3180" t="s">
        <v>102</v>
      </c>
      <c r="D3180" t="s">
        <v>484</v>
      </c>
      <c r="E3180" t="s">
        <v>21</v>
      </c>
      <c r="F3180" t="s">
        <v>14</v>
      </c>
      <c r="G3180" t="s">
        <v>15</v>
      </c>
      <c r="H3180">
        <v>1</v>
      </c>
      <c r="I3180" s="3">
        <v>74.12</v>
      </c>
      <c r="J3180" t="s">
        <v>16</v>
      </c>
      <c r="K3180" t="s">
        <v>30</v>
      </c>
      <c r="L3180" s="4">
        <f>Table4[[#This Row],[quantity]]*Table4[[#This Row],[unit_price]]</f>
        <v>74.12</v>
      </c>
      <c r="M3180">
        <f>COUNTIFS($C$2:$C$3934,Table4[[#This Row],[customer_id]])</f>
        <v>6</v>
      </c>
      <c r="N3180" t="str">
        <f>IF(Table4[[#This Row],[customer_order_count]]=1,"New Customer","Repeat Customer")</f>
        <v>Repeat Customer</v>
      </c>
    </row>
    <row r="3181" spans="1:14">
      <c r="A3181" t="s">
        <v>3300</v>
      </c>
      <c r="B3181" s="1">
        <v>45526</v>
      </c>
      <c r="C3181" t="s">
        <v>2952</v>
      </c>
      <c r="D3181" t="s">
        <v>2953</v>
      </c>
      <c r="E3181" t="s">
        <v>21</v>
      </c>
      <c r="F3181" t="s">
        <v>56</v>
      </c>
      <c r="G3181" t="s">
        <v>75</v>
      </c>
      <c r="H3181">
        <v>1</v>
      </c>
      <c r="I3181" s="3">
        <v>74.150000000000006</v>
      </c>
      <c r="J3181" t="s">
        <v>16</v>
      </c>
      <c r="K3181" t="s">
        <v>17</v>
      </c>
      <c r="L3181" s="4">
        <f>Table4[[#This Row],[quantity]]*Table4[[#This Row],[unit_price]]</f>
        <v>74.150000000000006</v>
      </c>
      <c r="M3181">
        <f>COUNTIFS($C$2:$C$3934,Table4[[#This Row],[customer_id]])</f>
        <v>4</v>
      </c>
      <c r="N3181" t="str">
        <f>IF(Table4[[#This Row],[customer_order_count]]=1,"New Customer","Repeat Customer")</f>
        <v>Repeat Customer</v>
      </c>
    </row>
    <row r="3182" spans="1:14">
      <c r="A3182" t="s">
        <v>1380</v>
      </c>
      <c r="B3182" s="1">
        <v>45000</v>
      </c>
      <c r="C3182" t="s">
        <v>1381</v>
      </c>
      <c r="D3182" t="s">
        <v>510</v>
      </c>
      <c r="E3182" t="s">
        <v>21</v>
      </c>
      <c r="F3182" t="s">
        <v>70</v>
      </c>
      <c r="G3182" t="s">
        <v>170</v>
      </c>
      <c r="H3182">
        <v>1</v>
      </c>
      <c r="I3182" s="3">
        <v>74.16</v>
      </c>
      <c r="J3182" t="s">
        <v>16</v>
      </c>
      <c r="K3182" t="s">
        <v>17</v>
      </c>
      <c r="L3182" s="4">
        <f>Table4[[#This Row],[quantity]]*Table4[[#This Row],[unit_price]]</f>
        <v>74.16</v>
      </c>
      <c r="M3182">
        <f>COUNTIFS($C$2:$C$3934,Table4[[#This Row],[customer_id]])</f>
        <v>5</v>
      </c>
      <c r="N3182" t="str">
        <f>IF(Table4[[#This Row],[customer_order_count]]=1,"New Customer","Repeat Customer")</f>
        <v>Repeat Customer</v>
      </c>
    </row>
    <row r="3183" spans="1:14">
      <c r="A3183" t="s">
        <v>5193</v>
      </c>
      <c r="B3183" s="1">
        <v>45049</v>
      </c>
      <c r="C3183" t="s">
        <v>1110</v>
      </c>
      <c r="D3183" t="s">
        <v>602</v>
      </c>
      <c r="E3183" t="s">
        <v>21</v>
      </c>
      <c r="F3183" t="s">
        <v>79</v>
      </c>
      <c r="G3183" t="s">
        <v>541</v>
      </c>
      <c r="H3183">
        <v>1</v>
      </c>
      <c r="I3183" s="3">
        <v>74.23</v>
      </c>
      <c r="J3183" t="s">
        <v>16</v>
      </c>
      <c r="K3183" t="s">
        <v>35</v>
      </c>
      <c r="L3183" s="4">
        <f>Table4[[#This Row],[quantity]]*Table4[[#This Row],[unit_price]]</f>
        <v>74.23</v>
      </c>
      <c r="M3183">
        <f>COUNTIFS($C$2:$C$3934,Table4[[#This Row],[customer_id]])</f>
        <v>5</v>
      </c>
      <c r="N3183" t="str">
        <f>IF(Table4[[#This Row],[customer_order_count]]=1,"New Customer","Repeat Customer")</f>
        <v>Repeat Customer</v>
      </c>
    </row>
    <row r="3184" spans="1:14">
      <c r="A3184" t="s">
        <v>4424</v>
      </c>
      <c r="B3184" s="1">
        <v>44973</v>
      </c>
      <c r="C3184" t="s">
        <v>775</v>
      </c>
      <c r="D3184" t="s">
        <v>678</v>
      </c>
      <c r="E3184" t="s">
        <v>44</v>
      </c>
      <c r="F3184" t="s">
        <v>79</v>
      </c>
      <c r="G3184" t="s">
        <v>541</v>
      </c>
      <c r="H3184">
        <v>1</v>
      </c>
      <c r="I3184" s="3">
        <v>74.31</v>
      </c>
      <c r="J3184" t="s">
        <v>16</v>
      </c>
      <c r="K3184" t="s">
        <v>17</v>
      </c>
      <c r="L3184" s="4">
        <f>Table4[[#This Row],[quantity]]*Table4[[#This Row],[unit_price]]</f>
        <v>74.31</v>
      </c>
      <c r="M3184">
        <f>COUNTIFS($C$2:$C$3934,Table4[[#This Row],[customer_id]])</f>
        <v>5</v>
      </c>
      <c r="N3184" t="str">
        <f>IF(Table4[[#This Row],[customer_order_count]]=1,"New Customer","Repeat Customer")</f>
        <v>Repeat Customer</v>
      </c>
    </row>
    <row r="3185" spans="1:14">
      <c r="A3185" t="s">
        <v>1539</v>
      </c>
      <c r="B3185" s="1">
        <v>45593</v>
      </c>
      <c r="C3185" t="s">
        <v>1540</v>
      </c>
      <c r="D3185" t="s">
        <v>928</v>
      </c>
      <c r="E3185" t="s">
        <v>21</v>
      </c>
      <c r="F3185" t="s">
        <v>56</v>
      </c>
      <c r="G3185" t="s">
        <v>57</v>
      </c>
      <c r="H3185">
        <v>1</v>
      </c>
      <c r="I3185" s="3">
        <v>74.31</v>
      </c>
      <c r="J3185" t="s">
        <v>16</v>
      </c>
      <c r="K3185" t="s">
        <v>40</v>
      </c>
      <c r="L3185" s="4">
        <f>Table4[[#This Row],[quantity]]*Table4[[#This Row],[unit_price]]</f>
        <v>74.31</v>
      </c>
      <c r="M3185">
        <f>COUNTIFS($C$2:$C$3934,Table4[[#This Row],[customer_id]])</f>
        <v>6</v>
      </c>
      <c r="N3185" t="str">
        <f>IF(Table4[[#This Row],[customer_order_count]]=1,"New Customer","Repeat Customer")</f>
        <v>Repeat Customer</v>
      </c>
    </row>
    <row r="3186" spans="1:14">
      <c r="A3186" t="s">
        <v>2827</v>
      </c>
      <c r="B3186" s="1">
        <v>45286</v>
      </c>
      <c r="C3186" t="s">
        <v>833</v>
      </c>
      <c r="D3186" t="s">
        <v>834</v>
      </c>
      <c r="E3186" t="s">
        <v>44</v>
      </c>
      <c r="F3186" t="s">
        <v>70</v>
      </c>
      <c r="G3186" t="s">
        <v>71</v>
      </c>
      <c r="H3186">
        <v>1</v>
      </c>
      <c r="I3186" s="3">
        <v>74.36</v>
      </c>
      <c r="J3186" t="s">
        <v>16</v>
      </c>
      <c r="K3186" t="s">
        <v>30</v>
      </c>
      <c r="L3186" s="4">
        <f>Table4[[#This Row],[quantity]]*Table4[[#This Row],[unit_price]]</f>
        <v>74.36</v>
      </c>
      <c r="M3186">
        <f>COUNTIFS($C$2:$C$3934,Table4[[#This Row],[customer_id]])</f>
        <v>5</v>
      </c>
      <c r="N3186" t="str">
        <f>IF(Table4[[#This Row],[customer_order_count]]=1,"New Customer","Repeat Customer")</f>
        <v>Repeat Customer</v>
      </c>
    </row>
    <row r="3187" spans="1:14">
      <c r="A3187" t="s">
        <v>2996</v>
      </c>
      <c r="B3187" s="1">
        <v>45225</v>
      </c>
      <c r="C3187" t="s">
        <v>824</v>
      </c>
      <c r="D3187" t="s">
        <v>825</v>
      </c>
      <c r="E3187" t="s">
        <v>44</v>
      </c>
      <c r="F3187" t="s">
        <v>70</v>
      </c>
      <c r="G3187" t="s">
        <v>170</v>
      </c>
      <c r="H3187">
        <v>1</v>
      </c>
      <c r="I3187" s="3">
        <v>74.44</v>
      </c>
      <c r="J3187" t="s">
        <v>16</v>
      </c>
      <c r="K3187" t="s">
        <v>30</v>
      </c>
      <c r="L3187" s="4">
        <f>Table4[[#This Row],[quantity]]*Table4[[#This Row],[unit_price]]</f>
        <v>74.44</v>
      </c>
      <c r="M3187">
        <f>COUNTIFS($C$2:$C$3934,Table4[[#This Row],[customer_id]])</f>
        <v>7</v>
      </c>
      <c r="N3187" t="str">
        <f>IF(Table4[[#This Row],[customer_order_count]]=1,"New Customer","Repeat Customer")</f>
        <v>Repeat Customer</v>
      </c>
    </row>
    <row r="3188" spans="1:14">
      <c r="A3188" t="s">
        <v>918</v>
      </c>
      <c r="B3188" s="1">
        <v>45650</v>
      </c>
      <c r="C3188" t="s">
        <v>400</v>
      </c>
      <c r="D3188" t="s">
        <v>365</v>
      </c>
      <c r="E3188" t="s">
        <v>21</v>
      </c>
      <c r="F3188" t="s">
        <v>56</v>
      </c>
      <c r="G3188" t="s">
        <v>254</v>
      </c>
      <c r="H3188">
        <v>2</v>
      </c>
      <c r="I3188" s="3">
        <v>74.53</v>
      </c>
      <c r="J3188" t="s">
        <v>16</v>
      </c>
      <c r="K3188" t="s">
        <v>30</v>
      </c>
      <c r="L3188" s="4">
        <f>Table4[[#This Row],[quantity]]*Table4[[#This Row],[unit_price]]</f>
        <v>149.06</v>
      </c>
      <c r="M3188">
        <f>COUNTIFS($C$2:$C$3934,Table4[[#This Row],[customer_id]])</f>
        <v>7</v>
      </c>
      <c r="N3188" t="str">
        <f>IF(Table4[[#This Row],[customer_order_count]]=1,"New Customer","Repeat Customer")</f>
        <v>Repeat Customer</v>
      </c>
    </row>
    <row r="3189" spans="1:14">
      <c r="A3189" t="s">
        <v>3912</v>
      </c>
      <c r="B3189" s="1">
        <v>45633</v>
      </c>
      <c r="C3189" t="s">
        <v>3341</v>
      </c>
      <c r="D3189" t="s">
        <v>681</v>
      </c>
      <c r="E3189" t="s">
        <v>44</v>
      </c>
      <c r="F3189" t="s">
        <v>70</v>
      </c>
      <c r="G3189" t="s">
        <v>89</v>
      </c>
      <c r="H3189">
        <v>1</v>
      </c>
      <c r="I3189" s="3">
        <v>74.56</v>
      </c>
      <c r="J3189" t="s">
        <v>16</v>
      </c>
      <c r="K3189" t="s">
        <v>17</v>
      </c>
      <c r="L3189" s="4">
        <f>Table4[[#This Row],[quantity]]*Table4[[#This Row],[unit_price]]</f>
        <v>74.56</v>
      </c>
      <c r="M3189">
        <f>COUNTIFS($C$2:$C$3934,Table4[[#This Row],[customer_id]])</f>
        <v>2</v>
      </c>
      <c r="N3189" t="str">
        <f>IF(Table4[[#This Row],[customer_order_count]]=1,"New Customer","Repeat Customer")</f>
        <v>Repeat Customer</v>
      </c>
    </row>
    <row r="3190" spans="1:14">
      <c r="A3190" t="s">
        <v>3268</v>
      </c>
      <c r="B3190" s="1">
        <v>45582</v>
      </c>
      <c r="C3190" t="s">
        <v>2088</v>
      </c>
      <c r="D3190" t="s">
        <v>435</v>
      </c>
      <c r="E3190" t="s">
        <v>21</v>
      </c>
      <c r="F3190" t="s">
        <v>14</v>
      </c>
      <c r="G3190" t="s">
        <v>258</v>
      </c>
      <c r="H3190">
        <v>2</v>
      </c>
      <c r="I3190" s="3">
        <v>74.58</v>
      </c>
      <c r="J3190" t="s">
        <v>16</v>
      </c>
      <c r="K3190" t="s">
        <v>30</v>
      </c>
      <c r="L3190" s="4">
        <f>Table4[[#This Row],[quantity]]*Table4[[#This Row],[unit_price]]</f>
        <v>149.16</v>
      </c>
      <c r="M3190">
        <f>COUNTIFS($C$2:$C$3934,Table4[[#This Row],[customer_id]])</f>
        <v>9</v>
      </c>
      <c r="N3190" t="str">
        <f>IF(Table4[[#This Row],[customer_order_count]]=1,"New Customer","Repeat Customer")</f>
        <v>Repeat Customer</v>
      </c>
    </row>
    <row r="3191" spans="1:14">
      <c r="A3191" t="s">
        <v>3551</v>
      </c>
      <c r="B3191" s="1">
        <v>45652</v>
      </c>
      <c r="C3191" t="s">
        <v>755</v>
      </c>
      <c r="D3191" t="s">
        <v>452</v>
      </c>
      <c r="E3191" t="s">
        <v>21</v>
      </c>
      <c r="F3191" t="s">
        <v>14</v>
      </c>
      <c r="G3191" t="s">
        <v>100</v>
      </c>
      <c r="H3191">
        <v>1</v>
      </c>
      <c r="I3191" s="3">
        <v>74.81</v>
      </c>
      <c r="J3191" t="s">
        <v>24</v>
      </c>
      <c r="K3191" t="s">
        <v>17</v>
      </c>
      <c r="L3191" s="4">
        <f>Table4[[#This Row],[quantity]]*Table4[[#This Row],[unit_price]]</f>
        <v>74.81</v>
      </c>
      <c r="M3191">
        <f>COUNTIFS($C$2:$C$3934,Table4[[#This Row],[customer_id]])</f>
        <v>5</v>
      </c>
      <c r="N3191" t="str">
        <f>IF(Table4[[#This Row],[customer_order_count]]=1,"New Customer","Repeat Customer")</f>
        <v>Repeat Customer</v>
      </c>
    </row>
    <row r="3192" spans="1:14">
      <c r="A3192" t="s">
        <v>3866</v>
      </c>
      <c r="B3192" s="1">
        <v>45357</v>
      </c>
      <c r="C3192" t="s">
        <v>1118</v>
      </c>
      <c r="D3192" t="s">
        <v>881</v>
      </c>
      <c r="E3192" t="s">
        <v>44</v>
      </c>
      <c r="F3192" t="s">
        <v>79</v>
      </c>
      <c r="G3192" t="s">
        <v>200</v>
      </c>
      <c r="H3192">
        <v>1</v>
      </c>
      <c r="I3192" s="3">
        <v>74.83</v>
      </c>
      <c r="J3192" t="s">
        <v>16</v>
      </c>
      <c r="K3192" s="2" t="s">
        <v>5256</v>
      </c>
      <c r="L3192" s="4">
        <f>Table4[[#This Row],[quantity]]*Table4[[#This Row],[unit_price]]</f>
        <v>74.83</v>
      </c>
      <c r="M3192">
        <f>COUNTIFS($C$2:$C$3934,Table4[[#This Row],[customer_id]])</f>
        <v>6</v>
      </c>
      <c r="N3192" t="str">
        <f>IF(Table4[[#This Row],[customer_order_count]]=1,"New Customer","Repeat Customer")</f>
        <v>Repeat Customer</v>
      </c>
    </row>
    <row r="3193" spans="1:14">
      <c r="A3193" t="s">
        <v>1905</v>
      </c>
      <c r="B3193" s="1">
        <v>45107</v>
      </c>
      <c r="C3193" t="s">
        <v>1906</v>
      </c>
      <c r="D3193" t="s">
        <v>1907</v>
      </c>
      <c r="E3193" t="s">
        <v>21</v>
      </c>
      <c r="F3193" t="s">
        <v>56</v>
      </c>
      <c r="G3193" t="s">
        <v>254</v>
      </c>
      <c r="H3193">
        <v>2</v>
      </c>
      <c r="I3193" s="3">
        <v>74.91</v>
      </c>
      <c r="J3193" t="s">
        <v>16</v>
      </c>
      <c r="K3193" s="5" t="s">
        <v>40</v>
      </c>
      <c r="L3193" s="4">
        <f>Table4[[#This Row],[quantity]]*Table4[[#This Row],[unit_price]]</f>
        <v>149.82</v>
      </c>
      <c r="M3193">
        <f>COUNTIFS($C$2:$C$3934,Table4[[#This Row],[customer_id]])</f>
        <v>4</v>
      </c>
      <c r="N3193" t="str">
        <f>IF(Table4[[#This Row],[customer_order_count]]=1,"New Customer","Repeat Customer")</f>
        <v>Repeat Customer</v>
      </c>
    </row>
    <row r="3194" spans="1:14">
      <c r="A3194" t="s">
        <v>3068</v>
      </c>
      <c r="B3194" s="1">
        <v>45321</v>
      </c>
      <c r="C3194" t="s">
        <v>1439</v>
      </c>
      <c r="D3194" t="s">
        <v>1440</v>
      </c>
      <c r="E3194" t="s">
        <v>21</v>
      </c>
      <c r="F3194" t="s">
        <v>70</v>
      </c>
      <c r="G3194" t="s">
        <v>337</v>
      </c>
      <c r="H3194">
        <v>4</v>
      </c>
      <c r="I3194" s="3">
        <v>74.98</v>
      </c>
      <c r="J3194" t="s">
        <v>16</v>
      </c>
      <c r="K3194" t="s">
        <v>35</v>
      </c>
      <c r="L3194" s="4">
        <f>Table4[[#This Row],[quantity]]*Table4[[#This Row],[unit_price]]</f>
        <v>299.92</v>
      </c>
      <c r="M3194">
        <f>COUNTIFS($C$2:$C$3934,Table4[[#This Row],[customer_id]])</f>
        <v>5</v>
      </c>
      <c r="N3194" t="str">
        <f>IF(Table4[[#This Row],[customer_order_count]]=1,"New Customer","Repeat Customer")</f>
        <v>Repeat Customer</v>
      </c>
    </row>
    <row r="3195" spans="1:14">
      <c r="A3195" t="s">
        <v>2708</v>
      </c>
      <c r="B3195" s="1">
        <v>45421</v>
      </c>
      <c r="C3195" t="s">
        <v>702</v>
      </c>
      <c r="D3195" t="s">
        <v>20</v>
      </c>
      <c r="E3195" t="s">
        <v>21</v>
      </c>
      <c r="F3195" t="s">
        <v>70</v>
      </c>
      <c r="G3195" t="s">
        <v>170</v>
      </c>
      <c r="H3195">
        <v>1</v>
      </c>
      <c r="I3195" s="3">
        <v>75.06</v>
      </c>
      <c r="J3195" t="s">
        <v>16</v>
      </c>
      <c r="K3195" t="s">
        <v>35</v>
      </c>
      <c r="L3195" s="4">
        <f>Table4[[#This Row],[quantity]]*Table4[[#This Row],[unit_price]]</f>
        <v>75.06</v>
      </c>
      <c r="M3195">
        <f>COUNTIFS($C$2:$C$3934,Table4[[#This Row],[customer_id]])</f>
        <v>5</v>
      </c>
      <c r="N3195" t="str">
        <f>IF(Table4[[#This Row],[customer_order_count]]=1,"New Customer","Repeat Customer")</f>
        <v>Repeat Customer</v>
      </c>
    </row>
    <row r="3196" spans="1:14">
      <c r="A3196" t="s">
        <v>4690</v>
      </c>
      <c r="B3196" s="1">
        <v>45438</v>
      </c>
      <c r="C3196" t="s">
        <v>209</v>
      </c>
      <c r="D3196" t="s">
        <v>181</v>
      </c>
      <c r="E3196" t="s">
        <v>21</v>
      </c>
      <c r="F3196" t="s">
        <v>70</v>
      </c>
      <c r="G3196" t="s">
        <v>110</v>
      </c>
      <c r="H3196">
        <v>3</v>
      </c>
      <c r="I3196" s="3">
        <v>75.08</v>
      </c>
      <c r="J3196" t="s">
        <v>16</v>
      </c>
      <c r="K3196" s="2" t="s">
        <v>5256</v>
      </c>
      <c r="L3196" s="4">
        <f>Table4[[#This Row],[quantity]]*Table4[[#This Row],[unit_price]]</f>
        <v>225.24</v>
      </c>
      <c r="M3196">
        <f>COUNTIFS($C$2:$C$3934,Table4[[#This Row],[customer_id]])</f>
        <v>5</v>
      </c>
      <c r="N3196" t="str">
        <f>IF(Table4[[#This Row],[customer_order_count]]=1,"New Customer","Repeat Customer")</f>
        <v>Repeat Customer</v>
      </c>
    </row>
    <row r="3197" spans="1:14">
      <c r="A3197" t="s">
        <v>689</v>
      </c>
      <c r="B3197" s="1">
        <v>45449</v>
      </c>
      <c r="C3197" t="s">
        <v>690</v>
      </c>
      <c r="D3197" t="s">
        <v>281</v>
      </c>
      <c r="E3197" t="s">
        <v>21</v>
      </c>
      <c r="F3197" t="s">
        <v>56</v>
      </c>
      <c r="G3197" t="s">
        <v>422</v>
      </c>
      <c r="H3197">
        <v>1</v>
      </c>
      <c r="I3197" s="3">
        <v>75.09</v>
      </c>
      <c r="J3197" t="s">
        <v>16</v>
      </c>
      <c r="K3197" s="5" t="s">
        <v>40</v>
      </c>
      <c r="L3197" s="4">
        <f>Table4[[#This Row],[quantity]]*Table4[[#This Row],[unit_price]]</f>
        <v>75.09</v>
      </c>
      <c r="M3197">
        <f>COUNTIFS($C$2:$C$3934,Table4[[#This Row],[customer_id]])</f>
        <v>5</v>
      </c>
      <c r="N3197" t="str">
        <f>IF(Table4[[#This Row],[customer_order_count]]=1,"New Customer","Repeat Customer")</f>
        <v>Repeat Customer</v>
      </c>
    </row>
    <row r="3198" spans="1:14">
      <c r="A3198" t="s">
        <v>97</v>
      </c>
      <c r="B3198" s="1">
        <v>45186</v>
      </c>
      <c r="C3198" t="s">
        <v>98</v>
      </c>
      <c r="D3198" t="s">
        <v>99</v>
      </c>
      <c r="E3198" t="s">
        <v>21</v>
      </c>
      <c r="F3198" t="s">
        <v>14</v>
      </c>
      <c r="G3198" t="s">
        <v>100</v>
      </c>
      <c r="H3198">
        <v>1</v>
      </c>
      <c r="I3198" s="3">
        <v>75.14</v>
      </c>
      <c r="J3198" t="s">
        <v>16</v>
      </c>
      <c r="K3198" t="s">
        <v>17</v>
      </c>
      <c r="L3198" s="4">
        <f>Table4[[#This Row],[quantity]]*Table4[[#This Row],[unit_price]]</f>
        <v>75.14</v>
      </c>
      <c r="M3198">
        <f>COUNTIFS($C$2:$C$3934,Table4[[#This Row],[customer_id]])</f>
        <v>7</v>
      </c>
      <c r="N3198" t="str">
        <f>IF(Table4[[#This Row],[customer_order_count]]=1,"New Customer","Repeat Customer")</f>
        <v>Repeat Customer</v>
      </c>
    </row>
    <row r="3199" spans="1:14">
      <c r="A3199" t="s">
        <v>1031</v>
      </c>
      <c r="B3199" s="1">
        <v>45292</v>
      </c>
      <c r="C3199" t="s">
        <v>137</v>
      </c>
      <c r="D3199" t="s">
        <v>138</v>
      </c>
      <c r="E3199" t="s">
        <v>21</v>
      </c>
      <c r="F3199" t="s">
        <v>70</v>
      </c>
      <c r="G3199" t="s">
        <v>146</v>
      </c>
      <c r="H3199">
        <v>2</v>
      </c>
      <c r="I3199" s="3">
        <v>75.23</v>
      </c>
      <c r="J3199" t="s">
        <v>16</v>
      </c>
      <c r="K3199" s="2" t="s">
        <v>5256</v>
      </c>
      <c r="L3199" s="4">
        <f>Table4[[#This Row],[quantity]]*Table4[[#This Row],[unit_price]]</f>
        <v>150.46</v>
      </c>
      <c r="M3199">
        <f>COUNTIFS($C$2:$C$3934,Table4[[#This Row],[customer_id]])</f>
        <v>4</v>
      </c>
      <c r="N3199" t="str">
        <f>IF(Table4[[#This Row],[customer_order_count]]=1,"New Customer","Repeat Customer")</f>
        <v>Repeat Customer</v>
      </c>
    </row>
    <row r="3200" spans="1:14">
      <c r="A3200" t="s">
        <v>3745</v>
      </c>
      <c r="B3200" s="1">
        <v>45236</v>
      </c>
      <c r="C3200" t="s">
        <v>1492</v>
      </c>
      <c r="D3200" t="s">
        <v>1070</v>
      </c>
      <c r="E3200" t="s">
        <v>44</v>
      </c>
      <c r="F3200" t="s">
        <v>70</v>
      </c>
      <c r="G3200" t="s">
        <v>337</v>
      </c>
      <c r="H3200">
        <v>1</v>
      </c>
      <c r="I3200" s="3">
        <v>75.260000000000005</v>
      </c>
      <c r="J3200" t="s">
        <v>16</v>
      </c>
      <c r="K3200" s="5" t="s">
        <v>40</v>
      </c>
      <c r="L3200" s="4">
        <f>Table4[[#This Row],[quantity]]*Table4[[#This Row],[unit_price]]</f>
        <v>75.260000000000005</v>
      </c>
      <c r="M3200">
        <f>COUNTIFS($C$2:$C$3934,Table4[[#This Row],[customer_id]])</f>
        <v>5</v>
      </c>
      <c r="N3200" t="str">
        <f>IF(Table4[[#This Row],[customer_order_count]]=1,"New Customer","Repeat Customer")</f>
        <v>Repeat Customer</v>
      </c>
    </row>
    <row r="3201" spans="1:14">
      <c r="A3201" t="s">
        <v>3442</v>
      </c>
      <c r="B3201" s="1">
        <v>45446</v>
      </c>
      <c r="C3201" t="s">
        <v>3364</v>
      </c>
      <c r="D3201" t="s">
        <v>1832</v>
      </c>
      <c r="E3201" t="s">
        <v>21</v>
      </c>
      <c r="F3201" t="s">
        <v>70</v>
      </c>
      <c r="G3201" t="s">
        <v>89</v>
      </c>
      <c r="H3201">
        <v>1</v>
      </c>
      <c r="I3201" s="3">
        <v>75.31</v>
      </c>
      <c r="J3201" t="s">
        <v>16</v>
      </c>
      <c r="K3201" t="s">
        <v>30</v>
      </c>
      <c r="L3201" s="4">
        <f>Table4[[#This Row],[quantity]]*Table4[[#This Row],[unit_price]]</f>
        <v>75.31</v>
      </c>
      <c r="M3201">
        <f>COUNTIFS($C$2:$C$3934,Table4[[#This Row],[customer_id]])</f>
        <v>3</v>
      </c>
      <c r="N3201" t="str">
        <f>IF(Table4[[#This Row],[customer_order_count]]=1,"New Customer","Repeat Customer")</f>
        <v>Repeat Customer</v>
      </c>
    </row>
    <row r="3202" spans="1:14">
      <c r="A3202" t="s">
        <v>2640</v>
      </c>
      <c r="B3202" s="1">
        <v>45078</v>
      </c>
      <c r="C3202" t="s">
        <v>1580</v>
      </c>
      <c r="D3202" t="s">
        <v>525</v>
      </c>
      <c r="E3202" t="s">
        <v>44</v>
      </c>
      <c r="F3202" t="s">
        <v>56</v>
      </c>
      <c r="G3202" t="s">
        <v>75</v>
      </c>
      <c r="H3202">
        <v>1</v>
      </c>
      <c r="I3202" s="3">
        <v>75.38</v>
      </c>
      <c r="J3202" t="s">
        <v>16</v>
      </c>
      <c r="K3202" t="s">
        <v>35</v>
      </c>
      <c r="L3202" s="4">
        <f>Table4[[#This Row],[quantity]]*Table4[[#This Row],[unit_price]]</f>
        <v>75.38</v>
      </c>
      <c r="M3202">
        <f>COUNTIFS($C$2:$C$3934,Table4[[#This Row],[customer_id]])</f>
        <v>7</v>
      </c>
      <c r="N3202" t="str">
        <f>IF(Table4[[#This Row],[customer_order_count]]=1,"New Customer","Repeat Customer")</f>
        <v>Repeat Customer</v>
      </c>
    </row>
    <row r="3203" spans="1:14">
      <c r="A3203" t="s">
        <v>3568</v>
      </c>
      <c r="B3203" s="1">
        <v>45651</v>
      </c>
      <c r="C3203" t="s">
        <v>1014</v>
      </c>
      <c r="D3203" t="s">
        <v>491</v>
      </c>
      <c r="E3203" t="s">
        <v>44</v>
      </c>
      <c r="F3203" t="s">
        <v>14</v>
      </c>
      <c r="G3203" t="s">
        <v>258</v>
      </c>
      <c r="H3203">
        <v>1</v>
      </c>
      <c r="I3203" s="3">
        <v>75.400000000000006</v>
      </c>
      <c r="J3203" t="s">
        <v>255</v>
      </c>
      <c r="K3203" t="s">
        <v>35</v>
      </c>
      <c r="L3203" s="4">
        <f>Table4[[#This Row],[quantity]]*Table4[[#This Row],[unit_price]]</f>
        <v>75.400000000000006</v>
      </c>
      <c r="M3203">
        <f>COUNTIFS($C$2:$C$3934,Table4[[#This Row],[customer_id]])</f>
        <v>5</v>
      </c>
      <c r="N3203" t="str">
        <f>IF(Table4[[#This Row],[customer_order_count]]=1,"New Customer","Repeat Customer")</f>
        <v>Repeat Customer</v>
      </c>
    </row>
    <row r="3204" spans="1:14">
      <c r="A3204" t="s">
        <v>1726</v>
      </c>
      <c r="B3204" s="1">
        <v>45099</v>
      </c>
      <c r="C3204" t="s">
        <v>1379</v>
      </c>
      <c r="D3204" t="s">
        <v>1054</v>
      </c>
      <c r="E3204" t="s">
        <v>21</v>
      </c>
      <c r="F3204" t="s">
        <v>70</v>
      </c>
      <c r="G3204" t="s">
        <v>89</v>
      </c>
      <c r="H3204">
        <v>3</v>
      </c>
      <c r="I3204" s="3">
        <v>75.41</v>
      </c>
      <c r="J3204" t="s">
        <v>16</v>
      </c>
      <c r="K3204" t="s">
        <v>17</v>
      </c>
      <c r="L3204" s="4">
        <f>Table4[[#This Row],[quantity]]*Table4[[#This Row],[unit_price]]</f>
        <v>226.23</v>
      </c>
      <c r="M3204">
        <f>COUNTIFS($C$2:$C$3934,Table4[[#This Row],[customer_id]])</f>
        <v>5</v>
      </c>
      <c r="N3204" t="str">
        <f>IF(Table4[[#This Row],[customer_order_count]]=1,"New Customer","Repeat Customer")</f>
        <v>Repeat Customer</v>
      </c>
    </row>
    <row r="3205" spans="1:14">
      <c r="A3205" t="s">
        <v>4820</v>
      </c>
      <c r="B3205" s="1">
        <v>45000</v>
      </c>
      <c r="C3205" t="s">
        <v>578</v>
      </c>
      <c r="D3205" t="s">
        <v>579</v>
      </c>
      <c r="E3205" t="s">
        <v>21</v>
      </c>
      <c r="F3205" t="s">
        <v>70</v>
      </c>
      <c r="G3205" t="s">
        <v>71</v>
      </c>
      <c r="H3205">
        <v>2</v>
      </c>
      <c r="I3205" s="3">
        <v>75.42</v>
      </c>
      <c r="J3205" t="s">
        <v>16</v>
      </c>
      <c r="K3205" t="s">
        <v>35</v>
      </c>
      <c r="L3205" s="4">
        <f>Table4[[#This Row],[quantity]]*Table4[[#This Row],[unit_price]]</f>
        <v>150.84</v>
      </c>
      <c r="M3205">
        <f>COUNTIFS($C$2:$C$3934,Table4[[#This Row],[customer_id]])</f>
        <v>10</v>
      </c>
      <c r="N3205" t="str">
        <f>IF(Table4[[#This Row],[customer_order_count]]=1,"New Customer","Repeat Customer")</f>
        <v>Repeat Customer</v>
      </c>
    </row>
    <row r="3206" spans="1:14">
      <c r="A3206" t="s">
        <v>1399</v>
      </c>
      <c r="B3206" s="1">
        <v>45218</v>
      </c>
      <c r="C3206" t="s">
        <v>604</v>
      </c>
      <c r="D3206" t="s">
        <v>38</v>
      </c>
      <c r="E3206" t="s">
        <v>21</v>
      </c>
      <c r="F3206" t="s">
        <v>56</v>
      </c>
      <c r="G3206" t="s">
        <v>57</v>
      </c>
      <c r="H3206">
        <v>2</v>
      </c>
      <c r="I3206" s="3">
        <v>75.459999999999994</v>
      </c>
      <c r="J3206" t="s">
        <v>16</v>
      </c>
      <c r="K3206" t="s">
        <v>17</v>
      </c>
      <c r="L3206" s="4">
        <f>Table4[[#This Row],[quantity]]*Table4[[#This Row],[unit_price]]</f>
        <v>150.91999999999999</v>
      </c>
      <c r="M3206">
        <f>COUNTIFS($C$2:$C$3934,Table4[[#This Row],[customer_id]])</f>
        <v>7</v>
      </c>
      <c r="N3206" t="str">
        <f>IF(Table4[[#This Row],[customer_order_count]]=1,"New Customer","Repeat Customer")</f>
        <v>Repeat Customer</v>
      </c>
    </row>
    <row r="3207" spans="1:14">
      <c r="A3207" t="s">
        <v>1225</v>
      </c>
      <c r="B3207" s="1">
        <v>45077</v>
      </c>
      <c r="C3207" t="s">
        <v>866</v>
      </c>
      <c r="D3207" t="s">
        <v>484</v>
      </c>
      <c r="E3207" t="s">
        <v>21</v>
      </c>
      <c r="F3207" t="s">
        <v>56</v>
      </c>
      <c r="G3207" t="s">
        <v>254</v>
      </c>
      <c r="H3207">
        <v>2</v>
      </c>
      <c r="I3207" s="3">
        <v>75.569999999999993</v>
      </c>
      <c r="J3207" t="s">
        <v>16</v>
      </c>
      <c r="K3207" t="s">
        <v>17</v>
      </c>
      <c r="L3207" s="4">
        <f>Table4[[#This Row],[quantity]]*Table4[[#This Row],[unit_price]]</f>
        <v>151.13999999999999</v>
      </c>
      <c r="M3207">
        <f>COUNTIFS($C$2:$C$3934,Table4[[#This Row],[customer_id]])</f>
        <v>4</v>
      </c>
      <c r="N3207" t="str">
        <f>IF(Table4[[#This Row],[customer_order_count]]=1,"New Customer","Repeat Customer")</f>
        <v>Repeat Customer</v>
      </c>
    </row>
    <row r="3208" spans="1:14">
      <c r="A3208" t="s">
        <v>2956</v>
      </c>
      <c r="B3208" s="1">
        <v>45613</v>
      </c>
      <c r="C3208" t="s">
        <v>2922</v>
      </c>
      <c r="D3208" t="s">
        <v>519</v>
      </c>
      <c r="E3208" t="s">
        <v>44</v>
      </c>
      <c r="F3208" t="s">
        <v>70</v>
      </c>
      <c r="G3208" t="s">
        <v>526</v>
      </c>
      <c r="H3208">
        <v>5</v>
      </c>
      <c r="I3208" s="3">
        <v>75.569999999999993</v>
      </c>
      <c r="J3208" t="s">
        <v>16</v>
      </c>
      <c r="K3208" t="s">
        <v>17</v>
      </c>
      <c r="L3208" s="4">
        <f>Table4[[#This Row],[quantity]]*Table4[[#This Row],[unit_price]]</f>
        <v>377.84999999999997</v>
      </c>
      <c r="M3208">
        <f>COUNTIFS($C$2:$C$3934,Table4[[#This Row],[customer_id]])</f>
        <v>4</v>
      </c>
      <c r="N3208" t="str">
        <f>IF(Table4[[#This Row],[customer_order_count]]=1,"New Customer","Repeat Customer")</f>
        <v>Repeat Customer</v>
      </c>
    </row>
    <row r="3209" spans="1:14">
      <c r="A3209" t="s">
        <v>1527</v>
      </c>
      <c r="B3209" s="1">
        <v>45323</v>
      </c>
      <c r="C3209" t="s">
        <v>1528</v>
      </c>
      <c r="D3209" t="s">
        <v>452</v>
      </c>
      <c r="E3209" t="s">
        <v>61</v>
      </c>
      <c r="F3209" t="s">
        <v>70</v>
      </c>
      <c r="G3209" t="s">
        <v>526</v>
      </c>
      <c r="H3209">
        <v>1</v>
      </c>
      <c r="I3209" s="3">
        <v>75.59</v>
      </c>
      <c r="J3209" t="s">
        <v>16</v>
      </c>
      <c r="K3209" t="s">
        <v>35</v>
      </c>
      <c r="L3209" s="4">
        <f>Table4[[#This Row],[quantity]]*Table4[[#This Row],[unit_price]]</f>
        <v>75.59</v>
      </c>
      <c r="M3209">
        <f>COUNTIFS($C$2:$C$3934,Table4[[#This Row],[customer_id]])</f>
        <v>2</v>
      </c>
      <c r="N3209" t="str">
        <f>IF(Table4[[#This Row],[customer_order_count]]=1,"New Customer","Repeat Customer")</f>
        <v>Repeat Customer</v>
      </c>
    </row>
    <row r="3210" spans="1:14">
      <c r="A3210" t="s">
        <v>5222</v>
      </c>
      <c r="B3210" s="1">
        <v>45590</v>
      </c>
      <c r="C3210" t="s">
        <v>1968</v>
      </c>
      <c r="D3210" t="s">
        <v>292</v>
      </c>
      <c r="E3210" t="s">
        <v>21</v>
      </c>
      <c r="F3210" t="s">
        <v>14</v>
      </c>
      <c r="G3210" t="s">
        <v>34</v>
      </c>
      <c r="H3210">
        <v>1</v>
      </c>
      <c r="I3210" s="3">
        <v>75.62</v>
      </c>
      <c r="J3210" t="s">
        <v>16</v>
      </c>
      <c r="K3210" t="s">
        <v>35</v>
      </c>
      <c r="L3210" s="4">
        <f>Table4[[#This Row],[quantity]]*Table4[[#This Row],[unit_price]]</f>
        <v>75.62</v>
      </c>
      <c r="M3210">
        <f>COUNTIFS($C$2:$C$3934,Table4[[#This Row],[customer_id]])</f>
        <v>6</v>
      </c>
      <c r="N3210" t="str">
        <f>IF(Table4[[#This Row],[customer_order_count]]=1,"New Customer","Repeat Customer")</f>
        <v>Repeat Customer</v>
      </c>
    </row>
    <row r="3211" spans="1:14">
      <c r="A3211" t="s">
        <v>4112</v>
      </c>
      <c r="B3211" s="1">
        <v>45418</v>
      </c>
      <c r="C3211" t="s">
        <v>3234</v>
      </c>
      <c r="D3211" t="s">
        <v>43</v>
      </c>
      <c r="E3211" t="s">
        <v>21</v>
      </c>
      <c r="F3211" t="s">
        <v>14</v>
      </c>
      <c r="G3211" t="s">
        <v>100</v>
      </c>
      <c r="H3211">
        <v>1</v>
      </c>
      <c r="I3211" s="3">
        <v>75.66</v>
      </c>
      <c r="J3211" t="s">
        <v>16</v>
      </c>
      <c r="K3211" t="s">
        <v>35</v>
      </c>
      <c r="L3211" s="4">
        <f>Table4[[#This Row],[quantity]]*Table4[[#This Row],[unit_price]]</f>
        <v>75.66</v>
      </c>
      <c r="M3211">
        <f>COUNTIFS($C$2:$C$3934,Table4[[#This Row],[customer_id]])</f>
        <v>4</v>
      </c>
      <c r="N3211" t="str">
        <f>IF(Table4[[#This Row],[customer_order_count]]=1,"New Customer","Repeat Customer")</f>
        <v>Repeat Customer</v>
      </c>
    </row>
    <row r="3212" spans="1:14">
      <c r="A3212" t="s">
        <v>4975</v>
      </c>
      <c r="B3212" s="1">
        <v>45549</v>
      </c>
      <c r="C3212" t="s">
        <v>1989</v>
      </c>
      <c r="D3212" t="s">
        <v>340</v>
      </c>
      <c r="E3212" t="s">
        <v>21</v>
      </c>
      <c r="F3212" t="s">
        <v>14</v>
      </c>
      <c r="G3212" t="s">
        <v>62</v>
      </c>
      <c r="H3212">
        <v>1</v>
      </c>
      <c r="I3212" s="3">
        <v>75.67</v>
      </c>
      <c r="J3212" t="s">
        <v>16</v>
      </c>
      <c r="K3212" t="s">
        <v>40</v>
      </c>
      <c r="L3212" s="4">
        <f>Table4[[#This Row],[quantity]]*Table4[[#This Row],[unit_price]]</f>
        <v>75.67</v>
      </c>
      <c r="M3212">
        <f>COUNTIFS($C$2:$C$3934,Table4[[#This Row],[customer_id]])</f>
        <v>8</v>
      </c>
      <c r="N3212" t="str">
        <f>IF(Table4[[#This Row],[customer_order_count]]=1,"New Customer","Repeat Customer")</f>
        <v>Repeat Customer</v>
      </c>
    </row>
    <row r="3213" spans="1:14">
      <c r="A3213" t="s">
        <v>2464</v>
      </c>
      <c r="B3213" s="1">
        <v>44942</v>
      </c>
      <c r="C3213" t="s">
        <v>2465</v>
      </c>
      <c r="D3213" t="s">
        <v>131</v>
      </c>
      <c r="E3213" t="s">
        <v>21</v>
      </c>
      <c r="F3213" t="s">
        <v>79</v>
      </c>
      <c r="G3213" t="s">
        <v>166</v>
      </c>
      <c r="H3213">
        <v>1</v>
      </c>
      <c r="I3213" s="3">
        <v>75.7</v>
      </c>
      <c r="J3213" t="s">
        <v>16</v>
      </c>
      <c r="K3213" t="s">
        <v>30</v>
      </c>
      <c r="L3213" s="4">
        <f>Table4[[#This Row],[quantity]]*Table4[[#This Row],[unit_price]]</f>
        <v>75.7</v>
      </c>
      <c r="M3213">
        <f>COUNTIFS($C$2:$C$3934,Table4[[#This Row],[customer_id]])</f>
        <v>4</v>
      </c>
      <c r="N3213" t="str">
        <f>IF(Table4[[#This Row],[customer_order_count]]=1,"New Customer","Repeat Customer")</f>
        <v>Repeat Customer</v>
      </c>
    </row>
    <row r="3214" spans="1:14">
      <c r="A3214" t="s">
        <v>4788</v>
      </c>
      <c r="B3214" s="1">
        <v>45037</v>
      </c>
      <c r="C3214" t="s">
        <v>893</v>
      </c>
      <c r="D3214" t="s">
        <v>659</v>
      </c>
      <c r="E3214" t="s">
        <v>21</v>
      </c>
      <c r="F3214" t="s">
        <v>70</v>
      </c>
      <c r="G3214" t="s">
        <v>526</v>
      </c>
      <c r="H3214">
        <v>1</v>
      </c>
      <c r="I3214" s="3">
        <v>75.739999999999995</v>
      </c>
      <c r="J3214" t="s">
        <v>16</v>
      </c>
      <c r="K3214" t="s">
        <v>30</v>
      </c>
      <c r="L3214" s="4">
        <f>Table4[[#This Row],[quantity]]*Table4[[#This Row],[unit_price]]</f>
        <v>75.739999999999995</v>
      </c>
      <c r="M3214">
        <f>COUNTIFS($C$2:$C$3934,Table4[[#This Row],[customer_id]])</f>
        <v>12</v>
      </c>
      <c r="N3214" t="str">
        <f>IF(Table4[[#This Row],[customer_order_count]]=1,"New Customer","Repeat Customer")</f>
        <v>Repeat Customer</v>
      </c>
    </row>
    <row r="3215" spans="1:14">
      <c r="A3215" t="s">
        <v>4647</v>
      </c>
      <c r="B3215" s="1">
        <v>45610</v>
      </c>
      <c r="C3215" t="s">
        <v>303</v>
      </c>
      <c r="D3215" t="s">
        <v>304</v>
      </c>
      <c r="E3215" t="s">
        <v>21</v>
      </c>
      <c r="F3215" t="s">
        <v>14</v>
      </c>
      <c r="G3215" t="s">
        <v>34</v>
      </c>
      <c r="H3215">
        <v>1</v>
      </c>
      <c r="I3215" s="3">
        <v>75.760000000000005</v>
      </c>
      <c r="J3215" t="s">
        <v>16</v>
      </c>
      <c r="K3215" t="s">
        <v>30</v>
      </c>
      <c r="L3215" s="4">
        <f>Table4[[#This Row],[quantity]]*Table4[[#This Row],[unit_price]]</f>
        <v>75.760000000000005</v>
      </c>
      <c r="M3215">
        <f>COUNTIFS($C$2:$C$3934,Table4[[#This Row],[customer_id]])</f>
        <v>5</v>
      </c>
      <c r="N3215" t="str">
        <f>IF(Table4[[#This Row],[customer_order_count]]=1,"New Customer","Repeat Customer")</f>
        <v>Repeat Customer</v>
      </c>
    </row>
    <row r="3216" spans="1:14">
      <c r="A3216" t="s">
        <v>2658</v>
      </c>
      <c r="B3216" s="1">
        <v>45209</v>
      </c>
      <c r="C3216" t="s">
        <v>1205</v>
      </c>
      <c r="D3216" t="s">
        <v>372</v>
      </c>
      <c r="E3216" t="s">
        <v>44</v>
      </c>
      <c r="F3216" t="s">
        <v>56</v>
      </c>
      <c r="G3216" t="s">
        <v>254</v>
      </c>
      <c r="H3216">
        <v>1</v>
      </c>
      <c r="I3216" s="3">
        <v>75.790000000000006</v>
      </c>
      <c r="J3216" t="s">
        <v>16</v>
      </c>
      <c r="K3216" t="s">
        <v>40</v>
      </c>
      <c r="L3216" s="4">
        <f>Table4[[#This Row],[quantity]]*Table4[[#This Row],[unit_price]]</f>
        <v>75.790000000000006</v>
      </c>
      <c r="M3216">
        <f>COUNTIFS($C$2:$C$3934,Table4[[#This Row],[customer_id]])</f>
        <v>4</v>
      </c>
      <c r="N3216" t="str">
        <f>IF(Table4[[#This Row],[customer_order_count]]=1,"New Customer","Repeat Customer")</f>
        <v>Repeat Customer</v>
      </c>
    </row>
    <row r="3217" spans="1:14">
      <c r="A3217" t="s">
        <v>3859</v>
      </c>
      <c r="B3217" s="1">
        <v>45299</v>
      </c>
      <c r="C3217" t="s">
        <v>2139</v>
      </c>
      <c r="D3217" t="s">
        <v>2140</v>
      </c>
      <c r="E3217" t="s">
        <v>21</v>
      </c>
      <c r="F3217" t="s">
        <v>14</v>
      </c>
      <c r="G3217" t="s">
        <v>39</v>
      </c>
      <c r="H3217">
        <v>2</v>
      </c>
      <c r="I3217" s="3">
        <v>75.790000000000006</v>
      </c>
      <c r="J3217" t="s">
        <v>16</v>
      </c>
      <c r="K3217" t="s">
        <v>40</v>
      </c>
      <c r="L3217" s="4">
        <f>Table4[[#This Row],[quantity]]*Table4[[#This Row],[unit_price]]</f>
        <v>151.58000000000001</v>
      </c>
      <c r="M3217">
        <f>COUNTIFS($C$2:$C$3934,Table4[[#This Row],[customer_id]])</f>
        <v>6</v>
      </c>
      <c r="N3217" t="str">
        <f>IF(Table4[[#This Row],[customer_order_count]]=1,"New Customer","Repeat Customer")</f>
        <v>Repeat Customer</v>
      </c>
    </row>
    <row r="3218" spans="1:14">
      <c r="A3218" t="s">
        <v>4410</v>
      </c>
      <c r="B3218" s="1">
        <v>45534</v>
      </c>
      <c r="C3218" t="s">
        <v>3227</v>
      </c>
      <c r="D3218" t="s">
        <v>2589</v>
      </c>
      <c r="E3218" t="s">
        <v>44</v>
      </c>
      <c r="F3218" t="s">
        <v>56</v>
      </c>
      <c r="G3218" t="s">
        <v>118</v>
      </c>
      <c r="H3218">
        <v>1</v>
      </c>
      <c r="I3218" s="3">
        <v>75.88</v>
      </c>
      <c r="J3218" t="s">
        <v>16</v>
      </c>
      <c r="K3218" t="s">
        <v>30</v>
      </c>
      <c r="L3218" s="4">
        <f>Table4[[#This Row],[quantity]]*Table4[[#This Row],[unit_price]]</f>
        <v>75.88</v>
      </c>
      <c r="M3218">
        <f>COUNTIFS($C$2:$C$3934,Table4[[#This Row],[customer_id]])</f>
        <v>3</v>
      </c>
      <c r="N3218" t="str">
        <f>IF(Table4[[#This Row],[customer_order_count]]=1,"New Customer","Repeat Customer")</f>
        <v>Repeat Customer</v>
      </c>
    </row>
    <row r="3219" spans="1:14">
      <c r="A3219" t="s">
        <v>2121</v>
      </c>
      <c r="B3219" s="1">
        <v>45005</v>
      </c>
      <c r="C3219" t="s">
        <v>1708</v>
      </c>
      <c r="D3219" t="s">
        <v>127</v>
      </c>
      <c r="E3219" t="s">
        <v>21</v>
      </c>
      <c r="F3219" t="s">
        <v>14</v>
      </c>
      <c r="G3219" t="s">
        <v>34</v>
      </c>
      <c r="H3219">
        <v>2</v>
      </c>
      <c r="I3219" s="3">
        <v>75.89</v>
      </c>
      <c r="J3219" t="s">
        <v>16</v>
      </c>
      <c r="K3219" t="s">
        <v>35</v>
      </c>
      <c r="L3219" s="4">
        <f>Table4[[#This Row],[quantity]]*Table4[[#This Row],[unit_price]]</f>
        <v>151.78</v>
      </c>
      <c r="M3219">
        <f>COUNTIFS($C$2:$C$3934,Table4[[#This Row],[customer_id]])</f>
        <v>9</v>
      </c>
      <c r="N3219" t="str">
        <f>IF(Table4[[#This Row],[customer_order_count]]=1,"New Customer","Repeat Customer")</f>
        <v>Repeat Customer</v>
      </c>
    </row>
    <row r="3220" spans="1:14">
      <c r="A3220" t="s">
        <v>3337</v>
      </c>
      <c r="B3220" s="1">
        <v>45129</v>
      </c>
      <c r="C3220" t="s">
        <v>133</v>
      </c>
      <c r="D3220" t="s">
        <v>134</v>
      </c>
      <c r="E3220" t="s">
        <v>21</v>
      </c>
      <c r="F3220" t="s">
        <v>79</v>
      </c>
      <c r="G3220" t="s">
        <v>96</v>
      </c>
      <c r="H3220">
        <v>2</v>
      </c>
      <c r="I3220" s="3">
        <v>75.91</v>
      </c>
      <c r="J3220" t="s">
        <v>16</v>
      </c>
      <c r="K3220" t="s">
        <v>40</v>
      </c>
      <c r="L3220" s="4">
        <f>Table4[[#This Row],[quantity]]*Table4[[#This Row],[unit_price]]</f>
        <v>151.82</v>
      </c>
      <c r="M3220">
        <f>COUNTIFS($C$2:$C$3934,Table4[[#This Row],[customer_id]])</f>
        <v>2</v>
      </c>
      <c r="N3220" t="str">
        <f>IF(Table4[[#This Row],[customer_order_count]]=1,"New Customer","Repeat Customer")</f>
        <v>Repeat Customer</v>
      </c>
    </row>
    <row r="3221" spans="1:14">
      <c r="A3221" t="s">
        <v>4106</v>
      </c>
      <c r="B3221" s="1">
        <v>45406</v>
      </c>
      <c r="C3221" t="s">
        <v>1166</v>
      </c>
      <c r="D3221" t="s">
        <v>292</v>
      </c>
      <c r="E3221" t="s">
        <v>21</v>
      </c>
      <c r="F3221" t="s">
        <v>70</v>
      </c>
      <c r="G3221" t="s">
        <v>110</v>
      </c>
      <c r="H3221">
        <v>1</v>
      </c>
      <c r="I3221" s="3">
        <v>75.95</v>
      </c>
      <c r="J3221" t="s">
        <v>16</v>
      </c>
      <c r="K3221" t="s">
        <v>30</v>
      </c>
      <c r="L3221" s="4">
        <f>Table4[[#This Row],[quantity]]*Table4[[#This Row],[unit_price]]</f>
        <v>75.95</v>
      </c>
      <c r="M3221">
        <f>COUNTIFS($C$2:$C$3934,Table4[[#This Row],[customer_id]])</f>
        <v>6</v>
      </c>
      <c r="N3221" t="str">
        <f>IF(Table4[[#This Row],[customer_order_count]]=1,"New Customer","Repeat Customer")</f>
        <v>Repeat Customer</v>
      </c>
    </row>
    <row r="3222" spans="1:14">
      <c r="A3222" t="s">
        <v>940</v>
      </c>
      <c r="B3222" s="1">
        <v>44995</v>
      </c>
      <c r="C3222" t="s">
        <v>941</v>
      </c>
      <c r="D3222" s="2" t="s">
        <v>5257</v>
      </c>
      <c r="E3222" t="s">
        <v>44</v>
      </c>
      <c r="F3222" t="s">
        <v>14</v>
      </c>
      <c r="G3222" t="s">
        <v>15</v>
      </c>
      <c r="H3222">
        <v>2</v>
      </c>
      <c r="I3222" s="3">
        <v>75.97</v>
      </c>
      <c r="J3222" t="s">
        <v>16</v>
      </c>
      <c r="K3222" t="s">
        <v>30</v>
      </c>
      <c r="L3222" s="4">
        <f>Table4[[#This Row],[quantity]]*Table4[[#This Row],[unit_price]]</f>
        <v>151.94</v>
      </c>
      <c r="M3222">
        <f>COUNTIFS($C$2:$C$3934,Table4[[#This Row],[customer_id]])</f>
        <v>2</v>
      </c>
      <c r="N3222" t="str">
        <f>IF(Table4[[#This Row],[customer_order_count]]=1,"New Customer","Repeat Customer")</f>
        <v>Repeat Customer</v>
      </c>
    </row>
    <row r="3223" spans="1:14">
      <c r="A3223" t="s">
        <v>3125</v>
      </c>
      <c r="B3223" s="1">
        <v>45033</v>
      </c>
      <c r="C3223" t="s">
        <v>1837</v>
      </c>
      <c r="D3223" s="5" t="s">
        <v>1838</v>
      </c>
      <c r="E3223" t="s">
        <v>21</v>
      </c>
      <c r="F3223" t="s">
        <v>14</v>
      </c>
      <c r="G3223" t="s">
        <v>258</v>
      </c>
      <c r="H3223">
        <v>1</v>
      </c>
      <c r="I3223" s="3">
        <v>76.02</v>
      </c>
      <c r="J3223" t="s">
        <v>16</v>
      </c>
      <c r="K3223" t="s">
        <v>30</v>
      </c>
      <c r="L3223" s="4">
        <f>Table4[[#This Row],[quantity]]*Table4[[#This Row],[unit_price]]</f>
        <v>76.02</v>
      </c>
      <c r="M3223">
        <f>COUNTIFS($C$2:$C$3934,Table4[[#This Row],[customer_id]])</f>
        <v>9</v>
      </c>
      <c r="N3223" t="str">
        <f>IF(Table4[[#This Row],[customer_order_count]]=1,"New Customer","Repeat Customer")</f>
        <v>Repeat Customer</v>
      </c>
    </row>
    <row r="3224" spans="1:14">
      <c r="A3224" t="s">
        <v>3153</v>
      </c>
      <c r="B3224" s="1">
        <v>44957</v>
      </c>
      <c r="C3224" t="s">
        <v>431</v>
      </c>
      <c r="D3224" t="s">
        <v>432</v>
      </c>
      <c r="E3224" t="s">
        <v>21</v>
      </c>
      <c r="F3224" t="s">
        <v>70</v>
      </c>
      <c r="G3224" t="s">
        <v>110</v>
      </c>
      <c r="H3224">
        <v>1</v>
      </c>
      <c r="I3224" s="3">
        <v>76.02</v>
      </c>
      <c r="J3224" t="s">
        <v>16</v>
      </c>
      <c r="K3224" t="s">
        <v>40</v>
      </c>
      <c r="L3224" s="4">
        <f>Table4[[#This Row],[quantity]]*Table4[[#This Row],[unit_price]]</f>
        <v>76.02</v>
      </c>
      <c r="M3224">
        <f>COUNTIFS($C$2:$C$3934,Table4[[#This Row],[customer_id]])</f>
        <v>7</v>
      </c>
      <c r="N3224" t="str">
        <f>IF(Table4[[#This Row],[customer_order_count]]=1,"New Customer","Repeat Customer")</f>
        <v>Repeat Customer</v>
      </c>
    </row>
    <row r="3225" spans="1:14">
      <c r="A3225" t="s">
        <v>4481</v>
      </c>
      <c r="B3225" s="1">
        <v>44932</v>
      </c>
      <c r="C3225" t="s">
        <v>1181</v>
      </c>
      <c r="D3225" t="s">
        <v>1000</v>
      </c>
      <c r="E3225" t="s">
        <v>21</v>
      </c>
      <c r="F3225" t="s">
        <v>70</v>
      </c>
      <c r="G3225" t="s">
        <v>146</v>
      </c>
      <c r="H3225">
        <v>1</v>
      </c>
      <c r="I3225" s="3">
        <v>76.05</v>
      </c>
      <c r="J3225" t="s">
        <v>16</v>
      </c>
      <c r="K3225" t="s">
        <v>35</v>
      </c>
      <c r="L3225" s="4">
        <f>Table4[[#This Row],[quantity]]*Table4[[#This Row],[unit_price]]</f>
        <v>76.05</v>
      </c>
      <c r="M3225">
        <f>COUNTIFS($C$2:$C$3934,Table4[[#This Row],[customer_id]])</f>
        <v>6</v>
      </c>
      <c r="N3225" t="str">
        <f>IF(Table4[[#This Row],[customer_order_count]]=1,"New Customer","Repeat Customer")</f>
        <v>Repeat Customer</v>
      </c>
    </row>
    <row r="3226" spans="1:14">
      <c r="A3226" t="s">
        <v>3799</v>
      </c>
      <c r="B3226" s="1">
        <v>45521</v>
      </c>
      <c r="C3226" t="s">
        <v>1260</v>
      </c>
      <c r="D3226" t="s">
        <v>173</v>
      </c>
      <c r="E3226" t="s">
        <v>21</v>
      </c>
      <c r="F3226" t="s">
        <v>70</v>
      </c>
      <c r="G3226" t="s">
        <v>71</v>
      </c>
      <c r="H3226">
        <v>2</v>
      </c>
      <c r="I3226" s="3">
        <v>76.06</v>
      </c>
      <c r="J3226" t="s">
        <v>85</v>
      </c>
      <c r="K3226" t="s">
        <v>40</v>
      </c>
      <c r="L3226" s="4">
        <f>Table4[[#This Row],[quantity]]*Table4[[#This Row],[unit_price]]</f>
        <v>152.12</v>
      </c>
      <c r="M3226">
        <f>COUNTIFS($C$2:$C$3934,Table4[[#This Row],[customer_id]])</f>
        <v>4</v>
      </c>
      <c r="N3226" t="str">
        <f>IF(Table4[[#This Row],[customer_order_count]]=1,"New Customer","Repeat Customer")</f>
        <v>Repeat Customer</v>
      </c>
    </row>
    <row r="3227" spans="1:14">
      <c r="A3227" t="s">
        <v>2733</v>
      </c>
      <c r="B3227" s="1">
        <v>45640</v>
      </c>
      <c r="C3227" t="s">
        <v>897</v>
      </c>
      <c r="D3227" t="s">
        <v>831</v>
      </c>
      <c r="E3227" t="s">
        <v>21</v>
      </c>
      <c r="F3227" t="s">
        <v>56</v>
      </c>
      <c r="G3227" t="s">
        <v>210</v>
      </c>
      <c r="H3227">
        <v>2</v>
      </c>
      <c r="I3227" s="3">
        <v>76.06</v>
      </c>
      <c r="J3227" t="s">
        <v>16</v>
      </c>
      <c r="K3227" t="s">
        <v>17</v>
      </c>
      <c r="L3227" s="4">
        <f>Table4[[#This Row],[quantity]]*Table4[[#This Row],[unit_price]]</f>
        <v>152.12</v>
      </c>
      <c r="M3227">
        <f>COUNTIFS($C$2:$C$3934,Table4[[#This Row],[customer_id]])</f>
        <v>6</v>
      </c>
      <c r="N3227" t="str">
        <f>IF(Table4[[#This Row],[customer_order_count]]=1,"New Customer","Repeat Customer")</f>
        <v>Repeat Customer</v>
      </c>
    </row>
    <row r="3228" spans="1:14">
      <c r="A3228" t="s">
        <v>2213</v>
      </c>
      <c r="B3228" s="1">
        <v>45046</v>
      </c>
      <c r="C3228" t="s">
        <v>2214</v>
      </c>
      <c r="D3228" t="s">
        <v>2215</v>
      </c>
      <c r="E3228" t="s">
        <v>21</v>
      </c>
      <c r="F3228" t="s">
        <v>14</v>
      </c>
      <c r="G3228" t="s">
        <v>34</v>
      </c>
      <c r="H3228">
        <v>2</v>
      </c>
      <c r="I3228" s="3">
        <v>76.08</v>
      </c>
      <c r="J3228" t="s">
        <v>16</v>
      </c>
      <c r="K3228" t="s">
        <v>35</v>
      </c>
      <c r="L3228" s="4">
        <f>Table4[[#This Row],[quantity]]*Table4[[#This Row],[unit_price]]</f>
        <v>152.16</v>
      </c>
      <c r="M3228">
        <f>COUNTIFS($C$2:$C$3934,Table4[[#This Row],[customer_id]])</f>
        <v>5</v>
      </c>
      <c r="N3228" t="str">
        <f>IF(Table4[[#This Row],[customer_order_count]]=1,"New Customer","Repeat Customer")</f>
        <v>Repeat Customer</v>
      </c>
    </row>
    <row r="3229" spans="1:14">
      <c r="A3229" t="s">
        <v>5083</v>
      </c>
      <c r="B3229" s="1">
        <v>45453</v>
      </c>
      <c r="C3229" t="s">
        <v>501</v>
      </c>
      <c r="D3229" t="s">
        <v>502</v>
      </c>
      <c r="E3229" t="s">
        <v>21</v>
      </c>
      <c r="F3229" t="s">
        <v>56</v>
      </c>
      <c r="G3229" t="s">
        <v>153</v>
      </c>
      <c r="H3229">
        <v>2</v>
      </c>
      <c r="I3229" s="3">
        <v>76.09</v>
      </c>
      <c r="J3229" t="s">
        <v>16</v>
      </c>
      <c r="K3229" t="s">
        <v>30</v>
      </c>
      <c r="L3229" s="4">
        <f>Table4[[#This Row],[quantity]]*Table4[[#This Row],[unit_price]]</f>
        <v>152.18</v>
      </c>
      <c r="M3229">
        <f>COUNTIFS($C$2:$C$3934,Table4[[#This Row],[customer_id]])</f>
        <v>6</v>
      </c>
      <c r="N3229" t="str">
        <f>IF(Table4[[#This Row],[customer_order_count]]=1,"New Customer","Repeat Customer")</f>
        <v>Repeat Customer</v>
      </c>
    </row>
    <row r="3230" spans="1:14">
      <c r="A3230" t="s">
        <v>497</v>
      </c>
      <c r="B3230" s="1">
        <v>45301</v>
      </c>
      <c r="C3230" t="s">
        <v>498</v>
      </c>
      <c r="D3230" t="s">
        <v>499</v>
      </c>
      <c r="E3230" t="s">
        <v>21</v>
      </c>
      <c r="F3230" t="s">
        <v>56</v>
      </c>
      <c r="G3230" t="s">
        <v>153</v>
      </c>
      <c r="H3230">
        <v>1</v>
      </c>
      <c r="I3230" s="3">
        <v>76.099999999999994</v>
      </c>
      <c r="J3230" t="s">
        <v>16</v>
      </c>
      <c r="K3230" t="s">
        <v>17</v>
      </c>
      <c r="L3230" s="4">
        <f>Table4[[#This Row],[quantity]]*Table4[[#This Row],[unit_price]]</f>
        <v>76.099999999999994</v>
      </c>
      <c r="M3230">
        <f>COUNTIFS($C$2:$C$3934,Table4[[#This Row],[customer_id]])</f>
        <v>4</v>
      </c>
      <c r="N3230" t="str">
        <f>IF(Table4[[#This Row],[customer_order_count]]=1,"New Customer","Repeat Customer")</f>
        <v>Repeat Customer</v>
      </c>
    </row>
    <row r="3231" spans="1:14">
      <c r="A3231" t="s">
        <v>4951</v>
      </c>
      <c r="B3231" s="1">
        <v>45378</v>
      </c>
      <c r="C3231" t="s">
        <v>2054</v>
      </c>
      <c r="D3231" t="s">
        <v>2055</v>
      </c>
      <c r="E3231" t="s">
        <v>21</v>
      </c>
      <c r="F3231" t="s">
        <v>79</v>
      </c>
      <c r="G3231" t="s">
        <v>166</v>
      </c>
      <c r="H3231">
        <v>1</v>
      </c>
      <c r="I3231" s="3">
        <v>76.12</v>
      </c>
      <c r="J3231" t="s">
        <v>16</v>
      </c>
      <c r="K3231" t="s">
        <v>30</v>
      </c>
      <c r="L3231" s="4">
        <f>Table4[[#This Row],[quantity]]*Table4[[#This Row],[unit_price]]</f>
        <v>76.12</v>
      </c>
      <c r="M3231">
        <f>COUNTIFS($C$2:$C$3934,Table4[[#This Row],[customer_id]])</f>
        <v>8</v>
      </c>
      <c r="N3231" t="str">
        <f>IF(Table4[[#This Row],[customer_order_count]]=1,"New Customer","Repeat Customer")</f>
        <v>Repeat Customer</v>
      </c>
    </row>
    <row r="3232" spans="1:14">
      <c r="A3232" t="s">
        <v>3835</v>
      </c>
      <c r="B3232" s="1">
        <v>45007</v>
      </c>
      <c r="C3232" t="s">
        <v>3304</v>
      </c>
      <c r="D3232" t="s">
        <v>2152</v>
      </c>
      <c r="E3232" t="s">
        <v>21</v>
      </c>
      <c r="F3232" t="s">
        <v>79</v>
      </c>
      <c r="G3232" t="s">
        <v>96</v>
      </c>
      <c r="H3232">
        <v>1</v>
      </c>
      <c r="I3232" s="3">
        <v>76.14</v>
      </c>
      <c r="J3232" t="s">
        <v>16</v>
      </c>
      <c r="K3232" t="s">
        <v>17</v>
      </c>
      <c r="L3232" s="4">
        <f>Table4[[#This Row],[quantity]]*Table4[[#This Row],[unit_price]]</f>
        <v>76.14</v>
      </c>
      <c r="M3232">
        <f>COUNTIFS($C$2:$C$3934,Table4[[#This Row],[customer_id]])</f>
        <v>2</v>
      </c>
      <c r="N3232" t="str">
        <f>IF(Table4[[#This Row],[customer_order_count]]=1,"New Customer","Repeat Customer")</f>
        <v>Repeat Customer</v>
      </c>
    </row>
    <row r="3233" spans="1:14">
      <c r="A3233" t="s">
        <v>3829</v>
      </c>
      <c r="B3233" s="1">
        <v>45255</v>
      </c>
      <c r="C3233" t="s">
        <v>2301</v>
      </c>
      <c r="D3233" t="s">
        <v>1922</v>
      </c>
      <c r="E3233" t="s">
        <v>21</v>
      </c>
      <c r="F3233" t="s">
        <v>70</v>
      </c>
      <c r="G3233" t="s">
        <v>526</v>
      </c>
      <c r="H3233">
        <v>1</v>
      </c>
      <c r="I3233" s="3">
        <v>76.16</v>
      </c>
      <c r="J3233" t="s">
        <v>16</v>
      </c>
      <c r="K3233" t="s">
        <v>17</v>
      </c>
      <c r="L3233" s="4">
        <f>Table4[[#This Row],[quantity]]*Table4[[#This Row],[unit_price]]</f>
        <v>76.16</v>
      </c>
      <c r="M3233">
        <f>COUNTIFS($C$2:$C$3934,Table4[[#This Row],[customer_id]])</f>
        <v>6</v>
      </c>
      <c r="N3233" t="str">
        <f>IF(Table4[[#This Row],[customer_order_count]]=1,"New Customer","Repeat Customer")</f>
        <v>Repeat Customer</v>
      </c>
    </row>
    <row r="3234" spans="1:14">
      <c r="A3234" t="s">
        <v>4781</v>
      </c>
      <c r="B3234" s="1">
        <v>45012</v>
      </c>
      <c r="C3234" t="s">
        <v>3753</v>
      </c>
      <c r="D3234" t="s">
        <v>693</v>
      </c>
      <c r="E3234" t="s">
        <v>21</v>
      </c>
      <c r="F3234" t="s">
        <v>14</v>
      </c>
      <c r="G3234" t="s">
        <v>62</v>
      </c>
      <c r="H3234">
        <v>4</v>
      </c>
      <c r="I3234" s="3">
        <v>76.22</v>
      </c>
      <c r="J3234" t="s">
        <v>16</v>
      </c>
      <c r="K3234" t="s">
        <v>30</v>
      </c>
      <c r="L3234" s="4">
        <f>Table4[[#This Row],[quantity]]*Table4[[#This Row],[unit_price]]</f>
        <v>304.88</v>
      </c>
      <c r="M3234">
        <f>COUNTIFS($C$2:$C$3934,Table4[[#This Row],[customer_id]])</f>
        <v>3</v>
      </c>
      <c r="N3234" t="str">
        <f>IF(Table4[[#This Row],[customer_order_count]]=1,"New Customer","Repeat Customer")</f>
        <v>Repeat Customer</v>
      </c>
    </row>
    <row r="3235" spans="1:14">
      <c r="A3235" t="s">
        <v>1092</v>
      </c>
      <c r="B3235" s="1">
        <v>45513</v>
      </c>
      <c r="C3235" t="s">
        <v>1093</v>
      </c>
      <c r="D3235" t="s">
        <v>324</v>
      </c>
      <c r="E3235" t="s">
        <v>44</v>
      </c>
      <c r="F3235" t="s">
        <v>56</v>
      </c>
      <c r="G3235" t="s">
        <v>57</v>
      </c>
      <c r="H3235">
        <v>2</v>
      </c>
      <c r="I3235" s="3">
        <v>76.3</v>
      </c>
      <c r="J3235" t="s">
        <v>85</v>
      </c>
      <c r="K3235" t="s">
        <v>40</v>
      </c>
      <c r="L3235" s="4">
        <f>Table4[[#This Row],[quantity]]*Table4[[#This Row],[unit_price]]</f>
        <v>152.6</v>
      </c>
      <c r="M3235">
        <f>COUNTIFS($C$2:$C$3934,Table4[[#This Row],[customer_id]])</f>
        <v>2</v>
      </c>
      <c r="N3235" t="str">
        <f>IF(Table4[[#This Row],[customer_order_count]]=1,"New Customer","Repeat Customer")</f>
        <v>Repeat Customer</v>
      </c>
    </row>
    <row r="3236" spans="1:14">
      <c r="A3236" t="s">
        <v>4157</v>
      </c>
      <c r="B3236" s="1">
        <v>45059</v>
      </c>
      <c r="C3236" t="s">
        <v>1175</v>
      </c>
      <c r="D3236" t="s">
        <v>1176</v>
      </c>
      <c r="E3236" t="s">
        <v>21</v>
      </c>
      <c r="F3236" t="s">
        <v>79</v>
      </c>
      <c r="G3236" t="s">
        <v>80</v>
      </c>
      <c r="H3236">
        <v>4</v>
      </c>
      <c r="I3236" s="3">
        <v>76.3</v>
      </c>
      <c r="J3236" t="s">
        <v>24</v>
      </c>
      <c r="K3236" t="s">
        <v>17</v>
      </c>
      <c r="L3236" s="4">
        <f>Table4[[#This Row],[quantity]]*Table4[[#This Row],[unit_price]]</f>
        <v>305.2</v>
      </c>
      <c r="M3236">
        <f>COUNTIFS($C$2:$C$3934,Table4[[#This Row],[customer_id]])</f>
        <v>4</v>
      </c>
      <c r="N3236" t="str">
        <f>IF(Table4[[#This Row],[customer_order_count]]=1,"New Customer","Repeat Customer")</f>
        <v>Repeat Customer</v>
      </c>
    </row>
    <row r="3237" spans="1:14">
      <c r="A3237" t="s">
        <v>3828</v>
      </c>
      <c r="B3237" s="1">
        <v>45146</v>
      </c>
      <c r="C3237" t="s">
        <v>2219</v>
      </c>
      <c r="D3237" t="s">
        <v>414</v>
      </c>
      <c r="E3237" t="s">
        <v>44</v>
      </c>
      <c r="F3237" t="s">
        <v>14</v>
      </c>
      <c r="G3237" t="s">
        <v>39</v>
      </c>
      <c r="H3237">
        <v>1</v>
      </c>
      <c r="I3237" s="3">
        <v>76.319999999999993</v>
      </c>
      <c r="J3237" t="s">
        <v>16</v>
      </c>
      <c r="K3237" t="s">
        <v>35</v>
      </c>
      <c r="L3237" s="4">
        <f>Table4[[#This Row],[quantity]]*Table4[[#This Row],[unit_price]]</f>
        <v>76.319999999999993</v>
      </c>
      <c r="M3237">
        <f>COUNTIFS($C$2:$C$3934,Table4[[#This Row],[customer_id]])</f>
        <v>4</v>
      </c>
      <c r="N3237" t="str">
        <f>IF(Table4[[#This Row],[customer_order_count]]=1,"New Customer","Repeat Customer")</f>
        <v>Repeat Customer</v>
      </c>
    </row>
    <row r="3238" spans="1:14">
      <c r="A3238" t="s">
        <v>5064</v>
      </c>
      <c r="B3238" s="1">
        <v>45020</v>
      </c>
      <c r="C3238" t="s">
        <v>1725</v>
      </c>
      <c r="D3238" t="s">
        <v>650</v>
      </c>
      <c r="E3238" t="s">
        <v>44</v>
      </c>
      <c r="F3238" t="s">
        <v>70</v>
      </c>
      <c r="G3238" t="s">
        <v>146</v>
      </c>
      <c r="H3238">
        <v>1</v>
      </c>
      <c r="I3238" s="3">
        <v>76.33</v>
      </c>
      <c r="J3238" t="s">
        <v>16</v>
      </c>
      <c r="K3238" t="s">
        <v>17</v>
      </c>
      <c r="L3238" s="4">
        <f>Table4[[#This Row],[quantity]]*Table4[[#This Row],[unit_price]]</f>
        <v>76.33</v>
      </c>
      <c r="M3238">
        <f>COUNTIFS($C$2:$C$3934,Table4[[#This Row],[customer_id]])</f>
        <v>4</v>
      </c>
      <c r="N3238" t="str">
        <f>IF(Table4[[#This Row],[customer_order_count]]=1,"New Customer","Repeat Customer")</f>
        <v>Repeat Customer</v>
      </c>
    </row>
    <row r="3239" spans="1:14">
      <c r="A3239" t="s">
        <v>4348</v>
      </c>
      <c r="B3239" s="1">
        <v>45436</v>
      </c>
      <c r="C3239" t="s">
        <v>3127</v>
      </c>
      <c r="D3239" t="s">
        <v>3128</v>
      </c>
      <c r="E3239" t="s">
        <v>21</v>
      </c>
      <c r="F3239" t="s">
        <v>70</v>
      </c>
      <c r="G3239" t="s">
        <v>110</v>
      </c>
      <c r="H3239">
        <v>5</v>
      </c>
      <c r="I3239" s="3">
        <v>76.34</v>
      </c>
      <c r="J3239" t="s">
        <v>16</v>
      </c>
      <c r="K3239" t="s">
        <v>40</v>
      </c>
      <c r="L3239" s="4">
        <f>Table4[[#This Row],[quantity]]*Table4[[#This Row],[unit_price]]</f>
        <v>381.70000000000005</v>
      </c>
      <c r="M3239">
        <f>COUNTIFS($C$2:$C$3934,Table4[[#This Row],[customer_id]])</f>
        <v>5</v>
      </c>
      <c r="N3239" t="str">
        <f>IF(Table4[[#This Row],[customer_order_count]]=1,"New Customer","Repeat Customer")</f>
        <v>Repeat Customer</v>
      </c>
    </row>
    <row r="3240" spans="1:14">
      <c r="A3240" t="s">
        <v>1979</v>
      </c>
      <c r="B3240" s="1">
        <v>45265</v>
      </c>
      <c r="C3240" t="s">
        <v>793</v>
      </c>
      <c r="D3240" t="s">
        <v>794</v>
      </c>
      <c r="E3240" t="s">
        <v>44</v>
      </c>
      <c r="F3240" t="s">
        <v>56</v>
      </c>
      <c r="G3240" t="s">
        <v>57</v>
      </c>
      <c r="H3240">
        <v>2</v>
      </c>
      <c r="I3240" s="3">
        <v>76.39</v>
      </c>
      <c r="J3240" t="s">
        <v>16</v>
      </c>
      <c r="K3240" t="s">
        <v>17</v>
      </c>
      <c r="L3240" s="4">
        <f>Table4[[#This Row],[quantity]]*Table4[[#This Row],[unit_price]]</f>
        <v>152.78</v>
      </c>
      <c r="M3240">
        <f>COUNTIFS($C$2:$C$3934,Table4[[#This Row],[customer_id]])</f>
        <v>5</v>
      </c>
      <c r="N3240" t="str">
        <f>IF(Table4[[#This Row],[customer_order_count]]=1,"New Customer","Repeat Customer")</f>
        <v>Repeat Customer</v>
      </c>
    </row>
    <row r="3241" spans="1:14">
      <c r="A3241" t="s">
        <v>4238</v>
      </c>
      <c r="B3241" s="1">
        <v>45631</v>
      </c>
      <c r="C3241" t="s">
        <v>3063</v>
      </c>
      <c r="D3241" t="s">
        <v>659</v>
      </c>
      <c r="E3241" t="s">
        <v>21</v>
      </c>
      <c r="F3241" t="s">
        <v>56</v>
      </c>
      <c r="G3241" t="s">
        <v>422</v>
      </c>
      <c r="H3241">
        <v>1</v>
      </c>
      <c r="I3241" s="3">
        <v>76.400000000000006</v>
      </c>
      <c r="J3241" t="s">
        <v>16</v>
      </c>
      <c r="K3241" t="s">
        <v>35</v>
      </c>
      <c r="L3241" s="4">
        <f>Table4[[#This Row],[quantity]]*Table4[[#This Row],[unit_price]]</f>
        <v>76.400000000000006</v>
      </c>
      <c r="M3241">
        <f>COUNTIFS($C$2:$C$3934,Table4[[#This Row],[customer_id]])</f>
        <v>5</v>
      </c>
      <c r="N3241" t="str">
        <f>IF(Table4[[#This Row],[customer_order_count]]=1,"New Customer","Repeat Customer")</f>
        <v>Repeat Customer</v>
      </c>
    </row>
    <row r="3242" spans="1:14">
      <c r="A3242" t="s">
        <v>3948</v>
      </c>
      <c r="B3242" s="1">
        <v>45343</v>
      </c>
      <c r="C3242" t="s">
        <v>424</v>
      </c>
      <c r="D3242" t="s">
        <v>425</v>
      </c>
      <c r="E3242" t="s">
        <v>21</v>
      </c>
      <c r="F3242" t="s">
        <v>70</v>
      </c>
      <c r="G3242" t="s">
        <v>526</v>
      </c>
      <c r="H3242">
        <v>2</v>
      </c>
      <c r="I3242" s="3">
        <v>76.400000000000006</v>
      </c>
      <c r="J3242" t="s">
        <v>16</v>
      </c>
      <c r="K3242" t="s">
        <v>40</v>
      </c>
      <c r="L3242" s="4">
        <f>Table4[[#This Row],[quantity]]*Table4[[#This Row],[unit_price]]</f>
        <v>152.80000000000001</v>
      </c>
      <c r="M3242">
        <f>COUNTIFS($C$2:$C$3934,Table4[[#This Row],[customer_id]])</f>
        <v>7</v>
      </c>
      <c r="N3242" t="str">
        <f>IF(Table4[[#This Row],[customer_order_count]]=1,"New Customer","Repeat Customer")</f>
        <v>Repeat Customer</v>
      </c>
    </row>
    <row r="3243" spans="1:14">
      <c r="A3243" t="s">
        <v>4891</v>
      </c>
      <c r="B3243" s="1">
        <v>45617</v>
      </c>
      <c r="C3243" t="s">
        <v>2170</v>
      </c>
      <c r="D3243" t="s">
        <v>2171</v>
      </c>
      <c r="E3243" t="s">
        <v>21</v>
      </c>
      <c r="F3243" t="s">
        <v>70</v>
      </c>
      <c r="G3243" t="s">
        <v>526</v>
      </c>
      <c r="H3243">
        <v>2</v>
      </c>
      <c r="I3243" s="3">
        <v>76.42</v>
      </c>
      <c r="J3243" t="s">
        <v>16</v>
      </c>
      <c r="K3243" t="s">
        <v>35</v>
      </c>
      <c r="L3243" s="4">
        <f>Table4[[#This Row],[quantity]]*Table4[[#This Row],[unit_price]]</f>
        <v>152.84</v>
      </c>
      <c r="M3243">
        <f>COUNTIFS($C$2:$C$3934,Table4[[#This Row],[customer_id]])</f>
        <v>5</v>
      </c>
      <c r="N3243" t="str">
        <f>IF(Table4[[#This Row],[customer_order_count]]=1,"New Customer","Repeat Customer")</f>
        <v>Repeat Customer</v>
      </c>
    </row>
    <row r="3244" spans="1:14">
      <c r="A3244" t="s">
        <v>3099</v>
      </c>
      <c r="B3244" s="1">
        <v>45415</v>
      </c>
      <c r="C3244" t="s">
        <v>2309</v>
      </c>
      <c r="D3244" t="s">
        <v>2310</v>
      </c>
      <c r="E3244" t="s">
        <v>21</v>
      </c>
      <c r="F3244" t="s">
        <v>70</v>
      </c>
      <c r="G3244" t="s">
        <v>89</v>
      </c>
      <c r="H3244">
        <v>1</v>
      </c>
      <c r="I3244" s="3">
        <v>76.459999999999994</v>
      </c>
      <c r="J3244" t="s">
        <v>85</v>
      </c>
      <c r="K3244" t="s">
        <v>30</v>
      </c>
      <c r="L3244" s="4">
        <f>Table4[[#This Row],[quantity]]*Table4[[#This Row],[unit_price]]</f>
        <v>76.459999999999994</v>
      </c>
      <c r="M3244">
        <f>COUNTIFS($C$2:$C$3934,Table4[[#This Row],[customer_id]])</f>
        <v>5</v>
      </c>
      <c r="N3244" t="str">
        <f>IF(Table4[[#This Row],[customer_order_count]]=1,"New Customer","Repeat Customer")</f>
        <v>Repeat Customer</v>
      </c>
    </row>
    <row r="3245" spans="1:14">
      <c r="A3245" t="s">
        <v>3809</v>
      </c>
      <c r="B3245" s="1">
        <v>45385</v>
      </c>
      <c r="C3245" t="s">
        <v>742</v>
      </c>
      <c r="D3245" t="s">
        <v>743</v>
      </c>
      <c r="E3245" t="s">
        <v>21</v>
      </c>
      <c r="F3245" t="s">
        <v>70</v>
      </c>
      <c r="G3245" t="s">
        <v>110</v>
      </c>
      <c r="H3245">
        <v>5</v>
      </c>
      <c r="I3245" s="3">
        <v>76.569999999999993</v>
      </c>
      <c r="J3245" t="s">
        <v>16</v>
      </c>
      <c r="K3245" t="s">
        <v>40</v>
      </c>
      <c r="L3245" s="4">
        <f>Table4[[#This Row],[quantity]]*Table4[[#This Row],[unit_price]]</f>
        <v>382.84999999999997</v>
      </c>
      <c r="M3245">
        <f>COUNTIFS($C$2:$C$3934,Table4[[#This Row],[customer_id]])</f>
        <v>8</v>
      </c>
      <c r="N3245" t="str">
        <f>IF(Table4[[#This Row],[customer_order_count]]=1,"New Customer","Repeat Customer")</f>
        <v>Repeat Customer</v>
      </c>
    </row>
    <row r="3246" spans="1:14">
      <c r="A3246" t="s">
        <v>4490</v>
      </c>
      <c r="B3246" s="1">
        <v>44955</v>
      </c>
      <c r="C3246" t="s">
        <v>1166</v>
      </c>
      <c r="D3246" t="s">
        <v>292</v>
      </c>
      <c r="E3246" t="s">
        <v>21</v>
      </c>
      <c r="F3246" t="s">
        <v>56</v>
      </c>
      <c r="G3246" t="s">
        <v>254</v>
      </c>
      <c r="H3246">
        <v>1</v>
      </c>
      <c r="I3246" s="3">
        <v>76.66</v>
      </c>
      <c r="J3246" t="s">
        <v>16</v>
      </c>
      <c r="K3246" t="s">
        <v>17</v>
      </c>
      <c r="L3246" s="4">
        <f>Table4[[#This Row],[quantity]]*Table4[[#This Row],[unit_price]]</f>
        <v>76.66</v>
      </c>
      <c r="M3246">
        <f>COUNTIFS($C$2:$C$3934,Table4[[#This Row],[customer_id]])</f>
        <v>6</v>
      </c>
      <c r="N3246" t="str">
        <f>IF(Table4[[#This Row],[customer_order_count]]=1,"New Customer","Repeat Customer")</f>
        <v>Repeat Customer</v>
      </c>
    </row>
    <row r="3247" spans="1:14">
      <c r="A3247" t="s">
        <v>996</v>
      </c>
      <c r="B3247" s="1">
        <v>45444</v>
      </c>
      <c r="C3247" t="s">
        <v>997</v>
      </c>
      <c r="D3247" t="s">
        <v>887</v>
      </c>
      <c r="E3247" t="s">
        <v>44</v>
      </c>
      <c r="F3247" t="s">
        <v>70</v>
      </c>
      <c r="G3247" t="s">
        <v>170</v>
      </c>
      <c r="H3247">
        <v>3</v>
      </c>
      <c r="I3247" s="3">
        <v>76.66</v>
      </c>
      <c r="J3247" t="s">
        <v>16</v>
      </c>
      <c r="K3247" t="s">
        <v>35</v>
      </c>
      <c r="L3247" s="4">
        <f>Table4[[#This Row],[quantity]]*Table4[[#This Row],[unit_price]]</f>
        <v>229.98</v>
      </c>
      <c r="M3247">
        <f>COUNTIFS($C$2:$C$3934,Table4[[#This Row],[customer_id]])</f>
        <v>2</v>
      </c>
      <c r="N3247" t="str">
        <f>IF(Table4[[#This Row],[customer_order_count]]=1,"New Customer","Repeat Customer")</f>
        <v>Repeat Customer</v>
      </c>
    </row>
    <row r="3248" spans="1:14">
      <c r="A3248" t="s">
        <v>4691</v>
      </c>
      <c r="B3248" s="1">
        <v>45012</v>
      </c>
      <c r="C3248" t="s">
        <v>1350</v>
      </c>
      <c r="D3248" t="s">
        <v>48</v>
      </c>
      <c r="E3248" t="s">
        <v>21</v>
      </c>
      <c r="F3248" t="s">
        <v>70</v>
      </c>
      <c r="G3248" t="s">
        <v>526</v>
      </c>
      <c r="H3248">
        <v>3</v>
      </c>
      <c r="I3248" s="3">
        <v>76.66</v>
      </c>
      <c r="J3248" t="s">
        <v>16</v>
      </c>
      <c r="K3248" t="s">
        <v>30</v>
      </c>
      <c r="L3248" s="4">
        <f>Table4[[#This Row],[quantity]]*Table4[[#This Row],[unit_price]]</f>
        <v>229.98</v>
      </c>
      <c r="M3248">
        <f>COUNTIFS($C$2:$C$3934,Table4[[#This Row],[customer_id]])</f>
        <v>5</v>
      </c>
      <c r="N3248" t="str">
        <f>IF(Table4[[#This Row],[customer_order_count]]=1,"New Customer","Repeat Customer")</f>
        <v>Repeat Customer</v>
      </c>
    </row>
    <row r="3249" spans="1:14">
      <c r="A3249" t="s">
        <v>674</v>
      </c>
      <c r="B3249" s="1">
        <v>45491</v>
      </c>
      <c r="C3249" t="s">
        <v>675</v>
      </c>
      <c r="D3249" s="2" t="s">
        <v>5257</v>
      </c>
      <c r="E3249" t="s">
        <v>21</v>
      </c>
      <c r="F3249" t="s">
        <v>70</v>
      </c>
      <c r="G3249" t="s">
        <v>110</v>
      </c>
      <c r="H3249">
        <v>1</v>
      </c>
      <c r="I3249" s="3">
        <v>76.69</v>
      </c>
      <c r="J3249" t="s">
        <v>16</v>
      </c>
      <c r="K3249" t="s">
        <v>30</v>
      </c>
      <c r="L3249" s="4">
        <f>Table4[[#This Row],[quantity]]*Table4[[#This Row],[unit_price]]</f>
        <v>76.69</v>
      </c>
      <c r="M3249">
        <f>COUNTIFS($C$2:$C$3934,Table4[[#This Row],[customer_id]])</f>
        <v>4</v>
      </c>
      <c r="N3249" t="str">
        <f>IF(Table4[[#This Row],[customer_order_count]]=1,"New Customer","Repeat Customer")</f>
        <v>Repeat Customer</v>
      </c>
    </row>
    <row r="3250" spans="1:14">
      <c r="A3250" t="s">
        <v>2286</v>
      </c>
      <c r="B3250" s="1">
        <v>45530</v>
      </c>
      <c r="C3250" t="s">
        <v>271</v>
      </c>
      <c r="D3250" s="5" t="s">
        <v>272</v>
      </c>
      <c r="E3250" t="s">
        <v>61</v>
      </c>
      <c r="F3250" t="s">
        <v>70</v>
      </c>
      <c r="G3250" t="s">
        <v>170</v>
      </c>
      <c r="H3250">
        <v>1</v>
      </c>
      <c r="I3250" s="3">
        <v>76.78</v>
      </c>
      <c r="J3250" t="s">
        <v>85</v>
      </c>
      <c r="K3250" t="s">
        <v>35</v>
      </c>
      <c r="L3250" s="4">
        <f>Table4[[#This Row],[quantity]]*Table4[[#This Row],[unit_price]]</f>
        <v>76.78</v>
      </c>
      <c r="M3250">
        <f>COUNTIFS($C$2:$C$3934,Table4[[#This Row],[customer_id]])</f>
        <v>5</v>
      </c>
      <c r="N3250" t="str">
        <f>IF(Table4[[#This Row],[customer_order_count]]=1,"New Customer","Repeat Customer")</f>
        <v>Repeat Customer</v>
      </c>
    </row>
    <row r="3251" spans="1:14">
      <c r="A3251" t="s">
        <v>1873</v>
      </c>
      <c r="B3251" s="1">
        <v>45267</v>
      </c>
      <c r="C3251" t="s">
        <v>361</v>
      </c>
      <c r="D3251" t="s">
        <v>362</v>
      </c>
      <c r="E3251" t="s">
        <v>21</v>
      </c>
      <c r="F3251" t="s">
        <v>14</v>
      </c>
      <c r="G3251" t="s">
        <v>15</v>
      </c>
      <c r="H3251">
        <v>2</v>
      </c>
      <c r="I3251" s="3">
        <v>76.78</v>
      </c>
      <c r="J3251" t="s">
        <v>16</v>
      </c>
      <c r="K3251" t="s">
        <v>40</v>
      </c>
      <c r="L3251" s="4">
        <f>Table4[[#This Row],[quantity]]*Table4[[#This Row],[unit_price]]</f>
        <v>153.56</v>
      </c>
      <c r="M3251">
        <f>COUNTIFS($C$2:$C$3934,Table4[[#This Row],[customer_id]])</f>
        <v>8</v>
      </c>
      <c r="N3251" t="str">
        <f>IF(Table4[[#This Row],[customer_order_count]]=1,"New Customer","Repeat Customer")</f>
        <v>Repeat Customer</v>
      </c>
    </row>
    <row r="3252" spans="1:14">
      <c r="A3252" t="s">
        <v>5133</v>
      </c>
      <c r="B3252" s="1">
        <v>45018</v>
      </c>
      <c r="C3252" t="s">
        <v>1406</v>
      </c>
      <c r="D3252" t="s">
        <v>304</v>
      </c>
      <c r="E3252" t="s">
        <v>21</v>
      </c>
      <c r="F3252" t="s">
        <v>70</v>
      </c>
      <c r="G3252" t="s">
        <v>526</v>
      </c>
      <c r="H3252">
        <v>2</v>
      </c>
      <c r="I3252" s="3">
        <v>76.8</v>
      </c>
      <c r="J3252" t="s">
        <v>16</v>
      </c>
      <c r="K3252" s="2" t="s">
        <v>5256</v>
      </c>
      <c r="L3252" s="4">
        <f>Table4[[#This Row],[quantity]]*Table4[[#This Row],[unit_price]]</f>
        <v>153.6</v>
      </c>
      <c r="M3252">
        <f>COUNTIFS($C$2:$C$3934,Table4[[#This Row],[customer_id]])</f>
        <v>4</v>
      </c>
      <c r="N3252" t="str">
        <f>IF(Table4[[#This Row],[customer_order_count]]=1,"New Customer","Repeat Customer")</f>
        <v>Repeat Customer</v>
      </c>
    </row>
    <row r="3253" spans="1:14">
      <c r="A3253" t="s">
        <v>5162</v>
      </c>
      <c r="B3253" s="1">
        <v>44999</v>
      </c>
      <c r="C3253" t="s">
        <v>2503</v>
      </c>
      <c r="D3253" t="s">
        <v>310</v>
      </c>
      <c r="E3253" t="s">
        <v>61</v>
      </c>
      <c r="F3253" t="s">
        <v>14</v>
      </c>
      <c r="G3253" t="s">
        <v>15</v>
      </c>
      <c r="H3253">
        <v>1</v>
      </c>
      <c r="I3253" s="3">
        <v>76.91</v>
      </c>
      <c r="J3253" t="s">
        <v>16</v>
      </c>
      <c r="K3253" s="5" t="s">
        <v>40</v>
      </c>
      <c r="L3253" s="4">
        <f>Table4[[#This Row],[quantity]]*Table4[[#This Row],[unit_price]]</f>
        <v>76.91</v>
      </c>
      <c r="M3253">
        <f>COUNTIFS($C$2:$C$3934,Table4[[#This Row],[customer_id]])</f>
        <v>3</v>
      </c>
      <c r="N3253" t="str">
        <f>IF(Table4[[#This Row],[customer_order_count]]=1,"New Customer","Repeat Customer")</f>
        <v>Repeat Customer</v>
      </c>
    </row>
    <row r="3254" spans="1:14">
      <c r="A3254" t="s">
        <v>3845</v>
      </c>
      <c r="B3254" s="1">
        <v>45139</v>
      </c>
      <c r="C3254" t="s">
        <v>1254</v>
      </c>
      <c r="D3254" s="2" t="s">
        <v>5257</v>
      </c>
      <c r="E3254" t="s">
        <v>44</v>
      </c>
      <c r="F3254" t="s">
        <v>14</v>
      </c>
      <c r="G3254" t="s">
        <v>39</v>
      </c>
      <c r="H3254">
        <v>1</v>
      </c>
      <c r="I3254" s="3">
        <v>76.98</v>
      </c>
      <c r="J3254" t="s">
        <v>16</v>
      </c>
      <c r="K3254" t="s">
        <v>40</v>
      </c>
      <c r="L3254" s="4">
        <f>Table4[[#This Row],[quantity]]*Table4[[#This Row],[unit_price]]</f>
        <v>76.98</v>
      </c>
      <c r="M3254">
        <f>COUNTIFS($C$2:$C$3934,Table4[[#This Row],[customer_id]])</f>
        <v>5</v>
      </c>
      <c r="N3254" t="str">
        <f>IF(Table4[[#This Row],[customer_order_count]]=1,"New Customer","Repeat Customer")</f>
        <v>Repeat Customer</v>
      </c>
    </row>
    <row r="3255" spans="1:14">
      <c r="A3255" t="s">
        <v>4017</v>
      </c>
      <c r="B3255" s="1">
        <v>44957</v>
      </c>
      <c r="C3255" t="s">
        <v>927</v>
      </c>
      <c r="D3255" s="5" t="s">
        <v>928</v>
      </c>
      <c r="E3255" t="s">
        <v>44</v>
      </c>
      <c r="F3255" t="s">
        <v>70</v>
      </c>
      <c r="G3255" t="s">
        <v>337</v>
      </c>
      <c r="H3255">
        <v>1</v>
      </c>
      <c r="I3255" s="3">
        <v>77.05</v>
      </c>
      <c r="J3255" t="s">
        <v>16</v>
      </c>
      <c r="K3255" t="s">
        <v>40</v>
      </c>
      <c r="L3255" s="4">
        <f>Table4[[#This Row],[quantity]]*Table4[[#This Row],[unit_price]]</f>
        <v>77.05</v>
      </c>
      <c r="M3255">
        <f>COUNTIFS($C$2:$C$3934,Table4[[#This Row],[customer_id]])</f>
        <v>6</v>
      </c>
      <c r="N3255" t="str">
        <f>IF(Table4[[#This Row],[customer_order_count]]=1,"New Customer","Repeat Customer")</f>
        <v>Repeat Customer</v>
      </c>
    </row>
    <row r="3256" spans="1:14">
      <c r="A3256" t="s">
        <v>3303</v>
      </c>
      <c r="B3256" s="1">
        <v>45432</v>
      </c>
      <c r="C3256" t="s">
        <v>3304</v>
      </c>
      <c r="D3256" t="s">
        <v>2152</v>
      </c>
      <c r="E3256" t="s">
        <v>21</v>
      </c>
      <c r="F3256" t="s">
        <v>70</v>
      </c>
      <c r="G3256" t="s">
        <v>146</v>
      </c>
      <c r="H3256">
        <v>2</v>
      </c>
      <c r="I3256" s="3">
        <v>77.069999999999993</v>
      </c>
      <c r="J3256" t="s">
        <v>16</v>
      </c>
      <c r="K3256" t="s">
        <v>30</v>
      </c>
      <c r="L3256" s="4">
        <f>Table4[[#This Row],[quantity]]*Table4[[#This Row],[unit_price]]</f>
        <v>154.13999999999999</v>
      </c>
      <c r="M3256">
        <f>COUNTIFS($C$2:$C$3934,Table4[[#This Row],[customer_id]])</f>
        <v>2</v>
      </c>
      <c r="N3256" t="str">
        <f>IF(Table4[[#This Row],[customer_order_count]]=1,"New Customer","Repeat Customer")</f>
        <v>Repeat Customer</v>
      </c>
    </row>
    <row r="3257" spans="1:14">
      <c r="A3257" t="s">
        <v>3427</v>
      </c>
      <c r="B3257" s="1">
        <v>45405</v>
      </c>
      <c r="C3257" t="s">
        <v>342</v>
      </c>
      <c r="D3257" t="s">
        <v>343</v>
      </c>
      <c r="E3257" t="s">
        <v>44</v>
      </c>
      <c r="F3257" t="s">
        <v>79</v>
      </c>
      <c r="G3257" t="s">
        <v>230</v>
      </c>
      <c r="H3257">
        <v>2</v>
      </c>
      <c r="I3257" s="3">
        <v>77.17</v>
      </c>
      <c r="J3257" t="s">
        <v>255</v>
      </c>
      <c r="K3257" t="s">
        <v>35</v>
      </c>
      <c r="L3257" s="4">
        <f>Table4[[#This Row],[quantity]]*Table4[[#This Row],[unit_price]]</f>
        <v>154.34</v>
      </c>
      <c r="M3257">
        <f>COUNTIFS($C$2:$C$3934,Table4[[#This Row],[customer_id]])</f>
        <v>8</v>
      </c>
      <c r="N3257" t="str">
        <f>IF(Table4[[#This Row],[customer_order_count]]=1,"New Customer","Repeat Customer")</f>
        <v>Repeat Customer</v>
      </c>
    </row>
    <row r="3258" spans="1:14">
      <c r="A3258" t="s">
        <v>2230</v>
      </c>
      <c r="B3258" s="1">
        <v>45551</v>
      </c>
      <c r="C3258" t="s">
        <v>1038</v>
      </c>
      <c r="D3258" t="s">
        <v>560</v>
      </c>
      <c r="E3258" t="s">
        <v>21</v>
      </c>
      <c r="F3258" t="s">
        <v>56</v>
      </c>
      <c r="G3258" t="s">
        <v>118</v>
      </c>
      <c r="H3258">
        <v>1</v>
      </c>
      <c r="I3258" s="3">
        <v>77.290000000000006</v>
      </c>
      <c r="J3258" t="s">
        <v>16</v>
      </c>
      <c r="K3258" t="s">
        <v>40</v>
      </c>
      <c r="L3258" s="4">
        <f>Table4[[#This Row],[quantity]]*Table4[[#This Row],[unit_price]]</f>
        <v>77.290000000000006</v>
      </c>
      <c r="M3258">
        <f>COUNTIFS($C$2:$C$3934,Table4[[#This Row],[customer_id]])</f>
        <v>6</v>
      </c>
      <c r="N3258" t="str">
        <f>IF(Table4[[#This Row],[customer_order_count]]=1,"New Customer","Repeat Customer")</f>
        <v>Repeat Customer</v>
      </c>
    </row>
    <row r="3259" spans="1:14">
      <c r="A3259" t="s">
        <v>4810</v>
      </c>
      <c r="B3259" s="1">
        <v>45600</v>
      </c>
      <c r="C3259" t="s">
        <v>193</v>
      </c>
      <c r="D3259" t="s">
        <v>178</v>
      </c>
      <c r="E3259" t="s">
        <v>21</v>
      </c>
      <c r="F3259" t="s">
        <v>14</v>
      </c>
      <c r="G3259" t="s">
        <v>100</v>
      </c>
      <c r="H3259">
        <v>2</v>
      </c>
      <c r="I3259" s="3">
        <v>77.34</v>
      </c>
      <c r="J3259" t="s">
        <v>24</v>
      </c>
      <c r="K3259" t="s">
        <v>30</v>
      </c>
      <c r="L3259" s="4">
        <f>Table4[[#This Row],[quantity]]*Table4[[#This Row],[unit_price]]</f>
        <v>154.68</v>
      </c>
      <c r="M3259">
        <f>COUNTIFS($C$2:$C$3934,Table4[[#This Row],[customer_id]])</f>
        <v>8</v>
      </c>
      <c r="N3259" t="str">
        <f>IF(Table4[[#This Row],[customer_order_count]]=1,"New Customer","Repeat Customer")</f>
        <v>Repeat Customer</v>
      </c>
    </row>
    <row r="3260" spans="1:14">
      <c r="A3260" t="s">
        <v>4503</v>
      </c>
      <c r="B3260" s="1">
        <v>45270</v>
      </c>
      <c r="C3260" t="s">
        <v>1084</v>
      </c>
      <c r="D3260" t="s">
        <v>953</v>
      </c>
      <c r="E3260" t="s">
        <v>21</v>
      </c>
      <c r="F3260" t="s">
        <v>70</v>
      </c>
      <c r="G3260" t="s">
        <v>146</v>
      </c>
      <c r="H3260">
        <v>2</v>
      </c>
      <c r="I3260" s="3">
        <v>77.39</v>
      </c>
      <c r="J3260" t="s">
        <v>255</v>
      </c>
      <c r="K3260" t="s">
        <v>35</v>
      </c>
      <c r="L3260" s="4">
        <f>Table4[[#This Row],[quantity]]*Table4[[#This Row],[unit_price]]</f>
        <v>154.78</v>
      </c>
      <c r="M3260">
        <f>COUNTIFS($C$2:$C$3934,Table4[[#This Row],[customer_id]])</f>
        <v>6</v>
      </c>
      <c r="N3260" t="str">
        <f>IF(Table4[[#This Row],[customer_order_count]]=1,"New Customer","Repeat Customer")</f>
        <v>Repeat Customer</v>
      </c>
    </row>
    <row r="3261" spans="1:14">
      <c r="A3261" t="s">
        <v>862</v>
      </c>
      <c r="B3261" s="1">
        <v>45203</v>
      </c>
      <c r="C3261" t="s">
        <v>655</v>
      </c>
      <c r="D3261" t="s">
        <v>597</v>
      </c>
      <c r="E3261" t="s">
        <v>21</v>
      </c>
      <c r="F3261" t="s">
        <v>70</v>
      </c>
      <c r="G3261" t="s">
        <v>170</v>
      </c>
      <c r="H3261">
        <v>5</v>
      </c>
      <c r="I3261" s="3">
        <v>77.39</v>
      </c>
      <c r="J3261" t="s">
        <v>16</v>
      </c>
      <c r="K3261" t="s">
        <v>40</v>
      </c>
      <c r="L3261" s="4">
        <f>Table4[[#This Row],[quantity]]*Table4[[#This Row],[unit_price]]</f>
        <v>386.95</v>
      </c>
      <c r="M3261">
        <f>COUNTIFS($C$2:$C$3934,Table4[[#This Row],[customer_id]])</f>
        <v>12</v>
      </c>
      <c r="N3261" t="str">
        <f>IF(Table4[[#This Row],[customer_order_count]]=1,"New Customer","Repeat Customer")</f>
        <v>Repeat Customer</v>
      </c>
    </row>
    <row r="3262" spans="1:14">
      <c r="A3262" t="s">
        <v>2469</v>
      </c>
      <c r="B3262" s="1">
        <v>44974</v>
      </c>
      <c r="C3262" t="s">
        <v>2157</v>
      </c>
      <c r="D3262" t="s">
        <v>576</v>
      </c>
      <c r="E3262" t="s">
        <v>44</v>
      </c>
      <c r="F3262" t="s">
        <v>70</v>
      </c>
      <c r="G3262" t="s">
        <v>71</v>
      </c>
      <c r="H3262">
        <v>1</v>
      </c>
      <c r="I3262" s="3">
        <v>77.42</v>
      </c>
      <c r="J3262" t="s">
        <v>16</v>
      </c>
      <c r="K3262" t="s">
        <v>40</v>
      </c>
      <c r="L3262" s="4">
        <f>Table4[[#This Row],[quantity]]*Table4[[#This Row],[unit_price]]</f>
        <v>77.42</v>
      </c>
      <c r="M3262">
        <f>COUNTIFS($C$2:$C$3934,Table4[[#This Row],[customer_id]])</f>
        <v>4</v>
      </c>
      <c r="N3262" t="str">
        <f>IF(Table4[[#This Row],[customer_order_count]]=1,"New Customer","Repeat Customer")</f>
        <v>Repeat Customer</v>
      </c>
    </row>
    <row r="3263" spans="1:14">
      <c r="A3263" t="s">
        <v>4745</v>
      </c>
      <c r="B3263" s="1">
        <v>45275</v>
      </c>
      <c r="C3263" t="s">
        <v>1397</v>
      </c>
      <c r="D3263" t="s">
        <v>383</v>
      </c>
      <c r="E3263" t="s">
        <v>44</v>
      </c>
      <c r="F3263" t="s">
        <v>14</v>
      </c>
      <c r="G3263" t="s">
        <v>15</v>
      </c>
      <c r="H3263">
        <v>1</v>
      </c>
      <c r="I3263" s="3">
        <v>77.45</v>
      </c>
      <c r="J3263" t="s">
        <v>16</v>
      </c>
      <c r="K3263" t="s">
        <v>35</v>
      </c>
      <c r="L3263" s="4">
        <f>Table4[[#This Row],[quantity]]*Table4[[#This Row],[unit_price]]</f>
        <v>77.45</v>
      </c>
      <c r="M3263">
        <f>COUNTIFS($C$2:$C$3934,Table4[[#This Row],[customer_id]])</f>
        <v>9</v>
      </c>
      <c r="N3263" t="str">
        <f>IF(Table4[[#This Row],[customer_order_count]]=1,"New Customer","Repeat Customer")</f>
        <v>Repeat Customer</v>
      </c>
    </row>
    <row r="3264" spans="1:14">
      <c r="A3264" t="s">
        <v>4841</v>
      </c>
      <c r="B3264" s="1">
        <v>45432</v>
      </c>
      <c r="C3264" t="s">
        <v>2282</v>
      </c>
      <c r="D3264" t="s">
        <v>2283</v>
      </c>
      <c r="E3264" t="s">
        <v>61</v>
      </c>
      <c r="F3264" t="s">
        <v>70</v>
      </c>
      <c r="G3264" t="s">
        <v>110</v>
      </c>
      <c r="H3264">
        <v>2</v>
      </c>
      <c r="I3264" s="3">
        <v>77.489999999999995</v>
      </c>
      <c r="J3264" t="s">
        <v>16</v>
      </c>
      <c r="K3264" t="s">
        <v>17</v>
      </c>
      <c r="L3264" s="4">
        <f>Table4[[#This Row],[quantity]]*Table4[[#This Row],[unit_price]]</f>
        <v>154.97999999999999</v>
      </c>
      <c r="M3264">
        <f>COUNTIFS($C$2:$C$3934,Table4[[#This Row],[customer_id]])</f>
        <v>2</v>
      </c>
      <c r="N3264" t="str">
        <f>IF(Table4[[#This Row],[customer_order_count]]=1,"New Customer","Repeat Customer")</f>
        <v>Repeat Customer</v>
      </c>
    </row>
    <row r="3265" spans="1:14">
      <c r="A3265" t="s">
        <v>1086</v>
      </c>
      <c r="B3265" s="1">
        <v>45325</v>
      </c>
      <c r="C3265" t="s">
        <v>1087</v>
      </c>
      <c r="D3265" t="s">
        <v>1088</v>
      </c>
      <c r="E3265" t="s">
        <v>61</v>
      </c>
      <c r="F3265" t="s">
        <v>56</v>
      </c>
      <c r="G3265" t="s">
        <v>254</v>
      </c>
      <c r="H3265">
        <v>1</v>
      </c>
      <c r="I3265" s="3">
        <v>77.56</v>
      </c>
      <c r="J3265" t="s">
        <v>16</v>
      </c>
      <c r="K3265" t="s">
        <v>40</v>
      </c>
      <c r="L3265" s="4">
        <f>Table4[[#This Row],[quantity]]*Table4[[#This Row],[unit_price]]</f>
        <v>77.56</v>
      </c>
      <c r="M3265">
        <f>COUNTIFS($C$2:$C$3934,Table4[[#This Row],[customer_id]])</f>
        <v>3</v>
      </c>
      <c r="N3265" t="str">
        <f>IF(Table4[[#This Row],[customer_order_count]]=1,"New Customer","Repeat Customer")</f>
        <v>Repeat Customer</v>
      </c>
    </row>
    <row r="3266" spans="1:14">
      <c r="A3266" t="s">
        <v>197</v>
      </c>
      <c r="B3266" s="1">
        <v>45134</v>
      </c>
      <c r="C3266" t="s">
        <v>157</v>
      </c>
      <c r="D3266" t="s">
        <v>158</v>
      </c>
      <c r="E3266" t="s">
        <v>44</v>
      </c>
      <c r="F3266" t="s">
        <v>14</v>
      </c>
      <c r="G3266" t="s">
        <v>39</v>
      </c>
      <c r="H3266">
        <v>1</v>
      </c>
      <c r="I3266" s="3">
        <v>77.599999999999994</v>
      </c>
      <c r="J3266" t="s">
        <v>16</v>
      </c>
      <c r="K3266" t="s">
        <v>40</v>
      </c>
      <c r="L3266" s="4">
        <f>Table4[[#This Row],[quantity]]*Table4[[#This Row],[unit_price]]</f>
        <v>77.599999999999994</v>
      </c>
      <c r="M3266">
        <f>COUNTIFS($C$2:$C$3934,Table4[[#This Row],[customer_id]])</f>
        <v>2</v>
      </c>
      <c r="N3266" t="str">
        <f>IF(Table4[[#This Row],[customer_order_count]]=1,"New Customer","Repeat Customer")</f>
        <v>Repeat Customer</v>
      </c>
    </row>
    <row r="3267" spans="1:14">
      <c r="A3267" t="s">
        <v>707</v>
      </c>
      <c r="B3267" s="1">
        <v>45334</v>
      </c>
      <c r="C3267" t="s">
        <v>708</v>
      </c>
      <c r="D3267" t="s">
        <v>709</v>
      </c>
      <c r="E3267" t="s">
        <v>21</v>
      </c>
      <c r="F3267" t="s">
        <v>14</v>
      </c>
      <c r="G3267" t="s">
        <v>15</v>
      </c>
      <c r="H3267">
        <v>1</v>
      </c>
      <c r="I3267" s="3">
        <v>77.62</v>
      </c>
      <c r="J3267" t="s">
        <v>16</v>
      </c>
      <c r="K3267" t="s">
        <v>17</v>
      </c>
      <c r="L3267" s="4">
        <f>Table4[[#This Row],[quantity]]*Table4[[#This Row],[unit_price]]</f>
        <v>77.62</v>
      </c>
      <c r="M3267">
        <f>COUNTIFS($C$2:$C$3934,Table4[[#This Row],[customer_id]])</f>
        <v>7</v>
      </c>
      <c r="N3267" t="str">
        <f>IF(Table4[[#This Row],[customer_order_count]]=1,"New Customer","Repeat Customer")</f>
        <v>Repeat Customer</v>
      </c>
    </row>
    <row r="3268" spans="1:14">
      <c r="A3268" t="s">
        <v>2869</v>
      </c>
      <c r="B3268" s="1">
        <v>45535</v>
      </c>
      <c r="C3268" t="s">
        <v>1350</v>
      </c>
      <c r="D3268" t="s">
        <v>48</v>
      </c>
      <c r="E3268" t="s">
        <v>21</v>
      </c>
      <c r="F3268" t="s">
        <v>79</v>
      </c>
      <c r="G3268" t="s">
        <v>200</v>
      </c>
      <c r="H3268">
        <v>5</v>
      </c>
      <c r="I3268" s="3">
        <v>77.69</v>
      </c>
      <c r="J3268" t="s">
        <v>16</v>
      </c>
      <c r="K3268" t="s">
        <v>40</v>
      </c>
      <c r="L3268" s="4">
        <f>Table4[[#This Row],[quantity]]*Table4[[#This Row],[unit_price]]</f>
        <v>388.45</v>
      </c>
      <c r="M3268">
        <f>COUNTIFS($C$2:$C$3934,Table4[[#This Row],[customer_id]])</f>
        <v>5</v>
      </c>
      <c r="N3268" t="str">
        <f>IF(Table4[[#This Row],[customer_order_count]]=1,"New Customer","Repeat Customer")</f>
        <v>Repeat Customer</v>
      </c>
    </row>
    <row r="3269" spans="1:14">
      <c r="A3269" t="s">
        <v>3944</v>
      </c>
      <c r="B3269" s="1">
        <v>45330</v>
      </c>
      <c r="C3269" t="s">
        <v>2661</v>
      </c>
      <c r="D3269" t="s">
        <v>1208</v>
      </c>
      <c r="E3269" t="s">
        <v>21</v>
      </c>
      <c r="F3269" t="s">
        <v>70</v>
      </c>
      <c r="G3269" t="s">
        <v>337</v>
      </c>
      <c r="H3269">
        <v>1</v>
      </c>
      <c r="I3269" s="3">
        <v>77.81</v>
      </c>
      <c r="J3269" t="s">
        <v>85</v>
      </c>
      <c r="K3269" t="s">
        <v>40</v>
      </c>
      <c r="L3269" s="4">
        <f>Table4[[#This Row],[quantity]]*Table4[[#This Row],[unit_price]]</f>
        <v>77.81</v>
      </c>
      <c r="M3269">
        <f>COUNTIFS($C$2:$C$3934,Table4[[#This Row],[customer_id]])</f>
        <v>3</v>
      </c>
      <c r="N3269" t="str">
        <f>IF(Table4[[#This Row],[customer_order_count]]=1,"New Customer","Repeat Customer")</f>
        <v>Repeat Customer</v>
      </c>
    </row>
    <row r="3270" spans="1:14">
      <c r="A3270" t="s">
        <v>2585</v>
      </c>
      <c r="B3270" s="1">
        <v>45195</v>
      </c>
      <c r="C3270" t="s">
        <v>168</v>
      </c>
      <c r="D3270" t="s">
        <v>169</v>
      </c>
      <c r="E3270" t="s">
        <v>21</v>
      </c>
      <c r="F3270" t="s">
        <v>70</v>
      </c>
      <c r="G3270" t="s">
        <v>170</v>
      </c>
      <c r="H3270">
        <v>1</v>
      </c>
      <c r="I3270" s="3">
        <v>77.87</v>
      </c>
      <c r="J3270" t="s">
        <v>16</v>
      </c>
      <c r="K3270" t="s">
        <v>30</v>
      </c>
      <c r="L3270" s="4">
        <f>Table4[[#This Row],[quantity]]*Table4[[#This Row],[unit_price]]</f>
        <v>77.87</v>
      </c>
      <c r="M3270">
        <f>COUNTIFS($C$2:$C$3934,Table4[[#This Row],[customer_id]])</f>
        <v>6</v>
      </c>
      <c r="N3270" t="str">
        <f>IF(Table4[[#This Row],[customer_order_count]]=1,"New Customer","Repeat Customer")</f>
        <v>Repeat Customer</v>
      </c>
    </row>
    <row r="3271" spans="1:14">
      <c r="A3271" t="s">
        <v>4336</v>
      </c>
      <c r="B3271" s="1">
        <v>45328</v>
      </c>
      <c r="C3271" t="s">
        <v>2376</v>
      </c>
      <c r="D3271" t="s">
        <v>1818</v>
      </c>
      <c r="E3271" t="s">
        <v>44</v>
      </c>
      <c r="F3271" t="s">
        <v>70</v>
      </c>
      <c r="G3271" t="s">
        <v>146</v>
      </c>
      <c r="H3271">
        <v>4</v>
      </c>
      <c r="I3271" s="3">
        <v>77.959999999999994</v>
      </c>
      <c r="J3271" t="s">
        <v>24</v>
      </c>
      <c r="K3271" t="s">
        <v>40</v>
      </c>
      <c r="L3271" s="4">
        <f>Table4[[#This Row],[quantity]]*Table4[[#This Row],[unit_price]]</f>
        <v>311.83999999999997</v>
      </c>
      <c r="M3271">
        <f>COUNTIFS($C$2:$C$3934,Table4[[#This Row],[customer_id]])</f>
        <v>4</v>
      </c>
      <c r="N3271" t="str">
        <f>IF(Table4[[#This Row],[customer_order_count]]=1,"New Customer","Repeat Customer")</f>
        <v>Repeat Customer</v>
      </c>
    </row>
    <row r="3272" spans="1:14">
      <c r="A3272" t="s">
        <v>4660</v>
      </c>
      <c r="B3272" s="1">
        <v>45429</v>
      </c>
      <c r="C3272" t="s">
        <v>1837</v>
      </c>
      <c r="D3272" t="s">
        <v>1838</v>
      </c>
      <c r="E3272" t="s">
        <v>21</v>
      </c>
      <c r="F3272" t="s">
        <v>14</v>
      </c>
      <c r="G3272" t="s">
        <v>258</v>
      </c>
      <c r="H3272">
        <v>2</v>
      </c>
      <c r="I3272" s="3">
        <v>77.98</v>
      </c>
      <c r="J3272" t="s">
        <v>16</v>
      </c>
      <c r="K3272" t="s">
        <v>40</v>
      </c>
      <c r="L3272" s="4">
        <f>Table4[[#This Row],[quantity]]*Table4[[#This Row],[unit_price]]</f>
        <v>155.96</v>
      </c>
      <c r="M3272">
        <f>COUNTIFS($C$2:$C$3934,Table4[[#This Row],[customer_id]])</f>
        <v>9</v>
      </c>
      <c r="N3272" t="str">
        <f>IF(Table4[[#This Row],[customer_order_count]]=1,"New Customer","Repeat Customer")</f>
        <v>Repeat Customer</v>
      </c>
    </row>
    <row r="3273" spans="1:14">
      <c r="A3273" t="s">
        <v>2161</v>
      </c>
      <c r="B3273" s="1">
        <v>45160</v>
      </c>
      <c r="C3273" t="s">
        <v>2013</v>
      </c>
      <c r="D3273" t="s">
        <v>2014</v>
      </c>
      <c r="E3273" t="s">
        <v>21</v>
      </c>
      <c r="F3273" t="s">
        <v>14</v>
      </c>
      <c r="G3273" t="s">
        <v>15</v>
      </c>
      <c r="H3273">
        <v>2</v>
      </c>
      <c r="I3273" s="3">
        <v>78.08</v>
      </c>
      <c r="J3273" t="s">
        <v>16</v>
      </c>
      <c r="K3273" t="s">
        <v>17</v>
      </c>
      <c r="L3273" s="4">
        <f>Table4[[#This Row],[quantity]]*Table4[[#This Row],[unit_price]]</f>
        <v>156.16</v>
      </c>
      <c r="M3273">
        <f>COUNTIFS($C$2:$C$3934,Table4[[#This Row],[customer_id]])</f>
        <v>5</v>
      </c>
      <c r="N3273" t="str">
        <f>IF(Table4[[#This Row],[customer_order_count]]=1,"New Customer","Repeat Customer")</f>
        <v>Repeat Customer</v>
      </c>
    </row>
    <row r="3274" spans="1:14">
      <c r="A3274" t="s">
        <v>4475</v>
      </c>
      <c r="B3274" s="1">
        <v>45309</v>
      </c>
      <c r="C3274" t="s">
        <v>2361</v>
      </c>
      <c r="D3274" t="s">
        <v>244</v>
      </c>
      <c r="E3274" t="s">
        <v>21</v>
      </c>
      <c r="F3274" t="s">
        <v>79</v>
      </c>
      <c r="G3274" t="s">
        <v>204</v>
      </c>
      <c r="H3274">
        <v>1</v>
      </c>
      <c r="I3274" s="3">
        <v>78.099999999999994</v>
      </c>
      <c r="J3274" t="s">
        <v>16</v>
      </c>
      <c r="K3274" t="s">
        <v>30</v>
      </c>
      <c r="L3274" s="4">
        <f>Table4[[#This Row],[quantity]]*Table4[[#This Row],[unit_price]]</f>
        <v>78.099999999999994</v>
      </c>
      <c r="M3274">
        <f>COUNTIFS($C$2:$C$3934,Table4[[#This Row],[customer_id]])</f>
        <v>6</v>
      </c>
      <c r="N3274" t="str">
        <f>IF(Table4[[#This Row],[customer_order_count]]=1,"New Customer","Repeat Customer")</f>
        <v>Repeat Customer</v>
      </c>
    </row>
    <row r="3275" spans="1:14">
      <c r="A3275" t="s">
        <v>4935</v>
      </c>
      <c r="B3275" s="1">
        <v>45019</v>
      </c>
      <c r="C3275" t="s">
        <v>1763</v>
      </c>
      <c r="D3275" t="s">
        <v>1103</v>
      </c>
      <c r="E3275" t="s">
        <v>21</v>
      </c>
      <c r="F3275" t="s">
        <v>70</v>
      </c>
      <c r="G3275" t="s">
        <v>170</v>
      </c>
      <c r="H3275">
        <v>2</v>
      </c>
      <c r="I3275" s="3">
        <v>78.099999999999994</v>
      </c>
      <c r="J3275" t="s">
        <v>16</v>
      </c>
      <c r="K3275" s="2" t="s">
        <v>5256</v>
      </c>
      <c r="L3275" s="4">
        <f>Table4[[#This Row],[quantity]]*Table4[[#This Row],[unit_price]]</f>
        <v>156.19999999999999</v>
      </c>
      <c r="M3275">
        <f>COUNTIFS($C$2:$C$3934,Table4[[#This Row],[customer_id]])</f>
        <v>8</v>
      </c>
      <c r="N3275" t="str">
        <f>IF(Table4[[#This Row],[customer_order_count]]=1,"New Customer","Repeat Customer")</f>
        <v>Repeat Customer</v>
      </c>
    </row>
    <row r="3276" spans="1:14">
      <c r="A3276" t="s">
        <v>776</v>
      </c>
      <c r="B3276" s="1">
        <v>45136</v>
      </c>
      <c r="C3276" t="s">
        <v>578</v>
      </c>
      <c r="D3276" t="s">
        <v>579</v>
      </c>
      <c r="E3276" t="s">
        <v>21</v>
      </c>
      <c r="F3276" t="s">
        <v>79</v>
      </c>
      <c r="G3276" t="s">
        <v>166</v>
      </c>
      <c r="H3276">
        <v>1</v>
      </c>
      <c r="I3276" s="3">
        <v>78.13</v>
      </c>
      <c r="J3276" t="s">
        <v>16</v>
      </c>
      <c r="K3276" s="5" t="s">
        <v>40</v>
      </c>
      <c r="L3276" s="4">
        <f>Table4[[#This Row],[quantity]]*Table4[[#This Row],[unit_price]]</f>
        <v>78.13</v>
      </c>
      <c r="M3276">
        <f>COUNTIFS($C$2:$C$3934,Table4[[#This Row],[customer_id]])</f>
        <v>10</v>
      </c>
      <c r="N3276" t="str">
        <f>IF(Table4[[#This Row],[customer_order_count]]=1,"New Customer","Repeat Customer")</f>
        <v>Repeat Customer</v>
      </c>
    </row>
    <row r="3277" spans="1:14">
      <c r="A3277" t="s">
        <v>1737</v>
      </c>
      <c r="B3277" s="1">
        <v>45136</v>
      </c>
      <c r="C3277" t="s">
        <v>1384</v>
      </c>
      <c r="D3277" t="s">
        <v>828</v>
      </c>
      <c r="E3277" t="s">
        <v>21</v>
      </c>
      <c r="F3277" t="s">
        <v>70</v>
      </c>
      <c r="G3277" t="s">
        <v>89</v>
      </c>
      <c r="H3277">
        <v>1</v>
      </c>
      <c r="I3277" s="3">
        <v>78.17</v>
      </c>
      <c r="J3277" t="s">
        <v>24</v>
      </c>
      <c r="K3277" t="s">
        <v>17</v>
      </c>
      <c r="L3277" s="4">
        <f>Table4[[#This Row],[quantity]]*Table4[[#This Row],[unit_price]]</f>
        <v>78.17</v>
      </c>
      <c r="M3277">
        <f>COUNTIFS($C$2:$C$3934,Table4[[#This Row],[customer_id]])</f>
        <v>4</v>
      </c>
      <c r="N3277" t="str">
        <f>IF(Table4[[#This Row],[customer_order_count]]=1,"New Customer","Repeat Customer")</f>
        <v>Repeat Customer</v>
      </c>
    </row>
    <row r="3278" spans="1:14">
      <c r="A3278" t="s">
        <v>4767</v>
      </c>
      <c r="B3278" s="1">
        <v>45361</v>
      </c>
      <c r="C3278" t="s">
        <v>2993</v>
      </c>
      <c r="D3278" t="s">
        <v>1065</v>
      </c>
      <c r="E3278" t="s">
        <v>21</v>
      </c>
      <c r="F3278" t="s">
        <v>56</v>
      </c>
      <c r="G3278" t="s">
        <v>422</v>
      </c>
      <c r="H3278">
        <v>2</v>
      </c>
      <c r="I3278" s="3">
        <v>78.22</v>
      </c>
      <c r="J3278" t="s">
        <v>16</v>
      </c>
      <c r="K3278" t="s">
        <v>40</v>
      </c>
      <c r="L3278" s="4">
        <f>Table4[[#This Row],[quantity]]*Table4[[#This Row],[unit_price]]</f>
        <v>156.44</v>
      </c>
      <c r="M3278">
        <f>COUNTIFS($C$2:$C$3934,Table4[[#This Row],[customer_id]])</f>
        <v>5</v>
      </c>
      <c r="N3278" t="str">
        <f>IF(Table4[[#This Row],[customer_order_count]]=1,"New Customer","Repeat Customer")</f>
        <v>Repeat Customer</v>
      </c>
    </row>
    <row r="3279" spans="1:14">
      <c r="A3279" t="s">
        <v>1413</v>
      </c>
      <c r="B3279" s="1">
        <v>45189</v>
      </c>
      <c r="C3279" t="s">
        <v>199</v>
      </c>
      <c r="D3279" t="s">
        <v>1414</v>
      </c>
      <c r="E3279" t="s">
        <v>21</v>
      </c>
      <c r="F3279" t="s">
        <v>70</v>
      </c>
      <c r="G3279" t="s">
        <v>89</v>
      </c>
      <c r="H3279">
        <v>1</v>
      </c>
      <c r="I3279" s="3">
        <v>78.290000000000006</v>
      </c>
      <c r="J3279" t="s">
        <v>16</v>
      </c>
      <c r="K3279" t="s">
        <v>30</v>
      </c>
      <c r="L3279" s="4">
        <f>Table4[[#This Row],[quantity]]*Table4[[#This Row],[unit_price]]</f>
        <v>78.290000000000006</v>
      </c>
      <c r="M3279">
        <f>COUNTIFS($C$2:$C$3934,Table4[[#This Row],[customer_id]])</f>
        <v>5</v>
      </c>
      <c r="N3279" t="str">
        <f>IF(Table4[[#This Row],[customer_order_count]]=1,"New Customer","Repeat Customer")</f>
        <v>Repeat Customer</v>
      </c>
    </row>
    <row r="3280" spans="1:14">
      <c r="A3280" t="s">
        <v>4500</v>
      </c>
      <c r="B3280" s="1">
        <v>45131</v>
      </c>
      <c r="C3280" t="s">
        <v>3355</v>
      </c>
      <c r="D3280" t="s">
        <v>1461</v>
      </c>
      <c r="E3280" t="s">
        <v>21</v>
      </c>
      <c r="F3280" t="s">
        <v>70</v>
      </c>
      <c r="G3280" t="s">
        <v>337</v>
      </c>
      <c r="H3280">
        <v>1</v>
      </c>
      <c r="I3280" s="3">
        <v>78.31</v>
      </c>
      <c r="J3280" t="s">
        <v>16</v>
      </c>
      <c r="K3280" s="2" t="s">
        <v>5256</v>
      </c>
      <c r="L3280" s="4">
        <f>Table4[[#This Row],[quantity]]*Table4[[#This Row],[unit_price]]</f>
        <v>78.31</v>
      </c>
      <c r="M3280">
        <f>COUNTIFS($C$2:$C$3934,Table4[[#This Row],[customer_id]])</f>
        <v>4</v>
      </c>
      <c r="N3280" t="str">
        <f>IF(Table4[[#This Row],[customer_order_count]]=1,"New Customer","Repeat Customer")</f>
        <v>Repeat Customer</v>
      </c>
    </row>
    <row r="3281" spans="1:14">
      <c r="A3281" t="s">
        <v>4058</v>
      </c>
      <c r="B3281" s="1">
        <v>45309</v>
      </c>
      <c r="C3281" t="s">
        <v>1679</v>
      </c>
      <c r="D3281" t="s">
        <v>65</v>
      </c>
      <c r="E3281" t="s">
        <v>21</v>
      </c>
      <c r="F3281" t="s">
        <v>56</v>
      </c>
      <c r="G3281" t="s">
        <v>118</v>
      </c>
      <c r="H3281">
        <v>1</v>
      </c>
      <c r="I3281" s="3">
        <v>78.319999999999993</v>
      </c>
      <c r="J3281" t="s">
        <v>16</v>
      </c>
      <c r="K3281" s="5" t="s">
        <v>30</v>
      </c>
      <c r="L3281" s="4">
        <f>Table4[[#This Row],[quantity]]*Table4[[#This Row],[unit_price]]</f>
        <v>78.319999999999993</v>
      </c>
      <c r="M3281">
        <f>COUNTIFS($C$2:$C$3934,Table4[[#This Row],[customer_id]])</f>
        <v>8</v>
      </c>
      <c r="N3281" t="str">
        <f>IF(Table4[[#This Row],[customer_order_count]]=1,"New Customer","Repeat Customer")</f>
        <v>Repeat Customer</v>
      </c>
    </row>
    <row r="3282" spans="1:14">
      <c r="A3282" t="s">
        <v>3476</v>
      </c>
      <c r="B3282" s="1">
        <v>45237</v>
      </c>
      <c r="C3282" t="s">
        <v>240</v>
      </c>
      <c r="D3282" t="s">
        <v>241</v>
      </c>
      <c r="E3282" t="s">
        <v>21</v>
      </c>
      <c r="F3282" t="s">
        <v>14</v>
      </c>
      <c r="G3282" t="s">
        <v>258</v>
      </c>
      <c r="H3282">
        <v>1</v>
      </c>
      <c r="I3282" s="3">
        <v>78.319999999999993</v>
      </c>
      <c r="J3282" t="s">
        <v>16</v>
      </c>
      <c r="K3282" t="s">
        <v>35</v>
      </c>
      <c r="L3282" s="4">
        <f>Table4[[#This Row],[quantity]]*Table4[[#This Row],[unit_price]]</f>
        <v>78.319999999999993</v>
      </c>
      <c r="M3282">
        <f>COUNTIFS($C$2:$C$3934,Table4[[#This Row],[customer_id]])</f>
        <v>5</v>
      </c>
      <c r="N3282" t="str">
        <f>IF(Table4[[#This Row],[customer_order_count]]=1,"New Customer","Repeat Customer")</f>
        <v>Repeat Customer</v>
      </c>
    </row>
    <row r="3283" spans="1:14">
      <c r="A3283" t="s">
        <v>192</v>
      </c>
      <c r="B3283" s="1">
        <v>45516</v>
      </c>
      <c r="C3283" t="s">
        <v>193</v>
      </c>
      <c r="D3283" t="s">
        <v>178</v>
      </c>
      <c r="E3283" t="s">
        <v>21</v>
      </c>
      <c r="F3283" t="s">
        <v>14</v>
      </c>
      <c r="G3283" t="s">
        <v>100</v>
      </c>
      <c r="H3283">
        <v>2</v>
      </c>
      <c r="I3283" s="3">
        <v>78.41</v>
      </c>
      <c r="J3283" t="s">
        <v>16</v>
      </c>
      <c r="K3283" t="s">
        <v>17</v>
      </c>
      <c r="L3283" s="4">
        <f>Table4[[#This Row],[quantity]]*Table4[[#This Row],[unit_price]]</f>
        <v>156.82</v>
      </c>
      <c r="M3283">
        <f>COUNTIFS($C$2:$C$3934,Table4[[#This Row],[customer_id]])</f>
        <v>8</v>
      </c>
      <c r="N3283" t="str">
        <f>IF(Table4[[#This Row],[customer_order_count]]=1,"New Customer","Repeat Customer")</f>
        <v>Repeat Customer</v>
      </c>
    </row>
    <row r="3284" spans="1:14">
      <c r="A3284" t="s">
        <v>2234</v>
      </c>
      <c r="B3284" s="1">
        <v>45350</v>
      </c>
      <c r="C3284" t="s">
        <v>2016</v>
      </c>
      <c r="D3284" t="s">
        <v>612</v>
      </c>
      <c r="E3284" t="s">
        <v>21</v>
      </c>
      <c r="F3284" t="s">
        <v>70</v>
      </c>
      <c r="G3284" t="s">
        <v>110</v>
      </c>
      <c r="H3284">
        <v>4</v>
      </c>
      <c r="I3284" s="3">
        <v>78.430000000000007</v>
      </c>
      <c r="J3284" t="s">
        <v>255</v>
      </c>
      <c r="K3284" t="s">
        <v>17</v>
      </c>
      <c r="L3284" s="4">
        <f>Table4[[#This Row],[quantity]]*Table4[[#This Row],[unit_price]]</f>
        <v>313.72000000000003</v>
      </c>
      <c r="M3284">
        <f>COUNTIFS($C$2:$C$3934,Table4[[#This Row],[customer_id]])</f>
        <v>3</v>
      </c>
      <c r="N3284" t="str">
        <f>IF(Table4[[#This Row],[customer_order_count]]=1,"New Customer","Repeat Customer")</f>
        <v>Repeat Customer</v>
      </c>
    </row>
    <row r="3285" spans="1:14">
      <c r="A3285" t="s">
        <v>4682</v>
      </c>
      <c r="B3285" s="1">
        <v>45284</v>
      </c>
      <c r="C3285" t="s">
        <v>2069</v>
      </c>
      <c r="D3285" t="s">
        <v>646</v>
      </c>
      <c r="E3285" t="s">
        <v>44</v>
      </c>
      <c r="F3285" t="s">
        <v>79</v>
      </c>
      <c r="G3285" t="s">
        <v>96</v>
      </c>
      <c r="H3285">
        <v>2</v>
      </c>
      <c r="I3285" s="3">
        <v>78.56</v>
      </c>
      <c r="J3285" t="s">
        <v>16</v>
      </c>
      <c r="K3285" t="s">
        <v>40</v>
      </c>
      <c r="L3285" s="4">
        <f>Table4[[#This Row],[quantity]]*Table4[[#This Row],[unit_price]]</f>
        <v>157.12</v>
      </c>
      <c r="M3285">
        <f>COUNTIFS($C$2:$C$3934,Table4[[#This Row],[customer_id]])</f>
        <v>4</v>
      </c>
      <c r="N3285" t="str">
        <f>IF(Table4[[#This Row],[customer_order_count]]=1,"New Customer","Repeat Customer")</f>
        <v>Repeat Customer</v>
      </c>
    </row>
    <row r="3286" spans="1:14">
      <c r="A3286" t="s">
        <v>351</v>
      </c>
      <c r="B3286" s="1">
        <v>45206</v>
      </c>
      <c r="C3286" t="s">
        <v>98</v>
      </c>
      <c r="D3286" t="s">
        <v>99</v>
      </c>
      <c r="E3286" t="s">
        <v>21</v>
      </c>
      <c r="F3286" t="s">
        <v>79</v>
      </c>
      <c r="G3286" t="s">
        <v>204</v>
      </c>
      <c r="H3286">
        <v>3</v>
      </c>
      <c r="I3286" s="3">
        <v>78.63</v>
      </c>
      <c r="J3286" t="s">
        <v>16</v>
      </c>
      <c r="K3286" t="s">
        <v>40</v>
      </c>
      <c r="L3286" s="4">
        <f>Table4[[#This Row],[quantity]]*Table4[[#This Row],[unit_price]]</f>
        <v>235.89</v>
      </c>
      <c r="M3286">
        <f>COUNTIFS($C$2:$C$3934,Table4[[#This Row],[customer_id]])</f>
        <v>7</v>
      </c>
      <c r="N3286" t="str">
        <f>IF(Table4[[#This Row],[customer_order_count]]=1,"New Customer","Repeat Customer")</f>
        <v>Repeat Customer</v>
      </c>
    </row>
    <row r="3287" spans="1:14">
      <c r="A3287" t="s">
        <v>3358</v>
      </c>
      <c r="B3287" s="1">
        <v>45330</v>
      </c>
      <c r="C3287" t="s">
        <v>1853</v>
      </c>
      <c r="D3287" t="s">
        <v>145</v>
      </c>
      <c r="E3287" t="s">
        <v>44</v>
      </c>
      <c r="F3287" t="s">
        <v>70</v>
      </c>
      <c r="G3287" t="s">
        <v>337</v>
      </c>
      <c r="H3287">
        <v>1</v>
      </c>
      <c r="I3287" s="3">
        <v>78.650000000000006</v>
      </c>
      <c r="J3287" t="s">
        <v>16</v>
      </c>
      <c r="K3287" t="s">
        <v>35</v>
      </c>
      <c r="L3287" s="4">
        <f>Table4[[#This Row],[quantity]]*Table4[[#This Row],[unit_price]]</f>
        <v>78.650000000000006</v>
      </c>
      <c r="M3287">
        <f>COUNTIFS($C$2:$C$3934,Table4[[#This Row],[customer_id]])</f>
        <v>3</v>
      </c>
      <c r="N3287" t="str">
        <f>IF(Table4[[#This Row],[customer_order_count]]=1,"New Customer","Repeat Customer")</f>
        <v>Repeat Customer</v>
      </c>
    </row>
    <row r="3288" spans="1:14">
      <c r="A3288" t="s">
        <v>640</v>
      </c>
      <c r="B3288" s="1">
        <v>45003</v>
      </c>
      <c r="C3288" t="s">
        <v>474</v>
      </c>
      <c r="D3288" s="2" t="s">
        <v>5257</v>
      </c>
      <c r="E3288" t="s">
        <v>21</v>
      </c>
      <c r="F3288" t="s">
        <v>79</v>
      </c>
      <c r="G3288" t="s">
        <v>166</v>
      </c>
      <c r="H3288">
        <v>1</v>
      </c>
      <c r="I3288" s="3">
        <v>78.69</v>
      </c>
      <c r="J3288" t="s">
        <v>16</v>
      </c>
      <c r="K3288" t="s">
        <v>40</v>
      </c>
      <c r="L3288" s="4">
        <f>Table4[[#This Row],[quantity]]*Table4[[#This Row],[unit_price]]</f>
        <v>78.69</v>
      </c>
      <c r="M3288">
        <f>COUNTIFS($C$2:$C$3934,Table4[[#This Row],[customer_id]])</f>
        <v>6</v>
      </c>
      <c r="N3288" t="str">
        <f>IF(Table4[[#This Row],[customer_order_count]]=1,"New Customer","Repeat Customer")</f>
        <v>Repeat Customer</v>
      </c>
    </row>
    <row r="3289" spans="1:14">
      <c r="A3289" t="s">
        <v>4249</v>
      </c>
      <c r="B3289" s="1">
        <v>44953</v>
      </c>
      <c r="C3289" t="s">
        <v>2968</v>
      </c>
      <c r="D3289" s="5" t="s">
        <v>597</v>
      </c>
      <c r="E3289" t="s">
        <v>44</v>
      </c>
      <c r="F3289" t="s">
        <v>70</v>
      </c>
      <c r="G3289" t="s">
        <v>89</v>
      </c>
      <c r="H3289">
        <v>1</v>
      </c>
      <c r="I3289" s="3">
        <v>78.69</v>
      </c>
      <c r="J3289" t="s">
        <v>16</v>
      </c>
      <c r="K3289" t="s">
        <v>40</v>
      </c>
      <c r="L3289" s="4">
        <f>Table4[[#This Row],[quantity]]*Table4[[#This Row],[unit_price]]</f>
        <v>78.69</v>
      </c>
      <c r="M3289">
        <f>COUNTIFS($C$2:$C$3934,Table4[[#This Row],[customer_id]])</f>
        <v>4</v>
      </c>
      <c r="N3289" t="str">
        <f>IF(Table4[[#This Row],[customer_order_count]]=1,"New Customer","Repeat Customer")</f>
        <v>Repeat Customer</v>
      </c>
    </row>
    <row r="3290" spans="1:14">
      <c r="A3290" t="s">
        <v>1051</v>
      </c>
      <c r="B3290" s="1">
        <v>45570</v>
      </c>
      <c r="C3290" t="s">
        <v>969</v>
      </c>
      <c r="D3290" t="s">
        <v>365</v>
      </c>
      <c r="E3290" t="s">
        <v>21</v>
      </c>
      <c r="F3290" t="s">
        <v>56</v>
      </c>
      <c r="G3290" t="s">
        <v>118</v>
      </c>
      <c r="H3290">
        <v>1</v>
      </c>
      <c r="I3290" s="3">
        <v>78.73</v>
      </c>
      <c r="J3290" t="s">
        <v>16</v>
      </c>
      <c r="K3290" t="s">
        <v>17</v>
      </c>
      <c r="L3290" s="4">
        <f>Table4[[#This Row],[quantity]]*Table4[[#This Row],[unit_price]]</f>
        <v>78.73</v>
      </c>
      <c r="M3290">
        <f>COUNTIFS($C$2:$C$3934,Table4[[#This Row],[customer_id]])</f>
        <v>5</v>
      </c>
      <c r="N3290" t="str">
        <f>IF(Table4[[#This Row],[customer_order_count]]=1,"New Customer","Repeat Customer")</f>
        <v>Repeat Customer</v>
      </c>
    </row>
    <row r="3291" spans="1:14">
      <c r="A3291" t="s">
        <v>4919</v>
      </c>
      <c r="B3291" s="1">
        <v>44990</v>
      </c>
      <c r="C3291" t="s">
        <v>1090</v>
      </c>
      <c r="D3291" t="s">
        <v>1091</v>
      </c>
      <c r="E3291" t="s">
        <v>44</v>
      </c>
      <c r="F3291" t="s">
        <v>14</v>
      </c>
      <c r="G3291" t="s">
        <v>34</v>
      </c>
      <c r="H3291">
        <v>1</v>
      </c>
      <c r="I3291" s="3">
        <v>78.790000000000006</v>
      </c>
      <c r="J3291" t="s">
        <v>16</v>
      </c>
      <c r="K3291" t="s">
        <v>40</v>
      </c>
      <c r="L3291" s="4">
        <f>Table4[[#This Row],[quantity]]*Table4[[#This Row],[unit_price]]</f>
        <v>78.790000000000006</v>
      </c>
      <c r="M3291">
        <f>COUNTIFS($C$2:$C$3934,Table4[[#This Row],[customer_id]])</f>
        <v>4</v>
      </c>
      <c r="N3291" t="str">
        <f>IF(Table4[[#This Row],[customer_order_count]]=1,"New Customer","Repeat Customer")</f>
        <v>Repeat Customer</v>
      </c>
    </row>
    <row r="3292" spans="1:14">
      <c r="A3292" t="s">
        <v>4371</v>
      </c>
      <c r="B3292" s="1">
        <v>45551</v>
      </c>
      <c r="C3292" t="s">
        <v>2209</v>
      </c>
      <c r="D3292" t="s">
        <v>1080</v>
      </c>
      <c r="E3292" t="s">
        <v>21</v>
      </c>
      <c r="F3292" t="s">
        <v>14</v>
      </c>
      <c r="G3292" t="s">
        <v>258</v>
      </c>
      <c r="H3292">
        <v>2</v>
      </c>
      <c r="I3292" s="3">
        <v>78.819999999999993</v>
      </c>
      <c r="J3292" t="s">
        <v>16</v>
      </c>
      <c r="K3292" t="s">
        <v>40</v>
      </c>
      <c r="L3292" s="4">
        <f>Table4[[#This Row],[quantity]]*Table4[[#This Row],[unit_price]]</f>
        <v>157.63999999999999</v>
      </c>
      <c r="M3292">
        <f>COUNTIFS($C$2:$C$3934,Table4[[#This Row],[customer_id]])</f>
        <v>6</v>
      </c>
      <c r="N3292" t="str">
        <f>IF(Table4[[#This Row],[customer_order_count]]=1,"New Customer","Repeat Customer")</f>
        <v>Repeat Customer</v>
      </c>
    </row>
    <row r="3293" spans="1:14">
      <c r="A3293" t="s">
        <v>4668</v>
      </c>
      <c r="B3293" s="1">
        <v>44936</v>
      </c>
      <c r="C3293" t="s">
        <v>4669</v>
      </c>
      <c r="D3293" t="s">
        <v>681</v>
      </c>
      <c r="E3293" t="s">
        <v>61</v>
      </c>
      <c r="F3293" t="s">
        <v>70</v>
      </c>
      <c r="G3293" t="s">
        <v>170</v>
      </c>
      <c r="H3293">
        <v>1</v>
      </c>
      <c r="I3293" s="3">
        <v>78.83</v>
      </c>
      <c r="J3293" t="s">
        <v>255</v>
      </c>
      <c r="K3293" t="s">
        <v>35</v>
      </c>
      <c r="L3293" s="4">
        <f>Table4[[#This Row],[quantity]]*Table4[[#This Row],[unit_price]]</f>
        <v>78.83</v>
      </c>
      <c r="M3293">
        <f>COUNTIFS($C$2:$C$3934,Table4[[#This Row],[customer_id]])</f>
        <v>1</v>
      </c>
      <c r="N3293" t="str">
        <f>IF(Table4[[#This Row],[customer_order_count]]=1,"New Customer","Repeat Customer")</f>
        <v>New Customer</v>
      </c>
    </row>
    <row r="3294" spans="1:14">
      <c r="A3294" t="s">
        <v>3243</v>
      </c>
      <c r="B3294" s="1">
        <v>45628</v>
      </c>
      <c r="C3294" t="s">
        <v>2927</v>
      </c>
      <c r="D3294" t="s">
        <v>1331</v>
      </c>
      <c r="E3294" t="s">
        <v>61</v>
      </c>
      <c r="F3294" t="s">
        <v>14</v>
      </c>
      <c r="G3294" t="s">
        <v>39</v>
      </c>
      <c r="H3294">
        <v>1</v>
      </c>
      <c r="I3294" s="3">
        <v>78.89</v>
      </c>
      <c r="J3294" t="s">
        <v>85</v>
      </c>
      <c r="K3294" t="s">
        <v>40</v>
      </c>
      <c r="L3294" s="4">
        <f>Table4[[#This Row],[quantity]]*Table4[[#This Row],[unit_price]]</f>
        <v>78.89</v>
      </c>
      <c r="M3294">
        <f>COUNTIFS($C$2:$C$3934,Table4[[#This Row],[customer_id]])</f>
        <v>3</v>
      </c>
      <c r="N3294" t="str">
        <f>IF(Table4[[#This Row],[customer_order_count]]=1,"New Customer","Repeat Customer")</f>
        <v>Repeat Customer</v>
      </c>
    </row>
    <row r="3295" spans="1:14">
      <c r="A3295" t="s">
        <v>3508</v>
      </c>
      <c r="B3295" s="1">
        <v>45132</v>
      </c>
      <c r="C3295" t="s">
        <v>983</v>
      </c>
      <c r="D3295" t="s">
        <v>237</v>
      </c>
      <c r="E3295" t="s">
        <v>44</v>
      </c>
      <c r="F3295" t="s">
        <v>56</v>
      </c>
      <c r="G3295" t="s">
        <v>118</v>
      </c>
      <c r="H3295">
        <v>3</v>
      </c>
      <c r="I3295" s="3">
        <v>78.900000000000006</v>
      </c>
      <c r="J3295" t="s">
        <v>16</v>
      </c>
      <c r="K3295" t="s">
        <v>35</v>
      </c>
      <c r="L3295" s="4">
        <f>Table4[[#This Row],[quantity]]*Table4[[#This Row],[unit_price]]</f>
        <v>236.70000000000002</v>
      </c>
      <c r="M3295">
        <f>COUNTIFS($C$2:$C$3934,Table4[[#This Row],[customer_id]])</f>
        <v>7</v>
      </c>
      <c r="N3295" t="str">
        <f>IF(Table4[[#This Row],[customer_order_count]]=1,"New Customer","Repeat Customer")</f>
        <v>Repeat Customer</v>
      </c>
    </row>
    <row r="3296" spans="1:14">
      <c r="A3296" t="s">
        <v>4522</v>
      </c>
      <c r="B3296" s="1">
        <v>45033</v>
      </c>
      <c r="C3296" t="s">
        <v>2297</v>
      </c>
      <c r="D3296" t="s">
        <v>560</v>
      </c>
      <c r="E3296" t="s">
        <v>21</v>
      </c>
      <c r="F3296" t="s">
        <v>79</v>
      </c>
      <c r="G3296" t="s">
        <v>166</v>
      </c>
      <c r="H3296">
        <v>1</v>
      </c>
      <c r="I3296" s="3">
        <v>78.91</v>
      </c>
      <c r="J3296" t="s">
        <v>16</v>
      </c>
      <c r="K3296" t="s">
        <v>17</v>
      </c>
      <c r="L3296" s="4">
        <f>Table4[[#This Row],[quantity]]*Table4[[#This Row],[unit_price]]</f>
        <v>78.91</v>
      </c>
      <c r="M3296">
        <f>COUNTIFS($C$2:$C$3934,Table4[[#This Row],[customer_id]])</f>
        <v>5</v>
      </c>
      <c r="N3296" t="str">
        <f>IF(Table4[[#This Row],[customer_order_count]]=1,"New Customer","Repeat Customer")</f>
        <v>Repeat Customer</v>
      </c>
    </row>
    <row r="3297" spans="1:14">
      <c r="A3297" t="s">
        <v>4478</v>
      </c>
      <c r="B3297" s="1">
        <v>45353</v>
      </c>
      <c r="C3297" t="s">
        <v>1735</v>
      </c>
      <c r="D3297" t="s">
        <v>1736</v>
      </c>
      <c r="E3297" t="s">
        <v>21</v>
      </c>
      <c r="F3297" t="s">
        <v>70</v>
      </c>
      <c r="G3297" t="s">
        <v>146</v>
      </c>
      <c r="H3297">
        <v>1</v>
      </c>
      <c r="I3297" s="3">
        <v>78.959999999999994</v>
      </c>
      <c r="J3297" t="s">
        <v>16</v>
      </c>
      <c r="K3297" t="s">
        <v>30</v>
      </c>
      <c r="L3297" s="4">
        <f>Table4[[#This Row],[quantity]]*Table4[[#This Row],[unit_price]]</f>
        <v>78.959999999999994</v>
      </c>
      <c r="M3297">
        <f>COUNTIFS($C$2:$C$3934,Table4[[#This Row],[customer_id]])</f>
        <v>3</v>
      </c>
      <c r="N3297" t="str">
        <f>IF(Table4[[#This Row],[customer_order_count]]=1,"New Customer","Repeat Customer")</f>
        <v>Repeat Customer</v>
      </c>
    </row>
    <row r="3298" spans="1:14">
      <c r="A3298" t="s">
        <v>922</v>
      </c>
      <c r="B3298" s="1">
        <v>45234</v>
      </c>
      <c r="C3298" t="s">
        <v>160</v>
      </c>
      <c r="D3298" t="s">
        <v>161</v>
      </c>
      <c r="E3298" t="s">
        <v>21</v>
      </c>
      <c r="F3298" t="s">
        <v>79</v>
      </c>
      <c r="G3298" t="s">
        <v>96</v>
      </c>
      <c r="H3298">
        <v>3</v>
      </c>
      <c r="I3298" s="3">
        <v>78.959999999999994</v>
      </c>
      <c r="J3298" t="s">
        <v>16</v>
      </c>
      <c r="K3298" t="s">
        <v>30</v>
      </c>
      <c r="L3298" s="4">
        <f>Table4[[#This Row],[quantity]]*Table4[[#This Row],[unit_price]]</f>
        <v>236.88</v>
      </c>
      <c r="M3298">
        <f>COUNTIFS($C$2:$C$3934,Table4[[#This Row],[customer_id]])</f>
        <v>6</v>
      </c>
      <c r="N3298" t="str">
        <f>IF(Table4[[#This Row],[customer_order_count]]=1,"New Customer","Repeat Customer")</f>
        <v>Repeat Customer</v>
      </c>
    </row>
    <row r="3299" spans="1:14">
      <c r="A3299" t="s">
        <v>480</v>
      </c>
      <c r="B3299" s="1">
        <v>45156</v>
      </c>
      <c r="C3299" t="s">
        <v>481</v>
      </c>
      <c r="D3299" t="s">
        <v>247</v>
      </c>
      <c r="E3299" t="s">
        <v>21</v>
      </c>
      <c r="F3299" t="s">
        <v>56</v>
      </c>
      <c r="G3299" t="s">
        <v>118</v>
      </c>
      <c r="H3299">
        <v>4</v>
      </c>
      <c r="I3299" s="3">
        <v>79.09</v>
      </c>
      <c r="J3299" t="s">
        <v>16</v>
      </c>
      <c r="K3299" t="s">
        <v>30</v>
      </c>
      <c r="L3299" s="4">
        <f>Table4[[#This Row],[quantity]]*Table4[[#This Row],[unit_price]]</f>
        <v>316.36</v>
      </c>
      <c r="M3299">
        <f>COUNTIFS($C$2:$C$3934,Table4[[#This Row],[customer_id]])</f>
        <v>7</v>
      </c>
      <c r="N3299" t="str">
        <f>IF(Table4[[#This Row],[customer_order_count]]=1,"New Customer","Repeat Customer")</f>
        <v>Repeat Customer</v>
      </c>
    </row>
    <row r="3300" spans="1:14">
      <c r="A3300" t="s">
        <v>3525</v>
      </c>
      <c r="B3300" s="1">
        <v>45562</v>
      </c>
      <c r="C3300" t="s">
        <v>1335</v>
      </c>
      <c r="D3300" t="s">
        <v>1336</v>
      </c>
      <c r="E3300" t="s">
        <v>21</v>
      </c>
      <c r="F3300" t="s">
        <v>14</v>
      </c>
      <c r="G3300" t="s">
        <v>39</v>
      </c>
      <c r="H3300">
        <v>1</v>
      </c>
      <c r="I3300" s="3">
        <v>79.099999999999994</v>
      </c>
      <c r="J3300" t="s">
        <v>16</v>
      </c>
      <c r="K3300" t="s">
        <v>40</v>
      </c>
      <c r="L3300" s="4">
        <f>Table4[[#This Row],[quantity]]*Table4[[#This Row],[unit_price]]</f>
        <v>79.099999999999994</v>
      </c>
      <c r="M3300">
        <f>COUNTIFS($C$2:$C$3934,Table4[[#This Row],[customer_id]])</f>
        <v>7</v>
      </c>
      <c r="N3300" t="str">
        <f>IF(Table4[[#This Row],[customer_order_count]]=1,"New Customer","Repeat Customer")</f>
        <v>Repeat Customer</v>
      </c>
    </row>
    <row r="3301" spans="1:14">
      <c r="A3301" t="s">
        <v>1249</v>
      </c>
      <c r="B3301" s="1">
        <v>44974</v>
      </c>
      <c r="C3301" t="s">
        <v>1250</v>
      </c>
      <c r="D3301" t="s">
        <v>60</v>
      </c>
      <c r="E3301" t="s">
        <v>21</v>
      </c>
      <c r="F3301" t="s">
        <v>70</v>
      </c>
      <c r="G3301" t="s">
        <v>89</v>
      </c>
      <c r="H3301">
        <v>3</v>
      </c>
      <c r="I3301" s="3">
        <v>79.14</v>
      </c>
      <c r="J3301" t="s">
        <v>16</v>
      </c>
      <c r="K3301" t="s">
        <v>17</v>
      </c>
      <c r="L3301" s="4">
        <f>Table4[[#This Row],[quantity]]*Table4[[#This Row],[unit_price]]</f>
        <v>237.42000000000002</v>
      </c>
      <c r="M3301">
        <f>COUNTIFS($C$2:$C$3934,Table4[[#This Row],[customer_id]])</f>
        <v>3</v>
      </c>
      <c r="N3301" t="str">
        <f>IF(Table4[[#This Row],[customer_order_count]]=1,"New Customer","Repeat Customer")</f>
        <v>Repeat Customer</v>
      </c>
    </row>
    <row r="3302" spans="1:14">
      <c r="A3302" t="s">
        <v>3670</v>
      </c>
      <c r="B3302" s="1">
        <v>45065</v>
      </c>
      <c r="C3302" t="s">
        <v>2170</v>
      </c>
      <c r="D3302" t="s">
        <v>2171</v>
      </c>
      <c r="E3302" t="s">
        <v>21</v>
      </c>
      <c r="F3302" t="s">
        <v>56</v>
      </c>
      <c r="G3302" t="s">
        <v>153</v>
      </c>
      <c r="H3302">
        <v>2</v>
      </c>
      <c r="I3302" s="3">
        <v>79.150000000000006</v>
      </c>
      <c r="J3302" t="s">
        <v>24</v>
      </c>
      <c r="K3302" t="s">
        <v>35</v>
      </c>
      <c r="L3302" s="4">
        <f>Table4[[#This Row],[quantity]]*Table4[[#This Row],[unit_price]]</f>
        <v>158.30000000000001</v>
      </c>
      <c r="M3302">
        <f>COUNTIFS($C$2:$C$3934,Table4[[#This Row],[customer_id]])</f>
        <v>5</v>
      </c>
      <c r="N3302" t="str">
        <f>IF(Table4[[#This Row],[customer_order_count]]=1,"New Customer","Repeat Customer")</f>
        <v>Repeat Customer</v>
      </c>
    </row>
    <row r="3303" spans="1:14">
      <c r="A3303" t="s">
        <v>412</v>
      </c>
      <c r="B3303" s="1">
        <v>45536</v>
      </c>
      <c r="C3303" t="s">
        <v>413</v>
      </c>
      <c r="D3303" t="s">
        <v>414</v>
      </c>
      <c r="E3303" t="s">
        <v>21</v>
      </c>
      <c r="F3303" t="s">
        <v>56</v>
      </c>
      <c r="G3303" t="s">
        <v>153</v>
      </c>
      <c r="H3303">
        <v>1</v>
      </c>
      <c r="I3303" s="3">
        <v>79.2</v>
      </c>
      <c r="J3303" t="s">
        <v>24</v>
      </c>
      <c r="K3303" t="s">
        <v>30</v>
      </c>
      <c r="L3303" s="4">
        <f>Table4[[#This Row],[quantity]]*Table4[[#This Row],[unit_price]]</f>
        <v>79.2</v>
      </c>
      <c r="M3303">
        <f>COUNTIFS($C$2:$C$3934,Table4[[#This Row],[customer_id]])</f>
        <v>8</v>
      </c>
      <c r="N3303" t="str">
        <f>IF(Table4[[#This Row],[customer_order_count]]=1,"New Customer","Repeat Customer")</f>
        <v>Repeat Customer</v>
      </c>
    </row>
    <row r="3304" spans="1:14">
      <c r="A3304" t="s">
        <v>3669</v>
      </c>
      <c r="B3304" s="1">
        <v>45435</v>
      </c>
      <c r="C3304" t="s">
        <v>1722</v>
      </c>
      <c r="D3304" t="s">
        <v>138</v>
      </c>
      <c r="E3304" t="s">
        <v>21</v>
      </c>
      <c r="F3304" t="s">
        <v>14</v>
      </c>
      <c r="G3304" t="s">
        <v>62</v>
      </c>
      <c r="H3304">
        <v>4</v>
      </c>
      <c r="I3304" s="3">
        <v>79.22</v>
      </c>
      <c r="J3304" t="s">
        <v>16</v>
      </c>
      <c r="K3304" t="s">
        <v>17</v>
      </c>
      <c r="L3304" s="4">
        <f>Table4[[#This Row],[quantity]]*Table4[[#This Row],[unit_price]]</f>
        <v>316.88</v>
      </c>
      <c r="M3304">
        <f>COUNTIFS($C$2:$C$3934,Table4[[#This Row],[customer_id]])</f>
        <v>4</v>
      </c>
      <c r="N3304" t="str">
        <f>IF(Table4[[#This Row],[customer_order_count]]=1,"New Customer","Repeat Customer")</f>
        <v>Repeat Customer</v>
      </c>
    </row>
    <row r="3305" spans="1:14">
      <c r="A3305" t="s">
        <v>1655</v>
      </c>
      <c r="B3305" s="1">
        <v>45280</v>
      </c>
      <c r="C3305" t="s">
        <v>663</v>
      </c>
      <c r="D3305" t="s">
        <v>48</v>
      </c>
      <c r="E3305" t="s">
        <v>21</v>
      </c>
      <c r="F3305" t="s">
        <v>56</v>
      </c>
      <c r="G3305" t="s">
        <v>254</v>
      </c>
      <c r="H3305">
        <v>1</v>
      </c>
      <c r="I3305" s="3">
        <v>79.239999999999995</v>
      </c>
      <c r="J3305" t="s">
        <v>16</v>
      </c>
      <c r="K3305" t="s">
        <v>17</v>
      </c>
      <c r="L3305" s="4">
        <f>Table4[[#This Row],[quantity]]*Table4[[#This Row],[unit_price]]</f>
        <v>79.239999999999995</v>
      </c>
      <c r="M3305">
        <f>COUNTIFS($C$2:$C$3934,Table4[[#This Row],[customer_id]])</f>
        <v>9</v>
      </c>
      <c r="N3305" t="str">
        <f>IF(Table4[[#This Row],[customer_order_count]]=1,"New Customer","Repeat Customer")</f>
        <v>Repeat Customer</v>
      </c>
    </row>
    <row r="3306" spans="1:14">
      <c r="A3306" t="s">
        <v>4231</v>
      </c>
      <c r="B3306" s="1">
        <v>45226</v>
      </c>
      <c r="C3306" t="s">
        <v>2340</v>
      </c>
      <c r="D3306" t="s">
        <v>1000</v>
      </c>
      <c r="E3306" t="s">
        <v>44</v>
      </c>
      <c r="F3306" t="s">
        <v>14</v>
      </c>
      <c r="G3306" t="s">
        <v>39</v>
      </c>
      <c r="H3306">
        <v>1</v>
      </c>
      <c r="I3306" s="3">
        <v>79.290000000000006</v>
      </c>
      <c r="J3306" t="s">
        <v>255</v>
      </c>
      <c r="K3306" t="s">
        <v>40</v>
      </c>
      <c r="L3306" s="4">
        <f>Table4[[#This Row],[quantity]]*Table4[[#This Row],[unit_price]]</f>
        <v>79.290000000000006</v>
      </c>
      <c r="M3306">
        <f>COUNTIFS($C$2:$C$3934,Table4[[#This Row],[customer_id]])</f>
        <v>4</v>
      </c>
      <c r="N3306" t="str">
        <f>IF(Table4[[#This Row],[customer_order_count]]=1,"New Customer","Repeat Customer")</f>
        <v>Repeat Customer</v>
      </c>
    </row>
    <row r="3307" spans="1:14">
      <c r="A3307" t="s">
        <v>3370</v>
      </c>
      <c r="B3307" s="1">
        <v>45053</v>
      </c>
      <c r="C3307" t="s">
        <v>222</v>
      </c>
      <c r="D3307" t="s">
        <v>223</v>
      </c>
      <c r="E3307" t="s">
        <v>21</v>
      </c>
      <c r="F3307" t="s">
        <v>14</v>
      </c>
      <c r="G3307" t="s">
        <v>34</v>
      </c>
      <c r="H3307">
        <v>5</v>
      </c>
      <c r="I3307" s="3">
        <v>79.33</v>
      </c>
      <c r="J3307" t="s">
        <v>16</v>
      </c>
      <c r="K3307" t="s">
        <v>35</v>
      </c>
      <c r="L3307" s="4">
        <f>Table4[[#This Row],[quantity]]*Table4[[#This Row],[unit_price]]</f>
        <v>396.65</v>
      </c>
      <c r="M3307">
        <f>COUNTIFS($C$2:$C$3934,Table4[[#This Row],[customer_id]])</f>
        <v>6</v>
      </c>
      <c r="N3307" t="str">
        <f>IF(Table4[[#This Row],[customer_order_count]]=1,"New Customer","Repeat Customer")</f>
        <v>Repeat Customer</v>
      </c>
    </row>
    <row r="3308" spans="1:14">
      <c r="A3308" t="s">
        <v>2107</v>
      </c>
      <c r="B3308" s="1">
        <v>45196</v>
      </c>
      <c r="C3308" t="s">
        <v>2108</v>
      </c>
      <c r="D3308" t="s">
        <v>350</v>
      </c>
      <c r="E3308" t="s">
        <v>21</v>
      </c>
      <c r="F3308" t="s">
        <v>70</v>
      </c>
      <c r="G3308" t="s">
        <v>526</v>
      </c>
      <c r="H3308">
        <v>1</v>
      </c>
      <c r="I3308" s="3">
        <v>79.34</v>
      </c>
      <c r="J3308" t="s">
        <v>16</v>
      </c>
      <c r="K3308" t="s">
        <v>40</v>
      </c>
      <c r="L3308" s="4">
        <f>Table4[[#This Row],[quantity]]*Table4[[#This Row],[unit_price]]</f>
        <v>79.34</v>
      </c>
      <c r="M3308">
        <f>COUNTIFS($C$2:$C$3934,Table4[[#This Row],[customer_id]])</f>
        <v>3</v>
      </c>
      <c r="N3308" t="str">
        <f>IF(Table4[[#This Row],[customer_order_count]]=1,"New Customer","Repeat Customer")</f>
        <v>Repeat Customer</v>
      </c>
    </row>
    <row r="3309" spans="1:14">
      <c r="A3309" t="s">
        <v>5001</v>
      </c>
      <c r="B3309" s="1">
        <v>45637</v>
      </c>
      <c r="C3309" t="s">
        <v>191</v>
      </c>
      <c r="D3309" t="s">
        <v>78</v>
      </c>
      <c r="E3309" t="s">
        <v>21</v>
      </c>
      <c r="F3309" t="s">
        <v>56</v>
      </c>
      <c r="G3309" t="s">
        <v>153</v>
      </c>
      <c r="H3309">
        <v>2</v>
      </c>
      <c r="I3309" s="3">
        <v>79.38</v>
      </c>
      <c r="J3309" t="s">
        <v>16</v>
      </c>
      <c r="K3309" t="s">
        <v>30</v>
      </c>
      <c r="L3309" s="4">
        <f>Table4[[#This Row],[quantity]]*Table4[[#This Row],[unit_price]]</f>
        <v>158.76</v>
      </c>
      <c r="M3309">
        <f>COUNTIFS($C$2:$C$3934,Table4[[#This Row],[customer_id]])</f>
        <v>6</v>
      </c>
      <c r="N3309" t="str">
        <f>IF(Table4[[#This Row],[customer_order_count]]=1,"New Customer","Repeat Customer")</f>
        <v>Repeat Customer</v>
      </c>
    </row>
    <row r="3310" spans="1:14">
      <c r="A3310" t="s">
        <v>3445</v>
      </c>
      <c r="B3310" s="1">
        <v>45431</v>
      </c>
      <c r="C3310" t="s">
        <v>202</v>
      </c>
      <c r="D3310" t="s">
        <v>203</v>
      </c>
      <c r="E3310" t="s">
        <v>21</v>
      </c>
      <c r="F3310" t="s">
        <v>56</v>
      </c>
      <c r="G3310" t="s">
        <v>75</v>
      </c>
      <c r="H3310">
        <v>2</v>
      </c>
      <c r="I3310" s="3">
        <v>79.45</v>
      </c>
      <c r="J3310" t="s">
        <v>16</v>
      </c>
      <c r="K3310" t="s">
        <v>35</v>
      </c>
      <c r="L3310" s="4">
        <f>Table4[[#This Row],[quantity]]*Table4[[#This Row],[unit_price]]</f>
        <v>158.9</v>
      </c>
      <c r="M3310">
        <f>COUNTIFS($C$2:$C$3934,Table4[[#This Row],[customer_id]])</f>
        <v>8</v>
      </c>
      <c r="N3310" t="str">
        <f>IF(Table4[[#This Row],[customer_order_count]]=1,"New Customer","Repeat Customer")</f>
        <v>Repeat Customer</v>
      </c>
    </row>
    <row r="3311" spans="1:14">
      <c r="A3311" t="s">
        <v>4378</v>
      </c>
      <c r="B3311" s="1">
        <v>45201</v>
      </c>
      <c r="C3311" t="s">
        <v>4379</v>
      </c>
      <c r="D3311" t="s">
        <v>289</v>
      </c>
      <c r="E3311" t="s">
        <v>61</v>
      </c>
      <c r="F3311" t="s">
        <v>14</v>
      </c>
      <c r="G3311" t="s">
        <v>39</v>
      </c>
      <c r="H3311">
        <v>1</v>
      </c>
      <c r="I3311" s="3">
        <v>79.69</v>
      </c>
      <c r="J3311" t="s">
        <v>16</v>
      </c>
      <c r="K3311" t="s">
        <v>17</v>
      </c>
      <c r="L3311" s="4">
        <f>Table4[[#This Row],[quantity]]*Table4[[#This Row],[unit_price]]</f>
        <v>79.69</v>
      </c>
      <c r="M3311">
        <f>COUNTIFS($C$2:$C$3934,Table4[[#This Row],[customer_id]])</f>
        <v>2</v>
      </c>
      <c r="N3311" t="str">
        <f>IF(Table4[[#This Row],[customer_order_count]]=1,"New Customer","Repeat Customer")</f>
        <v>Repeat Customer</v>
      </c>
    </row>
    <row r="3312" spans="1:14">
      <c r="A3312" t="s">
        <v>2200</v>
      </c>
      <c r="B3312" s="1">
        <v>45001</v>
      </c>
      <c r="C3312" t="s">
        <v>2201</v>
      </c>
      <c r="D3312" t="s">
        <v>1336</v>
      </c>
      <c r="E3312" t="s">
        <v>44</v>
      </c>
      <c r="F3312" t="s">
        <v>56</v>
      </c>
      <c r="G3312" t="s">
        <v>422</v>
      </c>
      <c r="H3312">
        <v>1</v>
      </c>
      <c r="I3312" s="3">
        <v>79.75</v>
      </c>
      <c r="J3312" t="s">
        <v>16</v>
      </c>
      <c r="K3312" t="s">
        <v>17</v>
      </c>
      <c r="L3312" s="4">
        <f>Table4[[#This Row],[quantity]]*Table4[[#This Row],[unit_price]]</f>
        <v>79.75</v>
      </c>
      <c r="M3312">
        <f>COUNTIFS($C$2:$C$3934,Table4[[#This Row],[customer_id]])</f>
        <v>1</v>
      </c>
      <c r="N3312" t="str">
        <f>IF(Table4[[#This Row],[customer_order_count]]=1,"New Customer","Repeat Customer")</f>
        <v>New Customer</v>
      </c>
    </row>
    <row r="3313" spans="1:14">
      <c r="A3313" t="s">
        <v>4486</v>
      </c>
      <c r="B3313" s="1">
        <v>45289</v>
      </c>
      <c r="C3313" t="s">
        <v>1482</v>
      </c>
      <c r="D3313" t="s">
        <v>269</v>
      </c>
      <c r="E3313" t="s">
        <v>21</v>
      </c>
      <c r="F3313" t="s">
        <v>79</v>
      </c>
      <c r="G3313" t="s">
        <v>166</v>
      </c>
      <c r="H3313">
        <v>1</v>
      </c>
      <c r="I3313" s="3">
        <v>80.03</v>
      </c>
      <c r="J3313" t="s">
        <v>16</v>
      </c>
      <c r="K3313" t="s">
        <v>35</v>
      </c>
      <c r="L3313" s="4">
        <f>Table4[[#This Row],[quantity]]*Table4[[#This Row],[unit_price]]</f>
        <v>80.03</v>
      </c>
      <c r="M3313">
        <f>COUNTIFS($C$2:$C$3934,Table4[[#This Row],[customer_id]])</f>
        <v>6</v>
      </c>
      <c r="N3313" t="str">
        <f>IF(Table4[[#This Row],[customer_order_count]]=1,"New Customer","Repeat Customer")</f>
        <v>Repeat Customer</v>
      </c>
    </row>
    <row r="3314" spans="1:14">
      <c r="A3314" t="s">
        <v>4195</v>
      </c>
      <c r="B3314" s="1">
        <v>45189</v>
      </c>
      <c r="C3314" t="s">
        <v>252</v>
      </c>
      <c r="D3314" t="s">
        <v>253</v>
      </c>
      <c r="E3314" t="s">
        <v>44</v>
      </c>
      <c r="F3314" t="s">
        <v>14</v>
      </c>
      <c r="G3314" t="s">
        <v>100</v>
      </c>
      <c r="H3314">
        <v>1</v>
      </c>
      <c r="I3314" s="3">
        <v>80.209999999999994</v>
      </c>
      <c r="J3314" t="s">
        <v>85</v>
      </c>
      <c r="K3314" t="s">
        <v>30</v>
      </c>
      <c r="L3314" s="4">
        <f>Table4[[#This Row],[quantity]]*Table4[[#This Row],[unit_price]]</f>
        <v>80.209999999999994</v>
      </c>
      <c r="M3314">
        <f>COUNTIFS($C$2:$C$3934,Table4[[#This Row],[customer_id]])</f>
        <v>5</v>
      </c>
      <c r="N3314" t="str">
        <f>IF(Table4[[#This Row],[customer_order_count]]=1,"New Customer","Repeat Customer")</f>
        <v>Repeat Customer</v>
      </c>
    </row>
    <row r="3315" spans="1:14">
      <c r="A3315" t="s">
        <v>2105</v>
      </c>
      <c r="B3315" s="1">
        <v>45088</v>
      </c>
      <c r="C3315" t="s">
        <v>1439</v>
      </c>
      <c r="D3315" t="s">
        <v>1440</v>
      </c>
      <c r="E3315" t="s">
        <v>21</v>
      </c>
      <c r="F3315" t="s">
        <v>56</v>
      </c>
      <c r="G3315" t="s">
        <v>57</v>
      </c>
      <c r="H3315">
        <v>1</v>
      </c>
      <c r="I3315" s="3">
        <v>80.23</v>
      </c>
      <c r="J3315" t="s">
        <v>255</v>
      </c>
      <c r="K3315" t="s">
        <v>17</v>
      </c>
      <c r="L3315" s="4">
        <f>Table4[[#This Row],[quantity]]*Table4[[#This Row],[unit_price]]</f>
        <v>80.23</v>
      </c>
      <c r="M3315">
        <f>COUNTIFS($C$2:$C$3934,Table4[[#This Row],[customer_id]])</f>
        <v>5</v>
      </c>
      <c r="N3315" t="str">
        <f>IF(Table4[[#This Row],[customer_order_count]]=1,"New Customer","Repeat Customer")</f>
        <v>Repeat Customer</v>
      </c>
    </row>
    <row r="3316" spans="1:14">
      <c r="A3316" t="s">
        <v>1479</v>
      </c>
      <c r="B3316" s="1">
        <v>45384</v>
      </c>
      <c r="C3316" t="s">
        <v>1480</v>
      </c>
      <c r="D3316" s="2" t="s">
        <v>5257</v>
      </c>
      <c r="E3316" t="s">
        <v>44</v>
      </c>
      <c r="F3316" t="s">
        <v>79</v>
      </c>
      <c r="G3316" t="s">
        <v>541</v>
      </c>
      <c r="H3316">
        <v>2</v>
      </c>
      <c r="I3316" s="3">
        <v>80.233225806451628</v>
      </c>
      <c r="J3316" t="s">
        <v>85</v>
      </c>
      <c r="K3316" t="s">
        <v>35</v>
      </c>
      <c r="L3316" s="4">
        <f>Table4[[#This Row],[quantity]]*Table4[[#This Row],[unit_price]]</f>
        <v>160.46645161290326</v>
      </c>
      <c r="M3316">
        <f>COUNTIFS($C$2:$C$3934,Table4[[#This Row],[customer_id]])</f>
        <v>4</v>
      </c>
      <c r="N3316" t="str">
        <f>IF(Table4[[#This Row],[customer_order_count]]=1,"New Customer","Repeat Customer")</f>
        <v>Repeat Customer</v>
      </c>
    </row>
    <row r="3317" spans="1:14">
      <c r="A3317" t="s">
        <v>3528</v>
      </c>
      <c r="B3317" s="1">
        <v>45444</v>
      </c>
      <c r="C3317" t="s">
        <v>2560</v>
      </c>
      <c r="D3317" s="5" t="s">
        <v>828</v>
      </c>
      <c r="E3317" t="s">
        <v>44</v>
      </c>
      <c r="F3317" t="s">
        <v>79</v>
      </c>
      <c r="G3317" t="s">
        <v>96</v>
      </c>
      <c r="H3317">
        <v>1</v>
      </c>
      <c r="I3317" s="3">
        <v>80.309565217391295</v>
      </c>
      <c r="J3317" t="s">
        <v>24</v>
      </c>
      <c r="K3317" t="s">
        <v>35</v>
      </c>
      <c r="L3317" s="4">
        <f>Table4[[#This Row],[quantity]]*Table4[[#This Row],[unit_price]]</f>
        <v>80.309565217391295</v>
      </c>
      <c r="M3317">
        <f>COUNTIFS($C$2:$C$3934,Table4[[#This Row],[customer_id]])</f>
        <v>5</v>
      </c>
      <c r="N3317" t="str">
        <f>IF(Table4[[#This Row],[customer_order_count]]=1,"New Customer","Repeat Customer")</f>
        <v>Repeat Customer</v>
      </c>
    </row>
    <row r="3318" spans="1:14">
      <c r="A3318" t="s">
        <v>3697</v>
      </c>
      <c r="B3318" s="1">
        <v>45296</v>
      </c>
      <c r="C3318" t="s">
        <v>696</v>
      </c>
      <c r="D3318" t="s">
        <v>582</v>
      </c>
      <c r="E3318" t="s">
        <v>21</v>
      </c>
      <c r="F3318" t="s">
        <v>14</v>
      </c>
      <c r="G3318" t="s">
        <v>34</v>
      </c>
      <c r="H3318">
        <v>1</v>
      </c>
      <c r="I3318" s="3">
        <v>80.44</v>
      </c>
      <c r="J3318" t="s">
        <v>16</v>
      </c>
      <c r="K3318" t="s">
        <v>17</v>
      </c>
      <c r="L3318" s="4">
        <f>Table4[[#This Row],[quantity]]*Table4[[#This Row],[unit_price]]</f>
        <v>80.44</v>
      </c>
      <c r="M3318">
        <f>COUNTIFS($C$2:$C$3934,Table4[[#This Row],[customer_id]])</f>
        <v>12</v>
      </c>
      <c r="N3318" t="str">
        <f>IF(Table4[[#This Row],[customer_order_count]]=1,"New Customer","Repeat Customer")</f>
        <v>Repeat Customer</v>
      </c>
    </row>
    <row r="3319" spans="1:14">
      <c r="A3319" t="s">
        <v>536</v>
      </c>
      <c r="B3319" s="1">
        <v>45102</v>
      </c>
      <c r="C3319" t="s">
        <v>537</v>
      </c>
      <c r="D3319" t="s">
        <v>538</v>
      </c>
      <c r="E3319" t="s">
        <v>21</v>
      </c>
      <c r="F3319" t="s">
        <v>56</v>
      </c>
      <c r="G3319" t="s">
        <v>210</v>
      </c>
      <c r="H3319">
        <v>2</v>
      </c>
      <c r="I3319" s="3">
        <v>80.5</v>
      </c>
      <c r="J3319" t="s">
        <v>16</v>
      </c>
      <c r="K3319" t="s">
        <v>35</v>
      </c>
      <c r="L3319" s="4">
        <f>Table4[[#This Row],[quantity]]*Table4[[#This Row],[unit_price]]</f>
        <v>161</v>
      </c>
      <c r="M3319">
        <f>COUNTIFS($C$2:$C$3934,Table4[[#This Row],[customer_id]])</f>
        <v>9</v>
      </c>
      <c r="N3319" t="str">
        <f>IF(Table4[[#This Row],[customer_order_count]]=1,"New Customer","Repeat Customer")</f>
        <v>Repeat Customer</v>
      </c>
    </row>
    <row r="3320" spans="1:14">
      <c r="A3320" t="s">
        <v>1566</v>
      </c>
      <c r="B3320" s="1">
        <v>45042</v>
      </c>
      <c r="C3320" t="s">
        <v>1567</v>
      </c>
      <c r="D3320" t="s">
        <v>109</v>
      </c>
      <c r="E3320" t="s">
        <v>21</v>
      </c>
      <c r="F3320" t="s">
        <v>14</v>
      </c>
      <c r="G3320" t="s">
        <v>15</v>
      </c>
      <c r="H3320">
        <v>2</v>
      </c>
      <c r="I3320" s="3">
        <v>80.52</v>
      </c>
      <c r="J3320" t="s">
        <v>16</v>
      </c>
      <c r="K3320" t="s">
        <v>40</v>
      </c>
      <c r="L3320" s="4">
        <f>Table4[[#This Row],[quantity]]*Table4[[#This Row],[unit_price]]</f>
        <v>161.04</v>
      </c>
      <c r="M3320">
        <f>COUNTIFS($C$2:$C$3934,Table4[[#This Row],[customer_id]])</f>
        <v>6</v>
      </c>
      <c r="N3320" t="str">
        <f>IF(Table4[[#This Row],[customer_order_count]]=1,"New Customer","Repeat Customer")</f>
        <v>Repeat Customer</v>
      </c>
    </row>
    <row r="3321" spans="1:14">
      <c r="A3321" t="s">
        <v>5040</v>
      </c>
      <c r="B3321" s="1">
        <v>45639</v>
      </c>
      <c r="C3321" t="s">
        <v>1095</v>
      </c>
      <c r="D3321" t="s">
        <v>229</v>
      </c>
      <c r="E3321" t="s">
        <v>21</v>
      </c>
      <c r="F3321" t="s">
        <v>56</v>
      </c>
      <c r="G3321" t="s">
        <v>422</v>
      </c>
      <c r="H3321">
        <v>1</v>
      </c>
      <c r="I3321" s="3">
        <v>80.650000000000006</v>
      </c>
      <c r="J3321" t="s">
        <v>24</v>
      </c>
      <c r="K3321" s="2" t="s">
        <v>5256</v>
      </c>
      <c r="L3321" s="4">
        <f>Table4[[#This Row],[quantity]]*Table4[[#This Row],[unit_price]]</f>
        <v>80.650000000000006</v>
      </c>
      <c r="M3321">
        <f>COUNTIFS($C$2:$C$3934,Table4[[#This Row],[customer_id]])</f>
        <v>7</v>
      </c>
      <c r="N3321" t="str">
        <f>IF(Table4[[#This Row],[customer_order_count]]=1,"New Customer","Repeat Customer")</f>
        <v>Repeat Customer</v>
      </c>
    </row>
    <row r="3322" spans="1:14">
      <c r="A3322" t="s">
        <v>3938</v>
      </c>
      <c r="B3322" s="1">
        <v>45476</v>
      </c>
      <c r="C3322" t="s">
        <v>978</v>
      </c>
      <c r="D3322" t="s">
        <v>292</v>
      </c>
      <c r="E3322" t="s">
        <v>21</v>
      </c>
      <c r="F3322" t="s">
        <v>79</v>
      </c>
      <c r="G3322" t="s">
        <v>80</v>
      </c>
      <c r="H3322">
        <v>2</v>
      </c>
      <c r="I3322" s="3">
        <v>80.67</v>
      </c>
      <c r="J3322" t="s">
        <v>85</v>
      </c>
      <c r="K3322" s="5" t="s">
        <v>30</v>
      </c>
      <c r="L3322" s="4">
        <f>Table4[[#This Row],[quantity]]*Table4[[#This Row],[unit_price]]</f>
        <v>161.34</v>
      </c>
      <c r="M3322">
        <f>COUNTIFS($C$2:$C$3934,Table4[[#This Row],[customer_id]])</f>
        <v>9</v>
      </c>
      <c r="N3322" t="str">
        <f>IF(Table4[[#This Row],[customer_order_count]]=1,"New Customer","Repeat Customer")</f>
        <v>Repeat Customer</v>
      </c>
    </row>
    <row r="3323" spans="1:14">
      <c r="A3323" t="s">
        <v>1958</v>
      </c>
      <c r="B3323" s="1">
        <v>44995</v>
      </c>
      <c r="C3323" t="s">
        <v>1948</v>
      </c>
      <c r="D3323" t="s">
        <v>237</v>
      </c>
      <c r="E3323" t="s">
        <v>21</v>
      </c>
      <c r="F3323" t="s">
        <v>14</v>
      </c>
      <c r="G3323" t="s">
        <v>62</v>
      </c>
      <c r="H3323">
        <v>1</v>
      </c>
      <c r="I3323" s="3">
        <v>80.7</v>
      </c>
      <c r="J3323" t="s">
        <v>16</v>
      </c>
      <c r="K3323" t="s">
        <v>35</v>
      </c>
      <c r="L3323" s="4">
        <f>Table4[[#This Row],[quantity]]*Table4[[#This Row],[unit_price]]</f>
        <v>80.7</v>
      </c>
      <c r="M3323">
        <f>COUNTIFS($C$2:$C$3934,Table4[[#This Row],[customer_id]])</f>
        <v>4</v>
      </c>
      <c r="N3323" t="str">
        <f>IF(Table4[[#This Row],[customer_order_count]]=1,"New Customer","Repeat Customer")</f>
        <v>Repeat Customer</v>
      </c>
    </row>
    <row r="3324" spans="1:14">
      <c r="A3324" t="s">
        <v>3864</v>
      </c>
      <c r="B3324" s="1">
        <v>45114</v>
      </c>
      <c r="C3324" t="s">
        <v>408</v>
      </c>
      <c r="D3324" t="s">
        <v>409</v>
      </c>
      <c r="E3324" t="s">
        <v>21</v>
      </c>
      <c r="F3324" t="s">
        <v>79</v>
      </c>
      <c r="G3324" t="s">
        <v>200</v>
      </c>
      <c r="H3324">
        <v>1</v>
      </c>
      <c r="I3324" s="3">
        <v>80.760000000000005</v>
      </c>
      <c r="J3324" t="s">
        <v>16</v>
      </c>
      <c r="K3324" t="s">
        <v>40</v>
      </c>
      <c r="L3324" s="4">
        <f>Table4[[#This Row],[quantity]]*Table4[[#This Row],[unit_price]]</f>
        <v>80.760000000000005</v>
      </c>
      <c r="M3324">
        <f>COUNTIFS($C$2:$C$3934,Table4[[#This Row],[customer_id]])</f>
        <v>5</v>
      </c>
      <c r="N3324" t="str">
        <f>IF(Table4[[#This Row],[customer_order_count]]=1,"New Customer","Repeat Customer")</f>
        <v>Repeat Customer</v>
      </c>
    </row>
    <row r="3325" spans="1:14">
      <c r="A3325" t="s">
        <v>995</v>
      </c>
      <c r="B3325" s="1">
        <v>45071</v>
      </c>
      <c r="C3325" t="s">
        <v>233</v>
      </c>
      <c r="D3325" t="s">
        <v>234</v>
      </c>
      <c r="E3325" t="s">
        <v>21</v>
      </c>
      <c r="F3325" t="s">
        <v>79</v>
      </c>
      <c r="G3325" t="s">
        <v>96</v>
      </c>
      <c r="H3325">
        <v>2</v>
      </c>
      <c r="I3325" s="3">
        <v>80.760000000000005</v>
      </c>
      <c r="J3325" t="s">
        <v>16</v>
      </c>
      <c r="K3325" t="s">
        <v>40</v>
      </c>
      <c r="L3325" s="4">
        <f>Table4[[#This Row],[quantity]]*Table4[[#This Row],[unit_price]]</f>
        <v>161.52000000000001</v>
      </c>
      <c r="M3325">
        <f>COUNTIFS($C$2:$C$3934,Table4[[#This Row],[customer_id]])</f>
        <v>3</v>
      </c>
      <c r="N3325" t="str">
        <f>IF(Table4[[#This Row],[customer_order_count]]=1,"New Customer","Repeat Customer")</f>
        <v>Repeat Customer</v>
      </c>
    </row>
    <row r="3326" spans="1:14">
      <c r="A3326" t="s">
        <v>4945</v>
      </c>
      <c r="B3326" s="1">
        <v>45277</v>
      </c>
      <c r="C3326" t="s">
        <v>2059</v>
      </c>
      <c r="D3326" t="s">
        <v>2014</v>
      </c>
      <c r="E3326" t="s">
        <v>21</v>
      </c>
      <c r="F3326" t="s">
        <v>14</v>
      </c>
      <c r="G3326" t="s">
        <v>100</v>
      </c>
      <c r="H3326">
        <v>1</v>
      </c>
      <c r="I3326" s="3">
        <v>80.88</v>
      </c>
      <c r="J3326" t="s">
        <v>16</v>
      </c>
      <c r="K3326" t="s">
        <v>35</v>
      </c>
      <c r="L3326" s="4">
        <f>Table4[[#This Row],[quantity]]*Table4[[#This Row],[unit_price]]</f>
        <v>80.88</v>
      </c>
      <c r="M3326">
        <f>COUNTIFS($C$2:$C$3934,Table4[[#This Row],[customer_id]])</f>
        <v>3</v>
      </c>
      <c r="N3326" t="str">
        <f>IF(Table4[[#This Row],[customer_order_count]]=1,"New Customer","Repeat Customer")</f>
        <v>Repeat Customer</v>
      </c>
    </row>
    <row r="3327" spans="1:14">
      <c r="A3327" t="s">
        <v>2062</v>
      </c>
      <c r="B3327" s="1">
        <v>45261</v>
      </c>
      <c r="C3327" t="s">
        <v>104</v>
      </c>
      <c r="D3327" t="s">
        <v>105</v>
      </c>
      <c r="E3327" t="s">
        <v>21</v>
      </c>
      <c r="F3327" t="s">
        <v>14</v>
      </c>
      <c r="G3327" t="s">
        <v>15</v>
      </c>
      <c r="H3327">
        <v>1</v>
      </c>
      <c r="I3327" s="3">
        <v>80.94</v>
      </c>
      <c r="J3327" t="s">
        <v>16</v>
      </c>
      <c r="K3327" t="s">
        <v>35</v>
      </c>
      <c r="L3327" s="4">
        <f>Table4[[#This Row],[quantity]]*Table4[[#This Row],[unit_price]]</f>
        <v>80.94</v>
      </c>
      <c r="M3327">
        <f>COUNTIFS($C$2:$C$3934,Table4[[#This Row],[customer_id]])</f>
        <v>9</v>
      </c>
      <c r="N3327" t="str">
        <f>IF(Table4[[#This Row],[customer_order_count]]=1,"New Customer","Repeat Customer")</f>
        <v>Repeat Customer</v>
      </c>
    </row>
    <row r="3328" spans="1:14">
      <c r="A3328" t="s">
        <v>1613</v>
      </c>
      <c r="B3328" s="1">
        <v>45297</v>
      </c>
      <c r="C3328" t="s">
        <v>1614</v>
      </c>
      <c r="D3328" t="s">
        <v>496</v>
      </c>
      <c r="E3328" t="s">
        <v>106</v>
      </c>
      <c r="F3328" t="s">
        <v>79</v>
      </c>
      <c r="G3328" t="s">
        <v>200</v>
      </c>
      <c r="H3328">
        <v>4</v>
      </c>
      <c r="I3328" s="3">
        <v>81.040000000000006</v>
      </c>
      <c r="J3328" t="s">
        <v>16</v>
      </c>
      <c r="K3328" t="s">
        <v>17</v>
      </c>
      <c r="L3328" s="4">
        <f>Table4[[#This Row],[quantity]]*Table4[[#This Row],[unit_price]]</f>
        <v>324.16000000000003</v>
      </c>
      <c r="M3328">
        <f>COUNTIFS($C$2:$C$3934,Table4[[#This Row],[customer_id]])</f>
        <v>2</v>
      </c>
      <c r="N3328" t="str">
        <f>IF(Table4[[#This Row],[customer_order_count]]=1,"New Customer","Repeat Customer")</f>
        <v>Repeat Customer</v>
      </c>
    </row>
    <row r="3329" spans="1:14">
      <c r="A3329" t="s">
        <v>4415</v>
      </c>
      <c r="B3329" s="1">
        <v>45345</v>
      </c>
      <c r="C3329" t="s">
        <v>1766</v>
      </c>
      <c r="D3329" t="s">
        <v>1767</v>
      </c>
      <c r="E3329" t="s">
        <v>21</v>
      </c>
      <c r="F3329" t="s">
        <v>56</v>
      </c>
      <c r="G3329" t="s">
        <v>422</v>
      </c>
      <c r="H3329">
        <v>1</v>
      </c>
      <c r="I3329" s="3">
        <v>81.06</v>
      </c>
      <c r="J3329" t="s">
        <v>16</v>
      </c>
      <c r="K3329" t="s">
        <v>40</v>
      </c>
      <c r="L3329" s="4">
        <f>Table4[[#This Row],[quantity]]*Table4[[#This Row],[unit_price]]</f>
        <v>81.06</v>
      </c>
      <c r="M3329">
        <f>COUNTIFS($C$2:$C$3934,Table4[[#This Row],[customer_id]])</f>
        <v>7</v>
      </c>
      <c r="N3329" t="str">
        <f>IF(Table4[[#This Row],[customer_order_count]]=1,"New Customer","Repeat Customer")</f>
        <v>Repeat Customer</v>
      </c>
    </row>
    <row r="3330" spans="1:14">
      <c r="A3330" t="s">
        <v>4772</v>
      </c>
      <c r="B3330" s="1">
        <v>45621</v>
      </c>
      <c r="C3330" t="s">
        <v>1435</v>
      </c>
      <c r="D3330" t="s">
        <v>1103</v>
      </c>
      <c r="E3330" t="s">
        <v>21</v>
      </c>
      <c r="F3330" t="s">
        <v>79</v>
      </c>
      <c r="G3330" t="s">
        <v>230</v>
      </c>
      <c r="H3330">
        <v>1</v>
      </c>
      <c r="I3330" s="3">
        <v>81.266533333333314</v>
      </c>
      <c r="J3330" t="s">
        <v>16</v>
      </c>
      <c r="K3330" t="s">
        <v>40</v>
      </c>
      <c r="L3330" s="4">
        <f>Table4[[#This Row],[quantity]]*Table4[[#This Row],[unit_price]]</f>
        <v>81.266533333333314</v>
      </c>
      <c r="M3330">
        <f>COUNTIFS($C$2:$C$3934,Table4[[#This Row],[customer_id]])</f>
        <v>2</v>
      </c>
      <c r="N3330" t="str">
        <f>IF(Table4[[#This Row],[customer_order_count]]=1,"New Customer","Repeat Customer")</f>
        <v>Repeat Customer</v>
      </c>
    </row>
    <row r="3331" spans="1:14">
      <c r="A3331" t="s">
        <v>3098</v>
      </c>
      <c r="B3331" s="1">
        <v>45602</v>
      </c>
      <c r="C3331" t="s">
        <v>1325</v>
      </c>
      <c r="D3331" t="s">
        <v>693</v>
      </c>
      <c r="E3331" t="s">
        <v>21</v>
      </c>
      <c r="F3331" t="s">
        <v>79</v>
      </c>
      <c r="G3331" t="s">
        <v>230</v>
      </c>
      <c r="H3331">
        <v>3</v>
      </c>
      <c r="I3331" s="3">
        <v>81.266533333333314</v>
      </c>
      <c r="J3331" t="s">
        <v>16</v>
      </c>
      <c r="K3331" t="s">
        <v>30</v>
      </c>
      <c r="L3331" s="4">
        <f>Table4[[#This Row],[quantity]]*Table4[[#This Row],[unit_price]]</f>
        <v>243.79959999999994</v>
      </c>
      <c r="M3331">
        <f>COUNTIFS($C$2:$C$3934,Table4[[#This Row],[customer_id]])</f>
        <v>5</v>
      </c>
      <c r="N3331" t="str">
        <f>IF(Table4[[#This Row],[customer_order_count]]=1,"New Customer","Repeat Customer")</f>
        <v>Repeat Customer</v>
      </c>
    </row>
    <row r="3332" spans="1:14">
      <c r="A3332" t="s">
        <v>4742</v>
      </c>
      <c r="B3332" s="1">
        <v>45233</v>
      </c>
      <c r="C3332" t="s">
        <v>2225</v>
      </c>
      <c r="D3332" t="s">
        <v>438</v>
      </c>
      <c r="E3332" t="s">
        <v>44</v>
      </c>
      <c r="F3332" t="s">
        <v>56</v>
      </c>
      <c r="G3332" t="s">
        <v>254</v>
      </c>
      <c r="H3332">
        <v>2</v>
      </c>
      <c r="I3332" s="3">
        <v>81.31</v>
      </c>
      <c r="J3332" t="s">
        <v>85</v>
      </c>
      <c r="K3332" t="s">
        <v>40</v>
      </c>
      <c r="L3332" s="4">
        <f>Table4[[#This Row],[quantity]]*Table4[[#This Row],[unit_price]]</f>
        <v>162.62</v>
      </c>
      <c r="M3332">
        <f>COUNTIFS($C$2:$C$3934,Table4[[#This Row],[customer_id]])</f>
        <v>6</v>
      </c>
      <c r="N3332" t="str">
        <f>IF(Table4[[#This Row],[customer_order_count]]=1,"New Customer","Repeat Customer")</f>
        <v>Repeat Customer</v>
      </c>
    </row>
    <row r="3333" spans="1:14">
      <c r="A3333" t="s">
        <v>3957</v>
      </c>
      <c r="B3333" s="1">
        <v>45108</v>
      </c>
      <c r="C3333" t="s">
        <v>810</v>
      </c>
      <c r="D3333" t="s">
        <v>811</v>
      </c>
      <c r="E3333" t="s">
        <v>21</v>
      </c>
      <c r="F3333" t="s">
        <v>14</v>
      </c>
      <c r="G3333" t="s">
        <v>62</v>
      </c>
      <c r="H3333">
        <v>1</v>
      </c>
      <c r="I3333" s="3">
        <v>81.34</v>
      </c>
      <c r="J3333" t="s">
        <v>16</v>
      </c>
      <c r="K3333" t="s">
        <v>17</v>
      </c>
      <c r="L3333" s="4">
        <f>Table4[[#This Row],[quantity]]*Table4[[#This Row],[unit_price]]</f>
        <v>81.34</v>
      </c>
      <c r="M3333">
        <f>COUNTIFS($C$2:$C$3934,Table4[[#This Row],[customer_id]])</f>
        <v>7</v>
      </c>
      <c r="N3333" t="str">
        <f>IF(Table4[[#This Row],[customer_order_count]]=1,"New Customer","Repeat Customer")</f>
        <v>Repeat Customer</v>
      </c>
    </row>
    <row r="3334" spans="1:14">
      <c r="A3334" t="s">
        <v>1622</v>
      </c>
      <c r="B3334" s="1">
        <v>45550</v>
      </c>
      <c r="C3334" t="s">
        <v>1084</v>
      </c>
      <c r="D3334" t="s">
        <v>953</v>
      </c>
      <c r="E3334" t="s">
        <v>21</v>
      </c>
      <c r="F3334" t="s">
        <v>79</v>
      </c>
      <c r="G3334" t="s">
        <v>166</v>
      </c>
      <c r="H3334">
        <v>1</v>
      </c>
      <c r="I3334" s="3">
        <v>81.37</v>
      </c>
      <c r="J3334" t="s">
        <v>16</v>
      </c>
      <c r="K3334" t="s">
        <v>35</v>
      </c>
      <c r="L3334" s="4">
        <f>Table4[[#This Row],[quantity]]*Table4[[#This Row],[unit_price]]</f>
        <v>81.37</v>
      </c>
      <c r="M3334">
        <f>COUNTIFS($C$2:$C$3934,Table4[[#This Row],[customer_id]])</f>
        <v>6</v>
      </c>
      <c r="N3334" t="str">
        <f>IF(Table4[[#This Row],[customer_order_count]]=1,"New Customer","Repeat Customer")</f>
        <v>Repeat Customer</v>
      </c>
    </row>
    <row r="3335" spans="1:14">
      <c r="A3335" t="s">
        <v>4432</v>
      </c>
      <c r="B3335" s="1">
        <v>45124</v>
      </c>
      <c r="C3335" t="s">
        <v>1266</v>
      </c>
      <c r="D3335" t="s">
        <v>828</v>
      </c>
      <c r="E3335" t="s">
        <v>21</v>
      </c>
      <c r="F3335" t="s">
        <v>56</v>
      </c>
      <c r="G3335" t="s">
        <v>118</v>
      </c>
      <c r="H3335">
        <v>1</v>
      </c>
      <c r="I3335" s="3">
        <v>81.650000000000006</v>
      </c>
      <c r="J3335" t="s">
        <v>16</v>
      </c>
      <c r="K3335" t="s">
        <v>35</v>
      </c>
      <c r="L3335" s="4">
        <f>Table4[[#This Row],[quantity]]*Table4[[#This Row],[unit_price]]</f>
        <v>81.650000000000006</v>
      </c>
      <c r="M3335">
        <f>COUNTIFS($C$2:$C$3934,Table4[[#This Row],[customer_id]])</f>
        <v>7</v>
      </c>
      <c r="N3335" t="str">
        <f>IF(Table4[[#This Row],[customer_order_count]]=1,"New Customer","Repeat Customer")</f>
        <v>Repeat Customer</v>
      </c>
    </row>
    <row r="3336" spans="1:14">
      <c r="A3336" t="s">
        <v>3133</v>
      </c>
      <c r="B3336" s="1">
        <v>45639</v>
      </c>
      <c r="C3336" t="s">
        <v>830</v>
      </c>
      <c r="D3336" t="s">
        <v>831</v>
      </c>
      <c r="E3336" t="s">
        <v>21</v>
      </c>
      <c r="F3336" t="s">
        <v>79</v>
      </c>
      <c r="G3336" t="s">
        <v>204</v>
      </c>
      <c r="H3336">
        <v>2</v>
      </c>
      <c r="I3336" s="3">
        <v>81.8</v>
      </c>
      <c r="J3336" t="s">
        <v>16</v>
      </c>
      <c r="K3336" t="s">
        <v>40</v>
      </c>
      <c r="L3336" s="4">
        <f>Table4[[#This Row],[quantity]]*Table4[[#This Row],[unit_price]]</f>
        <v>163.6</v>
      </c>
      <c r="M3336">
        <f>COUNTIFS($C$2:$C$3934,Table4[[#This Row],[customer_id]])</f>
        <v>5</v>
      </c>
      <c r="N3336" t="str">
        <f>IF(Table4[[#This Row],[customer_order_count]]=1,"New Customer","Repeat Customer")</f>
        <v>Repeat Customer</v>
      </c>
    </row>
    <row r="3337" spans="1:14">
      <c r="A3337" t="s">
        <v>4412</v>
      </c>
      <c r="B3337" s="1">
        <v>45307</v>
      </c>
      <c r="C3337" t="s">
        <v>1511</v>
      </c>
      <c r="D3337" t="s">
        <v>1080</v>
      </c>
      <c r="E3337" t="s">
        <v>44</v>
      </c>
      <c r="F3337" t="s">
        <v>79</v>
      </c>
      <c r="G3337" t="s">
        <v>200</v>
      </c>
      <c r="H3337">
        <v>1</v>
      </c>
      <c r="I3337" s="3">
        <v>81.849999999999994</v>
      </c>
      <c r="J3337" t="s">
        <v>16</v>
      </c>
      <c r="K3337" t="s">
        <v>17</v>
      </c>
      <c r="L3337" s="4">
        <f>Table4[[#This Row],[quantity]]*Table4[[#This Row],[unit_price]]</f>
        <v>81.849999999999994</v>
      </c>
      <c r="M3337">
        <f>COUNTIFS($C$2:$C$3934,Table4[[#This Row],[customer_id]])</f>
        <v>4</v>
      </c>
      <c r="N3337" t="str">
        <f>IF(Table4[[#This Row],[customer_order_count]]=1,"New Customer","Repeat Customer")</f>
        <v>Repeat Customer</v>
      </c>
    </row>
    <row r="3338" spans="1:14">
      <c r="A3338" t="s">
        <v>4127</v>
      </c>
      <c r="B3338" s="1">
        <v>44932</v>
      </c>
      <c r="C3338" t="s">
        <v>1035</v>
      </c>
      <c r="D3338" t="s">
        <v>1036</v>
      </c>
      <c r="E3338" t="s">
        <v>21</v>
      </c>
      <c r="F3338" t="s">
        <v>14</v>
      </c>
      <c r="G3338" t="s">
        <v>34</v>
      </c>
      <c r="H3338">
        <v>1</v>
      </c>
      <c r="I3338" s="3">
        <v>82.03</v>
      </c>
      <c r="J3338" t="s">
        <v>16</v>
      </c>
      <c r="K3338" t="s">
        <v>40</v>
      </c>
      <c r="L3338" s="4">
        <f>Table4[[#This Row],[quantity]]*Table4[[#This Row],[unit_price]]</f>
        <v>82.03</v>
      </c>
      <c r="M3338">
        <f>COUNTIFS($C$2:$C$3934,Table4[[#This Row],[customer_id]])</f>
        <v>5</v>
      </c>
      <c r="N3338" t="str">
        <f>IF(Table4[[#This Row],[customer_order_count]]=1,"New Customer","Repeat Customer")</f>
        <v>Repeat Customer</v>
      </c>
    </row>
    <row r="3339" spans="1:14">
      <c r="A3339" t="s">
        <v>4949</v>
      </c>
      <c r="B3339" s="1">
        <v>45567</v>
      </c>
      <c r="C3339" t="s">
        <v>2160</v>
      </c>
      <c r="D3339" t="s">
        <v>1164</v>
      </c>
      <c r="E3339" t="s">
        <v>21</v>
      </c>
      <c r="F3339" t="s">
        <v>56</v>
      </c>
      <c r="G3339" t="s">
        <v>254</v>
      </c>
      <c r="H3339">
        <v>1</v>
      </c>
      <c r="I3339" s="3">
        <v>82.07</v>
      </c>
      <c r="J3339" t="s">
        <v>16</v>
      </c>
      <c r="K3339" t="s">
        <v>30</v>
      </c>
      <c r="L3339" s="4">
        <f>Table4[[#This Row],[quantity]]*Table4[[#This Row],[unit_price]]</f>
        <v>82.07</v>
      </c>
      <c r="M3339">
        <f>COUNTIFS($C$2:$C$3934,Table4[[#This Row],[customer_id]])</f>
        <v>4</v>
      </c>
      <c r="N3339" t="str">
        <f>IF(Table4[[#This Row],[customer_order_count]]=1,"New Customer","Repeat Customer")</f>
        <v>Repeat Customer</v>
      </c>
    </row>
    <row r="3340" spans="1:14">
      <c r="A3340" t="s">
        <v>3189</v>
      </c>
      <c r="B3340" s="1">
        <v>45476</v>
      </c>
      <c r="C3340" t="s">
        <v>387</v>
      </c>
      <c r="D3340" s="2" t="s">
        <v>5257</v>
      </c>
      <c r="E3340" t="s">
        <v>21</v>
      </c>
      <c r="F3340" t="s">
        <v>56</v>
      </c>
      <c r="G3340" t="s">
        <v>118</v>
      </c>
      <c r="H3340">
        <v>1</v>
      </c>
      <c r="I3340" s="3">
        <v>82.13</v>
      </c>
      <c r="J3340" t="s">
        <v>16</v>
      </c>
      <c r="K3340" t="s">
        <v>17</v>
      </c>
      <c r="L3340" s="4">
        <f>Table4[[#This Row],[quantity]]*Table4[[#This Row],[unit_price]]</f>
        <v>82.13</v>
      </c>
      <c r="M3340">
        <f>COUNTIFS($C$2:$C$3934,Table4[[#This Row],[customer_id]])</f>
        <v>4</v>
      </c>
      <c r="N3340" t="str">
        <f>IF(Table4[[#This Row],[customer_order_count]]=1,"New Customer","Repeat Customer")</f>
        <v>Repeat Customer</v>
      </c>
    </row>
    <row r="3341" spans="1:14">
      <c r="A3341" t="s">
        <v>2731</v>
      </c>
      <c r="B3341" s="1">
        <v>44947</v>
      </c>
      <c r="C3341" t="s">
        <v>2732</v>
      </c>
      <c r="D3341" s="5" t="s">
        <v>582</v>
      </c>
      <c r="E3341" t="s">
        <v>21</v>
      </c>
      <c r="F3341" t="s">
        <v>14</v>
      </c>
      <c r="G3341" t="s">
        <v>100</v>
      </c>
      <c r="H3341">
        <v>1</v>
      </c>
      <c r="I3341" s="3">
        <v>82.2</v>
      </c>
      <c r="J3341" t="s">
        <v>16</v>
      </c>
      <c r="K3341" t="s">
        <v>17</v>
      </c>
      <c r="L3341" s="4">
        <f>Table4[[#This Row],[quantity]]*Table4[[#This Row],[unit_price]]</f>
        <v>82.2</v>
      </c>
      <c r="M3341">
        <f>COUNTIFS($C$2:$C$3934,Table4[[#This Row],[customer_id]])</f>
        <v>3</v>
      </c>
      <c r="N3341" t="str">
        <f>IF(Table4[[#This Row],[customer_order_count]]=1,"New Customer","Repeat Customer")</f>
        <v>Repeat Customer</v>
      </c>
    </row>
    <row r="3342" spans="1:14">
      <c r="A3342" t="s">
        <v>2511</v>
      </c>
      <c r="B3342" s="1">
        <v>45593</v>
      </c>
      <c r="C3342" t="s">
        <v>2512</v>
      </c>
      <c r="D3342" t="s">
        <v>1310</v>
      </c>
      <c r="E3342" t="s">
        <v>44</v>
      </c>
      <c r="F3342" t="s">
        <v>56</v>
      </c>
      <c r="G3342" t="s">
        <v>118</v>
      </c>
      <c r="H3342">
        <v>1</v>
      </c>
      <c r="I3342" s="3">
        <v>82.29</v>
      </c>
      <c r="J3342" t="s">
        <v>16</v>
      </c>
      <c r="K3342" t="s">
        <v>17</v>
      </c>
      <c r="L3342" s="4">
        <f>Table4[[#This Row],[quantity]]*Table4[[#This Row],[unit_price]]</f>
        <v>82.29</v>
      </c>
      <c r="M3342">
        <f>COUNTIFS($C$2:$C$3934,Table4[[#This Row],[customer_id]])</f>
        <v>2</v>
      </c>
      <c r="N3342" t="str">
        <f>IF(Table4[[#This Row],[customer_order_count]]=1,"New Customer","Repeat Customer")</f>
        <v>Repeat Customer</v>
      </c>
    </row>
    <row r="3343" spans="1:14">
      <c r="A3343" t="s">
        <v>4877</v>
      </c>
      <c r="B3343" s="1">
        <v>45405</v>
      </c>
      <c r="C3343" t="s">
        <v>704</v>
      </c>
      <c r="D3343" t="s">
        <v>705</v>
      </c>
      <c r="E3343" t="s">
        <v>21</v>
      </c>
      <c r="F3343" t="s">
        <v>56</v>
      </c>
      <c r="G3343" t="s">
        <v>210</v>
      </c>
      <c r="H3343">
        <v>1</v>
      </c>
      <c r="I3343" s="3">
        <v>82.55</v>
      </c>
      <c r="J3343" t="s">
        <v>16</v>
      </c>
      <c r="K3343" t="s">
        <v>40</v>
      </c>
      <c r="L3343" s="4">
        <f>Table4[[#This Row],[quantity]]*Table4[[#This Row],[unit_price]]</f>
        <v>82.55</v>
      </c>
      <c r="M3343">
        <f>COUNTIFS($C$2:$C$3934,Table4[[#This Row],[customer_id]])</f>
        <v>5</v>
      </c>
      <c r="N3343" t="str">
        <f>IF(Table4[[#This Row],[customer_order_count]]=1,"New Customer","Repeat Customer")</f>
        <v>Repeat Customer</v>
      </c>
    </row>
    <row r="3344" spans="1:14">
      <c r="A3344" t="s">
        <v>1985</v>
      </c>
      <c r="B3344" s="1">
        <v>45278</v>
      </c>
      <c r="C3344" t="s">
        <v>91</v>
      </c>
      <c r="D3344" t="s">
        <v>92</v>
      </c>
      <c r="E3344" t="s">
        <v>21</v>
      </c>
      <c r="F3344" t="s">
        <v>14</v>
      </c>
      <c r="G3344" t="s">
        <v>34</v>
      </c>
      <c r="H3344">
        <v>1</v>
      </c>
      <c r="I3344" s="3">
        <v>82.7</v>
      </c>
      <c r="J3344" t="s">
        <v>16</v>
      </c>
      <c r="K3344" t="s">
        <v>35</v>
      </c>
      <c r="L3344" s="4">
        <f>Table4[[#This Row],[quantity]]*Table4[[#This Row],[unit_price]]</f>
        <v>82.7</v>
      </c>
      <c r="M3344">
        <f>COUNTIFS($C$2:$C$3934,Table4[[#This Row],[customer_id]])</f>
        <v>6</v>
      </c>
      <c r="N3344" t="str">
        <f>IF(Table4[[#This Row],[customer_order_count]]=1,"New Customer","Repeat Customer")</f>
        <v>Repeat Customer</v>
      </c>
    </row>
    <row r="3345" spans="1:14">
      <c r="A3345" t="s">
        <v>4119</v>
      </c>
      <c r="B3345" s="1">
        <v>45655</v>
      </c>
      <c r="C3345" t="s">
        <v>841</v>
      </c>
      <c r="D3345" t="s">
        <v>842</v>
      </c>
      <c r="E3345" t="s">
        <v>21</v>
      </c>
      <c r="F3345" t="s">
        <v>56</v>
      </c>
      <c r="G3345" t="s">
        <v>210</v>
      </c>
      <c r="H3345">
        <v>1</v>
      </c>
      <c r="I3345" s="3">
        <v>82.72</v>
      </c>
      <c r="J3345" t="s">
        <v>16</v>
      </c>
      <c r="K3345" t="s">
        <v>40</v>
      </c>
      <c r="L3345" s="4">
        <f>Table4[[#This Row],[quantity]]*Table4[[#This Row],[unit_price]]</f>
        <v>82.72</v>
      </c>
      <c r="M3345">
        <f>COUNTIFS($C$2:$C$3934,Table4[[#This Row],[customer_id]])</f>
        <v>4</v>
      </c>
      <c r="N3345" t="str">
        <f>IF(Table4[[#This Row],[customer_order_count]]=1,"New Customer","Repeat Customer")</f>
        <v>Repeat Customer</v>
      </c>
    </row>
    <row r="3346" spans="1:14">
      <c r="A3346" t="s">
        <v>3208</v>
      </c>
      <c r="B3346" s="1">
        <v>45169</v>
      </c>
      <c r="C3346" t="s">
        <v>3209</v>
      </c>
      <c r="D3346" t="s">
        <v>1430</v>
      </c>
      <c r="E3346" t="s">
        <v>21</v>
      </c>
      <c r="F3346" t="s">
        <v>14</v>
      </c>
      <c r="G3346" t="s">
        <v>39</v>
      </c>
      <c r="H3346">
        <v>1</v>
      </c>
      <c r="I3346" s="3">
        <v>82.86</v>
      </c>
      <c r="J3346" t="s">
        <v>16</v>
      </c>
      <c r="K3346" t="s">
        <v>17</v>
      </c>
      <c r="L3346" s="4">
        <f>Table4[[#This Row],[quantity]]*Table4[[#This Row],[unit_price]]</f>
        <v>82.86</v>
      </c>
      <c r="M3346">
        <f>COUNTIFS($C$2:$C$3934,Table4[[#This Row],[customer_id]])</f>
        <v>7</v>
      </c>
      <c r="N3346" t="str">
        <f>IF(Table4[[#This Row],[customer_order_count]]=1,"New Customer","Repeat Customer")</f>
        <v>Repeat Customer</v>
      </c>
    </row>
    <row r="3347" spans="1:14">
      <c r="A3347" t="s">
        <v>3978</v>
      </c>
      <c r="B3347" s="1">
        <v>45635</v>
      </c>
      <c r="C3347" t="s">
        <v>2083</v>
      </c>
      <c r="D3347" t="s">
        <v>2084</v>
      </c>
      <c r="E3347" t="s">
        <v>44</v>
      </c>
      <c r="F3347" t="s">
        <v>56</v>
      </c>
      <c r="G3347" t="s">
        <v>153</v>
      </c>
      <c r="H3347">
        <v>2</v>
      </c>
      <c r="I3347" s="3">
        <v>82.95</v>
      </c>
      <c r="J3347" t="s">
        <v>16</v>
      </c>
      <c r="K3347" t="s">
        <v>17</v>
      </c>
      <c r="L3347" s="4">
        <f>Table4[[#This Row],[quantity]]*Table4[[#This Row],[unit_price]]</f>
        <v>165.9</v>
      </c>
      <c r="M3347">
        <f>COUNTIFS($C$2:$C$3934,Table4[[#This Row],[customer_id]])</f>
        <v>2</v>
      </c>
      <c r="N3347" t="str">
        <f>IF(Table4[[#This Row],[customer_order_count]]=1,"New Customer","Repeat Customer")</f>
        <v>Repeat Customer</v>
      </c>
    </row>
    <row r="3348" spans="1:14">
      <c r="A3348" t="s">
        <v>4202</v>
      </c>
      <c r="B3348" s="1">
        <v>44993</v>
      </c>
      <c r="C3348" t="s">
        <v>559</v>
      </c>
      <c r="D3348" t="s">
        <v>560</v>
      </c>
      <c r="E3348" t="s">
        <v>21</v>
      </c>
      <c r="F3348" t="s">
        <v>56</v>
      </c>
      <c r="G3348" t="s">
        <v>210</v>
      </c>
      <c r="H3348">
        <v>2</v>
      </c>
      <c r="I3348" s="3">
        <v>83.04</v>
      </c>
      <c r="J3348" t="s">
        <v>85</v>
      </c>
      <c r="K3348" t="s">
        <v>17</v>
      </c>
      <c r="L3348" s="4">
        <f>Table4[[#This Row],[quantity]]*Table4[[#This Row],[unit_price]]</f>
        <v>166.08</v>
      </c>
      <c r="M3348">
        <f>COUNTIFS($C$2:$C$3934,Table4[[#This Row],[customer_id]])</f>
        <v>6</v>
      </c>
      <c r="N3348" t="str">
        <f>IF(Table4[[#This Row],[customer_order_count]]=1,"New Customer","Repeat Customer")</f>
        <v>Repeat Customer</v>
      </c>
    </row>
    <row r="3349" spans="1:14">
      <c r="A3349" t="s">
        <v>2917</v>
      </c>
      <c r="B3349" s="1">
        <v>45139</v>
      </c>
      <c r="C3349" t="s">
        <v>638</v>
      </c>
      <c r="D3349" t="s">
        <v>639</v>
      </c>
      <c r="E3349" t="s">
        <v>21</v>
      </c>
      <c r="F3349" t="s">
        <v>14</v>
      </c>
      <c r="G3349" t="s">
        <v>258</v>
      </c>
      <c r="H3349">
        <v>1</v>
      </c>
      <c r="I3349" s="3">
        <v>83.09</v>
      </c>
      <c r="J3349" t="s">
        <v>85</v>
      </c>
      <c r="K3349" t="s">
        <v>40</v>
      </c>
      <c r="L3349" s="4">
        <f>Table4[[#This Row],[quantity]]*Table4[[#This Row],[unit_price]]</f>
        <v>83.09</v>
      </c>
      <c r="M3349">
        <f>COUNTIFS($C$2:$C$3934,Table4[[#This Row],[customer_id]])</f>
        <v>4</v>
      </c>
      <c r="N3349" t="str">
        <f>IF(Table4[[#This Row],[customer_order_count]]=1,"New Customer","Repeat Customer")</f>
        <v>Repeat Customer</v>
      </c>
    </row>
    <row r="3350" spans="1:14">
      <c r="A3350" t="s">
        <v>293</v>
      </c>
      <c r="B3350" s="1">
        <v>45486</v>
      </c>
      <c r="C3350" t="s">
        <v>228</v>
      </c>
      <c r="D3350" t="s">
        <v>229</v>
      </c>
      <c r="E3350" t="s">
        <v>21</v>
      </c>
      <c r="F3350" t="s">
        <v>79</v>
      </c>
      <c r="G3350" t="s">
        <v>200</v>
      </c>
      <c r="H3350">
        <v>1</v>
      </c>
      <c r="I3350" s="3">
        <v>83.094659090909104</v>
      </c>
      <c r="J3350" t="s">
        <v>16</v>
      </c>
      <c r="K3350" t="s">
        <v>17</v>
      </c>
      <c r="L3350" s="4">
        <f>Table4[[#This Row],[quantity]]*Table4[[#This Row],[unit_price]]</f>
        <v>83.094659090909104</v>
      </c>
      <c r="M3350">
        <f>COUNTIFS($C$2:$C$3934,Table4[[#This Row],[customer_id]])</f>
        <v>5</v>
      </c>
      <c r="N3350" t="str">
        <f>IF(Table4[[#This Row],[customer_order_count]]=1,"New Customer","Repeat Customer")</f>
        <v>Repeat Customer</v>
      </c>
    </row>
    <row r="3351" spans="1:14">
      <c r="A3351" t="s">
        <v>4152</v>
      </c>
      <c r="B3351" s="1">
        <v>45577</v>
      </c>
      <c r="C3351" t="s">
        <v>2353</v>
      </c>
      <c r="D3351" t="s">
        <v>576</v>
      </c>
      <c r="E3351" t="s">
        <v>21</v>
      </c>
      <c r="F3351" t="s">
        <v>56</v>
      </c>
      <c r="G3351" t="s">
        <v>254</v>
      </c>
      <c r="H3351">
        <v>1</v>
      </c>
      <c r="I3351" s="3">
        <v>83.12</v>
      </c>
      <c r="J3351" t="s">
        <v>16</v>
      </c>
      <c r="K3351" t="s">
        <v>35</v>
      </c>
      <c r="L3351" s="4">
        <f>Table4[[#This Row],[quantity]]*Table4[[#This Row],[unit_price]]</f>
        <v>83.12</v>
      </c>
      <c r="M3351">
        <f>COUNTIFS($C$2:$C$3934,Table4[[#This Row],[customer_id]])</f>
        <v>3</v>
      </c>
      <c r="N3351" t="str">
        <f>IF(Table4[[#This Row],[customer_order_count]]=1,"New Customer","Repeat Customer")</f>
        <v>Repeat Customer</v>
      </c>
    </row>
    <row r="3352" spans="1:14">
      <c r="A3352" t="s">
        <v>3638</v>
      </c>
      <c r="B3352" s="1">
        <v>44969</v>
      </c>
      <c r="C3352" t="s">
        <v>3639</v>
      </c>
      <c r="D3352" t="s">
        <v>65</v>
      </c>
      <c r="E3352" t="s">
        <v>21</v>
      </c>
      <c r="F3352" t="s">
        <v>56</v>
      </c>
      <c r="G3352" t="s">
        <v>57</v>
      </c>
      <c r="H3352">
        <v>1</v>
      </c>
      <c r="I3352" s="3">
        <v>83.17</v>
      </c>
      <c r="J3352" t="s">
        <v>16</v>
      </c>
      <c r="K3352" t="s">
        <v>40</v>
      </c>
      <c r="L3352" s="4">
        <f>Table4[[#This Row],[quantity]]*Table4[[#This Row],[unit_price]]</f>
        <v>83.17</v>
      </c>
      <c r="M3352">
        <f>COUNTIFS($C$2:$C$3934,Table4[[#This Row],[customer_id]])</f>
        <v>3</v>
      </c>
      <c r="N3352" t="str">
        <f>IF(Table4[[#This Row],[customer_order_count]]=1,"New Customer","Repeat Customer")</f>
        <v>Repeat Customer</v>
      </c>
    </row>
    <row r="3353" spans="1:14">
      <c r="A3353" t="s">
        <v>4373</v>
      </c>
      <c r="B3353" s="1">
        <v>45092</v>
      </c>
      <c r="C3353" t="s">
        <v>2148</v>
      </c>
      <c r="D3353" t="s">
        <v>1419</v>
      </c>
      <c r="E3353" t="s">
        <v>44</v>
      </c>
      <c r="F3353" t="s">
        <v>56</v>
      </c>
      <c r="G3353" t="s">
        <v>422</v>
      </c>
      <c r="H3353">
        <v>1</v>
      </c>
      <c r="I3353" s="3">
        <v>83.22</v>
      </c>
      <c r="J3353" t="s">
        <v>85</v>
      </c>
      <c r="K3353" t="s">
        <v>17</v>
      </c>
      <c r="L3353" s="4">
        <f>Table4[[#This Row],[quantity]]*Table4[[#This Row],[unit_price]]</f>
        <v>83.22</v>
      </c>
      <c r="M3353">
        <f>COUNTIFS($C$2:$C$3934,Table4[[#This Row],[customer_id]])</f>
        <v>4</v>
      </c>
      <c r="N3353" t="str">
        <f>IF(Table4[[#This Row],[customer_order_count]]=1,"New Customer","Repeat Customer")</f>
        <v>Repeat Customer</v>
      </c>
    </row>
    <row r="3354" spans="1:14">
      <c r="A3354" t="s">
        <v>2102</v>
      </c>
      <c r="B3354" s="1">
        <v>45607</v>
      </c>
      <c r="C3354" t="s">
        <v>1146</v>
      </c>
      <c r="D3354" t="s">
        <v>347</v>
      </c>
      <c r="E3354" t="s">
        <v>21</v>
      </c>
      <c r="F3354" t="s">
        <v>79</v>
      </c>
      <c r="G3354" t="s">
        <v>200</v>
      </c>
      <c r="H3354">
        <v>2</v>
      </c>
      <c r="I3354" s="3">
        <v>83.34</v>
      </c>
      <c r="J3354" t="s">
        <v>16</v>
      </c>
      <c r="K3354" t="s">
        <v>30</v>
      </c>
      <c r="L3354" s="4">
        <f>Table4[[#This Row],[quantity]]*Table4[[#This Row],[unit_price]]</f>
        <v>166.68</v>
      </c>
      <c r="M3354">
        <f>COUNTIFS($C$2:$C$3934,Table4[[#This Row],[customer_id]])</f>
        <v>7</v>
      </c>
      <c r="N3354" t="str">
        <f>IF(Table4[[#This Row],[customer_order_count]]=1,"New Customer","Repeat Customer")</f>
        <v>Repeat Customer</v>
      </c>
    </row>
    <row r="3355" spans="1:14">
      <c r="A3355" t="s">
        <v>1169</v>
      </c>
      <c r="B3355" s="1">
        <v>45514</v>
      </c>
      <c r="C3355" t="s">
        <v>1170</v>
      </c>
      <c r="D3355" t="s">
        <v>765</v>
      </c>
      <c r="E3355" t="s">
        <v>21</v>
      </c>
      <c r="F3355" t="s">
        <v>79</v>
      </c>
      <c r="G3355" t="s">
        <v>200</v>
      </c>
      <c r="H3355">
        <v>3</v>
      </c>
      <c r="I3355" s="3">
        <v>83.36</v>
      </c>
      <c r="J3355" t="s">
        <v>255</v>
      </c>
      <c r="K3355" t="s">
        <v>30</v>
      </c>
      <c r="L3355" s="4">
        <f>Table4[[#This Row],[quantity]]*Table4[[#This Row],[unit_price]]</f>
        <v>250.07999999999998</v>
      </c>
      <c r="M3355">
        <f>COUNTIFS($C$2:$C$3934,Table4[[#This Row],[customer_id]])</f>
        <v>4</v>
      </c>
      <c r="N3355" t="str">
        <f>IF(Table4[[#This Row],[customer_order_count]]=1,"New Customer","Repeat Customer")</f>
        <v>Repeat Customer</v>
      </c>
    </row>
    <row r="3356" spans="1:14">
      <c r="A3356" t="s">
        <v>3498</v>
      </c>
      <c r="B3356" s="1">
        <v>45312</v>
      </c>
      <c r="C3356" t="s">
        <v>1260</v>
      </c>
      <c r="D3356" t="s">
        <v>173</v>
      </c>
      <c r="E3356" t="s">
        <v>21</v>
      </c>
      <c r="F3356" t="s">
        <v>79</v>
      </c>
      <c r="G3356" t="s">
        <v>80</v>
      </c>
      <c r="H3356">
        <v>2</v>
      </c>
      <c r="I3356" s="3">
        <v>83.47</v>
      </c>
      <c r="J3356" t="s">
        <v>16</v>
      </c>
      <c r="K3356" t="s">
        <v>17</v>
      </c>
      <c r="L3356" s="4">
        <f>Table4[[#This Row],[quantity]]*Table4[[#This Row],[unit_price]]</f>
        <v>166.94</v>
      </c>
      <c r="M3356">
        <f>COUNTIFS($C$2:$C$3934,Table4[[#This Row],[customer_id]])</f>
        <v>4</v>
      </c>
      <c r="N3356" t="str">
        <f>IF(Table4[[#This Row],[customer_order_count]]=1,"New Customer","Repeat Customer")</f>
        <v>Repeat Customer</v>
      </c>
    </row>
    <row r="3357" spans="1:14">
      <c r="A3357" t="s">
        <v>2478</v>
      </c>
      <c r="B3357" s="1">
        <v>45236</v>
      </c>
      <c r="C3357" t="s">
        <v>32</v>
      </c>
      <c r="D3357" t="s">
        <v>33</v>
      </c>
      <c r="E3357" t="s">
        <v>21</v>
      </c>
      <c r="F3357" t="s">
        <v>56</v>
      </c>
      <c r="G3357" t="s">
        <v>75</v>
      </c>
      <c r="H3357">
        <v>2</v>
      </c>
      <c r="I3357" s="3">
        <v>83.61</v>
      </c>
      <c r="J3357" t="s">
        <v>85</v>
      </c>
      <c r="K3357" t="s">
        <v>35</v>
      </c>
      <c r="L3357" s="4">
        <f>Table4[[#This Row],[quantity]]*Table4[[#This Row],[unit_price]]</f>
        <v>167.22</v>
      </c>
      <c r="M3357">
        <f>COUNTIFS($C$2:$C$3934,Table4[[#This Row],[customer_id]])</f>
        <v>5</v>
      </c>
      <c r="N3357" t="str">
        <f>IF(Table4[[#This Row],[customer_order_count]]=1,"New Customer","Repeat Customer")</f>
        <v>Repeat Customer</v>
      </c>
    </row>
    <row r="3358" spans="1:14">
      <c r="A3358" t="s">
        <v>5056</v>
      </c>
      <c r="B3358" s="1">
        <v>45033</v>
      </c>
      <c r="C3358" t="s">
        <v>3417</v>
      </c>
      <c r="D3358" t="s">
        <v>592</v>
      </c>
      <c r="E3358" t="s">
        <v>21</v>
      </c>
      <c r="F3358" t="s">
        <v>56</v>
      </c>
      <c r="G3358" t="s">
        <v>210</v>
      </c>
      <c r="H3358">
        <v>1</v>
      </c>
      <c r="I3358" s="3">
        <v>83.69</v>
      </c>
      <c r="J3358" t="s">
        <v>16</v>
      </c>
      <c r="K3358" t="s">
        <v>40</v>
      </c>
      <c r="L3358" s="4">
        <f>Table4[[#This Row],[quantity]]*Table4[[#This Row],[unit_price]]</f>
        <v>83.69</v>
      </c>
      <c r="M3358">
        <f>COUNTIFS($C$2:$C$3934,Table4[[#This Row],[customer_id]])</f>
        <v>2</v>
      </c>
      <c r="N3358" t="str">
        <f>IF(Table4[[#This Row],[customer_order_count]]=1,"New Customer","Repeat Customer")</f>
        <v>Repeat Customer</v>
      </c>
    </row>
    <row r="3359" spans="1:14">
      <c r="A3359" t="s">
        <v>4787</v>
      </c>
      <c r="B3359" s="1">
        <v>45420</v>
      </c>
      <c r="C3359" t="s">
        <v>2059</v>
      </c>
      <c r="D3359" s="2" t="s">
        <v>5257</v>
      </c>
      <c r="E3359" t="s">
        <v>21</v>
      </c>
      <c r="F3359" t="s">
        <v>14</v>
      </c>
      <c r="G3359" t="s">
        <v>34</v>
      </c>
      <c r="H3359">
        <v>3</v>
      </c>
      <c r="I3359" s="3">
        <v>83.79</v>
      </c>
      <c r="J3359" t="s">
        <v>16</v>
      </c>
      <c r="K3359" t="s">
        <v>30</v>
      </c>
      <c r="L3359" s="4">
        <f>Table4[[#This Row],[quantity]]*Table4[[#This Row],[unit_price]]</f>
        <v>251.37</v>
      </c>
      <c r="M3359">
        <f>COUNTIFS($C$2:$C$3934,Table4[[#This Row],[customer_id]])</f>
        <v>3</v>
      </c>
      <c r="N3359" t="str">
        <f>IF(Table4[[#This Row],[customer_order_count]]=1,"New Customer","Repeat Customer")</f>
        <v>Repeat Customer</v>
      </c>
    </row>
    <row r="3360" spans="1:14">
      <c r="A3360" t="s">
        <v>5139</v>
      </c>
      <c r="B3360" s="1">
        <v>45221</v>
      </c>
      <c r="C3360" t="s">
        <v>1389</v>
      </c>
      <c r="D3360" s="5" t="s">
        <v>1390</v>
      </c>
      <c r="E3360" t="s">
        <v>21</v>
      </c>
      <c r="F3360" t="s">
        <v>14</v>
      </c>
      <c r="G3360" t="s">
        <v>62</v>
      </c>
      <c r="H3360">
        <v>2</v>
      </c>
      <c r="I3360" s="3">
        <v>83.82</v>
      </c>
      <c r="J3360" t="s">
        <v>16</v>
      </c>
      <c r="K3360" t="s">
        <v>40</v>
      </c>
      <c r="L3360" s="4">
        <f>Table4[[#This Row],[quantity]]*Table4[[#This Row],[unit_price]]</f>
        <v>167.64</v>
      </c>
      <c r="M3360">
        <f>COUNTIFS($C$2:$C$3934,Table4[[#This Row],[customer_id]])</f>
        <v>5</v>
      </c>
      <c r="N3360" t="str">
        <f>IF(Table4[[#This Row],[customer_order_count]]=1,"New Customer","Repeat Customer")</f>
        <v>Repeat Customer</v>
      </c>
    </row>
    <row r="3361" spans="1:14">
      <c r="A3361" t="s">
        <v>3529</v>
      </c>
      <c r="B3361" s="1">
        <v>45419</v>
      </c>
      <c r="C3361" t="s">
        <v>3344</v>
      </c>
      <c r="D3361" t="s">
        <v>725</v>
      </c>
      <c r="E3361" t="s">
        <v>44</v>
      </c>
      <c r="F3361" t="s">
        <v>79</v>
      </c>
      <c r="G3361" t="s">
        <v>200</v>
      </c>
      <c r="H3361">
        <v>1</v>
      </c>
      <c r="I3361" s="3">
        <v>83.85</v>
      </c>
      <c r="J3361" t="s">
        <v>16</v>
      </c>
      <c r="K3361" t="s">
        <v>17</v>
      </c>
      <c r="L3361" s="4">
        <f>Table4[[#This Row],[quantity]]*Table4[[#This Row],[unit_price]]</f>
        <v>83.85</v>
      </c>
      <c r="M3361">
        <f>COUNTIFS($C$2:$C$3934,Table4[[#This Row],[customer_id]])</f>
        <v>4</v>
      </c>
      <c r="N3361" t="str">
        <f>IF(Table4[[#This Row],[customer_order_count]]=1,"New Customer","Repeat Customer")</f>
        <v>Repeat Customer</v>
      </c>
    </row>
    <row r="3362" spans="1:14">
      <c r="A3362" t="s">
        <v>3889</v>
      </c>
      <c r="B3362" s="1">
        <v>45525</v>
      </c>
      <c r="C3362" t="s">
        <v>91</v>
      </c>
      <c r="D3362" t="s">
        <v>92</v>
      </c>
      <c r="E3362" t="s">
        <v>21</v>
      </c>
      <c r="F3362" t="s">
        <v>14</v>
      </c>
      <c r="G3362" t="s">
        <v>100</v>
      </c>
      <c r="H3362">
        <v>1</v>
      </c>
      <c r="I3362" s="3">
        <v>83.86</v>
      </c>
      <c r="J3362" t="s">
        <v>85</v>
      </c>
      <c r="K3362" t="s">
        <v>17</v>
      </c>
      <c r="L3362" s="4">
        <f>Table4[[#This Row],[quantity]]*Table4[[#This Row],[unit_price]]</f>
        <v>83.86</v>
      </c>
      <c r="M3362">
        <f>COUNTIFS($C$2:$C$3934,Table4[[#This Row],[customer_id]])</f>
        <v>6</v>
      </c>
      <c r="N3362" t="str">
        <f>IF(Table4[[#This Row],[customer_order_count]]=1,"New Customer","Repeat Customer")</f>
        <v>Repeat Customer</v>
      </c>
    </row>
    <row r="3363" spans="1:14">
      <c r="A3363" t="s">
        <v>2998</v>
      </c>
      <c r="B3363" s="1">
        <v>45358</v>
      </c>
      <c r="C3363" t="s">
        <v>1269</v>
      </c>
      <c r="D3363" t="s">
        <v>359</v>
      </c>
      <c r="E3363" t="s">
        <v>21</v>
      </c>
      <c r="F3363" t="s">
        <v>14</v>
      </c>
      <c r="G3363" t="s">
        <v>258</v>
      </c>
      <c r="H3363">
        <v>1</v>
      </c>
      <c r="I3363" s="3">
        <v>83.99</v>
      </c>
      <c r="J3363" t="s">
        <v>16</v>
      </c>
      <c r="K3363" t="s">
        <v>30</v>
      </c>
      <c r="L3363" s="4">
        <f>Table4[[#This Row],[quantity]]*Table4[[#This Row],[unit_price]]</f>
        <v>83.99</v>
      </c>
      <c r="M3363">
        <f>COUNTIFS($C$2:$C$3934,Table4[[#This Row],[customer_id]])</f>
        <v>6</v>
      </c>
      <c r="N3363" t="str">
        <f>IF(Table4[[#This Row],[customer_order_count]]=1,"New Customer","Repeat Customer")</f>
        <v>Repeat Customer</v>
      </c>
    </row>
    <row r="3364" spans="1:14">
      <c r="A3364" t="s">
        <v>3151</v>
      </c>
      <c r="B3364" s="1">
        <v>45419</v>
      </c>
      <c r="C3364" t="s">
        <v>967</v>
      </c>
      <c r="D3364" t="s">
        <v>717</v>
      </c>
      <c r="E3364" t="s">
        <v>21</v>
      </c>
      <c r="F3364" t="s">
        <v>79</v>
      </c>
      <c r="G3364" t="s">
        <v>204</v>
      </c>
      <c r="H3364">
        <v>2</v>
      </c>
      <c r="I3364" s="3">
        <v>84.037878787878753</v>
      </c>
      <c r="J3364" t="s">
        <v>16</v>
      </c>
      <c r="K3364" t="s">
        <v>40</v>
      </c>
      <c r="L3364" s="4">
        <f>Table4[[#This Row],[quantity]]*Table4[[#This Row],[unit_price]]</f>
        <v>168.07575757575751</v>
      </c>
      <c r="M3364">
        <f>COUNTIFS($C$2:$C$3934,Table4[[#This Row],[customer_id]])</f>
        <v>3</v>
      </c>
      <c r="N3364" t="str">
        <f>IF(Table4[[#This Row],[customer_order_count]]=1,"New Customer","Repeat Customer")</f>
        <v>Repeat Customer</v>
      </c>
    </row>
    <row r="3365" spans="1:14">
      <c r="A3365" t="s">
        <v>3009</v>
      </c>
      <c r="B3365" s="1">
        <v>45193</v>
      </c>
      <c r="C3365" t="s">
        <v>1404</v>
      </c>
      <c r="D3365" t="s">
        <v>145</v>
      </c>
      <c r="E3365" t="s">
        <v>44</v>
      </c>
      <c r="F3365" t="s">
        <v>14</v>
      </c>
      <c r="G3365" t="s">
        <v>15</v>
      </c>
      <c r="H3365">
        <v>2</v>
      </c>
      <c r="I3365" s="3">
        <v>84.04</v>
      </c>
      <c r="J3365" t="s">
        <v>16</v>
      </c>
      <c r="K3365" t="s">
        <v>40</v>
      </c>
      <c r="L3365" s="4">
        <f>Table4[[#This Row],[quantity]]*Table4[[#This Row],[unit_price]]</f>
        <v>168.08</v>
      </c>
      <c r="M3365">
        <f>COUNTIFS($C$2:$C$3934,Table4[[#This Row],[customer_id]])</f>
        <v>6</v>
      </c>
      <c r="N3365" t="str">
        <f>IF(Table4[[#This Row],[customer_order_count]]=1,"New Customer","Repeat Customer")</f>
        <v>Repeat Customer</v>
      </c>
    </row>
    <row r="3366" spans="1:14">
      <c r="A3366" t="s">
        <v>2645</v>
      </c>
      <c r="B3366" s="1">
        <v>45005</v>
      </c>
      <c r="C3366" t="s">
        <v>883</v>
      </c>
      <c r="D3366" t="s">
        <v>181</v>
      </c>
      <c r="E3366" t="s">
        <v>21</v>
      </c>
      <c r="F3366" t="s">
        <v>14</v>
      </c>
      <c r="G3366" t="s">
        <v>39</v>
      </c>
      <c r="H3366">
        <v>3</v>
      </c>
      <c r="I3366" s="3">
        <v>84.06</v>
      </c>
      <c r="J3366" t="s">
        <v>16</v>
      </c>
      <c r="K3366" t="s">
        <v>17</v>
      </c>
      <c r="L3366" s="4">
        <f>Table4[[#This Row],[quantity]]*Table4[[#This Row],[unit_price]]</f>
        <v>252.18</v>
      </c>
      <c r="M3366">
        <f>COUNTIFS($C$2:$C$3934,Table4[[#This Row],[customer_id]])</f>
        <v>11</v>
      </c>
      <c r="N3366" t="str">
        <f>IF(Table4[[#This Row],[customer_order_count]]=1,"New Customer","Repeat Customer")</f>
        <v>Repeat Customer</v>
      </c>
    </row>
    <row r="3367" spans="1:14">
      <c r="A3367" t="s">
        <v>1187</v>
      </c>
      <c r="B3367" s="1">
        <v>45128</v>
      </c>
      <c r="C3367" t="s">
        <v>1188</v>
      </c>
      <c r="D3367" t="s">
        <v>1189</v>
      </c>
      <c r="E3367" t="s">
        <v>21</v>
      </c>
      <c r="F3367" t="s">
        <v>56</v>
      </c>
      <c r="G3367" t="s">
        <v>254</v>
      </c>
      <c r="H3367">
        <v>1</v>
      </c>
      <c r="I3367" s="3">
        <v>84.09</v>
      </c>
      <c r="J3367" t="s">
        <v>16</v>
      </c>
      <c r="K3367" t="s">
        <v>40</v>
      </c>
      <c r="L3367" s="4">
        <f>Table4[[#This Row],[quantity]]*Table4[[#This Row],[unit_price]]</f>
        <v>84.09</v>
      </c>
      <c r="M3367">
        <f>COUNTIFS($C$2:$C$3934,Table4[[#This Row],[customer_id]])</f>
        <v>7</v>
      </c>
      <c r="N3367" t="str">
        <f>IF(Table4[[#This Row],[customer_order_count]]=1,"New Customer","Repeat Customer")</f>
        <v>Repeat Customer</v>
      </c>
    </row>
    <row r="3368" spans="1:14">
      <c r="A3368" t="s">
        <v>3519</v>
      </c>
      <c r="B3368" s="1">
        <v>45655</v>
      </c>
      <c r="C3368" t="s">
        <v>1077</v>
      </c>
      <c r="D3368" t="s">
        <v>765</v>
      </c>
      <c r="E3368" t="s">
        <v>21</v>
      </c>
      <c r="F3368" t="s">
        <v>56</v>
      </c>
      <c r="G3368" t="s">
        <v>75</v>
      </c>
      <c r="H3368">
        <v>1</v>
      </c>
      <c r="I3368" s="3">
        <v>84.09</v>
      </c>
      <c r="J3368" t="s">
        <v>16</v>
      </c>
      <c r="K3368" t="s">
        <v>40</v>
      </c>
      <c r="L3368" s="4">
        <f>Table4[[#This Row],[quantity]]*Table4[[#This Row],[unit_price]]</f>
        <v>84.09</v>
      </c>
      <c r="M3368">
        <f>COUNTIFS($C$2:$C$3934,Table4[[#This Row],[customer_id]])</f>
        <v>5</v>
      </c>
      <c r="N3368" t="str">
        <f>IF(Table4[[#This Row],[customer_order_count]]=1,"New Customer","Repeat Customer")</f>
        <v>Repeat Customer</v>
      </c>
    </row>
    <row r="3369" spans="1:14">
      <c r="A3369" t="s">
        <v>4001</v>
      </c>
      <c r="B3369" s="1">
        <v>45182</v>
      </c>
      <c r="C3369" t="s">
        <v>1490</v>
      </c>
      <c r="D3369" t="s">
        <v>261</v>
      </c>
      <c r="E3369" t="s">
        <v>21</v>
      </c>
      <c r="F3369" t="s">
        <v>14</v>
      </c>
      <c r="G3369" t="s">
        <v>39</v>
      </c>
      <c r="H3369">
        <v>1</v>
      </c>
      <c r="I3369" s="3">
        <v>84.25</v>
      </c>
      <c r="J3369" t="s">
        <v>16</v>
      </c>
      <c r="K3369" t="s">
        <v>35</v>
      </c>
      <c r="L3369" s="4">
        <f>Table4[[#This Row],[quantity]]*Table4[[#This Row],[unit_price]]</f>
        <v>84.25</v>
      </c>
      <c r="M3369">
        <f>COUNTIFS($C$2:$C$3934,Table4[[#This Row],[customer_id]])</f>
        <v>5</v>
      </c>
      <c r="N3369" t="str">
        <f>IF(Table4[[#This Row],[customer_order_count]]=1,"New Customer","Repeat Customer")</f>
        <v>Repeat Customer</v>
      </c>
    </row>
    <row r="3370" spans="1:14">
      <c r="A3370" t="s">
        <v>3729</v>
      </c>
      <c r="B3370" s="1">
        <v>45149</v>
      </c>
      <c r="C3370" t="s">
        <v>209</v>
      </c>
      <c r="D3370" t="s">
        <v>181</v>
      </c>
      <c r="E3370" t="s">
        <v>21</v>
      </c>
      <c r="F3370" t="s">
        <v>79</v>
      </c>
      <c r="G3370" t="s">
        <v>96</v>
      </c>
      <c r="H3370">
        <v>1</v>
      </c>
      <c r="I3370" s="3">
        <v>84.26</v>
      </c>
      <c r="J3370" t="s">
        <v>16</v>
      </c>
      <c r="K3370" t="s">
        <v>17</v>
      </c>
      <c r="L3370" s="4">
        <f>Table4[[#This Row],[quantity]]*Table4[[#This Row],[unit_price]]</f>
        <v>84.26</v>
      </c>
      <c r="M3370">
        <f>COUNTIFS($C$2:$C$3934,Table4[[#This Row],[customer_id]])</f>
        <v>5</v>
      </c>
      <c r="N3370" t="str">
        <f>IF(Table4[[#This Row],[customer_order_count]]=1,"New Customer","Repeat Customer")</f>
        <v>Repeat Customer</v>
      </c>
    </row>
    <row r="3371" spans="1:14">
      <c r="A3371" t="s">
        <v>3039</v>
      </c>
      <c r="B3371" s="1">
        <v>45016</v>
      </c>
      <c r="C3371" t="s">
        <v>1926</v>
      </c>
      <c r="D3371" t="s">
        <v>1017</v>
      </c>
      <c r="E3371" t="s">
        <v>21</v>
      </c>
      <c r="F3371" t="s">
        <v>79</v>
      </c>
      <c r="G3371" t="s">
        <v>96</v>
      </c>
      <c r="H3371">
        <v>2</v>
      </c>
      <c r="I3371" s="3">
        <v>84.31</v>
      </c>
      <c r="J3371" t="s">
        <v>85</v>
      </c>
      <c r="K3371" t="s">
        <v>35</v>
      </c>
      <c r="L3371" s="4">
        <f>Table4[[#This Row],[quantity]]*Table4[[#This Row],[unit_price]]</f>
        <v>168.62</v>
      </c>
      <c r="M3371">
        <f>COUNTIFS($C$2:$C$3934,Table4[[#This Row],[customer_id]])</f>
        <v>4</v>
      </c>
      <c r="N3371" t="str">
        <f>IF(Table4[[#This Row],[customer_order_count]]=1,"New Customer","Repeat Customer")</f>
        <v>Repeat Customer</v>
      </c>
    </row>
    <row r="3372" spans="1:14">
      <c r="A3372" t="s">
        <v>2801</v>
      </c>
      <c r="B3372" s="1">
        <v>44953</v>
      </c>
      <c r="C3372" t="s">
        <v>2802</v>
      </c>
      <c r="D3372" t="s">
        <v>1552</v>
      </c>
      <c r="E3372" t="s">
        <v>21</v>
      </c>
      <c r="F3372" t="s">
        <v>79</v>
      </c>
      <c r="G3372" t="s">
        <v>80</v>
      </c>
      <c r="H3372">
        <v>1</v>
      </c>
      <c r="I3372" s="3">
        <v>84.394583333333316</v>
      </c>
      <c r="J3372" t="s">
        <v>24</v>
      </c>
      <c r="K3372" t="s">
        <v>30</v>
      </c>
      <c r="L3372" s="4">
        <f>Table4[[#This Row],[quantity]]*Table4[[#This Row],[unit_price]]</f>
        <v>84.394583333333316</v>
      </c>
      <c r="M3372">
        <f>COUNTIFS($C$2:$C$3934,Table4[[#This Row],[customer_id]])</f>
        <v>2</v>
      </c>
      <c r="N3372" t="str">
        <f>IF(Table4[[#This Row],[customer_order_count]]=1,"New Customer","Repeat Customer")</f>
        <v>Repeat Customer</v>
      </c>
    </row>
    <row r="3373" spans="1:14">
      <c r="A3373" t="s">
        <v>4762</v>
      </c>
      <c r="B3373" s="1">
        <v>45582</v>
      </c>
      <c r="C3373" t="s">
        <v>3361</v>
      </c>
      <c r="D3373" s="2" t="s">
        <v>5257</v>
      </c>
      <c r="E3373" t="s">
        <v>21</v>
      </c>
      <c r="F3373" t="s">
        <v>79</v>
      </c>
      <c r="G3373" t="s">
        <v>80</v>
      </c>
      <c r="H3373">
        <v>1</v>
      </c>
      <c r="I3373" s="3">
        <v>84.394583333333316</v>
      </c>
      <c r="J3373" t="s">
        <v>16</v>
      </c>
      <c r="K3373" t="s">
        <v>40</v>
      </c>
      <c r="L3373" s="4">
        <f>Table4[[#This Row],[quantity]]*Table4[[#This Row],[unit_price]]</f>
        <v>84.394583333333316</v>
      </c>
      <c r="M3373">
        <f>COUNTIFS($C$2:$C$3934,Table4[[#This Row],[customer_id]])</f>
        <v>6</v>
      </c>
      <c r="N3373" t="str">
        <f>IF(Table4[[#This Row],[customer_order_count]]=1,"New Customer","Repeat Customer")</f>
        <v>Repeat Customer</v>
      </c>
    </row>
    <row r="3374" spans="1:14">
      <c r="A3374" t="s">
        <v>2549</v>
      </c>
      <c r="B3374" s="1">
        <v>45274</v>
      </c>
      <c r="C3374" t="s">
        <v>1837</v>
      </c>
      <c r="D3374" s="5" t="s">
        <v>1838</v>
      </c>
      <c r="E3374" t="s">
        <v>21</v>
      </c>
      <c r="F3374" t="s">
        <v>14</v>
      </c>
      <c r="G3374" t="s">
        <v>62</v>
      </c>
      <c r="H3374">
        <v>2</v>
      </c>
      <c r="I3374" s="3">
        <v>84.4</v>
      </c>
      <c r="J3374" t="s">
        <v>24</v>
      </c>
      <c r="K3374" t="s">
        <v>40</v>
      </c>
      <c r="L3374" s="4">
        <f>Table4[[#This Row],[quantity]]*Table4[[#This Row],[unit_price]]</f>
        <v>168.8</v>
      </c>
      <c r="M3374">
        <f>COUNTIFS($C$2:$C$3934,Table4[[#This Row],[customer_id]])</f>
        <v>9</v>
      </c>
      <c r="N3374" t="str">
        <f>IF(Table4[[#This Row],[customer_order_count]]=1,"New Customer","Repeat Customer")</f>
        <v>Repeat Customer</v>
      </c>
    </row>
    <row r="3375" spans="1:14">
      <c r="A3375" t="s">
        <v>1570</v>
      </c>
      <c r="B3375" s="1">
        <v>45483</v>
      </c>
      <c r="C3375" t="s">
        <v>1571</v>
      </c>
      <c r="D3375" t="s">
        <v>275</v>
      </c>
      <c r="E3375" t="s">
        <v>44</v>
      </c>
      <c r="F3375" t="s">
        <v>56</v>
      </c>
      <c r="G3375" t="s">
        <v>210</v>
      </c>
      <c r="H3375">
        <v>4</v>
      </c>
      <c r="I3375" s="3">
        <v>84.43</v>
      </c>
      <c r="J3375" t="s">
        <v>16</v>
      </c>
      <c r="K3375" t="s">
        <v>17</v>
      </c>
      <c r="L3375" s="4">
        <f>Table4[[#This Row],[quantity]]*Table4[[#This Row],[unit_price]]</f>
        <v>337.72</v>
      </c>
      <c r="M3375">
        <f>COUNTIFS($C$2:$C$3934,Table4[[#This Row],[customer_id]])</f>
        <v>3</v>
      </c>
      <c r="N3375" t="str">
        <f>IF(Table4[[#This Row],[customer_order_count]]=1,"New Customer","Repeat Customer")</f>
        <v>Repeat Customer</v>
      </c>
    </row>
    <row r="3376" spans="1:14">
      <c r="A3376" t="s">
        <v>4806</v>
      </c>
      <c r="B3376" s="1">
        <v>44935</v>
      </c>
      <c r="C3376" t="s">
        <v>3029</v>
      </c>
      <c r="D3376" t="s">
        <v>92</v>
      </c>
      <c r="E3376" t="s">
        <v>21</v>
      </c>
      <c r="F3376" t="s">
        <v>79</v>
      </c>
      <c r="G3376" t="s">
        <v>166</v>
      </c>
      <c r="H3376">
        <v>1</v>
      </c>
      <c r="I3376" s="3">
        <v>84.46</v>
      </c>
      <c r="J3376" t="s">
        <v>16</v>
      </c>
      <c r="K3376" t="s">
        <v>40</v>
      </c>
      <c r="L3376" s="4">
        <f>Table4[[#This Row],[quantity]]*Table4[[#This Row],[unit_price]]</f>
        <v>84.46</v>
      </c>
      <c r="M3376">
        <f>COUNTIFS($C$2:$C$3934,Table4[[#This Row],[customer_id]])</f>
        <v>6</v>
      </c>
      <c r="N3376" t="str">
        <f>IF(Table4[[#This Row],[customer_order_count]]=1,"New Customer","Repeat Customer")</f>
        <v>Repeat Customer</v>
      </c>
    </row>
    <row r="3377" spans="1:14">
      <c r="A3377" t="s">
        <v>631</v>
      </c>
      <c r="B3377" s="1">
        <v>45365</v>
      </c>
      <c r="C3377" t="s">
        <v>604</v>
      </c>
      <c r="D3377" t="s">
        <v>38</v>
      </c>
      <c r="E3377" t="s">
        <v>21</v>
      </c>
      <c r="F3377" t="s">
        <v>14</v>
      </c>
      <c r="G3377" t="s">
        <v>258</v>
      </c>
      <c r="H3377">
        <v>4</v>
      </c>
      <c r="I3377" s="3">
        <v>84.69</v>
      </c>
      <c r="J3377" t="s">
        <v>16</v>
      </c>
      <c r="K3377" t="s">
        <v>35</v>
      </c>
      <c r="L3377" s="4">
        <f>Table4[[#This Row],[quantity]]*Table4[[#This Row],[unit_price]]</f>
        <v>338.76</v>
      </c>
      <c r="M3377">
        <f>COUNTIFS($C$2:$C$3934,Table4[[#This Row],[customer_id]])</f>
        <v>7</v>
      </c>
      <c r="N3377" t="str">
        <f>IF(Table4[[#This Row],[customer_order_count]]=1,"New Customer","Repeat Customer")</f>
        <v>Repeat Customer</v>
      </c>
    </row>
    <row r="3378" spans="1:14">
      <c r="A3378" t="s">
        <v>5018</v>
      </c>
      <c r="B3378" s="1">
        <v>44952</v>
      </c>
      <c r="C3378" t="s">
        <v>1433</v>
      </c>
      <c r="D3378" t="s">
        <v>734</v>
      </c>
      <c r="E3378" t="s">
        <v>21</v>
      </c>
      <c r="F3378" t="s">
        <v>14</v>
      </c>
      <c r="G3378" t="s">
        <v>62</v>
      </c>
      <c r="H3378">
        <v>1</v>
      </c>
      <c r="I3378" s="3">
        <v>84.72</v>
      </c>
      <c r="J3378" t="s">
        <v>16</v>
      </c>
      <c r="K3378" t="s">
        <v>40</v>
      </c>
      <c r="L3378" s="4">
        <f>Table4[[#This Row],[quantity]]*Table4[[#This Row],[unit_price]]</f>
        <v>84.72</v>
      </c>
      <c r="M3378">
        <f>COUNTIFS($C$2:$C$3934,Table4[[#This Row],[customer_id]])</f>
        <v>2</v>
      </c>
      <c r="N3378" t="str">
        <f>IF(Table4[[#This Row],[customer_order_count]]=1,"New Customer","Repeat Customer")</f>
        <v>Repeat Customer</v>
      </c>
    </row>
    <row r="3379" spans="1:14">
      <c r="A3379" t="s">
        <v>3190</v>
      </c>
      <c r="B3379" s="1">
        <v>45419</v>
      </c>
      <c r="C3379" t="s">
        <v>3179</v>
      </c>
      <c r="D3379" t="s">
        <v>313</v>
      </c>
      <c r="E3379" t="s">
        <v>21</v>
      </c>
      <c r="F3379" t="s">
        <v>79</v>
      </c>
      <c r="G3379" t="s">
        <v>230</v>
      </c>
      <c r="H3379">
        <v>4</v>
      </c>
      <c r="I3379" s="3">
        <v>84.76</v>
      </c>
      <c r="J3379" t="s">
        <v>16</v>
      </c>
      <c r="K3379" t="s">
        <v>35</v>
      </c>
      <c r="L3379" s="4">
        <f>Table4[[#This Row],[quantity]]*Table4[[#This Row],[unit_price]]</f>
        <v>339.04</v>
      </c>
      <c r="M3379">
        <f>COUNTIFS($C$2:$C$3934,Table4[[#This Row],[customer_id]])</f>
        <v>4</v>
      </c>
      <c r="N3379" t="str">
        <f>IF(Table4[[#This Row],[customer_order_count]]=1,"New Customer","Repeat Customer")</f>
        <v>Repeat Customer</v>
      </c>
    </row>
    <row r="3380" spans="1:14">
      <c r="A3380" t="s">
        <v>2580</v>
      </c>
      <c r="B3380" s="1">
        <v>45042</v>
      </c>
      <c r="C3380" t="s">
        <v>2395</v>
      </c>
      <c r="D3380" t="s">
        <v>92</v>
      </c>
      <c r="E3380" t="s">
        <v>21</v>
      </c>
      <c r="F3380" t="s">
        <v>56</v>
      </c>
      <c r="G3380" t="s">
        <v>153</v>
      </c>
      <c r="H3380">
        <v>2</v>
      </c>
      <c r="I3380" s="3">
        <v>84.92</v>
      </c>
      <c r="J3380" t="s">
        <v>16</v>
      </c>
      <c r="K3380" t="s">
        <v>40</v>
      </c>
      <c r="L3380" s="4">
        <f>Table4[[#This Row],[quantity]]*Table4[[#This Row],[unit_price]]</f>
        <v>169.84</v>
      </c>
      <c r="M3380">
        <f>COUNTIFS($C$2:$C$3934,Table4[[#This Row],[customer_id]])</f>
        <v>7</v>
      </c>
      <c r="N3380" t="str">
        <f>IF(Table4[[#This Row],[customer_order_count]]=1,"New Customer","Repeat Customer")</f>
        <v>Repeat Customer</v>
      </c>
    </row>
    <row r="3381" spans="1:14">
      <c r="A3381" t="s">
        <v>3683</v>
      </c>
      <c r="B3381" s="1">
        <v>45105</v>
      </c>
      <c r="C3381" t="s">
        <v>2108</v>
      </c>
      <c r="D3381" s="2" t="s">
        <v>5257</v>
      </c>
      <c r="E3381" t="s">
        <v>21</v>
      </c>
      <c r="F3381" t="s">
        <v>56</v>
      </c>
      <c r="G3381" t="s">
        <v>254</v>
      </c>
      <c r="H3381">
        <v>1</v>
      </c>
      <c r="I3381" s="3">
        <v>84.99</v>
      </c>
      <c r="J3381" t="s">
        <v>16</v>
      </c>
      <c r="K3381" t="s">
        <v>40</v>
      </c>
      <c r="L3381" s="4">
        <f>Table4[[#This Row],[quantity]]*Table4[[#This Row],[unit_price]]</f>
        <v>84.99</v>
      </c>
      <c r="M3381">
        <f>COUNTIFS($C$2:$C$3934,Table4[[#This Row],[customer_id]])</f>
        <v>3</v>
      </c>
      <c r="N3381" t="str">
        <f>IF(Table4[[#This Row],[customer_order_count]]=1,"New Customer","Repeat Customer")</f>
        <v>Repeat Customer</v>
      </c>
    </row>
    <row r="3382" spans="1:14">
      <c r="A3382" t="s">
        <v>2192</v>
      </c>
      <c r="B3382" s="1">
        <v>45285</v>
      </c>
      <c r="C3382" t="s">
        <v>1941</v>
      </c>
      <c r="D3382" s="5" t="s">
        <v>1942</v>
      </c>
      <c r="E3382" t="s">
        <v>61</v>
      </c>
      <c r="F3382" t="s">
        <v>14</v>
      </c>
      <c r="G3382" t="s">
        <v>34</v>
      </c>
      <c r="H3382">
        <v>1</v>
      </c>
      <c r="I3382" s="3">
        <v>84.99</v>
      </c>
      <c r="J3382" t="s">
        <v>16</v>
      </c>
      <c r="K3382" t="s">
        <v>35</v>
      </c>
      <c r="L3382" s="4">
        <f>Table4[[#This Row],[quantity]]*Table4[[#This Row],[unit_price]]</f>
        <v>84.99</v>
      </c>
      <c r="M3382">
        <f>COUNTIFS($C$2:$C$3934,Table4[[#This Row],[customer_id]])</f>
        <v>4</v>
      </c>
      <c r="N3382" t="str">
        <f>IF(Table4[[#This Row],[customer_order_count]]=1,"New Customer","Repeat Customer")</f>
        <v>Repeat Customer</v>
      </c>
    </row>
    <row r="3383" spans="1:14">
      <c r="A3383" t="s">
        <v>316</v>
      </c>
      <c r="B3383" s="1">
        <v>45575</v>
      </c>
      <c r="C3383" t="s">
        <v>317</v>
      </c>
      <c r="D3383" t="s">
        <v>318</v>
      </c>
      <c r="E3383" t="s">
        <v>44</v>
      </c>
      <c r="F3383" t="s">
        <v>79</v>
      </c>
      <c r="G3383" t="s">
        <v>204</v>
      </c>
      <c r="H3383">
        <v>1</v>
      </c>
      <c r="I3383" s="3">
        <v>85</v>
      </c>
      <c r="J3383" t="s">
        <v>85</v>
      </c>
      <c r="K3383" t="s">
        <v>17</v>
      </c>
      <c r="L3383" s="4">
        <f>Table4[[#This Row],[quantity]]*Table4[[#This Row],[unit_price]]</f>
        <v>85</v>
      </c>
      <c r="M3383">
        <f>COUNTIFS($C$2:$C$3934,Table4[[#This Row],[customer_id]])</f>
        <v>5</v>
      </c>
      <c r="N3383" t="str">
        <f>IF(Table4[[#This Row],[customer_order_count]]=1,"New Customer","Repeat Customer")</f>
        <v>Repeat Customer</v>
      </c>
    </row>
    <row r="3384" spans="1:14">
      <c r="A3384" t="s">
        <v>436</v>
      </c>
      <c r="B3384" s="1">
        <v>45329</v>
      </c>
      <c r="C3384" t="s">
        <v>437</v>
      </c>
      <c r="D3384" t="s">
        <v>438</v>
      </c>
      <c r="E3384" t="s">
        <v>21</v>
      </c>
      <c r="F3384" t="s">
        <v>14</v>
      </c>
      <c r="G3384" t="s">
        <v>34</v>
      </c>
      <c r="H3384">
        <v>2</v>
      </c>
      <c r="I3384" s="3">
        <v>85.02</v>
      </c>
      <c r="J3384" t="s">
        <v>16</v>
      </c>
      <c r="K3384" t="s">
        <v>35</v>
      </c>
      <c r="L3384" s="4">
        <f>Table4[[#This Row],[quantity]]*Table4[[#This Row],[unit_price]]</f>
        <v>170.04</v>
      </c>
      <c r="M3384">
        <f>COUNTIFS($C$2:$C$3934,Table4[[#This Row],[customer_id]])</f>
        <v>7</v>
      </c>
      <c r="N3384" t="str">
        <f>IF(Table4[[#This Row],[customer_order_count]]=1,"New Customer","Repeat Customer")</f>
        <v>Repeat Customer</v>
      </c>
    </row>
    <row r="3385" spans="1:14">
      <c r="A3385" t="s">
        <v>4455</v>
      </c>
      <c r="B3385" s="1">
        <v>44981</v>
      </c>
      <c r="C3385" t="s">
        <v>1834</v>
      </c>
      <c r="D3385" t="s">
        <v>359</v>
      </c>
      <c r="E3385" t="s">
        <v>21</v>
      </c>
      <c r="F3385" t="s">
        <v>79</v>
      </c>
      <c r="G3385" t="s">
        <v>541</v>
      </c>
      <c r="H3385">
        <v>1</v>
      </c>
      <c r="I3385" s="3">
        <v>85.14</v>
      </c>
      <c r="J3385" t="s">
        <v>16</v>
      </c>
      <c r="K3385" t="s">
        <v>30</v>
      </c>
      <c r="L3385" s="4">
        <f>Table4[[#This Row],[quantity]]*Table4[[#This Row],[unit_price]]</f>
        <v>85.14</v>
      </c>
      <c r="M3385">
        <f>COUNTIFS($C$2:$C$3934,Table4[[#This Row],[customer_id]])</f>
        <v>7</v>
      </c>
      <c r="N3385" t="str">
        <f>IF(Table4[[#This Row],[customer_order_count]]=1,"New Customer","Repeat Customer")</f>
        <v>Repeat Customer</v>
      </c>
    </row>
    <row r="3386" spans="1:14">
      <c r="A3386" t="s">
        <v>4635</v>
      </c>
      <c r="B3386" s="1">
        <v>45170</v>
      </c>
      <c r="C3386" t="s">
        <v>177</v>
      </c>
      <c r="D3386" t="s">
        <v>178</v>
      </c>
      <c r="E3386" t="s">
        <v>21</v>
      </c>
      <c r="F3386" t="s">
        <v>56</v>
      </c>
      <c r="G3386" t="s">
        <v>153</v>
      </c>
      <c r="H3386">
        <v>1</v>
      </c>
      <c r="I3386" s="3">
        <v>85.27</v>
      </c>
      <c r="J3386" t="s">
        <v>16</v>
      </c>
      <c r="K3386" t="s">
        <v>17</v>
      </c>
      <c r="L3386" s="4">
        <f>Table4[[#This Row],[quantity]]*Table4[[#This Row],[unit_price]]</f>
        <v>85.27</v>
      </c>
      <c r="M3386">
        <f>COUNTIFS($C$2:$C$3934,Table4[[#This Row],[customer_id]])</f>
        <v>6</v>
      </c>
      <c r="N3386" t="str">
        <f>IF(Table4[[#This Row],[customer_order_count]]=1,"New Customer","Repeat Customer")</f>
        <v>Repeat Customer</v>
      </c>
    </row>
    <row r="3387" spans="1:14">
      <c r="A3387" t="s">
        <v>2620</v>
      </c>
      <c r="B3387" s="1">
        <v>45274</v>
      </c>
      <c r="C3387" t="s">
        <v>2426</v>
      </c>
      <c r="D3387" t="s">
        <v>2427</v>
      </c>
      <c r="E3387" t="s">
        <v>21</v>
      </c>
      <c r="F3387" t="s">
        <v>14</v>
      </c>
      <c r="G3387" t="s">
        <v>62</v>
      </c>
      <c r="H3387">
        <v>2</v>
      </c>
      <c r="I3387" s="3">
        <v>85.29</v>
      </c>
      <c r="J3387" t="s">
        <v>255</v>
      </c>
      <c r="K3387" t="s">
        <v>40</v>
      </c>
      <c r="L3387" s="4">
        <f>Table4[[#This Row],[quantity]]*Table4[[#This Row],[unit_price]]</f>
        <v>170.58</v>
      </c>
      <c r="M3387">
        <f>COUNTIFS($C$2:$C$3934,Table4[[#This Row],[customer_id]])</f>
        <v>5</v>
      </c>
      <c r="N3387" t="str">
        <f>IF(Table4[[#This Row],[customer_order_count]]=1,"New Customer","Repeat Customer")</f>
        <v>Repeat Customer</v>
      </c>
    </row>
    <row r="3388" spans="1:14">
      <c r="A3388" t="s">
        <v>4862</v>
      </c>
      <c r="B3388" s="1">
        <v>45356</v>
      </c>
      <c r="C3388" t="s">
        <v>3361</v>
      </c>
      <c r="D3388" t="s">
        <v>327</v>
      </c>
      <c r="E3388" t="s">
        <v>21</v>
      </c>
      <c r="F3388" t="s">
        <v>56</v>
      </c>
      <c r="G3388" t="s">
        <v>254</v>
      </c>
      <c r="H3388">
        <v>2</v>
      </c>
      <c r="I3388" s="3">
        <v>85.39</v>
      </c>
      <c r="J3388" t="s">
        <v>16</v>
      </c>
      <c r="K3388" t="s">
        <v>40</v>
      </c>
      <c r="L3388" s="4">
        <f>Table4[[#This Row],[quantity]]*Table4[[#This Row],[unit_price]]</f>
        <v>170.78</v>
      </c>
      <c r="M3388">
        <f>COUNTIFS($C$2:$C$3934,Table4[[#This Row],[customer_id]])</f>
        <v>6</v>
      </c>
      <c r="N3388" t="str">
        <f>IF(Table4[[#This Row],[customer_order_count]]=1,"New Customer","Repeat Customer")</f>
        <v>Repeat Customer</v>
      </c>
    </row>
    <row r="3389" spans="1:14">
      <c r="A3389" t="s">
        <v>2576</v>
      </c>
      <c r="B3389" s="1">
        <v>45145</v>
      </c>
      <c r="C3389" t="s">
        <v>1381</v>
      </c>
      <c r="D3389" t="s">
        <v>510</v>
      </c>
      <c r="E3389" t="s">
        <v>21</v>
      </c>
      <c r="F3389" t="s">
        <v>14</v>
      </c>
      <c r="G3389" t="s">
        <v>62</v>
      </c>
      <c r="H3389">
        <v>2</v>
      </c>
      <c r="I3389" s="3">
        <v>85.43</v>
      </c>
      <c r="J3389" t="s">
        <v>85</v>
      </c>
      <c r="K3389" t="s">
        <v>17</v>
      </c>
      <c r="L3389" s="4">
        <f>Table4[[#This Row],[quantity]]*Table4[[#This Row],[unit_price]]</f>
        <v>170.86</v>
      </c>
      <c r="M3389">
        <f>COUNTIFS($C$2:$C$3934,Table4[[#This Row],[customer_id]])</f>
        <v>5</v>
      </c>
      <c r="N3389" t="str">
        <f>IF(Table4[[#This Row],[customer_order_count]]=1,"New Customer","Repeat Customer")</f>
        <v>Repeat Customer</v>
      </c>
    </row>
    <row r="3390" spans="1:14">
      <c r="A3390" t="s">
        <v>3010</v>
      </c>
      <c r="B3390" s="1">
        <v>45545</v>
      </c>
      <c r="C3390" t="s">
        <v>990</v>
      </c>
      <c r="D3390" t="s">
        <v>991</v>
      </c>
      <c r="E3390" t="s">
        <v>21</v>
      </c>
      <c r="F3390" t="s">
        <v>79</v>
      </c>
      <c r="G3390" t="s">
        <v>96</v>
      </c>
      <c r="H3390">
        <v>5</v>
      </c>
      <c r="I3390" s="3">
        <v>85.45</v>
      </c>
      <c r="J3390" t="s">
        <v>85</v>
      </c>
      <c r="K3390" t="s">
        <v>17</v>
      </c>
      <c r="L3390" s="4">
        <f>Table4[[#This Row],[quantity]]*Table4[[#This Row],[unit_price]]</f>
        <v>427.25</v>
      </c>
      <c r="M3390">
        <f>COUNTIFS($C$2:$C$3934,Table4[[#This Row],[customer_id]])</f>
        <v>5</v>
      </c>
      <c r="N3390" t="str">
        <f>IF(Table4[[#This Row],[customer_order_count]]=1,"New Customer","Repeat Customer")</f>
        <v>Repeat Customer</v>
      </c>
    </row>
    <row r="3391" spans="1:14">
      <c r="A3391" t="s">
        <v>1160</v>
      </c>
      <c r="B3391" s="1">
        <v>45195</v>
      </c>
      <c r="C3391" t="s">
        <v>1161</v>
      </c>
      <c r="D3391" t="s">
        <v>725</v>
      </c>
      <c r="E3391" t="s">
        <v>44</v>
      </c>
      <c r="F3391" t="s">
        <v>79</v>
      </c>
      <c r="G3391" t="s">
        <v>204</v>
      </c>
      <c r="H3391">
        <v>1</v>
      </c>
      <c r="I3391" s="3">
        <v>85.56</v>
      </c>
      <c r="J3391" t="s">
        <v>16</v>
      </c>
      <c r="K3391" t="s">
        <v>35</v>
      </c>
      <c r="L3391" s="4">
        <f>Table4[[#This Row],[quantity]]*Table4[[#This Row],[unit_price]]</f>
        <v>85.56</v>
      </c>
      <c r="M3391">
        <f>COUNTIFS($C$2:$C$3934,Table4[[#This Row],[customer_id]])</f>
        <v>3</v>
      </c>
      <c r="N3391" t="str">
        <f>IF(Table4[[#This Row],[customer_order_count]]=1,"New Customer","Repeat Customer")</f>
        <v>Repeat Customer</v>
      </c>
    </row>
    <row r="3392" spans="1:14">
      <c r="A3392" t="s">
        <v>2886</v>
      </c>
      <c r="B3392" s="1">
        <v>44956</v>
      </c>
      <c r="C3392" t="s">
        <v>1042</v>
      </c>
      <c r="D3392" t="s">
        <v>1043</v>
      </c>
      <c r="E3392" t="s">
        <v>21</v>
      </c>
      <c r="F3392" t="s">
        <v>14</v>
      </c>
      <c r="G3392" t="s">
        <v>15</v>
      </c>
      <c r="H3392">
        <v>2</v>
      </c>
      <c r="I3392" s="3">
        <v>85.59</v>
      </c>
      <c r="J3392" t="s">
        <v>16</v>
      </c>
      <c r="K3392" t="s">
        <v>35</v>
      </c>
      <c r="L3392" s="4">
        <f>Table4[[#This Row],[quantity]]*Table4[[#This Row],[unit_price]]</f>
        <v>171.18</v>
      </c>
      <c r="M3392">
        <f>COUNTIFS($C$2:$C$3934,Table4[[#This Row],[customer_id]])</f>
        <v>4</v>
      </c>
      <c r="N3392" t="str">
        <f>IF(Table4[[#This Row],[customer_order_count]]=1,"New Customer","Repeat Customer")</f>
        <v>Repeat Customer</v>
      </c>
    </row>
    <row r="3393" spans="1:14">
      <c r="A3393" t="s">
        <v>5198</v>
      </c>
      <c r="B3393" s="1">
        <v>45166</v>
      </c>
      <c r="C3393" t="s">
        <v>2301</v>
      </c>
      <c r="D3393" s="2" t="s">
        <v>5257</v>
      </c>
      <c r="E3393" t="s">
        <v>21</v>
      </c>
      <c r="F3393" t="s">
        <v>79</v>
      </c>
      <c r="G3393" t="s">
        <v>541</v>
      </c>
      <c r="H3393">
        <v>1</v>
      </c>
      <c r="I3393" s="3">
        <v>85.63</v>
      </c>
      <c r="J3393" t="s">
        <v>16</v>
      </c>
      <c r="K3393" t="s">
        <v>17</v>
      </c>
      <c r="L3393" s="4">
        <f>Table4[[#This Row],[quantity]]*Table4[[#This Row],[unit_price]]</f>
        <v>85.63</v>
      </c>
      <c r="M3393">
        <f>COUNTIFS($C$2:$C$3934,Table4[[#This Row],[customer_id]])</f>
        <v>6</v>
      </c>
      <c r="N3393" t="str">
        <f>IF(Table4[[#This Row],[customer_order_count]]=1,"New Customer","Repeat Customer")</f>
        <v>Repeat Customer</v>
      </c>
    </row>
    <row r="3394" spans="1:14">
      <c r="A3394" t="s">
        <v>4880</v>
      </c>
      <c r="B3394" s="1">
        <v>45382</v>
      </c>
      <c r="C3394" t="s">
        <v>1338</v>
      </c>
      <c r="D3394" s="5" t="s">
        <v>152</v>
      </c>
      <c r="E3394" t="s">
        <v>21</v>
      </c>
      <c r="F3394" t="s">
        <v>56</v>
      </c>
      <c r="G3394" t="s">
        <v>75</v>
      </c>
      <c r="H3394">
        <v>1</v>
      </c>
      <c r="I3394" s="3">
        <v>85.68</v>
      </c>
      <c r="J3394" t="s">
        <v>16</v>
      </c>
      <c r="K3394" s="2" t="s">
        <v>5256</v>
      </c>
      <c r="L3394" s="4">
        <f>Table4[[#This Row],[quantity]]*Table4[[#This Row],[unit_price]]</f>
        <v>85.68</v>
      </c>
      <c r="M3394">
        <f>COUNTIFS($C$2:$C$3934,Table4[[#This Row],[customer_id]])</f>
        <v>7</v>
      </c>
      <c r="N3394" t="str">
        <f>IF(Table4[[#This Row],[customer_order_count]]=1,"New Customer","Repeat Customer")</f>
        <v>Repeat Customer</v>
      </c>
    </row>
    <row r="3395" spans="1:14">
      <c r="A3395" t="s">
        <v>4159</v>
      </c>
      <c r="B3395" s="1">
        <v>45373</v>
      </c>
      <c r="C3395" t="s">
        <v>193</v>
      </c>
      <c r="D3395" t="s">
        <v>178</v>
      </c>
      <c r="E3395" t="s">
        <v>21</v>
      </c>
      <c r="F3395" t="s">
        <v>56</v>
      </c>
      <c r="G3395" t="s">
        <v>118</v>
      </c>
      <c r="H3395">
        <v>1</v>
      </c>
      <c r="I3395" s="3">
        <v>85.7</v>
      </c>
      <c r="J3395" t="s">
        <v>16</v>
      </c>
      <c r="K3395" s="5" t="s">
        <v>17</v>
      </c>
      <c r="L3395" s="4">
        <f>Table4[[#This Row],[quantity]]*Table4[[#This Row],[unit_price]]</f>
        <v>85.7</v>
      </c>
      <c r="M3395">
        <f>COUNTIFS($C$2:$C$3934,Table4[[#This Row],[customer_id]])</f>
        <v>8</v>
      </c>
      <c r="N3395" t="str">
        <f>IF(Table4[[#This Row],[customer_order_count]]=1,"New Customer","Repeat Customer")</f>
        <v>Repeat Customer</v>
      </c>
    </row>
    <row r="3396" spans="1:14">
      <c r="A3396" t="s">
        <v>874</v>
      </c>
      <c r="B3396" s="1">
        <v>45125</v>
      </c>
      <c r="C3396" t="s">
        <v>543</v>
      </c>
      <c r="D3396" t="s">
        <v>544</v>
      </c>
      <c r="E3396" t="s">
        <v>21</v>
      </c>
      <c r="F3396" t="s">
        <v>14</v>
      </c>
      <c r="G3396" t="s">
        <v>258</v>
      </c>
      <c r="H3396">
        <v>1</v>
      </c>
      <c r="I3396" s="3">
        <v>85.7</v>
      </c>
      <c r="J3396" t="s">
        <v>16</v>
      </c>
      <c r="K3396" t="s">
        <v>30</v>
      </c>
      <c r="L3396" s="4">
        <f>Table4[[#This Row],[quantity]]*Table4[[#This Row],[unit_price]]</f>
        <v>85.7</v>
      </c>
      <c r="M3396">
        <f>COUNTIFS($C$2:$C$3934,Table4[[#This Row],[customer_id]])</f>
        <v>6</v>
      </c>
      <c r="N3396" t="str">
        <f>IF(Table4[[#This Row],[customer_order_count]]=1,"New Customer","Repeat Customer")</f>
        <v>Repeat Customer</v>
      </c>
    </row>
    <row r="3397" spans="1:14">
      <c r="A3397" t="s">
        <v>4270</v>
      </c>
      <c r="B3397" s="1">
        <v>45581</v>
      </c>
      <c r="C3397" t="s">
        <v>587</v>
      </c>
      <c r="D3397" t="s">
        <v>475</v>
      </c>
      <c r="E3397" t="s">
        <v>21</v>
      </c>
      <c r="F3397" t="s">
        <v>56</v>
      </c>
      <c r="G3397" t="s">
        <v>118</v>
      </c>
      <c r="H3397">
        <v>1</v>
      </c>
      <c r="I3397" s="3">
        <v>85.72</v>
      </c>
      <c r="J3397" t="s">
        <v>16</v>
      </c>
      <c r="K3397" t="s">
        <v>35</v>
      </c>
      <c r="L3397" s="4">
        <f>Table4[[#This Row],[quantity]]*Table4[[#This Row],[unit_price]]</f>
        <v>85.72</v>
      </c>
      <c r="M3397">
        <f>COUNTIFS($C$2:$C$3934,Table4[[#This Row],[customer_id]])</f>
        <v>6</v>
      </c>
      <c r="N3397" t="str">
        <f>IF(Table4[[#This Row],[customer_order_count]]=1,"New Customer","Repeat Customer")</f>
        <v>Repeat Customer</v>
      </c>
    </row>
    <row r="3398" spans="1:14">
      <c r="A3398" t="s">
        <v>2861</v>
      </c>
      <c r="B3398" s="1">
        <v>45182</v>
      </c>
      <c r="C3398" t="s">
        <v>1257</v>
      </c>
      <c r="D3398" t="s">
        <v>917</v>
      </c>
      <c r="E3398" t="s">
        <v>21</v>
      </c>
      <c r="F3398" t="s">
        <v>79</v>
      </c>
      <c r="G3398" t="s">
        <v>96</v>
      </c>
      <c r="H3398">
        <v>1</v>
      </c>
      <c r="I3398" s="3">
        <v>85.81</v>
      </c>
      <c r="J3398" t="s">
        <v>16</v>
      </c>
      <c r="K3398" t="s">
        <v>35</v>
      </c>
      <c r="L3398" s="4">
        <f>Table4[[#This Row],[quantity]]*Table4[[#This Row],[unit_price]]</f>
        <v>85.81</v>
      </c>
      <c r="M3398">
        <f>COUNTIFS($C$2:$C$3934,Table4[[#This Row],[customer_id]])</f>
        <v>6</v>
      </c>
      <c r="N3398" t="str">
        <f>IF(Table4[[#This Row],[customer_order_count]]=1,"New Customer","Repeat Customer")</f>
        <v>Repeat Customer</v>
      </c>
    </row>
    <row r="3399" spans="1:14">
      <c r="A3399" t="s">
        <v>3580</v>
      </c>
      <c r="B3399" s="1">
        <v>45046</v>
      </c>
      <c r="C3399" t="s">
        <v>1397</v>
      </c>
      <c r="D3399" t="s">
        <v>383</v>
      </c>
      <c r="E3399" t="s">
        <v>44</v>
      </c>
      <c r="F3399" t="s">
        <v>14</v>
      </c>
      <c r="G3399" t="s">
        <v>258</v>
      </c>
      <c r="H3399">
        <v>1</v>
      </c>
      <c r="I3399" s="3">
        <v>85.82</v>
      </c>
      <c r="J3399" t="s">
        <v>16</v>
      </c>
      <c r="K3399" t="s">
        <v>17</v>
      </c>
      <c r="L3399" s="4">
        <f>Table4[[#This Row],[quantity]]*Table4[[#This Row],[unit_price]]</f>
        <v>85.82</v>
      </c>
      <c r="M3399">
        <f>COUNTIFS($C$2:$C$3934,Table4[[#This Row],[customer_id]])</f>
        <v>9</v>
      </c>
      <c r="N3399" t="str">
        <f>IF(Table4[[#This Row],[customer_order_count]]=1,"New Customer","Repeat Customer")</f>
        <v>Repeat Customer</v>
      </c>
    </row>
    <row r="3400" spans="1:14">
      <c r="A3400" t="s">
        <v>879</v>
      </c>
      <c r="B3400" s="1">
        <v>44964</v>
      </c>
      <c r="C3400" t="s">
        <v>880</v>
      </c>
      <c r="D3400" t="s">
        <v>881</v>
      </c>
      <c r="E3400" t="s">
        <v>21</v>
      </c>
      <c r="F3400" t="s">
        <v>14</v>
      </c>
      <c r="G3400" t="s">
        <v>39</v>
      </c>
      <c r="H3400">
        <v>1</v>
      </c>
      <c r="I3400" s="3">
        <v>85.83</v>
      </c>
      <c r="J3400" t="s">
        <v>16</v>
      </c>
      <c r="K3400" t="s">
        <v>17</v>
      </c>
      <c r="L3400" s="4">
        <f>Table4[[#This Row],[quantity]]*Table4[[#This Row],[unit_price]]</f>
        <v>85.83</v>
      </c>
      <c r="M3400">
        <f>COUNTIFS($C$2:$C$3934,Table4[[#This Row],[customer_id]])</f>
        <v>6</v>
      </c>
      <c r="N3400" t="str">
        <f>IF(Table4[[#This Row],[customer_order_count]]=1,"New Customer","Repeat Customer")</f>
        <v>Repeat Customer</v>
      </c>
    </row>
    <row r="3401" spans="1:14">
      <c r="A3401" t="s">
        <v>4326</v>
      </c>
      <c r="B3401" s="1">
        <v>44983</v>
      </c>
      <c r="C3401" t="s">
        <v>3511</v>
      </c>
      <c r="D3401" t="s">
        <v>2033</v>
      </c>
      <c r="E3401" t="s">
        <v>44</v>
      </c>
      <c r="F3401" t="s">
        <v>56</v>
      </c>
      <c r="G3401" t="s">
        <v>210</v>
      </c>
      <c r="H3401">
        <v>1</v>
      </c>
      <c r="I3401" s="3">
        <v>86.2</v>
      </c>
      <c r="J3401" t="s">
        <v>16</v>
      </c>
      <c r="K3401" t="s">
        <v>17</v>
      </c>
      <c r="L3401" s="4">
        <f>Table4[[#This Row],[quantity]]*Table4[[#This Row],[unit_price]]</f>
        <v>86.2</v>
      </c>
      <c r="M3401">
        <f>COUNTIFS($C$2:$C$3934,Table4[[#This Row],[customer_id]])</f>
        <v>4</v>
      </c>
      <c r="N3401" t="str">
        <f>IF(Table4[[#This Row],[customer_order_count]]=1,"New Customer","Repeat Customer")</f>
        <v>Repeat Customer</v>
      </c>
    </row>
    <row r="3402" spans="1:14">
      <c r="A3402" t="s">
        <v>1458</v>
      </c>
      <c r="B3402" s="1">
        <v>45458</v>
      </c>
      <c r="C3402" t="s">
        <v>619</v>
      </c>
      <c r="D3402" t="s">
        <v>620</v>
      </c>
      <c r="E3402" t="s">
        <v>21</v>
      </c>
      <c r="F3402" t="s">
        <v>79</v>
      </c>
      <c r="G3402" t="s">
        <v>398</v>
      </c>
      <c r="H3402">
        <v>4</v>
      </c>
      <c r="I3402" s="3">
        <v>86.22</v>
      </c>
      <c r="J3402" t="s">
        <v>85</v>
      </c>
      <c r="K3402" t="s">
        <v>35</v>
      </c>
      <c r="L3402" s="4">
        <f>Table4[[#This Row],[quantity]]*Table4[[#This Row],[unit_price]]</f>
        <v>344.88</v>
      </c>
      <c r="M3402">
        <f>COUNTIFS($C$2:$C$3934,Table4[[#This Row],[customer_id]])</f>
        <v>4</v>
      </c>
      <c r="N3402" t="str">
        <f>IF(Table4[[#This Row],[customer_order_count]]=1,"New Customer","Repeat Customer")</f>
        <v>Repeat Customer</v>
      </c>
    </row>
    <row r="3403" spans="1:14">
      <c r="A3403" t="s">
        <v>1781</v>
      </c>
      <c r="B3403" s="1">
        <v>45102</v>
      </c>
      <c r="C3403" t="s">
        <v>680</v>
      </c>
      <c r="D3403" t="s">
        <v>681</v>
      </c>
      <c r="E3403" t="s">
        <v>21</v>
      </c>
      <c r="F3403" t="s">
        <v>79</v>
      </c>
      <c r="G3403" t="s">
        <v>80</v>
      </c>
      <c r="H3403">
        <v>2</v>
      </c>
      <c r="I3403" s="3">
        <v>86.29</v>
      </c>
      <c r="J3403" t="s">
        <v>16</v>
      </c>
      <c r="K3403" t="s">
        <v>35</v>
      </c>
      <c r="L3403" s="4">
        <f>Table4[[#This Row],[quantity]]*Table4[[#This Row],[unit_price]]</f>
        <v>172.58</v>
      </c>
      <c r="M3403">
        <f>COUNTIFS($C$2:$C$3934,Table4[[#This Row],[customer_id]])</f>
        <v>11</v>
      </c>
      <c r="N3403" t="str">
        <f>IF(Table4[[#This Row],[customer_order_count]]=1,"New Customer","Repeat Customer")</f>
        <v>Repeat Customer</v>
      </c>
    </row>
    <row r="3404" spans="1:14">
      <c r="A3404" t="s">
        <v>4512</v>
      </c>
      <c r="B3404" s="1">
        <v>45434</v>
      </c>
      <c r="C3404" t="s">
        <v>1024</v>
      </c>
      <c r="D3404" t="s">
        <v>881</v>
      </c>
      <c r="E3404" t="s">
        <v>21</v>
      </c>
      <c r="F3404" t="s">
        <v>79</v>
      </c>
      <c r="G3404" t="s">
        <v>541</v>
      </c>
      <c r="H3404">
        <v>1</v>
      </c>
      <c r="I3404" s="3">
        <v>86.44</v>
      </c>
      <c r="J3404" t="s">
        <v>255</v>
      </c>
      <c r="K3404" t="s">
        <v>35</v>
      </c>
      <c r="L3404" s="4">
        <f>Table4[[#This Row],[quantity]]*Table4[[#This Row],[unit_price]]</f>
        <v>86.44</v>
      </c>
      <c r="M3404">
        <f>COUNTIFS($C$2:$C$3934,Table4[[#This Row],[customer_id]])</f>
        <v>6</v>
      </c>
      <c r="N3404" t="str">
        <f>IF(Table4[[#This Row],[customer_order_count]]=1,"New Customer","Repeat Customer")</f>
        <v>Repeat Customer</v>
      </c>
    </row>
    <row r="3405" spans="1:14">
      <c r="A3405" t="s">
        <v>2174</v>
      </c>
      <c r="B3405" s="1">
        <v>45108</v>
      </c>
      <c r="C3405" t="s">
        <v>2175</v>
      </c>
      <c r="D3405" t="s">
        <v>1938</v>
      </c>
      <c r="E3405" t="s">
        <v>44</v>
      </c>
      <c r="F3405" t="s">
        <v>79</v>
      </c>
      <c r="G3405" t="s">
        <v>200</v>
      </c>
      <c r="H3405">
        <v>1</v>
      </c>
      <c r="I3405" s="3">
        <v>86.48</v>
      </c>
      <c r="J3405" t="s">
        <v>16</v>
      </c>
      <c r="K3405" t="s">
        <v>35</v>
      </c>
      <c r="L3405" s="4">
        <f>Table4[[#This Row],[quantity]]*Table4[[#This Row],[unit_price]]</f>
        <v>86.48</v>
      </c>
      <c r="M3405">
        <f>COUNTIFS($C$2:$C$3934,Table4[[#This Row],[customer_id]])</f>
        <v>3</v>
      </c>
      <c r="N3405" t="str">
        <f>IF(Table4[[#This Row],[customer_order_count]]=1,"New Customer","Repeat Customer")</f>
        <v>Repeat Customer</v>
      </c>
    </row>
    <row r="3406" spans="1:14">
      <c r="A3406" t="s">
        <v>5036</v>
      </c>
      <c r="B3406" s="1">
        <v>45097</v>
      </c>
      <c r="C3406" t="s">
        <v>1102</v>
      </c>
      <c r="D3406" t="s">
        <v>1103</v>
      </c>
      <c r="E3406" t="s">
        <v>21</v>
      </c>
      <c r="F3406" t="s">
        <v>56</v>
      </c>
      <c r="G3406" t="s">
        <v>254</v>
      </c>
      <c r="H3406">
        <v>2</v>
      </c>
      <c r="I3406" s="3">
        <v>86.48</v>
      </c>
      <c r="J3406" t="s">
        <v>255</v>
      </c>
      <c r="K3406" t="s">
        <v>30</v>
      </c>
      <c r="L3406" s="4">
        <f>Table4[[#This Row],[quantity]]*Table4[[#This Row],[unit_price]]</f>
        <v>172.96</v>
      </c>
      <c r="M3406">
        <f>COUNTIFS($C$2:$C$3934,Table4[[#This Row],[customer_id]])</f>
        <v>6</v>
      </c>
      <c r="N3406" t="str">
        <f>IF(Table4[[#This Row],[customer_order_count]]=1,"New Customer","Repeat Customer")</f>
        <v>Repeat Customer</v>
      </c>
    </row>
    <row r="3407" spans="1:14">
      <c r="A3407" t="s">
        <v>3946</v>
      </c>
      <c r="B3407" s="1">
        <v>45083</v>
      </c>
      <c r="C3407" t="s">
        <v>848</v>
      </c>
      <c r="D3407" t="s">
        <v>340</v>
      </c>
      <c r="E3407" t="s">
        <v>21</v>
      </c>
      <c r="F3407" t="s">
        <v>14</v>
      </c>
      <c r="G3407" t="s">
        <v>15</v>
      </c>
      <c r="H3407">
        <v>1</v>
      </c>
      <c r="I3407" s="3">
        <v>86.62</v>
      </c>
      <c r="J3407" t="s">
        <v>85</v>
      </c>
      <c r="K3407" t="s">
        <v>35</v>
      </c>
      <c r="L3407" s="4">
        <f>Table4[[#This Row],[quantity]]*Table4[[#This Row],[unit_price]]</f>
        <v>86.62</v>
      </c>
      <c r="M3407">
        <f>COUNTIFS($C$2:$C$3934,Table4[[#This Row],[customer_id]])</f>
        <v>9</v>
      </c>
      <c r="N3407" t="str">
        <f>IF(Table4[[#This Row],[customer_order_count]]=1,"New Customer","Repeat Customer")</f>
        <v>Repeat Customer</v>
      </c>
    </row>
    <row r="3408" spans="1:14">
      <c r="A3408" t="s">
        <v>3783</v>
      </c>
      <c r="B3408" s="1">
        <v>45351</v>
      </c>
      <c r="C3408" t="s">
        <v>144</v>
      </c>
      <c r="D3408" t="s">
        <v>145</v>
      </c>
      <c r="E3408" t="s">
        <v>21</v>
      </c>
      <c r="F3408" t="s">
        <v>56</v>
      </c>
      <c r="G3408" t="s">
        <v>254</v>
      </c>
      <c r="H3408">
        <v>2</v>
      </c>
      <c r="I3408" s="3">
        <v>86.68</v>
      </c>
      <c r="J3408" t="s">
        <v>16</v>
      </c>
      <c r="K3408" s="2" t="s">
        <v>5256</v>
      </c>
      <c r="L3408" s="4">
        <f>Table4[[#This Row],[quantity]]*Table4[[#This Row],[unit_price]]</f>
        <v>173.36</v>
      </c>
      <c r="M3408">
        <f>COUNTIFS($C$2:$C$3934,Table4[[#This Row],[customer_id]])</f>
        <v>4</v>
      </c>
      <c r="N3408" t="str">
        <f>IF(Table4[[#This Row],[customer_order_count]]=1,"New Customer","Repeat Customer")</f>
        <v>Repeat Customer</v>
      </c>
    </row>
    <row r="3409" spans="1:14">
      <c r="A3409" t="s">
        <v>2934</v>
      </c>
      <c r="B3409" s="1">
        <v>45101</v>
      </c>
      <c r="C3409" t="s">
        <v>796</v>
      </c>
      <c r="D3409" t="s">
        <v>797</v>
      </c>
      <c r="E3409" t="s">
        <v>21</v>
      </c>
      <c r="F3409" t="s">
        <v>14</v>
      </c>
      <c r="G3409" t="s">
        <v>39</v>
      </c>
      <c r="H3409">
        <v>2</v>
      </c>
      <c r="I3409" s="3">
        <v>86.72</v>
      </c>
      <c r="J3409" t="s">
        <v>24</v>
      </c>
      <c r="K3409" s="5" t="s">
        <v>40</v>
      </c>
      <c r="L3409" s="4">
        <f>Table4[[#This Row],[quantity]]*Table4[[#This Row],[unit_price]]</f>
        <v>173.44</v>
      </c>
      <c r="M3409">
        <f>COUNTIFS($C$2:$C$3934,Table4[[#This Row],[customer_id]])</f>
        <v>6</v>
      </c>
      <c r="N3409" t="str">
        <f>IF(Table4[[#This Row],[customer_order_count]]=1,"New Customer","Repeat Customer")</f>
        <v>Repeat Customer</v>
      </c>
    </row>
    <row r="3410" spans="1:14">
      <c r="A3410" t="s">
        <v>3033</v>
      </c>
      <c r="B3410" s="1">
        <v>45061</v>
      </c>
      <c r="C3410" t="s">
        <v>3034</v>
      </c>
      <c r="D3410" t="s">
        <v>854</v>
      </c>
      <c r="E3410" t="s">
        <v>106</v>
      </c>
      <c r="F3410" t="s">
        <v>14</v>
      </c>
      <c r="G3410" t="s">
        <v>62</v>
      </c>
      <c r="H3410">
        <v>1</v>
      </c>
      <c r="I3410" s="3">
        <v>86.76</v>
      </c>
      <c r="J3410" t="s">
        <v>16</v>
      </c>
      <c r="K3410" t="s">
        <v>17</v>
      </c>
      <c r="L3410" s="4">
        <f>Table4[[#This Row],[quantity]]*Table4[[#This Row],[unit_price]]</f>
        <v>86.76</v>
      </c>
      <c r="M3410">
        <f>COUNTIFS($C$2:$C$3934,Table4[[#This Row],[customer_id]])</f>
        <v>1</v>
      </c>
      <c r="N3410" t="str">
        <f>IF(Table4[[#This Row],[customer_order_count]]=1,"New Customer","Repeat Customer")</f>
        <v>New Customer</v>
      </c>
    </row>
    <row r="3411" spans="1:14">
      <c r="A3411" t="s">
        <v>1555</v>
      </c>
      <c r="B3411" s="1">
        <v>45349</v>
      </c>
      <c r="C3411" t="s">
        <v>796</v>
      </c>
      <c r="D3411" t="s">
        <v>797</v>
      </c>
      <c r="E3411" t="s">
        <v>21</v>
      </c>
      <c r="F3411" t="s">
        <v>14</v>
      </c>
      <c r="G3411" t="s">
        <v>62</v>
      </c>
      <c r="H3411">
        <v>1</v>
      </c>
      <c r="I3411" s="3">
        <v>86.84</v>
      </c>
      <c r="J3411" t="s">
        <v>16</v>
      </c>
      <c r="K3411" t="s">
        <v>35</v>
      </c>
      <c r="L3411" s="4">
        <f>Table4[[#This Row],[quantity]]*Table4[[#This Row],[unit_price]]</f>
        <v>86.84</v>
      </c>
      <c r="M3411">
        <f>COUNTIFS($C$2:$C$3934,Table4[[#This Row],[customer_id]])</f>
        <v>6</v>
      </c>
      <c r="N3411" t="str">
        <f>IF(Table4[[#This Row],[customer_order_count]]=1,"New Customer","Repeat Customer")</f>
        <v>Repeat Customer</v>
      </c>
    </row>
    <row r="3412" spans="1:14">
      <c r="A3412" t="s">
        <v>1037</v>
      </c>
      <c r="B3412" s="1">
        <v>45583</v>
      </c>
      <c r="C3412" t="s">
        <v>183</v>
      </c>
      <c r="D3412" t="s">
        <v>857</v>
      </c>
      <c r="E3412" t="s">
        <v>21</v>
      </c>
      <c r="F3412" t="s">
        <v>56</v>
      </c>
      <c r="G3412" t="s">
        <v>210</v>
      </c>
      <c r="H3412">
        <v>1</v>
      </c>
      <c r="I3412" s="3">
        <v>86.87</v>
      </c>
      <c r="J3412" t="s">
        <v>16</v>
      </c>
      <c r="K3412" t="s">
        <v>40</v>
      </c>
      <c r="L3412" s="4">
        <f>Table4[[#This Row],[quantity]]*Table4[[#This Row],[unit_price]]</f>
        <v>86.87</v>
      </c>
      <c r="M3412">
        <f>COUNTIFS($C$2:$C$3934,Table4[[#This Row],[customer_id]])</f>
        <v>7</v>
      </c>
      <c r="N3412" t="str">
        <f>IF(Table4[[#This Row],[customer_order_count]]=1,"New Customer","Repeat Customer")</f>
        <v>Repeat Customer</v>
      </c>
    </row>
    <row r="3413" spans="1:14">
      <c r="A3413" t="s">
        <v>3103</v>
      </c>
      <c r="B3413" s="1">
        <v>45305</v>
      </c>
      <c r="C3413" t="s">
        <v>393</v>
      </c>
      <c r="D3413" t="s">
        <v>33</v>
      </c>
      <c r="E3413" t="s">
        <v>61</v>
      </c>
      <c r="F3413" t="s">
        <v>56</v>
      </c>
      <c r="G3413" t="s">
        <v>57</v>
      </c>
      <c r="H3413">
        <v>2</v>
      </c>
      <c r="I3413" s="3">
        <v>86.91</v>
      </c>
      <c r="J3413" t="s">
        <v>16</v>
      </c>
      <c r="K3413" t="s">
        <v>17</v>
      </c>
      <c r="L3413" s="4">
        <f>Table4[[#This Row],[quantity]]*Table4[[#This Row],[unit_price]]</f>
        <v>173.82</v>
      </c>
      <c r="M3413">
        <f>COUNTIFS($C$2:$C$3934,Table4[[#This Row],[customer_id]])</f>
        <v>3</v>
      </c>
      <c r="N3413" t="str">
        <f>IF(Table4[[#This Row],[customer_order_count]]=1,"New Customer","Repeat Customer")</f>
        <v>Repeat Customer</v>
      </c>
    </row>
    <row r="3414" spans="1:14">
      <c r="A3414" t="s">
        <v>1273</v>
      </c>
      <c r="B3414" s="1">
        <v>45357</v>
      </c>
      <c r="C3414" t="s">
        <v>1274</v>
      </c>
      <c r="D3414" t="s">
        <v>535</v>
      </c>
      <c r="E3414" t="s">
        <v>44</v>
      </c>
      <c r="F3414" t="s">
        <v>56</v>
      </c>
      <c r="G3414" t="s">
        <v>210</v>
      </c>
      <c r="H3414">
        <v>1</v>
      </c>
      <c r="I3414" s="3">
        <v>87.02</v>
      </c>
      <c r="J3414" t="s">
        <v>16</v>
      </c>
      <c r="K3414" t="s">
        <v>17</v>
      </c>
      <c r="L3414" s="4">
        <f>Table4[[#This Row],[quantity]]*Table4[[#This Row],[unit_price]]</f>
        <v>87.02</v>
      </c>
      <c r="M3414">
        <f>COUNTIFS($C$2:$C$3934,Table4[[#This Row],[customer_id]])</f>
        <v>3</v>
      </c>
      <c r="N3414" t="str">
        <f>IF(Table4[[#This Row],[customer_order_count]]=1,"New Customer","Repeat Customer")</f>
        <v>Repeat Customer</v>
      </c>
    </row>
    <row r="3415" spans="1:14">
      <c r="A3415" t="s">
        <v>4070</v>
      </c>
      <c r="B3415" s="1">
        <v>45067</v>
      </c>
      <c r="C3415" t="s">
        <v>2037</v>
      </c>
      <c r="D3415" s="2" t="s">
        <v>5257</v>
      </c>
      <c r="E3415" t="s">
        <v>21</v>
      </c>
      <c r="F3415" t="s">
        <v>56</v>
      </c>
      <c r="G3415" t="s">
        <v>422</v>
      </c>
      <c r="H3415">
        <v>2</v>
      </c>
      <c r="I3415" s="3">
        <v>87.02</v>
      </c>
      <c r="J3415" t="s">
        <v>16</v>
      </c>
      <c r="K3415" t="s">
        <v>35</v>
      </c>
      <c r="L3415" s="4">
        <f>Table4[[#This Row],[quantity]]*Table4[[#This Row],[unit_price]]</f>
        <v>174.04</v>
      </c>
      <c r="M3415">
        <f>COUNTIFS($C$2:$C$3934,Table4[[#This Row],[customer_id]])</f>
        <v>5</v>
      </c>
      <c r="N3415" t="str">
        <f>IF(Table4[[#This Row],[customer_order_count]]=1,"New Customer","Repeat Customer")</f>
        <v>Repeat Customer</v>
      </c>
    </row>
    <row r="3416" spans="1:14">
      <c r="A3416" t="s">
        <v>3749</v>
      </c>
      <c r="B3416" s="1">
        <v>45351</v>
      </c>
      <c r="C3416" t="s">
        <v>446</v>
      </c>
      <c r="D3416" s="5" t="s">
        <v>117</v>
      </c>
      <c r="E3416" t="s">
        <v>44</v>
      </c>
      <c r="F3416" t="s">
        <v>14</v>
      </c>
      <c r="G3416" t="s">
        <v>39</v>
      </c>
      <c r="H3416">
        <v>2</v>
      </c>
      <c r="I3416" s="3">
        <v>87.02</v>
      </c>
      <c r="J3416" t="s">
        <v>16</v>
      </c>
      <c r="K3416" t="s">
        <v>40</v>
      </c>
      <c r="L3416" s="4">
        <f>Table4[[#This Row],[quantity]]*Table4[[#This Row],[unit_price]]</f>
        <v>174.04</v>
      </c>
      <c r="M3416">
        <f>COUNTIFS($C$2:$C$3934,Table4[[#This Row],[customer_id]])</f>
        <v>3</v>
      </c>
      <c r="N3416" t="str">
        <f>IF(Table4[[#This Row],[customer_order_count]]=1,"New Customer","Repeat Customer")</f>
        <v>Repeat Customer</v>
      </c>
    </row>
    <row r="3417" spans="1:14">
      <c r="A3417" t="s">
        <v>2429</v>
      </c>
      <c r="B3417" s="1">
        <v>45359</v>
      </c>
      <c r="C3417" t="s">
        <v>2219</v>
      </c>
      <c r="D3417" t="s">
        <v>414</v>
      </c>
      <c r="E3417" t="s">
        <v>44</v>
      </c>
      <c r="F3417" t="s">
        <v>79</v>
      </c>
      <c r="G3417" t="s">
        <v>80</v>
      </c>
      <c r="H3417">
        <v>5</v>
      </c>
      <c r="I3417" s="3">
        <v>87.03</v>
      </c>
      <c r="J3417" t="s">
        <v>16</v>
      </c>
      <c r="K3417" t="s">
        <v>17</v>
      </c>
      <c r="L3417" s="4">
        <f>Table4[[#This Row],[quantity]]*Table4[[#This Row],[unit_price]]</f>
        <v>435.15</v>
      </c>
      <c r="M3417">
        <f>COUNTIFS($C$2:$C$3934,Table4[[#This Row],[customer_id]])</f>
        <v>4</v>
      </c>
      <c r="N3417" t="str">
        <f>IF(Table4[[#This Row],[customer_order_count]]=1,"New Customer","Repeat Customer")</f>
        <v>Repeat Customer</v>
      </c>
    </row>
    <row r="3418" spans="1:14">
      <c r="A3418" t="s">
        <v>4648</v>
      </c>
      <c r="B3418" s="1">
        <v>45214</v>
      </c>
      <c r="C3418" t="s">
        <v>1325</v>
      </c>
      <c r="D3418" t="s">
        <v>693</v>
      </c>
      <c r="E3418" t="s">
        <v>21</v>
      </c>
      <c r="F3418" t="s">
        <v>56</v>
      </c>
      <c r="G3418" t="s">
        <v>118</v>
      </c>
      <c r="H3418">
        <v>2</v>
      </c>
      <c r="I3418" s="3">
        <v>87.04</v>
      </c>
      <c r="J3418" t="s">
        <v>16</v>
      </c>
      <c r="K3418" t="s">
        <v>35</v>
      </c>
      <c r="L3418" s="4">
        <f>Table4[[#This Row],[quantity]]*Table4[[#This Row],[unit_price]]</f>
        <v>174.08</v>
      </c>
      <c r="M3418">
        <f>COUNTIFS($C$2:$C$3934,Table4[[#This Row],[customer_id]])</f>
        <v>5</v>
      </c>
      <c r="N3418" t="str">
        <f>IF(Table4[[#This Row],[customer_order_count]]=1,"New Customer","Repeat Customer")</f>
        <v>Repeat Customer</v>
      </c>
    </row>
    <row r="3419" spans="1:14">
      <c r="A3419" t="s">
        <v>5098</v>
      </c>
      <c r="B3419" s="1">
        <v>45273</v>
      </c>
      <c r="C3419" t="s">
        <v>1522</v>
      </c>
      <c r="D3419" t="s">
        <v>1523</v>
      </c>
      <c r="E3419" t="s">
        <v>21</v>
      </c>
      <c r="F3419" t="s">
        <v>14</v>
      </c>
      <c r="G3419" t="s">
        <v>34</v>
      </c>
      <c r="H3419">
        <v>1</v>
      </c>
      <c r="I3419" s="3">
        <v>87.06</v>
      </c>
      <c r="J3419" t="s">
        <v>16</v>
      </c>
      <c r="K3419" t="s">
        <v>30</v>
      </c>
      <c r="L3419" s="4">
        <f>Table4[[#This Row],[quantity]]*Table4[[#This Row],[unit_price]]</f>
        <v>87.06</v>
      </c>
      <c r="M3419">
        <f>COUNTIFS($C$2:$C$3934,Table4[[#This Row],[customer_id]])</f>
        <v>11</v>
      </c>
      <c r="N3419" t="str">
        <f>IF(Table4[[#This Row],[customer_order_count]]=1,"New Customer","Repeat Customer")</f>
        <v>Repeat Customer</v>
      </c>
    </row>
    <row r="3420" spans="1:14">
      <c r="A3420" t="s">
        <v>3182</v>
      </c>
      <c r="B3420" s="1">
        <v>44941</v>
      </c>
      <c r="C3420" t="s">
        <v>177</v>
      </c>
      <c r="D3420" t="s">
        <v>178</v>
      </c>
      <c r="E3420" t="s">
        <v>21</v>
      </c>
      <c r="F3420" t="s">
        <v>14</v>
      </c>
      <c r="G3420" t="s">
        <v>15</v>
      </c>
      <c r="H3420">
        <v>1</v>
      </c>
      <c r="I3420" s="3">
        <v>87.11</v>
      </c>
      <c r="J3420" t="s">
        <v>16</v>
      </c>
      <c r="K3420" t="s">
        <v>35</v>
      </c>
      <c r="L3420" s="4">
        <f>Table4[[#This Row],[quantity]]*Table4[[#This Row],[unit_price]]</f>
        <v>87.11</v>
      </c>
      <c r="M3420">
        <f>COUNTIFS($C$2:$C$3934,Table4[[#This Row],[customer_id]])</f>
        <v>6</v>
      </c>
      <c r="N3420" t="str">
        <f>IF(Table4[[#This Row],[customer_order_count]]=1,"New Customer","Repeat Customer")</f>
        <v>Repeat Customer</v>
      </c>
    </row>
    <row r="3421" spans="1:14">
      <c r="A3421" t="s">
        <v>2910</v>
      </c>
      <c r="B3421" s="1">
        <v>45530</v>
      </c>
      <c r="C3421" t="s">
        <v>2288</v>
      </c>
      <c r="D3421" t="s">
        <v>740</v>
      </c>
      <c r="E3421" t="s">
        <v>21</v>
      </c>
      <c r="F3421" t="s">
        <v>14</v>
      </c>
      <c r="G3421" t="s">
        <v>100</v>
      </c>
      <c r="H3421">
        <v>4</v>
      </c>
      <c r="I3421" s="3">
        <v>87.15</v>
      </c>
      <c r="J3421" t="s">
        <v>16</v>
      </c>
      <c r="K3421" t="s">
        <v>40</v>
      </c>
      <c r="L3421" s="4">
        <f>Table4[[#This Row],[quantity]]*Table4[[#This Row],[unit_price]]</f>
        <v>348.6</v>
      </c>
      <c r="M3421">
        <f>COUNTIFS($C$2:$C$3934,Table4[[#This Row],[customer_id]])</f>
        <v>5</v>
      </c>
      <c r="N3421" t="str">
        <f>IF(Table4[[#This Row],[customer_order_count]]=1,"New Customer","Repeat Customer")</f>
        <v>Repeat Customer</v>
      </c>
    </row>
    <row r="3422" spans="1:14">
      <c r="A3422" t="s">
        <v>3630</v>
      </c>
      <c r="B3422" s="1">
        <v>45306</v>
      </c>
      <c r="C3422" t="s">
        <v>1842</v>
      </c>
      <c r="D3422" t="s">
        <v>496</v>
      </c>
      <c r="E3422" t="s">
        <v>44</v>
      </c>
      <c r="F3422" t="s">
        <v>56</v>
      </c>
      <c r="G3422" t="s">
        <v>153</v>
      </c>
      <c r="H3422">
        <v>1</v>
      </c>
      <c r="I3422" s="3">
        <v>87.2</v>
      </c>
      <c r="J3422" t="s">
        <v>85</v>
      </c>
      <c r="K3422" t="s">
        <v>35</v>
      </c>
      <c r="L3422" s="4">
        <f>Table4[[#This Row],[quantity]]*Table4[[#This Row],[unit_price]]</f>
        <v>87.2</v>
      </c>
      <c r="M3422">
        <f>COUNTIFS($C$2:$C$3934,Table4[[#This Row],[customer_id]])</f>
        <v>7</v>
      </c>
      <c r="N3422" t="str">
        <f>IF(Table4[[#This Row],[customer_order_count]]=1,"New Customer","Repeat Customer")</f>
        <v>Repeat Customer</v>
      </c>
    </row>
    <row r="3423" spans="1:14">
      <c r="A3423" t="s">
        <v>259</v>
      </c>
      <c r="B3423" s="1">
        <v>45426</v>
      </c>
      <c r="C3423" t="s">
        <v>260</v>
      </c>
      <c r="D3423" t="s">
        <v>261</v>
      </c>
      <c r="E3423" t="s">
        <v>44</v>
      </c>
      <c r="F3423" t="s">
        <v>14</v>
      </c>
      <c r="G3423" t="s">
        <v>100</v>
      </c>
      <c r="H3423">
        <v>1</v>
      </c>
      <c r="I3423" s="3">
        <v>87.22</v>
      </c>
      <c r="J3423" t="s">
        <v>16</v>
      </c>
      <c r="K3423" t="s">
        <v>17</v>
      </c>
      <c r="L3423" s="4">
        <f>Table4[[#This Row],[quantity]]*Table4[[#This Row],[unit_price]]</f>
        <v>87.22</v>
      </c>
      <c r="M3423">
        <f>COUNTIFS($C$2:$C$3934,Table4[[#This Row],[customer_id]])</f>
        <v>7</v>
      </c>
      <c r="N3423" t="str">
        <f>IF(Table4[[#This Row],[customer_order_count]]=1,"New Customer","Repeat Customer")</f>
        <v>Repeat Customer</v>
      </c>
    </row>
    <row r="3424" spans="1:14">
      <c r="A3424" t="s">
        <v>4100</v>
      </c>
      <c r="B3424" s="1">
        <v>44958</v>
      </c>
      <c r="C3424" t="s">
        <v>1404</v>
      </c>
      <c r="D3424" t="s">
        <v>145</v>
      </c>
      <c r="E3424" t="s">
        <v>44</v>
      </c>
      <c r="F3424" t="s">
        <v>56</v>
      </c>
      <c r="G3424" t="s">
        <v>75</v>
      </c>
      <c r="H3424">
        <v>1</v>
      </c>
      <c r="I3424" s="3">
        <v>87.29</v>
      </c>
      <c r="J3424" t="s">
        <v>16</v>
      </c>
      <c r="K3424" t="s">
        <v>17</v>
      </c>
      <c r="L3424" s="4">
        <f>Table4[[#This Row],[quantity]]*Table4[[#This Row],[unit_price]]</f>
        <v>87.29</v>
      </c>
      <c r="M3424">
        <f>COUNTIFS($C$2:$C$3934,Table4[[#This Row],[customer_id]])</f>
        <v>6</v>
      </c>
      <c r="N3424" t="str">
        <f>IF(Table4[[#This Row],[customer_order_count]]=1,"New Customer","Repeat Customer")</f>
        <v>Repeat Customer</v>
      </c>
    </row>
    <row r="3425" spans="1:14">
      <c r="A3425" t="s">
        <v>4450</v>
      </c>
      <c r="B3425" s="1">
        <v>45099</v>
      </c>
      <c r="C3425" t="s">
        <v>1271</v>
      </c>
      <c r="D3425" t="s">
        <v>1272</v>
      </c>
      <c r="E3425" t="s">
        <v>21</v>
      </c>
      <c r="F3425" t="s">
        <v>14</v>
      </c>
      <c r="G3425" t="s">
        <v>62</v>
      </c>
      <c r="H3425">
        <v>1</v>
      </c>
      <c r="I3425" s="3">
        <v>87.39</v>
      </c>
      <c r="J3425" t="s">
        <v>16</v>
      </c>
      <c r="K3425" t="s">
        <v>17</v>
      </c>
      <c r="L3425" s="4">
        <f>Table4[[#This Row],[quantity]]*Table4[[#This Row],[unit_price]]</f>
        <v>87.39</v>
      </c>
      <c r="M3425">
        <f>COUNTIFS($C$2:$C$3934,Table4[[#This Row],[customer_id]])</f>
        <v>6</v>
      </c>
      <c r="N3425" t="str">
        <f>IF(Table4[[#This Row],[customer_order_count]]=1,"New Customer","Repeat Customer")</f>
        <v>Repeat Customer</v>
      </c>
    </row>
    <row r="3426" spans="1:14">
      <c r="A3426" t="s">
        <v>2488</v>
      </c>
      <c r="B3426" s="1">
        <v>44930</v>
      </c>
      <c r="C3426" t="s">
        <v>268</v>
      </c>
      <c r="D3426" t="s">
        <v>269</v>
      </c>
      <c r="E3426" t="s">
        <v>21</v>
      </c>
      <c r="F3426" t="s">
        <v>79</v>
      </c>
      <c r="G3426" t="s">
        <v>80</v>
      </c>
      <c r="H3426">
        <v>2</v>
      </c>
      <c r="I3426" s="3">
        <v>87.41</v>
      </c>
      <c r="J3426" t="s">
        <v>85</v>
      </c>
      <c r="K3426" t="s">
        <v>40</v>
      </c>
      <c r="L3426" s="4">
        <f>Table4[[#This Row],[quantity]]*Table4[[#This Row],[unit_price]]</f>
        <v>174.82</v>
      </c>
      <c r="M3426">
        <f>COUNTIFS($C$2:$C$3934,Table4[[#This Row],[customer_id]])</f>
        <v>4</v>
      </c>
      <c r="N3426" t="str">
        <f>IF(Table4[[#This Row],[customer_order_count]]=1,"New Customer","Repeat Customer")</f>
        <v>Repeat Customer</v>
      </c>
    </row>
    <row r="3427" spans="1:14">
      <c r="A3427" t="s">
        <v>2143</v>
      </c>
      <c r="B3427" s="1">
        <v>45633</v>
      </c>
      <c r="C3427" t="s">
        <v>2144</v>
      </c>
      <c r="D3427" t="s">
        <v>27</v>
      </c>
      <c r="E3427" t="s">
        <v>21</v>
      </c>
      <c r="F3427" t="s">
        <v>79</v>
      </c>
      <c r="G3427" t="s">
        <v>166</v>
      </c>
      <c r="H3427">
        <v>3</v>
      </c>
      <c r="I3427" s="3">
        <v>87.41</v>
      </c>
      <c r="J3427" t="s">
        <v>16</v>
      </c>
      <c r="K3427" t="s">
        <v>17</v>
      </c>
      <c r="L3427" s="4">
        <f>Table4[[#This Row],[quantity]]*Table4[[#This Row],[unit_price]]</f>
        <v>262.23</v>
      </c>
      <c r="M3427">
        <f>COUNTIFS($C$2:$C$3934,Table4[[#This Row],[customer_id]])</f>
        <v>10</v>
      </c>
      <c r="N3427" t="str">
        <f>IF(Table4[[#This Row],[customer_order_count]]=1,"New Customer","Repeat Customer")</f>
        <v>Repeat Customer</v>
      </c>
    </row>
    <row r="3428" spans="1:14">
      <c r="A3428" t="s">
        <v>2626</v>
      </c>
      <c r="B3428" s="1">
        <v>45163</v>
      </c>
      <c r="C3428" t="s">
        <v>683</v>
      </c>
      <c r="D3428" t="s">
        <v>684</v>
      </c>
      <c r="E3428" t="s">
        <v>44</v>
      </c>
      <c r="F3428" t="s">
        <v>79</v>
      </c>
      <c r="G3428" t="s">
        <v>541</v>
      </c>
      <c r="H3428">
        <v>1</v>
      </c>
      <c r="I3428" s="3">
        <v>87.44</v>
      </c>
      <c r="J3428" t="s">
        <v>16</v>
      </c>
      <c r="K3428" t="s">
        <v>35</v>
      </c>
      <c r="L3428" s="4">
        <f>Table4[[#This Row],[quantity]]*Table4[[#This Row],[unit_price]]</f>
        <v>87.44</v>
      </c>
      <c r="M3428">
        <f>COUNTIFS($C$2:$C$3934,Table4[[#This Row],[customer_id]])</f>
        <v>4</v>
      </c>
      <c r="N3428" t="str">
        <f>IF(Table4[[#This Row],[customer_order_count]]=1,"New Customer","Repeat Customer")</f>
        <v>Repeat Customer</v>
      </c>
    </row>
    <row r="3429" spans="1:14">
      <c r="A3429" t="s">
        <v>5029</v>
      </c>
      <c r="B3429" s="1">
        <v>45304</v>
      </c>
      <c r="C3429" t="s">
        <v>2355</v>
      </c>
      <c r="D3429" t="s">
        <v>2356</v>
      </c>
      <c r="E3429" t="s">
        <v>44</v>
      </c>
      <c r="F3429" t="s">
        <v>79</v>
      </c>
      <c r="G3429" t="s">
        <v>398</v>
      </c>
      <c r="H3429">
        <v>2</v>
      </c>
      <c r="I3429" s="3">
        <v>87.44</v>
      </c>
      <c r="J3429" t="s">
        <v>16</v>
      </c>
      <c r="K3429" t="s">
        <v>40</v>
      </c>
      <c r="L3429" s="4">
        <f>Table4[[#This Row],[quantity]]*Table4[[#This Row],[unit_price]]</f>
        <v>174.88</v>
      </c>
      <c r="M3429">
        <f>COUNTIFS($C$2:$C$3934,Table4[[#This Row],[customer_id]])</f>
        <v>4</v>
      </c>
      <c r="N3429" t="str">
        <f>IF(Table4[[#This Row],[customer_order_count]]=1,"New Customer","Repeat Customer")</f>
        <v>Repeat Customer</v>
      </c>
    </row>
    <row r="3430" spans="1:14">
      <c r="A3430" t="s">
        <v>2095</v>
      </c>
      <c r="B3430" s="1">
        <v>45318</v>
      </c>
      <c r="C3430" t="s">
        <v>458</v>
      </c>
      <c r="D3430" t="s">
        <v>459</v>
      </c>
      <c r="E3430" t="s">
        <v>21</v>
      </c>
      <c r="F3430" t="s">
        <v>56</v>
      </c>
      <c r="G3430" t="s">
        <v>57</v>
      </c>
      <c r="H3430">
        <v>1</v>
      </c>
      <c r="I3430" s="3">
        <v>87.45</v>
      </c>
      <c r="J3430" t="s">
        <v>85</v>
      </c>
      <c r="K3430" t="s">
        <v>17</v>
      </c>
      <c r="L3430" s="4">
        <f>Table4[[#This Row],[quantity]]*Table4[[#This Row],[unit_price]]</f>
        <v>87.45</v>
      </c>
      <c r="M3430">
        <f>COUNTIFS($C$2:$C$3934,Table4[[#This Row],[customer_id]])</f>
        <v>4</v>
      </c>
      <c r="N3430" t="str">
        <f>IF(Table4[[#This Row],[customer_order_count]]=1,"New Customer","Repeat Customer")</f>
        <v>Repeat Customer</v>
      </c>
    </row>
    <row r="3431" spans="1:14">
      <c r="A3431" t="s">
        <v>4388</v>
      </c>
      <c r="B3431" s="1">
        <v>45091</v>
      </c>
      <c r="C3431" t="s">
        <v>937</v>
      </c>
      <c r="D3431" t="s">
        <v>566</v>
      </c>
      <c r="E3431" t="s">
        <v>21</v>
      </c>
      <c r="F3431" t="s">
        <v>56</v>
      </c>
      <c r="G3431" t="s">
        <v>153</v>
      </c>
      <c r="H3431">
        <v>2</v>
      </c>
      <c r="I3431" s="3">
        <v>87.51</v>
      </c>
      <c r="J3431" t="s">
        <v>255</v>
      </c>
      <c r="K3431" t="s">
        <v>35</v>
      </c>
      <c r="L3431" s="4">
        <f>Table4[[#This Row],[quantity]]*Table4[[#This Row],[unit_price]]</f>
        <v>175.02</v>
      </c>
      <c r="M3431">
        <f>COUNTIFS($C$2:$C$3934,Table4[[#This Row],[customer_id]])</f>
        <v>7</v>
      </c>
      <c r="N3431" t="str">
        <f>IF(Table4[[#This Row],[customer_order_count]]=1,"New Customer","Repeat Customer")</f>
        <v>Repeat Customer</v>
      </c>
    </row>
    <row r="3432" spans="1:14">
      <c r="A3432" t="s">
        <v>2445</v>
      </c>
      <c r="B3432" s="1">
        <v>44938</v>
      </c>
      <c r="C3432" t="s">
        <v>1814</v>
      </c>
      <c r="D3432" t="s">
        <v>1453</v>
      </c>
      <c r="E3432" t="s">
        <v>21</v>
      </c>
      <c r="F3432" t="s">
        <v>14</v>
      </c>
      <c r="G3432" t="s">
        <v>34</v>
      </c>
      <c r="H3432">
        <v>1</v>
      </c>
      <c r="I3432" s="3">
        <v>87.54</v>
      </c>
      <c r="J3432" t="s">
        <v>16</v>
      </c>
      <c r="K3432" t="s">
        <v>40</v>
      </c>
      <c r="L3432" s="4">
        <f>Table4[[#This Row],[quantity]]*Table4[[#This Row],[unit_price]]</f>
        <v>87.54</v>
      </c>
      <c r="M3432">
        <f>COUNTIFS($C$2:$C$3934,Table4[[#This Row],[customer_id]])</f>
        <v>8</v>
      </c>
      <c r="N3432" t="str">
        <f>IF(Table4[[#This Row],[customer_order_count]]=1,"New Customer","Repeat Customer")</f>
        <v>Repeat Customer</v>
      </c>
    </row>
    <row r="3433" spans="1:14">
      <c r="A3433" t="s">
        <v>2595</v>
      </c>
      <c r="B3433" s="1">
        <v>45005</v>
      </c>
      <c r="C3433" t="s">
        <v>382</v>
      </c>
      <c r="D3433" t="s">
        <v>383</v>
      </c>
      <c r="E3433" t="s">
        <v>21</v>
      </c>
      <c r="F3433" t="s">
        <v>14</v>
      </c>
      <c r="G3433" t="s">
        <v>62</v>
      </c>
      <c r="H3433">
        <v>3</v>
      </c>
      <c r="I3433" s="3">
        <v>87.66</v>
      </c>
      <c r="J3433" t="s">
        <v>16</v>
      </c>
      <c r="K3433" t="s">
        <v>35</v>
      </c>
      <c r="L3433" s="4">
        <f>Table4[[#This Row],[quantity]]*Table4[[#This Row],[unit_price]]</f>
        <v>262.98</v>
      </c>
      <c r="M3433">
        <f>COUNTIFS($C$2:$C$3934,Table4[[#This Row],[customer_id]])</f>
        <v>6</v>
      </c>
      <c r="N3433" t="str">
        <f>IF(Table4[[#This Row],[customer_order_count]]=1,"New Customer","Repeat Customer")</f>
        <v>Repeat Customer</v>
      </c>
    </row>
    <row r="3434" spans="1:14">
      <c r="A3434" t="s">
        <v>1534</v>
      </c>
      <c r="B3434" s="1">
        <v>44959</v>
      </c>
      <c r="C3434" t="s">
        <v>1535</v>
      </c>
      <c r="D3434" t="s">
        <v>1264</v>
      </c>
      <c r="E3434" t="s">
        <v>21</v>
      </c>
      <c r="F3434" t="s">
        <v>14</v>
      </c>
      <c r="G3434" t="s">
        <v>34</v>
      </c>
      <c r="H3434">
        <v>4</v>
      </c>
      <c r="I3434" s="3">
        <v>87.68</v>
      </c>
      <c r="J3434" t="s">
        <v>16</v>
      </c>
      <c r="K3434" t="s">
        <v>17</v>
      </c>
      <c r="L3434" s="4">
        <f>Table4[[#This Row],[quantity]]*Table4[[#This Row],[unit_price]]</f>
        <v>350.72</v>
      </c>
      <c r="M3434">
        <f>COUNTIFS($C$2:$C$3934,Table4[[#This Row],[customer_id]])</f>
        <v>3</v>
      </c>
      <c r="N3434" t="str">
        <f>IF(Table4[[#This Row],[customer_order_count]]=1,"New Customer","Repeat Customer")</f>
        <v>Repeat Customer</v>
      </c>
    </row>
    <row r="3435" spans="1:14">
      <c r="A3435" t="s">
        <v>4014</v>
      </c>
      <c r="B3435" s="1">
        <v>44968</v>
      </c>
      <c r="C3435" t="s">
        <v>172</v>
      </c>
      <c r="D3435" t="s">
        <v>173</v>
      </c>
      <c r="E3435" t="s">
        <v>61</v>
      </c>
      <c r="F3435" t="s">
        <v>56</v>
      </c>
      <c r="G3435" t="s">
        <v>57</v>
      </c>
      <c r="H3435">
        <v>4</v>
      </c>
      <c r="I3435" s="3">
        <v>87.86</v>
      </c>
      <c r="J3435" t="s">
        <v>255</v>
      </c>
      <c r="K3435" t="s">
        <v>40</v>
      </c>
      <c r="L3435" s="4">
        <f>Table4[[#This Row],[quantity]]*Table4[[#This Row],[unit_price]]</f>
        <v>351.44</v>
      </c>
      <c r="M3435">
        <f>COUNTIFS($C$2:$C$3934,Table4[[#This Row],[customer_id]])</f>
        <v>3</v>
      </c>
      <c r="N3435" t="str">
        <f>IF(Table4[[#This Row],[customer_order_count]]=1,"New Customer","Repeat Customer")</f>
        <v>Repeat Customer</v>
      </c>
    </row>
    <row r="3436" spans="1:14">
      <c r="A3436" t="s">
        <v>2581</v>
      </c>
      <c r="B3436" s="1">
        <v>45566</v>
      </c>
      <c r="C3436" t="s">
        <v>817</v>
      </c>
      <c r="D3436" t="s">
        <v>213</v>
      </c>
      <c r="E3436" t="s">
        <v>21</v>
      </c>
      <c r="F3436" t="s">
        <v>14</v>
      </c>
      <c r="G3436" t="s">
        <v>39</v>
      </c>
      <c r="H3436">
        <v>1</v>
      </c>
      <c r="I3436" s="3">
        <v>88.16</v>
      </c>
      <c r="J3436" t="s">
        <v>16</v>
      </c>
      <c r="K3436" t="s">
        <v>35</v>
      </c>
      <c r="L3436" s="4">
        <f>Table4[[#This Row],[quantity]]*Table4[[#This Row],[unit_price]]</f>
        <v>88.16</v>
      </c>
      <c r="M3436">
        <f>COUNTIFS($C$2:$C$3934,Table4[[#This Row],[customer_id]])</f>
        <v>5</v>
      </c>
      <c r="N3436" t="str">
        <f>IF(Table4[[#This Row],[customer_order_count]]=1,"New Customer","Repeat Customer")</f>
        <v>Repeat Customer</v>
      </c>
    </row>
    <row r="3437" spans="1:14">
      <c r="A3437" t="s">
        <v>3112</v>
      </c>
      <c r="B3437" s="1">
        <v>44929</v>
      </c>
      <c r="C3437" t="s">
        <v>1757</v>
      </c>
      <c r="D3437" t="s">
        <v>1758</v>
      </c>
      <c r="E3437" t="s">
        <v>21</v>
      </c>
      <c r="F3437" t="s">
        <v>56</v>
      </c>
      <c r="G3437" t="s">
        <v>75</v>
      </c>
      <c r="H3437">
        <v>1</v>
      </c>
      <c r="I3437" s="3">
        <v>88.3</v>
      </c>
      <c r="J3437" t="s">
        <v>85</v>
      </c>
      <c r="K3437" t="s">
        <v>30</v>
      </c>
      <c r="L3437" s="4">
        <f>Table4[[#This Row],[quantity]]*Table4[[#This Row],[unit_price]]</f>
        <v>88.3</v>
      </c>
      <c r="M3437">
        <f>COUNTIFS($C$2:$C$3934,Table4[[#This Row],[customer_id]])</f>
        <v>9</v>
      </c>
      <c r="N3437" t="str">
        <f>IF(Table4[[#This Row],[customer_order_count]]=1,"New Customer","Repeat Customer")</f>
        <v>Repeat Customer</v>
      </c>
    </row>
    <row r="3438" spans="1:14">
      <c r="A3438" t="s">
        <v>4048</v>
      </c>
      <c r="B3438" s="1">
        <v>45124</v>
      </c>
      <c r="C3438" t="s">
        <v>1903</v>
      </c>
      <c r="D3438" t="s">
        <v>646</v>
      </c>
      <c r="E3438" t="s">
        <v>21</v>
      </c>
      <c r="F3438" t="s">
        <v>14</v>
      </c>
      <c r="G3438" t="s">
        <v>15</v>
      </c>
      <c r="H3438">
        <v>2</v>
      </c>
      <c r="I3438" s="3">
        <v>88.38</v>
      </c>
      <c r="J3438" t="s">
        <v>16</v>
      </c>
      <c r="K3438" t="s">
        <v>30</v>
      </c>
      <c r="L3438" s="4">
        <f>Table4[[#This Row],[quantity]]*Table4[[#This Row],[unit_price]]</f>
        <v>176.76</v>
      </c>
      <c r="M3438">
        <f>COUNTIFS($C$2:$C$3934,Table4[[#This Row],[customer_id]])</f>
        <v>4</v>
      </c>
      <c r="N3438" t="str">
        <f>IF(Table4[[#This Row],[customer_order_count]]=1,"New Customer","Repeat Customer")</f>
        <v>Repeat Customer</v>
      </c>
    </row>
    <row r="3439" spans="1:14">
      <c r="A3439" t="s">
        <v>4649</v>
      </c>
      <c r="B3439" s="1">
        <v>45657</v>
      </c>
      <c r="C3439" t="s">
        <v>677</v>
      </c>
      <c r="D3439" t="s">
        <v>678</v>
      </c>
      <c r="E3439" t="s">
        <v>44</v>
      </c>
      <c r="F3439" t="s">
        <v>14</v>
      </c>
      <c r="G3439" t="s">
        <v>62</v>
      </c>
      <c r="H3439">
        <v>4</v>
      </c>
      <c r="I3439" s="3">
        <v>88.45</v>
      </c>
      <c r="J3439" t="s">
        <v>16</v>
      </c>
      <c r="K3439" t="s">
        <v>30</v>
      </c>
      <c r="L3439" s="4">
        <f>Table4[[#This Row],[quantity]]*Table4[[#This Row],[unit_price]]</f>
        <v>353.8</v>
      </c>
      <c r="M3439">
        <f>COUNTIFS($C$2:$C$3934,Table4[[#This Row],[customer_id]])</f>
        <v>4</v>
      </c>
      <c r="N3439" t="str">
        <f>IF(Table4[[#This Row],[customer_order_count]]=1,"New Customer","Repeat Customer")</f>
        <v>Repeat Customer</v>
      </c>
    </row>
    <row r="3440" spans="1:14">
      <c r="A3440" t="s">
        <v>539</v>
      </c>
      <c r="B3440" s="1">
        <v>45345</v>
      </c>
      <c r="C3440" t="s">
        <v>540</v>
      </c>
      <c r="D3440" t="s">
        <v>464</v>
      </c>
      <c r="E3440" t="s">
        <v>21</v>
      </c>
      <c r="F3440" t="s">
        <v>79</v>
      </c>
      <c r="G3440" t="s">
        <v>541</v>
      </c>
      <c r="H3440">
        <v>1</v>
      </c>
      <c r="I3440" s="3">
        <v>88.47</v>
      </c>
      <c r="J3440" t="s">
        <v>16</v>
      </c>
      <c r="K3440" t="s">
        <v>35</v>
      </c>
      <c r="L3440" s="4">
        <f>Table4[[#This Row],[quantity]]*Table4[[#This Row],[unit_price]]</f>
        <v>88.47</v>
      </c>
      <c r="M3440">
        <f>COUNTIFS($C$2:$C$3934,Table4[[#This Row],[customer_id]])</f>
        <v>2</v>
      </c>
      <c r="N3440" t="str">
        <f>IF(Table4[[#This Row],[customer_order_count]]=1,"New Customer","Repeat Customer")</f>
        <v>Repeat Customer</v>
      </c>
    </row>
    <row r="3441" spans="1:14">
      <c r="A3441" t="s">
        <v>550</v>
      </c>
      <c r="B3441" s="1">
        <v>45215</v>
      </c>
      <c r="C3441" t="s">
        <v>551</v>
      </c>
      <c r="D3441" t="s">
        <v>220</v>
      </c>
      <c r="E3441" t="s">
        <v>21</v>
      </c>
      <c r="F3441" t="s">
        <v>14</v>
      </c>
      <c r="G3441" t="s">
        <v>100</v>
      </c>
      <c r="H3441">
        <v>2</v>
      </c>
      <c r="I3441" s="3">
        <v>88.48</v>
      </c>
      <c r="J3441" t="s">
        <v>24</v>
      </c>
      <c r="K3441" s="2" t="s">
        <v>5256</v>
      </c>
      <c r="L3441" s="4">
        <f>Table4[[#This Row],[quantity]]*Table4[[#This Row],[unit_price]]</f>
        <v>176.96</v>
      </c>
      <c r="M3441">
        <f>COUNTIFS($C$2:$C$3934,Table4[[#This Row],[customer_id]])</f>
        <v>8</v>
      </c>
      <c r="N3441" t="str">
        <f>IF(Table4[[#This Row],[customer_order_count]]=1,"New Customer","Repeat Customer")</f>
        <v>Repeat Customer</v>
      </c>
    </row>
    <row r="3442" spans="1:14">
      <c r="A3442" t="s">
        <v>4132</v>
      </c>
      <c r="B3442" s="1">
        <v>45580</v>
      </c>
      <c r="C3442" t="s">
        <v>1561</v>
      </c>
      <c r="D3442" t="s">
        <v>60</v>
      </c>
      <c r="E3442" t="s">
        <v>21</v>
      </c>
      <c r="F3442" t="s">
        <v>79</v>
      </c>
      <c r="G3442" t="s">
        <v>398</v>
      </c>
      <c r="H3442">
        <v>2</v>
      </c>
      <c r="I3442" s="3">
        <v>88.66</v>
      </c>
      <c r="J3442" t="s">
        <v>16</v>
      </c>
      <c r="K3442" s="5" t="s">
        <v>35</v>
      </c>
      <c r="L3442" s="4">
        <f>Table4[[#This Row],[quantity]]*Table4[[#This Row],[unit_price]]</f>
        <v>177.32</v>
      </c>
      <c r="M3442">
        <f>COUNTIFS($C$2:$C$3934,Table4[[#This Row],[customer_id]])</f>
        <v>6</v>
      </c>
      <c r="N3442" t="str">
        <f>IF(Table4[[#This Row],[customer_order_count]]=1,"New Customer","Repeat Customer")</f>
        <v>Repeat Customer</v>
      </c>
    </row>
    <row r="3443" spans="1:14">
      <c r="A3443" t="s">
        <v>4720</v>
      </c>
      <c r="B3443" s="1">
        <v>44968</v>
      </c>
      <c r="C3443" t="s">
        <v>402</v>
      </c>
      <c r="D3443" t="s">
        <v>403</v>
      </c>
      <c r="E3443" t="s">
        <v>21</v>
      </c>
      <c r="F3443" t="s">
        <v>14</v>
      </c>
      <c r="G3443" t="s">
        <v>100</v>
      </c>
      <c r="H3443">
        <v>1</v>
      </c>
      <c r="I3443" s="3">
        <v>88.72</v>
      </c>
      <c r="J3443" t="s">
        <v>16</v>
      </c>
      <c r="K3443" t="s">
        <v>40</v>
      </c>
      <c r="L3443" s="4">
        <f>Table4[[#This Row],[quantity]]*Table4[[#This Row],[unit_price]]</f>
        <v>88.72</v>
      </c>
      <c r="M3443">
        <f>COUNTIFS($C$2:$C$3934,Table4[[#This Row],[customer_id]])</f>
        <v>3</v>
      </c>
      <c r="N3443" t="str">
        <f>IF(Table4[[#This Row],[customer_order_count]]=1,"New Customer","Repeat Customer")</f>
        <v>Repeat Customer</v>
      </c>
    </row>
    <row r="3444" spans="1:14">
      <c r="A3444" t="s">
        <v>4495</v>
      </c>
      <c r="B3444" s="1">
        <v>45628</v>
      </c>
      <c r="C3444" t="s">
        <v>596</v>
      </c>
      <c r="D3444" t="s">
        <v>597</v>
      </c>
      <c r="E3444" t="s">
        <v>21</v>
      </c>
      <c r="F3444" t="s">
        <v>79</v>
      </c>
      <c r="G3444" t="s">
        <v>204</v>
      </c>
      <c r="H3444">
        <v>1</v>
      </c>
      <c r="I3444" s="3">
        <v>88.74</v>
      </c>
      <c r="J3444" t="s">
        <v>16</v>
      </c>
      <c r="K3444" t="s">
        <v>35</v>
      </c>
      <c r="L3444" s="4">
        <f>Table4[[#This Row],[quantity]]*Table4[[#This Row],[unit_price]]</f>
        <v>88.74</v>
      </c>
      <c r="M3444">
        <f>COUNTIFS($C$2:$C$3934,Table4[[#This Row],[customer_id]])</f>
        <v>8</v>
      </c>
      <c r="N3444" t="str">
        <f>IF(Table4[[#This Row],[customer_order_count]]=1,"New Customer","Repeat Customer")</f>
        <v>Repeat Customer</v>
      </c>
    </row>
    <row r="3445" spans="1:14">
      <c r="A3445" t="s">
        <v>4023</v>
      </c>
      <c r="B3445" s="1">
        <v>45422</v>
      </c>
      <c r="C3445" t="s">
        <v>810</v>
      </c>
      <c r="D3445" s="2" t="s">
        <v>5257</v>
      </c>
      <c r="E3445" t="s">
        <v>21</v>
      </c>
      <c r="F3445" t="s">
        <v>79</v>
      </c>
      <c r="G3445" t="s">
        <v>398</v>
      </c>
      <c r="H3445">
        <v>2</v>
      </c>
      <c r="I3445" s="3">
        <v>88.75</v>
      </c>
      <c r="J3445" t="s">
        <v>16</v>
      </c>
      <c r="K3445" t="s">
        <v>17</v>
      </c>
      <c r="L3445" s="4">
        <f>Table4[[#This Row],[quantity]]*Table4[[#This Row],[unit_price]]</f>
        <v>177.5</v>
      </c>
      <c r="M3445">
        <f>COUNTIFS($C$2:$C$3934,Table4[[#This Row],[customer_id]])</f>
        <v>7</v>
      </c>
      <c r="N3445" t="str">
        <f>IF(Table4[[#This Row],[customer_order_count]]=1,"New Customer","Repeat Customer")</f>
        <v>Repeat Customer</v>
      </c>
    </row>
    <row r="3446" spans="1:14">
      <c r="A3446" t="s">
        <v>2431</v>
      </c>
      <c r="B3446" s="1">
        <v>45628</v>
      </c>
      <c r="C3446" t="s">
        <v>606</v>
      </c>
      <c r="D3446" s="5" t="s">
        <v>269</v>
      </c>
      <c r="E3446" t="s">
        <v>61</v>
      </c>
      <c r="F3446" t="s">
        <v>14</v>
      </c>
      <c r="G3446" t="s">
        <v>62</v>
      </c>
      <c r="H3446">
        <v>1</v>
      </c>
      <c r="I3446" s="3">
        <v>88.81</v>
      </c>
      <c r="J3446" t="s">
        <v>16</v>
      </c>
      <c r="K3446" t="s">
        <v>35</v>
      </c>
      <c r="L3446" s="4">
        <f>Table4[[#This Row],[quantity]]*Table4[[#This Row],[unit_price]]</f>
        <v>88.81</v>
      </c>
      <c r="M3446">
        <f>COUNTIFS($C$2:$C$3934,Table4[[#This Row],[customer_id]])</f>
        <v>6</v>
      </c>
      <c r="N3446" t="str">
        <f>IF(Table4[[#This Row],[customer_order_count]]=1,"New Customer","Repeat Customer")</f>
        <v>Repeat Customer</v>
      </c>
    </row>
    <row r="3447" spans="1:14">
      <c r="A3447" t="s">
        <v>676</v>
      </c>
      <c r="B3447" s="1">
        <v>45487</v>
      </c>
      <c r="C3447" t="s">
        <v>677</v>
      </c>
      <c r="D3447" t="s">
        <v>678</v>
      </c>
      <c r="E3447" t="s">
        <v>44</v>
      </c>
      <c r="F3447" t="s">
        <v>14</v>
      </c>
      <c r="G3447" t="s">
        <v>100</v>
      </c>
      <c r="H3447">
        <v>1</v>
      </c>
      <c r="I3447" s="3">
        <v>88.9</v>
      </c>
      <c r="J3447" t="s">
        <v>16</v>
      </c>
      <c r="K3447" t="s">
        <v>40</v>
      </c>
      <c r="L3447" s="4">
        <f>Table4[[#This Row],[quantity]]*Table4[[#This Row],[unit_price]]</f>
        <v>88.9</v>
      </c>
      <c r="M3447">
        <f>COUNTIFS($C$2:$C$3934,Table4[[#This Row],[customer_id]])</f>
        <v>4</v>
      </c>
      <c r="N3447" t="str">
        <f>IF(Table4[[#This Row],[customer_order_count]]=1,"New Customer","Repeat Customer")</f>
        <v>Repeat Customer</v>
      </c>
    </row>
    <row r="3448" spans="1:14">
      <c r="A3448" t="s">
        <v>3952</v>
      </c>
      <c r="B3448" s="1">
        <v>45137</v>
      </c>
      <c r="C3448" t="s">
        <v>69</v>
      </c>
      <c r="D3448" t="s">
        <v>820</v>
      </c>
      <c r="E3448" t="s">
        <v>21</v>
      </c>
      <c r="F3448" t="s">
        <v>14</v>
      </c>
      <c r="G3448" t="s">
        <v>100</v>
      </c>
      <c r="H3448">
        <v>1</v>
      </c>
      <c r="I3448" s="3">
        <v>88.93</v>
      </c>
      <c r="J3448" t="s">
        <v>16</v>
      </c>
      <c r="K3448" t="s">
        <v>30</v>
      </c>
      <c r="L3448" s="4">
        <f>Table4[[#This Row],[quantity]]*Table4[[#This Row],[unit_price]]</f>
        <v>88.93</v>
      </c>
      <c r="M3448">
        <f>COUNTIFS($C$2:$C$3934,Table4[[#This Row],[customer_id]])</f>
        <v>8</v>
      </c>
      <c r="N3448" t="str">
        <f>IF(Table4[[#This Row],[customer_order_count]]=1,"New Customer","Repeat Customer")</f>
        <v>Repeat Customer</v>
      </c>
    </row>
    <row r="3449" spans="1:14">
      <c r="A3449" t="s">
        <v>2697</v>
      </c>
      <c r="B3449" s="1">
        <v>45376</v>
      </c>
      <c r="C3449" t="s">
        <v>185</v>
      </c>
      <c r="D3449" t="s">
        <v>186</v>
      </c>
      <c r="E3449" t="s">
        <v>21</v>
      </c>
      <c r="F3449" t="s">
        <v>14</v>
      </c>
      <c r="G3449" t="s">
        <v>34</v>
      </c>
      <c r="H3449">
        <v>1</v>
      </c>
      <c r="I3449" s="3">
        <v>89.04</v>
      </c>
      <c r="J3449" t="s">
        <v>16</v>
      </c>
      <c r="K3449" t="s">
        <v>40</v>
      </c>
      <c r="L3449" s="4">
        <f>Table4[[#This Row],[quantity]]*Table4[[#This Row],[unit_price]]</f>
        <v>89.04</v>
      </c>
      <c r="M3449">
        <f>COUNTIFS($C$2:$C$3934,Table4[[#This Row],[customer_id]])</f>
        <v>4</v>
      </c>
      <c r="N3449" t="str">
        <f>IF(Table4[[#This Row],[customer_order_count]]=1,"New Customer","Repeat Customer")</f>
        <v>Repeat Customer</v>
      </c>
    </row>
    <row r="3450" spans="1:14">
      <c r="A3450" t="s">
        <v>2678</v>
      </c>
      <c r="B3450" s="1">
        <v>45539</v>
      </c>
      <c r="C3450" t="s">
        <v>1624</v>
      </c>
      <c r="D3450" t="s">
        <v>1625</v>
      </c>
      <c r="E3450" t="s">
        <v>21</v>
      </c>
      <c r="F3450" t="s">
        <v>56</v>
      </c>
      <c r="G3450" t="s">
        <v>210</v>
      </c>
      <c r="H3450">
        <v>2</v>
      </c>
      <c r="I3450" s="3">
        <v>89.04</v>
      </c>
      <c r="J3450" t="s">
        <v>16</v>
      </c>
      <c r="K3450" t="s">
        <v>35</v>
      </c>
      <c r="L3450" s="4">
        <f>Table4[[#This Row],[quantity]]*Table4[[#This Row],[unit_price]]</f>
        <v>178.08</v>
      </c>
      <c r="M3450">
        <f>COUNTIFS($C$2:$C$3934,Table4[[#This Row],[customer_id]])</f>
        <v>8</v>
      </c>
      <c r="N3450" t="str">
        <f>IF(Table4[[#This Row],[customer_order_count]]=1,"New Customer","Repeat Customer")</f>
        <v>Repeat Customer</v>
      </c>
    </row>
    <row r="3451" spans="1:14">
      <c r="A3451" t="s">
        <v>3334</v>
      </c>
      <c r="B3451" s="1">
        <v>45225</v>
      </c>
      <c r="C3451" t="s">
        <v>12</v>
      </c>
      <c r="D3451" t="s">
        <v>13</v>
      </c>
      <c r="E3451" t="s">
        <v>21</v>
      </c>
      <c r="F3451" t="s">
        <v>79</v>
      </c>
      <c r="G3451" t="s">
        <v>204</v>
      </c>
      <c r="H3451">
        <v>1</v>
      </c>
      <c r="I3451" s="3">
        <v>89.17</v>
      </c>
      <c r="J3451" t="s">
        <v>16</v>
      </c>
      <c r="K3451" t="s">
        <v>30</v>
      </c>
      <c r="L3451" s="4">
        <f>Table4[[#This Row],[quantity]]*Table4[[#This Row],[unit_price]]</f>
        <v>89.17</v>
      </c>
      <c r="M3451">
        <f>COUNTIFS($C$2:$C$3934,Table4[[#This Row],[customer_id]])</f>
        <v>10</v>
      </c>
      <c r="N3451" t="str">
        <f>IF(Table4[[#This Row],[customer_order_count]]=1,"New Customer","Repeat Customer")</f>
        <v>Repeat Customer</v>
      </c>
    </row>
    <row r="3452" spans="1:14">
      <c r="A3452" t="s">
        <v>3628</v>
      </c>
      <c r="B3452" s="1">
        <v>45631</v>
      </c>
      <c r="C3452" t="s">
        <v>94</v>
      </c>
      <c r="D3452" t="s">
        <v>95</v>
      </c>
      <c r="E3452" t="s">
        <v>21</v>
      </c>
      <c r="F3452" t="s">
        <v>79</v>
      </c>
      <c r="G3452" t="s">
        <v>200</v>
      </c>
      <c r="H3452">
        <v>1</v>
      </c>
      <c r="I3452" s="3">
        <v>89.21</v>
      </c>
      <c r="J3452" t="s">
        <v>16</v>
      </c>
      <c r="K3452" s="2" t="s">
        <v>5256</v>
      </c>
      <c r="L3452" s="4">
        <f>Table4[[#This Row],[quantity]]*Table4[[#This Row],[unit_price]]</f>
        <v>89.21</v>
      </c>
      <c r="M3452">
        <f>COUNTIFS($C$2:$C$3934,Table4[[#This Row],[customer_id]])</f>
        <v>4</v>
      </c>
      <c r="N3452" t="str">
        <f>IF(Table4[[#This Row],[customer_order_count]]=1,"New Customer","Repeat Customer")</f>
        <v>Repeat Customer</v>
      </c>
    </row>
    <row r="3453" spans="1:14">
      <c r="A3453" t="s">
        <v>4465</v>
      </c>
      <c r="B3453" s="1">
        <v>45458</v>
      </c>
      <c r="C3453" t="s">
        <v>848</v>
      </c>
      <c r="D3453" s="2" t="s">
        <v>5257</v>
      </c>
      <c r="E3453" t="s">
        <v>21</v>
      </c>
      <c r="F3453" t="s">
        <v>79</v>
      </c>
      <c r="G3453" t="s">
        <v>230</v>
      </c>
      <c r="H3453">
        <v>2</v>
      </c>
      <c r="I3453" s="3">
        <v>89.27</v>
      </c>
      <c r="J3453" t="s">
        <v>16</v>
      </c>
      <c r="K3453" s="2" t="s">
        <v>5256</v>
      </c>
      <c r="L3453" s="4">
        <f>Table4[[#This Row],[quantity]]*Table4[[#This Row],[unit_price]]</f>
        <v>178.54</v>
      </c>
      <c r="M3453">
        <f>COUNTIFS($C$2:$C$3934,Table4[[#This Row],[customer_id]])</f>
        <v>9</v>
      </c>
      <c r="N3453" t="str">
        <f>IF(Table4[[#This Row],[customer_order_count]]=1,"New Customer","Repeat Customer")</f>
        <v>Repeat Customer</v>
      </c>
    </row>
    <row r="3454" spans="1:14">
      <c r="A3454" t="s">
        <v>2904</v>
      </c>
      <c r="B3454" s="1">
        <v>45526</v>
      </c>
      <c r="C3454" t="s">
        <v>2465</v>
      </c>
      <c r="D3454" s="5" t="s">
        <v>131</v>
      </c>
      <c r="E3454" t="s">
        <v>21</v>
      </c>
      <c r="F3454" t="s">
        <v>14</v>
      </c>
      <c r="G3454" t="s">
        <v>62</v>
      </c>
      <c r="H3454">
        <v>1</v>
      </c>
      <c r="I3454" s="3">
        <v>89.3</v>
      </c>
      <c r="J3454" t="s">
        <v>16</v>
      </c>
      <c r="K3454" s="2" t="s">
        <v>5256</v>
      </c>
      <c r="L3454" s="4">
        <f>Table4[[#This Row],[quantity]]*Table4[[#This Row],[unit_price]]</f>
        <v>89.3</v>
      </c>
      <c r="M3454">
        <f>COUNTIFS($C$2:$C$3934,Table4[[#This Row],[customer_id]])</f>
        <v>4</v>
      </c>
      <c r="N3454" t="str">
        <f>IF(Table4[[#This Row],[customer_order_count]]=1,"New Customer","Repeat Customer")</f>
        <v>Repeat Customer</v>
      </c>
    </row>
    <row r="3455" spans="1:14">
      <c r="A3455" t="s">
        <v>741</v>
      </c>
      <c r="B3455" s="1">
        <v>44970</v>
      </c>
      <c r="C3455" t="s">
        <v>742</v>
      </c>
      <c r="D3455" t="s">
        <v>743</v>
      </c>
      <c r="E3455" t="s">
        <v>21</v>
      </c>
      <c r="F3455" t="s">
        <v>79</v>
      </c>
      <c r="G3455" t="s">
        <v>398</v>
      </c>
      <c r="H3455">
        <v>2</v>
      </c>
      <c r="I3455" s="3">
        <v>89.31</v>
      </c>
      <c r="J3455" t="s">
        <v>16</v>
      </c>
      <c r="K3455" s="5" t="s">
        <v>30</v>
      </c>
      <c r="L3455" s="4">
        <f>Table4[[#This Row],[quantity]]*Table4[[#This Row],[unit_price]]</f>
        <v>178.62</v>
      </c>
      <c r="M3455">
        <f>COUNTIFS($C$2:$C$3934,Table4[[#This Row],[customer_id]])</f>
        <v>8</v>
      </c>
      <c r="N3455" t="str">
        <f>IF(Table4[[#This Row],[customer_order_count]]=1,"New Customer","Repeat Customer")</f>
        <v>Repeat Customer</v>
      </c>
    </row>
    <row r="3456" spans="1:14">
      <c r="A3456" t="s">
        <v>4865</v>
      </c>
      <c r="B3456" s="1">
        <v>45251</v>
      </c>
      <c r="C3456" t="s">
        <v>1266</v>
      </c>
      <c r="D3456" t="s">
        <v>828</v>
      </c>
      <c r="E3456" t="s">
        <v>21</v>
      </c>
      <c r="F3456" t="s">
        <v>56</v>
      </c>
      <c r="G3456" t="s">
        <v>422</v>
      </c>
      <c r="H3456">
        <v>2</v>
      </c>
      <c r="I3456" s="3">
        <v>89.41</v>
      </c>
      <c r="J3456" t="s">
        <v>16</v>
      </c>
      <c r="K3456" t="s">
        <v>30</v>
      </c>
      <c r="L3456" s="4">
        <f>Table4[[#This Row],[quantity]]*Table4[[#This Row],[unit_price]]</f>
        <v>178.82</v>
      </c>
      <c r="M3456">
        <f>COUNTIFS($C$2:$C$3934,Table4[[#This Row],[customer_id]])</f>
        <v>7</v>
      </c>
      <c r="N3456" t="str">
        <f>IF(Table4[[#This Row],[customer_order_count]]=1,"New Customer","Repeat Customer")</f>
        <v>Repeat Customer</v>
      </c>
    </row>
    <row r="3457" spans="1:14">
      <c r="A3457" t="s">
        <v>1487</v>
      </c>
      <c r="B3457" s="1">
        <v>44973</v>
      </c>
      <c r="C3457" t="s">
        <v>1472</v>
      </c>
      <c r="D3457" t="s">
        <v>1473</v>
      </c>
      <c r="E3457" t="s">
        <v>21</v>
      </c>
      <c r="F3457" t="s">
        <v>56</v>
      </c>
      <c r="G3457" t="s">
        <v>210</v>
      </c>
      <c r="H3457">
        <v>1</v>
      </c>
      <c r="I3457" s="3">
        <v>89.49</v>
      </c>
      <c r="J3457" t="s">
        <v>24</v>
      </c>
      <c r="K3457" t="s">
        <v>17</v>
      </c>
      <c r="L3457" s="4">
        <f>Table4[[#This Row],[quantity]]*Table4[[#This Row],[unit_price]]</f>
        <v>89.49</v>
      </c>
      <c r="M3457">
        <f>COUNTIFS($C$2:$C$3934,Table4[[#This Row],[customer_id]])</f>
        <v>5</v>
      </c>
      <c r="N3457" t="str">
        <f>IF(Table4[[#This Row],[customer_order_count]]=1,"New Customer","Repeat Customer")</f>
        <v>Repeat Customer</v>
      </c>
    </row>
    <row r="3458" spans="1:14">
      <c r="A3458" t="s">
        <v>1327</v>
      </c>
      <c r="B3458" s="1">
        <v>45635</v>
      </c>
      <c r="C3458" t="s">
        <v>474</v>
      </c>
      <c r="D3458" t="s">
        <v>475</v>
      </c>
      <c r="E3458" t="s">
        <v>21</v>
      </c>
      <c r="F3458" t="s">
        <v>56</v>
      </c>
      <c r="G3458" t="s">
        <v>254</v>
      </c>
      <c r="H3458">
        <v>1</v>
      </c>
      <c r="I3458" s="3">
        <v>89.54</v>
      </c>
      <c r="J3458" t="s">
        <v>16</v>
      </c>
      <c r="K3458" t="s">
        <v>35</v>
      </c>
      <c r="L3458" s="4">
        <f>Table4[[#This Row],[quantity]]*Table4[[#This Row],[unit_price]]</f>
        <v>89.54</v>
      </c>
      <c r="M3458">
        <f>COUNTIFS($C$2:$C$3934,Table4[[#This Row],[customer_id]])</f>
        <v>6</v>
      </c>
      <c r="N3458" t="str">
        <f>IF(Table4[[#This Row],[customer_order_count]]=1,"New Customer","Repeat Customer")</f>
        <v>Repeat Customer</v>
      </c>
    </row>
    <row r="3459" spans="1:14">
      <c r="A3459" t="s">
        <v>5010</v>
      </c>
      <c r="B3459" s="1">
        <v>45191</v>
      </c>
      <c r="C3459" t="s">
        <v>780</v>
      </c>
      <c r="D3459" t="s">
        <v>237</v>
      </c>
      <c r="E3459" t="s">
        <v>44</v>
      </c>
      <c r="F3459" t="s">
        <v>14</v>
      </c>
      <c r="G3459" t="s">
        <v>34</v>
      </c>
      <c r="H3459">
        <v>1</v>
      </c>
      <c r="I3459" s="3">
        <v>89.54</v>
      </c>
      <c r="J3459" t="s">
        <v>16</v>
      </c>
      <c r="K3459" s="2" t="s">
        <v>5256</v>
      </c>
      <c r="L3459" s="4">
        <f>Table4[[#This Row],[quantity]]*Table4[[#This Row],[unit_price]]</f>
        <v>89.54</v>
      </c>
      <c r="M3459">
        <f>COUNTIFS($C$2:$C$3934,Table4[[#This Row],[customer_id]])</f>
        <v>6</v>
      </c>
      <c r="N3459" t="str">
        <f>IF(Table4[[#This Row],[customer_order_count]]=1,"New Customer","Repeat Customer")</f>
        <v>Repeat Customer</v>
      </c>
    </row>
    <row r="3460" spans="1:14">
      <c r="A3460" t="s">
        <v>3595</v>
      </c>
      <c r="B3460" s="1">
        <v>45509</v>
      </c>
      <c r="C3460" t="s">
        <v>3227</v>
      </c>
      <c r="D3460" t="s">
        <v>2589</v>
      </c>
      <c r="E3460" t="s">
        <v>44</v>
      </c>
      <c r="F3460" t="s">
        <v>79</v>
      </c>
      <c r="G3460" t="s">
        <v>204</v>
      </c>
      <c r="H3460">
        <v>1</v>
      </c>
      <c r="I3460" s="3">
        <v>89.55</v>
      </c>
      <c r="J3460" t="s">
        <v>16</v>
      </c>
      <c r="K3460" s="5" t="s">
        <v>40</v>
      </c>
      <c r="L3460" s="4">
        <f>Table4[[#This Row],[quantity]]*Table4[[#This Row],[unit_price]]</f>
        <v>89.55</v>
      </c>
      <c r="M3460">
        <f>COUNTIFS($C$2:$C$3934,Table4[[#This Row],[customer_id]])</f>
        <v>3</v>
      </c>
      <c r="N3460" t="str">
        <f>IF(Table4[[#This Row],[customer_order_count]]=1,"New Customer","Repeat Customer")</f>
        <v>Repeat Customer</v>
      </c>
    </row>
    <row r="3461" spans="1:14">
      <c r="A3461" t="s">
        <v>2961</v>
      </c>
      <c r="B3461" s="1">
        <v>44969</v>
      </c>
      <c r="C3461" t="s">
        <v>2041</v>
      </c>
      <c r="D3461" t="s">
        <v>1203</v>
      </c>
      <c r="E3461" t="s">
        <v>44</v>
      </c>
      <c r="F3461" t="s">
        <v>14</v>
      </c>
      <c r="G3461" t="s">
        <v>62</v>
      </c>
      <c r="H3461">
        <v>1</v>
      </c>
      <c r="I3461" s="3">
        <v>89.64</v>
      </c>
      <c r="J3461" t="s">
        <v>16</v>
      </c>
      <c r="K3461" t="s">
        <v>35</v>
      </c>
      <c r="L3461" s="4">
        <f>Table4[[#This Row],[quantity]]*Table4[[#This Row],[unit_price]]</f>
        <v>89.64</v>
      </c>
      <c r="M3461">
        <f>COUNTIFS($C$2:$C$3934,Table4[[#This Row],[customer_id]])</f>
        <v>3</v>
      </c>
      <c r="N3461" t="str">
        <f>IF(Table4[[#This Row],[customer_order_count]]=1,"New Customer","Repeat Customer")</f>
        <v>Repeat Customer</v>
      </c>
    </row>
    <row r="3462" spans="1:14">
      <c r="A3462" t="s">
        <v>1627</v>
      </c>
      <c r="B3462" s="1">
        <v>45220</v>
      </c>
      <c r="C3462" t="s">
        <v>537</v>
      </c>
      <c r="D3462" t="s">
        <v>538</v>
      </c>
      <c r="E3462" t="s">
        <v>21</v>
      </c>
      <c r="F3462" t="s">
        <v>14</v>
      </c>
      <c r="G3462" t="s">
        <v>258</v>
      </c>
      <c r="H3462">
        <v>2</v>
      </c>
      <c r="I3462" s="3">
        <v>89.86</v>
      </c>
      <c r="J3462" t="s">
        <v>16</v>
      </c>
      <c r="K3462" t="s">
        <v>30</v>
      </c>
      <c r="L3462" s="4">
        <f>Table4[[#This Row],[quantity]]*Table4[[#This Row],[unit_price]]</f>
        <v>179.72</v>
      </c>
      <c r="M3462">
        <f>COUNTIFS($C$2:$C$3934,Table4[[#This Row],[customer_id]])</f>
        <v>9</v>
      </c>
      <c r="N3462" t="str">
        <f>IF(Table4[[#This Row],[customer_order_count]]=1,"New Customer","Repeat Customer")</f>
        <v>Repeat Customer</v>
      </c>
    </row>
    <row r="3463" spans="1:14">
      <c r="A3463" t="s">
        <v>3351</v>
      </c>
      <c r="B3463" s="1">
        <v>44982</v>
      </c>
      <c r="C3463" t="s">
        <v>1817</v>
      </c>
      <c r="D3463" t="s">
        <v>1818</v>
      </c>
      <c r="E3463" t="s">
        <v>61</v>
      </c>
      <c r="F3463" t="s">
        <v>79</v>
      </c>
      <c r="G3463" t="s">
        <v>96</v>
      </c>
      <c r="H3463">
        <v>2</v>
      </c>
      <c r="I3463" s="3">
        <v>90.02</v>
      </c>
      <c r="J3463" t="s">
        <v>16</v>
      </c>
      <c r="K3463" t="s">
        <v>40</v>
      </c>
      <c r="L3463" s="4">
        <f>Table4[[#This Row],[quantity]]*Table4[[#This Row],[unit_price]]</f>
        <v>180.04</v>
      </c>
      <c r="M3463">
        <f>COUNTIFS($C$2:$C$3934,Table4[[#This Row],[customer_id]])</f>
        <v>4</v>
      </c>
      <c r="N3463" t="str">
        <f>IF(Table4[[#This Row],[customer_order_count]]=1,"New Customer","Repeat Customer")</f>
        <v>Repeat Customer</v>
      </c>
    </row>
    <row r="3464" spans="1:14">
      <c r="A3464" t="s">
        <v>3052</v>
      </c>
      <c r="B3464" s="1">
        <v>45583</v>
      </c>
      <c r="C3464" t="s">
        <v>3053</v>
      </c>
      <c r="D3464" t="s">
        <v>854</v>
      </c>
      <c r="E3464" t="s">
        <v>21</v>
      </c>
      <c r="F3464" t="s">
        <v>79</v>
      </c>
      <c r="G3464" t="s">
        <v>166</v>
      </c>
      <c r="H3464">
        <v>3</v>
      </c>
      <c r="I3464" s="3">
        <v>90.31</v>
      </c>
      <c r="J3464" t="s">
        <v>16</v>
      </c>
      <c r="K3464" t="s">
        <v>40</v>
      </c>
      <c r="L3464" s="4">
        <f>Table4[[#This Row],[quantity]]*Table4[[#This Row],[unit_price]]</f>
        <v>270.93</v>
      </c>
      <c r="M3464">
        <f>COUNTIFS($C$2:$C$3934,Table4[[#This Row],[customer_id]])</f>
        <v>3</v>
      </c>
      <c r="N3464" t="str">
        <f>IF(Table4[[#This Row],[customer_order_count]]=1,"New Customer","Repeat Customer")</f>
        <v>Repeat Customer</v>
      </c>
    </row>
    <row r="3465" spans="1:14">
      <c r="A3465" t="s">
        <v>1454</v>
      </c>
      <c r="B3465" s="1">
        <v>45520</v>
      </c>
      <c r="C3465" t="s">
        <v>368</v>
      </c>
      <c r="D3465" t="s">
        <v>369</v>
      </c>
      <c r="E3465" t="s">
        <v>21</v>
      </c>
      <c r="F3465" t="s">
        <v>79</v>
      </c>
      <c r="G3465" t="s">
        <v>80</v>
      </c>
      <c r="H3465">
        <v>2</v>
      </c>
      <c r="I3465" s="3">
        <v>90.35</v>
      </c>
      <c r="J3465" t="s">
        <v>24</v>
      </c>
      <c r="K3465" t="s">
        <v>35</v>
      </c>
      <c r="L3465" s="4">
        <f>Table4[[#This Row],[quantity]]*Table4[[#This Row],[unit_price]]</f>
        <v>180.7</v>
      </c>
      <c r="M3465">
        <f>COUNTIFS($C$2:$C$3934,Table4[[#This Row],[customer_id]])</f>
        <v>7</v>
      </c>
      <c r="N3465" t="str">
        <f>IF(Table4[[#This Row],[customer_order_count]]=1,"New Customer","Repeat Customer")</f>
        <v>Repeat Customer</v>
      </c>
    </row>
    <row r="3466" spans="1:14">
      <c r="A3466" t="s">
        <v>2299</v>
      </c>
      <c r="B3466" s="1">
        <v>45111</v>
      </c>
      <c r="C3466" t="s">
        <v>236</v>
      </c>
      <c r="D3466" t="s">
        <v>237</v>
      </c>
      <c r="E3466" t="s">
        <v>21</v>
      </c>
      <c r="F3466" t="s">
        <v>79</v>
      </c>
      <c r="G3466" t="s">
        <v>80</v>
      </c>
      <c r="H3466">
        <v>2</v>
      </c>
      <c r="I3466" s="3">
        <v>90.52</v>
      </c>
      <c r="J3466" t="s">
        <v>16</v>
      </c>
      <c r="K3466" s="2" t="s">
        <v>5256</v>
      </c>
      <c r="L3466" s="4">
        <f>Table4[[#This Row],[quantity]]*Table4[[#This Row],[unit_price]]</f>
        <v>181.04</v>
      </c>
      <c r="M3466">
        <f>COUNTIFS($C$2:$C$3934,Table4[[#This Row],[customer_id]])</f>
        <v>3</v>
      </c>
      <c r="N3466" t="str">
        <f>IF(Table4[[#This Row],[customer_order_count]]=1,"New Customer","Repeat Customer")</f>
        <v>Repeat Customer</v>
      </c>
    </row>
    <row r="3467" spans="1:14">
      <c r="A3467" t="s">
        <v>3196</v>
      </c>
      <c r="B3467" s="1">
        <v>45065</v>
      </c>
      <c r="C3467" t="s">
        <v>3197</v>
      </c>
      <c r="D3467" t="s">
        <v>743</v>
      </c>
      <c r="E3467" t="s">
        <v>44</v>
      </c>
      <c r="F3467" t="s">
        <v>56</v>
      </c>
      <c r="G3467" t="s">
        <v>75</v>
      </c>
      <c r="H3467">
        <v>1</v>
      </c>
      <c r="I3467" s="3">
        <v>90.55</v>
      </c>
      <c r="J3467" t="s">
        <v>16</v>
      </c>
      <c r="K3467" s="5" t="s">
        <v>35</v>
      </c>
      <c r="L3467" s="4">
        <f>Table4[[#This Row],[quantity]]*Table4[[#This Row],[unit_price]]</f>
        <v>90.55</v>
      </c>
      <c r="M3467">
        <f>COUNTIFS($C$2:$C$3934,Table4[[#This Row],[customer_id]])</f>
        <v>1</v>
      </c>
      <c r="N3467" t="str">
        <f>IF(Table4[[#This Row],[customer_order_count]]=1,"New Customer","Repeat Customer")</f>
        <v>New Customer</v>
      </c>
    </row>
    <row r="3468" spans="1:14">
      <c r="A3468" t="s">
        <v>3800</v>
      </c>
      <c r="B3468" s="1">
        <v>45391</v>
      </c>
      <c r="C3468" t="s">
        <v>866</v>
      </c>
      <c r="D3468" t="s">
        <v>484</v>
      </c>
      <c r="E3468" t="s">
        <v>21</v>
      </c>
      <c r="F3468" t="s">
        <v>14</v>
      </c>
      <c r="G3468" t="s">
        <v>34</v>
      </c>
      <c r="H3468">
        <v>1</v>
      </c>
      <c r="I3468" s="3">
        <v>90.64</v>
      </c>
      <c r="J3468" t="s">
        <v>16</v>
      </c>
      <c r="K3468" t="s">
        <v>35</v>
      </c>
      <c r="L3468" s="4">
        <f>Table4[[#This Row],[quantity]]*Table4[[#This Row],[unit_price]]</f>
        <v>90.64</v>
      </c>
      <c r="M3468">
        <f>COUNTIFS($C$2:$C$3934,Table4[[#This Row],[customer_id]])</f>
        <v>4</v>
      </c>
      <c r="N3468" t="str">
        <f>IF(Table4[[#This Row],[customer_order_count]]=1,"New Customer","Repeat Customer")</f>
        <v>Repeat Customer</v>
      </c>
    </row>
    <row r="3469" spans="1:14">
      <c r="A3469" t="s">
        <v>3914</v>
      </c>
      <c r="B3469" s="1">
        <v>45530</v>
      </c>
      <c r="C3469" t="s">
        <v>2424</v>
      </c>
      <c r="D3469" t="s">
        <v>646</v>
      </c>
      <c r="E3469" t="s">
        <v>21</v>
      </c>
      <c r="F3469" t="s">
        <v>79</v>
      </c>
      <c r="G3469" t="s">
        <v>166</v>
      </c>
      <c r="H3469">
        <v>2</v>
      </c>
      <c r="I3469" s="3">
        <v>90.65</v>
      </c>
      <c r="J3469" t="s">
        <v>16</v>
      </c>
      <c r="K3469" t="s">
        <v>35</v>
      </c>
      <c r="L3469" s="4">
        <f>Table4[[#This Row],[quantity]]*Table4[[#This Row],[unit_price]]</f>
        <v>181.3</v>
      </c>
      <c r="M3469">
        <f>COUNTIFS($C$2:$C$3934,Table4[[#This Row],[customer_id]])</f>
        <v>6</v>
      </c>
      <c r="N3469" t="str">
        <f>IF(Table4[[#This Row],[customer_order_count]]=1,"New Customer","Repeat Customer")</f>
        <v>Repeat Customer</v>
      </c>
    </row>
    <row r="3470" spans="1:14">
      <c r="A3470" t="s">
        <v>3459</v>
      </c>
      <c r="B3470" s="1">
        <v>45545</v>
      </c>
      <c r="C3470" t="s">
        <v>983</v>
      </c>
      <c r="D3470" t="s">
        <v>237</v>
      </c>
      <c r="E3470" t="s">
        <v>44</v>
      </c>
      <c r="F3470" t="s">
        <v>14</v>
      </c>
      <c r="G3470" t="s">
        <v>258</v>
      </c>
      <c r="H3470">
        <v>1</v>
      </c>
      <c r="I3470" s="3">
        <v>90.91</v>
      </c>
      <c r="J3470" t="s">
        <v>255</v>
      </c>
      <c r="K3470" t="s">
        <v>17</v>
      </c>
      <c r="L3470" s="4">
        <f>Table4[[#This Row],[quantity]]*Table4[[#This Row],[unit_price]]</f>
        <v>90.91</v>
      </c>
      <c r="M3470">
        <f>COUNTIFS($C$2:$C$3934,Table4[[#This Row],[customer_id]])</f>
        <v>7</v>
      </c>
      <c r="N3470" t="str">
        <f>IF(Table4[[#This Row],[customer_order_count]]=1,"New Customer","Repeat Customer")</f>
        <v>Repeat Customer</v>
      </c>
    </row>
    <row r="3471" spans="1:14">
      <c r="A3471" t="s">
        <v>1117</v>
      </c>
      <c r="B3471" s="1">
        <v>45553</v>
      </c>
      <c r="C3471" t="s">
        <v>1118</v>
      </c>
      <c r="D3471" t="s">
        <v>881</v>
      </c>
      <c r="E3471" t="s">
        <v>44</v>
      </c>
      <c r="F3471" t="s">
        <v>56</v>
      </c>
      <c r="G3471" t="s">
        <v>57</v>
      </c>
      <c r="H3471">
        <v>1</v>
      </c>
      <c r="I3471" s="3">
        <v>90.95</v>
      </c>
      <c r="J3471" t="s">
        <v>16</v>
      </c>
      <c r="K3471" t="s">
        <v>35</v>
      </c>
      <c r="L3471" s="4">
        <f>Table4[[#This Row],[quantity]]*Table4[[#This Row],[unit_price]]</f>
        <v>90.95</v>
      </c>
      <c r="M3471">
        <f>COUNTIFS($C$2:$C$3934,Table4[[#This Row],[customer_id]])</f>
        <v>6</v>
      </c>
      <c r="N3471" t="str">
        <f>IF(Table4[[#This Row],[customer_order_count]]=1,"New Customer","Repeat Customer")</f>
        <v>Repeat Customer</v>
      </c>
    </row>
    <row r="3472" spans="1:14">
      <c r="A3472" t="s">
        <v>4672</v>
      </c>
      <c r="B3472" s="1">
        <v>45267</v>
      </c>
      <c r="C3472" t="s">
        <v>1188</v>
      </c>
      <c r="D3472" t="s">
        <v>1189</v>
      </c>
      <c r="E3472" t="s">
        <v>21</v>
      </c>
      <c r="F3472" t="s">
        <v>14</v>
      </c>
      <c r="G3472" t="s">
        <v>62</v>
      </c>
      <c r="H3472">
        <v>1</v>
      </c>
      <c r="I3472" s="3">
        <v>90.95</v>
      </c>
      <c r="J3472" t="s">
        <v>24</v>
      </c>
      <c r="K3472" s="2" t="s">
        <v>5256</v>
      </c>
      <c r="L3472" s="4">
        <f>Table4[[#This Row],[quantity]]*Table4[[#This Row],[unit_price]]</f>
        <v>90.95</v>
      </c>
      <c r="M3472">
        <f>COUNTIFS($C$2:$C$3934,Table4[[#This Row],[customer_id]])</f>
        <v>7</v>
      </c>
      <c r="N3472" t="str">
        <f>IF(Table4[[#This Row],[customer_order_count]]=1,"New Customer","Repeat Customer")</f>
        <v>Repeat Customer</v>
      </c>
    </row>
    <row r="3473" spans="1:14">
      <c r="A3473" t="s">
        <v>3934</v>
      </c>
      <c r="B3473" s="1">
        <v>45311</v>
      </c>
      <c r="C3473" t="s">
        <v>1522</v>
      </c>
      <c r="D3473" t="s">
        <v>1523</v>
      </c>
      <c r="E3473" t="s">
        <v>21</v>
      </c>
      <c r="F3473" t="s">
        <v>79</v>
      </c>
      <c r="G3473" t="s">
        <v>96</v>
      </c>
      <c r="H3473">
        <v>2</v>
      </c>
      <c r="I3473" s="3">
        <v>90.96</v>
      </c>
      <c r="J3473" t="s">
        <v>24</v>
      </c>
      <c r="K3473" s="5" t="s">
        <v>40</v>
      </c>
      <c r="L3473" s="4">
        <f>Table4[[#This Row],[quantity]]*Table4[[#This Row],[unit_price]]</f>
        <v>181.92</v>
      </c>
      <c r="M3473">
        <f>COUNTIFS($C$2:$C$3934,Table4[[#This Row],[customer_id]])</f>
        <v>11</v>
      </c>
      <c r="N3473" t="str">
        <f>IF(Table4[[#This Row],[customer_order_count]]=1,"New Customer","Repeat Customer")</f>
        <v>Repeat Customer</v>
      </c>
    </row>
    <row r="3474" spans="1:14">
      <c r="A3474" t="s">
        <v>5154</v>
      </c>
      <c r="B3474" s="1">
        <v>45188</v>
      </c>
      <c r="C3474" t="s">
        <v>1181</v>
      </c>
      <c r="D3474" t="s">
        <v>1000</v>
      </c>
      <c r="E3474" t="s">
        <v>21</v>
      </c>
      <c r="F3474" t="s">
        <v>14</v>
      </c>
      <c r="G3474" t="s">
        <v>62</v>
      </c>
      <c r="H3474">
        <v>1</v>
      </c>
      <c r="I3474" s="3">
        <v>90.98</v>
      </c>
      <c r="J3474" t="s">
        <v>16</v>
      </c>
      <c r="K3474" t="s">
        <v>30</v>
      </c>
      <c r="L3474" s="4">
        <f>Table4[[#This Row],[quantity]]*Table4[[#This Row],[unit_price]]</f>
        <v>90.98</v>
      </c>
      <c r="M3474">
        <f>COUNTIFS($C$2:$C$3934,Table4[[#This Row],[customer_id]])</f>
        <v>6</v>
      </c>
      <c r="N3474" t="str">
        <f>IF(Table4[[#This Row],[customer_order_count]]=1,"New Customer","Repeat Customer")</f>
        <v>Repeat Customer</v>
      </c>
    </row>
    <row r="3475" spans="1:14">
      <c r="A3475" t="s">
        <v>1594</v>
      </c>
      <c r="B3475" s="1">
        <v>45511</v>
      </c>
      <c r="C3475" t="s">
        <v>1276</v>
      </c>
      <c r="D3475" t="s">
        <v>452</v>
      </c>
      <c r="E3475" t="s">
        <v>21</v>
      </c>
      <c r="F3475" t="s">
        <v>14</v>
      </c>
      <c r="G3475" t="s">
        <v>34</v>
      </c>
      <c r="H3475">
        <v>1</v>
      </c>
      <c r="I3475" s="3">
        <v>91.11</v>
      </c>
      <c r="J3475" t="s">
        <v>16</v>
      </c>
      <c r="K3475" t="s">
        <v>35</v>
      </c>
      <c r="L3475" s="4">
        <f>Table4[[#This Row],[quantity]]*Table4[[#This Row],[unit_price]]</f>
        <v>91.11</v>
      </c>
      <c r="M3475">
        <f>COUNTIFS($C$2:$C$3934,Table4[[#This Row],[customer_id]])</f>
        <v>4</v>
      </c>
      <c r="N3475" t="str">
        <f>IF(Table4[[#This Row],[customer_order_count]]=1,"New Customer","Repeat Customer")</f>
        <v>Repeat Customer</v>
      </c>
    </row>
    <row r="3476" spans="1:14">
      <c r="A3476" t="s">
        <v>1231</v>
      </c>
      <c r="B3476" s="1">
        <v>45234</v>
      </c>
      <c r="C3476" t="s">
        <v>123</v>
      </c>
      <c r="D3476" t="s">
        <v>124</v>
      </c>
      <c r="E3476" t="s">
        <v>44</v>
      </c>
      <c r="F3476" t="s">
        <v>79</v>
      </c>
      <c r="G3476" t="s">
        <v>541</v>
      </c>
      <c r="H3476">
        <v>1</v>
      </c>
      <c r="I3476" s="3">
        <v>91.13</v>
      </c>
      <c r="J3476" t="s">
        <v>85</v>
      </c>
      <c r="K3476" t="s">
        <v>17</v>
      </c>
      <c r="L3476" s="4">
        <f>Table4[[#This Row],[quantity]]*Table4[[#This Row],[unit_price]]</f>
        <v>91.13</v>
      </c>
      <c r="M3476">
        <f>COUNTIFS($C$2:$C$3934,Table4[[#This Row],[customer_id]])</f>
        <v>4</v>
      </c>
      <c r="N3476" t="str">
        <f>IF(Table4[[#This Row],[customer_order_count]]=1,"New Customer","Repeat Customer")</f>
        <v>Repeat Customer</v>
      </c>
    </row>
    <row r="3477" spans="1:14">
      <c r="A3477" t="s">
        <v>5246</v>
      </c>
      <c r="B3477" s="1">
        <v>45631</v>
      </c>
      <c r="C3477" t="s">
        <v>1803</v>
      </c>
      <c r="D3477" t="s">
        <v>1804</v>
      </c>
      <c r="E3477" t="s">
        <v>21</v>
      </c>
      <c r="F3477" t="s">
        <v>79</v>
      </c>
      <c r="G3477" t="s">
        <v>200</v>
      </c>
      <c r="H3477">
        <v>2</v>
      </c>
      <c r="I3477" s="3">
        <v>91.19</v>
      </c>
      <c r="J3477" t="s">
        <v>16</v>
      </c>
      <c r="K3477" t="s">
        <v>35</v>
      </c>
      <c r="L3477" s="4">
        <f>Table4[[#This Row],[quantity]]*Table4[[#This Row],[unit_price]]</f>
        <v>182.38</v>
      </c>
      <c r="M3477">
        <f>COUNTIFS($C$2:$C$3934,Table4[[#This Row],[customer_id]])</f>
        <v>5</v>
      </c>
      <c r="N3477" t="str">
        <f>IF(Table4[[#This Row],[customer_order_count]]=1,"New Customer","Repeat Customer")</f>
        <v>Repeat Customer</v>
      </c>
    </row>
    <row r="3478" spans="1:14">
      <c r="A3478" t="s">
        <v>2193</v>
      </c>
      <c r="B3478" s="1">
        <v>44973</v>
      </c>
      <c r="C3478" t="s">
        <v>946</v>
      </c>
      <c r="D3478" t="s">
        <v>947</v>
      </c>
      <c r="E3478" t="s">
        <v>21</v>
      </c>
      <c r="F3478" t="s">
        <v>56</v>
      </c>
      <c r="G3478" t="s">
        <v>422</v>
      </c>
      <c r="H3478">
        <v>3</v>
      </c>
      <c r="I3478" s="3">
        <v>91.21</v>
      </c>
      <c r="J3478" t="s">
        <v>16</v>
      </c>
      <c r="K3478" t="s">
        <v>17</v>
      </c>
      <c r="L3478" s="4">
        <f>Table4[[#This Row],[quantity]]*Table4[[#This Row],[unit_price]]</f>
        <v>273.63</v>
      </c>
      <c r="M3478">
        <f>COUNTIFS($C$2:$C$3934,Table4[[#This Row],[customer_id]])</f>
        <v>4</v>
      </c>
      <c r="N3478" t="str">
        <f>IF(Table4[[#This Row],[customer_order_count]]=1,"New Customer","Repeat Customer")</f>
        <v>Repeat Customer</v>
      </c>
    </row>
    <row r="3479" spans="1:14">
      <c r="A3479" t="s">
        <v>4631</v>
      </c>
      <c r="B3479" s="1">
        <v>45069</v>
      </c>
      <c r="C3479" t="s">
        <v>515</v>
      </c>
      <c r="D3479" t="s">
        <v>20</v>
      </c>
      <c r="E3479" t="s">
        <v>21</v>
      </c>
      <c r="F3479" t="s">
        <v>79</v>
      </c>
      <c r="G3479" t="s">
        <v>398</v>
      </c>
      <c r="H3479">
        <v>1</v>
      </c>
      <c r="I3479" s="3">
        <v>91.47</v>
      </c>
      <c r="J3479" t="s">
        <v>255</v>
      </c>
      <c r="K3479" s="2" t="s">
        <v>5256</v>
      </c>
      <c r="L3479" s="4">
        <f>Table4[[#This Row],[quantity]]*Table4[[#This Row],[unit_price]]</f>
        <v>91.47</v>
      </c>
      <c r="M3479">
        <f>COUNTIFS($C$2:$C$3934,Table4[[#This Row],[customer_id]])</f>
        <v>6</v>
      </c>
      <c r="N3479" t="str">
        <f>IF(Table4[[#This Row],[customer_order_count]]=1,"New Customer","Repeat Customer")</f>
        <v>Repeat Customer</v>
      </c>
    </row>
    <row r="3480" spans="1:14">
      <c r="A3480" t="s">
        <v>3082</v>
      </c>
      <c r="B3480" s="1">
        <v>45568</v>
      </c>
      <c r="C3480" t="s">
        <v>1752</v>
      </c>
      <c r="D3480" t="s">
        <v>152</v>
      </c>
      <c r="E3480" t="s">
        <v>21</v>
      </c>
      <c r="F3480" t="s">
        <v>79</v>
      </c>
      <c r="G3480" t="s">
        <v>204</v>
      </c>
      <c r="H3480">
        <v>3</v>
      </c>
      <c r="I3480" s="3">
        <v>91.57</v>
      </c>
      <c r="J3480" t="s">
        <v>16</v>
      </c>
      <c r="K3480" s="5" t="s">
        <v>30</v>
      </c>
      <c r="L3480" s="4">
        <f>Table4[[#This Row],[quantity]]*Table4[[#This Row],[unit_price]]</f>
        <v>274.70999999999998</v>
      </c>
      <c r="M3480">
        <f>COUNTIFS($C$2:$C$3934,Table4[[#This Row],[customer_id]])</f>
        <v>4</v>
      </c>
      <c r="N3480" t="str">
        <f>IF(Table4[[#This Row],[customer_order_count]]=1,"New Customer","Repeat Customer")</f>
        <v>Repeat Customer</v>
      </c>
    </row>
    <row r="3481" spans="1:14">
      <c r="A3481" t="s">
        <v>773</v>
      </c>
      <c r="B3481" s="1">
        <v>45469</v>
      </c>
      <c r="C3481" t="s">
        <v>252</v>
      </c>
      <c r="D3481" t="s">
        <v>253</v>
      </c>
      <c r="E3481" t="s">
        <v>44</v>
      </c>
      <c r="F3481" t="s">
        <v>56</v>
      </c>
      <c r="G3481" t="s">
        <v>57</v>
      </c>
      <c r="H3481">
        <v>2</v>
      </c>
      <c r="I3481" s="3">
        <v>91.59</v>
      </c>
      <c r="J3481" t="s">
        <v>16</v>
      </c>
      <c r="K3481" t="s">
        <v>30</v>
      </c>
      <c r="L3481" s="4">
        <f>Table4[[#This Row],[quantity]]*Table4[[#This Row],[unit_price]]</f>
        <v>183.18</v>
      </c>
      <c r="M3481">
        <f>COUNTIFS($C$2:$C$3934,Table4[[#This Row],[customer_id]])</f>
        <v>5</v>
      </c>
      <c r="N3481" t="str">
        <f>IF(Table4[[#This Row],[customer_order_count]]=1,"New Customer","Repeat Customer")</f>
        <v>Repeat Customer</v>
      </c>
    </row>
    <row r="3482" spans="1:14">
      <c r="A3482" t="s">
        <v>845</v>
      </c>
      <c r="B3482" s="1">
        <v>45202</v>
      </c>
      <c r="C3482" t="s">
        <v>524</v>
      </c>
      <c r="D3482" t="s">
        <v>525</v>
      </c>
      <c r="E3482" t="s">
        <v>21</v>
      </c>
      <c r="F3482" t="s">
        <v>79</v>
      </c>
      <c r="G3482" t="s">
        <v>166</v>
      </c>
      <c r="H3482">
        <v>1</v>
      </c>
      <c r="I3482" s="3">
        <v>91.69</v>
      </c>
      <c r="J3482" t="s">
        <v>16</v>
      </c>
      <c r="K3482" t="s">
        <v>17</v>
      </c>
      <c r="L3482" s="4">
        <f>Table4[[#This Row],[quantity]]*Table4[[#This Row],[unit_price]]</f>
        <v>91.69</v>
      </c>
      <c r="M3482">
        <f>COUNTIFS($C$2:$C$3934,Table4[[#This Row],[customer_id]])</f>
        <v>5</v>
      </c>
      <c r="N3482" t="str">
        <f>IF(Table4[[#This Row],[customer_order_count]]=1,"New Customer","Repeat Customer")</f>
        <v>Repeat Customer</v>
      </c>
    </row>
    <row r="3483" spans="1:14">
      <c r="A3483" t="s">
        <v>4789</v>
      </c>
      <c r="B3483" s="1">
        <v>44959</v>
      </c>
      <c r="C3483" t="s">
        <v>1580</v>
      </c>
      <c r="D3483" t="s">
        <v>525</v>
      </c>
      <c r="E3483" t="s">
        <v>44</v>
      </c>
      <c r="F3483" t="s">
        <v>56</v>
      </c>
      <c r="G3483" t="s">
        <v>75</v>
      </c>
      <c r="H3483">
        <v>1</v>
      </c>
      <c r="I3483" s="3">
        <v>91.73</v>
      </c>
      <c r="J3483" t="s">
        <v>16</v>
      </c>
      <c r="K3483" t="s">
        <v>30</v>
      </c>
      <c r="L3483" s="4">
        <f>Table4[[#This Row],[quantity]]*Table4[[#This Row],[unit_price]]</f>
        <v>91.73</v>
      </c>
      <c r="M3483">
        <f>COUNTIFS($C$2:$C$3934,Table4[[#This Row],[customer_id]])</f>
        <v>7</v>
      </c>
      <c r="N3483" t="str">
        <f>IF(Table4[[#This Row],[customer_order_count]]=1,"New Customer","Repeat Customer")</f>
        <v>Repeat Customer</v>
      </c>
    </row>
    <row r="3484" spans="1:14">
      <c r="A3484" t="s">
        <v>1201</v>
      </c>
      <c r="B3484" s="1">
        <v>45374</v>
      </c>
      <c r="C3484" t="s">
        <v>1202</v>
      </c>
      <c r="D3484" t="s">
        <v>1203</v>
      </c>
      <c r="E3484" t="s">
        <v>21</v>
      </c>
      <c r="F3484" t="s">
        <v>56</v>
      </c>
      <c r="G3484" t="s">
        <v>75</v>
      </c>
      <c r="H3484">
        <v>3</v>
      </c>
      <c r="I3484" s="3">
        <v>91.98</v>
      </c>
      <c r="J3484" t="s">
        <v>16</v>
      </c>
      <c r="K3484" t="s">
        <v>40</v>
      </c>
      <c r="L3484" s="4">
        <f>Table4[[#This Row],[quantity]]*Table4[[#This Row],[unit_price]]</f>
        <v>275.94</v>
      </c>
      <c r="M3484">
        <f>COUNTIFS($C$2:$C$3934,Table4[[#This Row],[customer_id]])</f>
        <v>4</v>
      </c>
      <c r="N3484" t="str">
        <f>IF(Table4[[#This Row],[customer_order_count]]=1,"New Customer","Repeat Customer")</f>
        <v>Repeat Customer</v>
      </c>
    </row>
    <row r="3485" spans="1:14">
      <c r="A3485" t="s">
        <v>5179</v>
      </c>
      <c r="B3485" s="1">
        <v>45543</v>
      </c>
      <c r="C3485" t="s">
        <v>817</v>
      </c>
      <c r="D3485" t="s">
        <v>213</v>
      </c>
      <c r="E3485" t="s">
        <v>21</v>
      </c>
      <c r="F3485" t="s">
        <v>79</v>
      </c>
      <c r="G3485" t="s">
        <v>200</v>
      </c>
      <c r="H3485">
        <v>1</v>
      </c>
      <c r="I3485" s="3">
        <v>92.07</v>
      </c>
      <c r="J3485" t="s">
        <v>85</v>
      </c>
      <c r="K3485" t="s">
        <v>17</v>
      </c>
      <c r="L3485" s="4">
        <f>Table4[[#This Row],[quantity]]*Table4[[#This Row],[unit_price]]</f>
        <v>92.07</v>
      </c>
      <c r="M3485">
        <f>COUNTIFS($C$2:$C$3934,Table4[[#This Row],[customer_id]])</f>
        <v>5</v>
      </c>
      <c r="N3485" t="str">
        <f>IF(Table4[[#This Row],[customer_order_count]]=1,"New Customer","Repeat Customer")</f>
        <v>Repeat Customer</v>
      </c>
    </row>
    <row r="3486" spans="1:14">
      <c r="A3486" t="s">
        <v>5211</v>
      </c>
      <c r="B3486" s="1">
        <v>45350</v>
      </c>
      <c r="C3486" t="s">
        <v>148</v>
      </c>
      <c r="D3486" t="s">
        <v>149</v>
      </c>
      <c r="E3486" t="s">
        <v>21</v>
      </c>
      <c r="F3486" t="s">
        <v>14</v>
      </c>
      <c r="G3486" t="s">
        <v>39</v>
      </c>
      <c r="H3486">
        <v>2</v>
      </c>
      <c r="I3486" s="3">
        <v>92.13</v>
      </c>
      <c r="J3486" t="s">
        <v>24</v>
      </c>
      <c r="K3486" t="s">
        <v>40</v>
      </c>
      <c r="L3486" s="4">
        <f>Table4[[#This Row],[quantity]]*Table4[[#This Row],[unit_price]]</f>
        <v>184.26</v>
      </c>
      <c r="M3486">
        <f>COUNTIFS($C$2:$C$3934,Table4[[#This Row],[customer_id]])</f>
        <v>6</v>
      </c>
      <c r="N3486" t="str">
        <f>IF(Table4[[#This Row],[customer_order_count]]=1,"New Customer","Repeat Customer")</f>
        <v>Repeat Customer</v>
      </c>
    </row>
    <row r="3487" spans="1:14">
      <c r="A3487" t="s">
        <v>3756</v>
      </c>
      <c r="B3487" s="1">
        <v>45313</v>
      </c>
      <c r="C3487" t="s">
        <v>2412</v>
      </c>
      <c r="D3487" t="s">
        <v>2413</v>
      </c>
      <c r="E3487" t="s">
        <v>21</v>
      </c>
      <c r="F3487" t="s">
        <v>14</v>
      </c>
      <c r="G3487" t="s">
        <v>34</v>
      </c>
      <c r="H3487">
        <v>1</v>
      </c>
      <c r="I3487" s="3">
        <v>92.15</v>
      </c>
      <c r="J3487" t="s">
        <v>16</v>
      </c>
      <c r="K3487" t="s">
        <v>35</v>
      </c>
      <c r="L3487" s="4">
        <f>Table4[[#This Row],[quantity]]*Table4[[#This Row],[unit_price]]</f>
        <v>92.15</v>
      </c>
      <c r="M3487">
        <f>COUNTIFS($C$2:$C$3934,Table4[[#This Row],[customer_id]])</f>
        <v>4</v>
      </c>
      <c r="N3487" t="str">
        <f>IF(Table4[[#This Row],[customer_order_count]]=1,"New Customer","Repeat Customer")</f>
        <v>Repeat Customer</v>
      </c>
    </row>
    <row r="3488" spans="1:14">
      <c r="A3488" t="s">
        <v>3818</v>
      </c>
      <c r="B3488" s="1">
        <v>45487</v>
      </c>
      <c r="C3488" t="s">
        <v>1437</v>
      </c>
      <c r="D3488" t="s">
        <v>1054</v>
      </c>
      <c r="E3488" t="s">
        <v>21</v>
      </c>
      <c r="F3488" t="s">
        <v>56</v>
      </c>
      <c r="G3488" t="s">
        <v>75</v>
      </c>
      <c r="H3488">
        <v>1</v>
      </c>
      <c r="I3488" s="3">
        <v>92.16</v>
      </c>
      <c r="J3488" t="s">
        <v>16</v>
      </c>
      <c r="K3488" t="s">
        <v>30</v>
      </c>
      <c r="L3488" s="4">
        <f>Table4[[#This Row],[quantity]]*Table4[[#This Row],[unit_price]]</f>
        <v>92.16</v>
      </c>
      <c r="M3488">
        <f>COUNTIFS($C$2:$C$3934,Table4[[#This Row],[customer_id]])</f>
        <v>5</v>
      </c>
      <c r="N3488" t="str">
        <f>IF(Table4[[#This Row],[customer_order_count]]=1,"New Customer","Repeat Customer")</f>
        <v>Repeat Customer</v>
      </c>
    </row>
    <row r="3489" spans="1:14">
      <c r="A3489" t="s">
        <v>1352</v>
      </c>
      <c r="B3489" s="1">
        <v>45620</v>
      </c>
      <c r="C3489" t="s">
        <v>1353</v>
      </c>
      <c r="D3489" t="s">
        <v>1057</v>
      </c>
      <c r="E3489" t="s">
        <v>21</v>
      </c>
      <c r="F3489" t="s">
        <v>79</v>
      </c>
      <c r="G3489" t="s">
        <v>230</v>
      </c>
      <c r="H3489">
        <v>1</v>
      </c>
      <c r="I3489" s="3">
        <v>92.3</v>
      </c>
      <c r="J3489" t="s">
        <v>16</v>
      </c>
      <c r="K3489" t="s">
        <v>17</v>
      </c>
      <c r="L3489" s="4">
        <f>Table4[[#This Row],[quantity]]*Table4[[#This Row],[unit_price]]</f>
        <v>92.3</v>
      </c>
      <c r="M3489">
        <f>COUNTIFS($C$2:$C$3934,Table4[[#This Row],[customer_id]])</f>
        <v>4</v>
      </c>
      <c r="N3489" t="str">
        <f>IF(Table4[[#This Row],[customer_order_count]]=1,"New Customer","Repeat Customer")</f>
        <v>Repeat Customer</v>
      </c>
    </row>
    <row r="3490" spans="1:14">
      <c r="A3490" t="s">
        <v>2769</v>
      </c>
      <c r="B3490" s="1">
        <v>45301</v>
      </c>
      <c r="C3490" t="s">
        <v>1695</v>
      </c>
      <c r="D3490" t="s">
        <v>377</v>
      </c>
      <c r="E3490" t="s">
        <v>21</v>
      </c>
      <c r="F3490" t="s">
        <v>56</v>
      </c>
      <c r="G3490" t="s">
        <v>254</v>
      </c>
      <c r="H3490">
        <v>1</v>
      </c>
      <c r="I3490" s="3">
        <v>92.35</v>
      </c>
      <c r="J3490" t="s">
        <v>16</v>
      </c>
      <c r="K3490" t="s">
        <v>40</v>
      </c>
      <c r="L3490" s="4">
        <f>Table4[[#This Row],[quantity]]*Table4[[#This Row],[unit_price]]</f>
        <v>92.35</v>
      </c>
      <c r="M3490">
        <f>COUNTIFS($C$2:$C$3934,Table4[[#This Row],[customer_id]])</f>
        <v>3</v>
      </c>
      <c r="N3490" t="str">
        <f>IF(Table4[[#This Row],[customer_order_count]]=1,"New Customer","Repeat Customer")</f>
        <v>Repeat Customer</v>
      </c>
    </row>
    <row r="3491" spans="1:14">
      <c r="A3491" t="s">
        <v>622</v>
      </c>
      <c r="B3491" s="1">
        <v>45314</v>
      </c>
      <c r="C3491" t="s">
        <v>623</v>
      </c>
      <c r="D3491" t="s">
        <v>624</v>
      </c>
      <c r="E3491" t="s">
        <v>61</v>
      </c>
      <c r="F3491" t="s">
        <v>14</v>
      </c>
      <c r="G3491" t="s">
        <v>15</v>
      </c>
      <c r="H3491">
        <v>1</v>
      </c>
      <c r="I3491" s="3">
        <v>92.39</v>
      </c>
      <c r="J3491" t="s">
        <v>16</v>
      </c>
      <c r="K3491" t="s">
        <v>30</v>
      </c>
      <c r="L3491" s="4">
        <f>Table4[[#This Row],[quantity]]*Table4[[#This Row],[unit_price]]</f>
        <v>92.39</v>
      </c>
      <c r="M3491">
        <f>COUNTIFS($C$2:$C$3934,Table4[[#This Row],[customer_id]])</f>
        <v>3</v>
      </c>
      <c r="N3491" t="str">
        <f>IF(Table4[[#This Row],[customer_order_count]]=1,"New Customer","Repeat Customer")</f>
        <v>Repeat Customer</v>
      </c>
    </row>
    <row r="3492" spans="1:14">
      <c r="A3492" t="s">
        <v>3947</v>
      </c>
      <c r="B3492" s="1">
        <v>45078</v>
      </c>
      <c r="C3492" t="s">
        <v>1038</v>
      </c>
      <c r="D3492" t="s">
        <v>560</v>
      </c>
      <c r="E3492" t="s">
        <v>21</v>
      </c>
      <c r="F3492" t="s">
        <v>56</v>
      </c>
      <c r="G3492" t="s">
        <v>422</v>
      </c>
      <c r="H3492">
        <v>2</v>
      </c>
      <c r="I3492" s="3">
        <v>92.51</v>
      </c>
      <c r="J3492" t="s">
        <v>16</v>
      </c>
      <c r="K3492" t="s">
        <v>30</v>
      </c>
      <c r="L3492" s="4">
        <f>Table4[[#This Row],[quantity]]*Table4[[#This Row],[unit_price]]</f>
        <v>185.02</v>
      </c>
      <c r="M3492">
        <f>COUNTIFS($C$2:$C$3934,Table4[[#This Row],[customer_id]])</f>
        <v>6</v>
      </c>
      <c r="N3492" t="str">
        <f>IF(Table4[[#This Row],[customer_order_count]]=1,"New Customer","Repeat Customer")</f>
        <v>Repeat Customer</v>
      </c>
    </row>
    <row r="3493" spans="1:14">
      <c r="A3493" t="s">
        <v>1032</v>
      </c>
      <c r="B3493" s="1">
        <v>45288</v>
      </c>
      <c r="C3493" t="s">
        <v>1033</v>
      </c>
      <c r="D3493" t="s">
        <v>839</v>
      </c>
      <c r="E3493" t="s">
        <v>21</v>
      </c>
      <c r="F3493" t="s">
        <v>14</v>
      </c>
      <c r="G3493" t="s">
        <v>100</v>
      </c>
      <c r="H3493">
        <v>1</v>
      </c>
      <c r="I3493" s="3">
        <v>92.53</v>
      </c>
      <c r="J3493" t="s">
        <v>16</v>
      </c>
      <c r="K3493" t="s">
        <v>17</v>
      </c>
      <c r="L3493" s="4">
        <f>Table4[[#This Row],[quantity]]*Table4[[#This Row],[unit_price]]</f>
        <v>92.53</v>
      </c>
      <c r="M3493">
        <f>COUNTIFS($C$2:$C$3934,Table4[[#This Row],[customer_id]])</f>
        <v>2</v>
      </c>
      <c r="N3493" t="str">
        <f>IF(Table4[[#This Row],[customer_order_count]]=1,"New Customer","Repeat Customer")</f>
        <v>Repeat Customer</v>
      </c>
    </row>
    <row r="3494" spans="1:14">
      <c r="A3494" t="s">
        <v>1910</v>
      </c>
      <c r="B3494" s="1">
        <v>45422</v>
      </c>
      <c r="C3494" t="s">
        <v>323</v>
      </c>
      <c r="D3494" t="s">
        <v>324</v>
      </c>
      <c r="E3494" t="s">
        <v>44</v>
      </c>
      <c r="F3494" t="s">
        <v>14</v>
      </c>
      <c r="G3494" t="s">
        <v>15</v>
      </c>
      <c r="H3494">
        <v>1</v>
      </c>
      <c r="I3494" s="3">
        <v>92.66</v>
      </c>
      <c r="J3494" t="s">
        <v>16</v>
      </c>
      <c r="K3494" t="s">
        <v>30</v>
      </c>
      <c r="L3494" s="4">
        <f>Table4[[#This Row],[quantity]]*Table4[[#This Row],[unit_price]]</f>
        <v>92.66</v>
      </c>
      <c r="M3494">
        <f>COUNTIFS($C$2:$C$3934,Table4[[#This Row],[customer_id]])</f>
        <v>6</v>
      </c>
      <c r="N3494" t="str">
        <f>IF(Table4[[#This Row],[customer_order_count]]=1,"New Customer","Repeat Customer")</f>
        <v>Repeat Customer</v>
      </c>
    </row>
    <row r="3495" spans="1:14">
      <c r="A3495" t="s">
        <v>4301</v>
      </c>
      <c r="B3495" s="1">
        <v>45475</v>
      </c>
      <c r="C3495" t="s">
        <v>4302</v>
      </c>
      <c r="D3495" t="s">
        <v>1114</v>
      </c>
      <c r="E3495" t="s">
        <v>61</v>
      </c>
      <c r="F3495" t="s">
        <v>56</v>
      </c>
      <c r="G3495" t="s">
        <v>57</v>
      </c>
      <c r="H3495">
        <v>1</v>
      </c>
      <c r="I3495" s="3">
        <v>92.89</v>
      </c>
      <c r="J3495" t="s">
        <v>16</v>
      </c>
      <c r="K3495" s="2" t="s">
        <v>5256</v>
      </c>
      <c r="L3495" s="4">
        <f>Table4[[#This Row],[quantity]]*Table4[[#This Row],[unit_price]]</f>
        <v>92.89</v>
      </c>
      <c r="M3495">
        <f>COUNTIFS($C$2:$C$3934,Table4[[#This Row],[customer_id]])</f>
        <v>2</v>
      </c>
      <c r="N3495" t="str">
        <f>IF(Table4[[#This Row],[customer_order_count]]=1,"New Customer","Repeat Customer")</f>
        <v>Repeat Customer</v>
      </c>
    </row>
    <row r="3496" spans="1:14">
      <c r="A3496" t="s">
        <v>2096</v>
      </c>
      <c r="B3496" s="1">
        <v>45394</v>
      </c>
      <c r="C3496" t="s">
        <v>999</v>
      </c>
      <c r="D3496" t="s">
        <v>1000</v>
      </c>
      <c r="E3496" t="s">
        <v>21</v>
      </c>
      <c r="F3496" t="s">
        <v>56</v>
      </c>
      <c r="G3496" t="s">
        <v>153</v>
      </c>
      <c r="H3496">
        <v>1</v>
      </c>
      <c r="I3496" s="3">
        <v>92.9</v>
      </c>
      <c r="J3496" t="s">
        <v>16</v>
      </c>
      <c r="K3496" s="5" t="s">
        <v>40</v>
      </c>
      <c r="L3496" s="4">
        <f>Table4[[#This Row],[quantity]]*Table4[[#This Row],[unit_price]]</f>
        <v>92.9</v>
      </c>
      <c r="M3496">
        <f>COUNTIFS($C$2:$C$3934,Table4[[#This Row],[customer_id]])</f>
        <v>5</v>
      </c>
      <c r="N3496" t="str">
        <f>IF(Table4[[#This Row],[customer_order_count]]=1,"New Customer","Repeat Customer")</f>
        <v>Repeat Customer</v>
      </c>
    </row>
    <row r="3497" spans="1:14">
      <c r="A3497" t="s">
        <v>4461</v>
      </c>
      <c r="B3497" s="1">
        <v>45578</v>
      </c>
      <c r="C3497" t="s">
        <v>2214</v>
      </c>
      <c r="D3497" t="s">
        <v>2215</v>
      </c>
      <c r="E3497" t="s">
        <v>21</v>
      </c>
      <c r="F3497" t="s">
        <v>79</v>
      </c>
      <c r="G3497" t="s">
        <v>96</v>
      </c>
      <c r="H3497">
        <v>1</v>
      </c>
      <c r="I3497" s="3">
        <v>92.93</v>
      </c>
      <c r="J3497" t="s">
        <v>16</v>
      </c>
      <c r="K3497" t="s">
        <v>35</v>
      </c>
      <c r="L3497" s="4">
        <f>Table4[[#This Row],[quantity]]*Table4[[#This Row],[unit_price]]</f>
        <v>92.93</v>
      </c>
      <c r="M3497">
        <f>COUNTIFS($C$2:$C$3934,Table4[[#This Row],[customer_id]])</f>
        <v>5</v>
      </c>
      <c r="N3497" t="str">
        <f>IF(Table4[[#This Row],[customer_order_count]]=1,"New Customer","Repeat Customer")</f>
        <v>Repeat Customer</v>
      </c>
    </row>
    <row r="3498" spans="1:14">
      <c r="A3498" t="s">
        <v>308</v>
      </c>
      <c r="B3498" s="1">
        <v>44972</v>
      </c>
      <c r="C3498" t="s">
        <v>309</v>
      </c>
      <c r="D3498" t="s">
        <v>310</v>
      </c>
      <c r="E3498" t="s">
        <v>44</v>
      </c>
      <c r="F3498" t="s">
        <v>14</v>
      </c>
      <c r="G3498" t="s">
        <v>62</v>
      </c>
      <c r="H3498">
        <v>1</v>
      </c>
      <c r="I3498" s="3">
        <v>93.07</v>
      </c>
      <c r="J3498" t="s">
        <v>16</v>
      </c>
      <c r="K3498" t="s">
        <v>35</v>
      </c>
      <c r="L3498" s="4">
        <f>Table4[[#This Row],[quantity]]*Table4[[#This Row],[unit_price]]</f>
        <v>93.07</v>
      </c>
      <c r="M3498">
        <f>COUNTIFS($C$2:$C$3934,Table4[[#This Row],[customer_id]])</f>
        <v>8</v>
      </c>
      <c r="N3498" t="str">
        <f>IF(Table4[[#This Row],[customer_order_count]]=1,"New Customer","Repeat Customer")</f>
        <v>Repeat Customer</v>
      </c>
    </row>
    <row r="3499" spans="1:14">
      <c r="A3499" t="s">
        <v>4915</v>
      </c>
      <c r="B3499" s="1">
        <v>45270</v>
      </c>
      <c r="C3499" t="s">
        <v>796</v>
      </c>
      <c r="D3499" t="s">
        <v>797</v>
      </c>
      <c r="E3499" t="s">
        <v>21</v>
      </c>
      <c r="F3499" t="s">
        <v>79</v>
      </c>
      <c r="G3499" t="s">
        <v>80</v>
      </c>
      <c r="H3499">
        <v>1</v>
      </c>
      <c r="I3499" s="3">
        <v>93.11</v>
      </c>
      <c r="J3499" t="s">
        <v>16</v>
      </c>
      <c r="K3499" t="s">
        <v>30</v>
      </c>
      <c r="L3499" s="4">
        <f>Table4[[#This Row],[quantity]]*Table4[[#This Row],[unit_price]]</f>
        <v>93.11</v>
      </c>
      <c r="M3499">
        <f>COUNTIFS($C$2:$C$3934,Table4[[#This Row],[customer_id]])</f>
        <v>6</v>
      </c>
      <c r="N3499" t="str">
        <f>IF(Table4[[#This Row],[customer_order_count]]=1,"New Customer","Repeat Customer")</f>
        <v>Repeat Customer</v>
      </c>
    </row>
    <row r="3500" spans="1:14">
      <c r="A3500" t="s">
        <v>394</v>
      </c>
      <c r="B3500" s="1">
        <v>45394</v>
      </c>
      <c r="C3500" t="s">
        <v>395</v>
      </c>
      <c r="D3500" t="s">
        <v>396</v>
      </c>
      <c r="E3500" t="s">
        <v>21</v>
      </c>
      <c r="F3500" t="s">
        <v>56</v>
      </c>
      <c r="G3500" t="s">
        <v>153</v>
      </c>
      <c r="H3500">
        <v>1</v>
      </c>
      <c r="I3500" s="3">
        <v>93.14</v>
      </c>
      <c r="J3500" t="s">
        <v>16</v>
      </c>
      <c r="K3500" t="s">
        <v>35</v>
      </c>
      <c r="L3500" s="4">
        <f>Table4[[#This Row],[quantity]]*Table4[[#This Row],[unit_price]]</f>
        <v>93.14</v>
      </c>
      <c r="M3500">
        <f>COUNTIFS($C$2:$C$3934,Table4[[#This Row],[customer_id]])</f>
        <v>6</v>
      </c>
      <c r="N3500" t="str">
        <f>IF(Table4[[#This Row],[customer_order_count]]=1,"New Customer","Repeat Customer")</f>
        <v>Repeat Customer</v>
      </c>
    </row>
    <row r="3501" spans="1:14">
      <c r="A3501" t="s">
        <v>3869</v>
      </c>
      <c r="B3501" s="1">
        <v>45258</v>
      </c>
      <c r="C3501" t="s">
        <v>3209</v>
      </c>
      <c r="D3501" t="s">
        <v>1430</v>
      </c>
      <c r="E3501" t="s">
        <v>21</v>
      </c>
      <c r="F3501" t="s">
        <v>79</v>
      </c>
      <c r="G3501" t="s">
        <v>398</v>
      </c>
      <c r="H3501">
        <v>2</v>
      </c>
      <c r="I3501" s="3">
        <v>93.17</v>
      </c>
      <c r="J3501" t="s">
        <v>16</v>
      </c>
      <c r="K3501" t="s">
        <v>40</v>
      </c>
      <c r="L3501" s="4">
        <f>Table4[[#This Row],[quantity]]*Table4[[#This Row],[unit_price]]</f>
        <v>186.34</v>
      </c>
      <c r="M3501">
        <f>COUNTIFS($C$2:$C$3934,Table4[[#This Row],[customer_id]])</f>
        <v>7</v>
      </c>
      <c r="N3501" t="str">
        <f>IF(Table4[[#This Row],[customer_order_count]]=1,"New Customer","Repeat Customer")</f>
        <v>Repeat Customer</v>
      </c>
    </row>
    <row r="3502" spans="1:14">
      <c r="A3502" t="s">
        <v>4715</v>
      </c>
      <c r="B3502" s="1">
        <v>45376</v>
      </c>
      <c r="C3502" t="s">
        <v>880</v>
      </c>
      <c r="D3502" t="s">
        <v>881</v>
      </c>
      <c r="E3502" t="s">
        <v>21</v>
      </c>
      <c r="F3502" t="s">
        <v>14</v>
      </c>
      <c r="G3502" t="s">
        <v>34</v>
      </c>
      <c r="H3502">
        <v>1</v>
      </c>
      <c r="I3502" s="3">
        <v>93.21</v>
      </c>
      <c r="J3502" t="s">
        <v>16</v>
      </c>
      <c r="K3502" t="s">
        <v>17</v>
      </c>
      <c r="L3502" s="4">
        <f>Table4[[#This Row],[quantity]]*Table4[[#This Row],[unit_price]]</f>
        <v>93.21</v>
      </c>
      <c r="M3502">
        <f>COUNTIFS($C$2:$C$3934,Table4[[#This Row],[customer_id]])</f>
        <v>6</v>
      </c>
      <c r="N3502" t="str">
        <f>IF(Table4[[#This Row],[customer_order_count]]=1,"New Customer","Repeat Customer")</f>
        <v>Repeat Customer</v>
      </c>
    </row>
    <row r="3503" spans="1:14">
      <c r="A3503" t="s">
        <v>3193</v>
      </c>
      <c r="B3503" s="1">
        <v>45531</v>
      </c>
      <c r="C3503" t="s">
        <v>3194</v>
      </c>
      <c r="D3503" t="s">
        <v>1938</v>
      </c>
      <c r="E3503" t="s">
        <v>61</v>
      </c>
      <c r="F3503" t="s">
        <v>14</v>
      </c>
      <c r="G3503" t="s">
        <v>15</v>
      </c>
      <c r="H3503">
        <v>2</v>
      </c>
      <c r="I3503" s="3">
        <v>93.26</v>
      </c>
      <c r="J3503" t="s">
        <v>255</v>
      </c>
      <c r="K3503" t="s">
        <v>35</v>
      </c>
      <c r="L3503" s="4">
        <f>Table4[[#This Row],[quantity]]*Table4[[#This Row],[unit_price]]</f>
        <v>186.52</v>
      </c>
      <c r="M3503">
        <f>COUNTIFS($C$2:$C$3934,Table4[[#This Row],[customer_id]])</f>
        <v>2</v>
      </c>
      <c r="N3503" t="str">
        <f>IF(Table4[[#This Row],[customer_order_count]]=1,"New Customer","Repeat Customer")</f>
        <v>Repeat Customer</v>
      </c>
    </row>
    <row r="3504" spans="1:14">
      <c r="A3504" t="s">
        <v>201</v>
      </c>
      <c r="B3504" s="1">
        <v>45519</v>
      </c>
      <c r="C3504" t="s">
        <v>202</v>
      </c>
      <c r="D3504" t="s">
        <v>203</v>
      </c>
      <c r="E3504" t="s">
        <v>21</v>
      </c>
      <c r="F3504" t="s">
        <v>79</v>
      </c>
      <c r="G3504" t="s">
        <v>204</v>
      </c>
      <c r="H3504">
        <v>1</v>
      </c>
      <c r="I3504" s="3">
        <v>93.27</v>
      </c>
      <c r="J3504" t="s">
        <v>16</v>
      </c>
      <c r="K3504" t="s">
        <v>40</v>
      </c>
      <c r="L3504" s="4">
        <f>Table4[[#This Row],[quantity]]*Table4[[#This Row],[unit_price]]</f>
        <v>93.27</v>
      </c>
      <c r="M3504">
        <f>COUNTIFS($C$2:$C$3934,Table4[[#This Row],[customer_id]])</f>
        <v>8</v>
      </c>
      <c r="N3504" t="str">
        <f>IF(Table4[[#This Row],[customer_order_count]]=1,"New Customer","Repeat Customer")</f>
        <v>Repeat Customer</v>
      </c>
    </row>
    <row r="3505" spans="1:14">
      <c r="A3505" t="s">
        <v>5094</v>
      </c>
      <c r="B3505" s="1">
        <v>45255</v>
      </c>
      <c r="C3505" t="s">
        <v>82</v>
      </c>
      <c r="D3505" t="s">
        <v>83</v>
      </c>
      <c r="E3505" t="s">
        <v>21</v>
      </c>
      <c r="F3505" t="s">
        <v>56</v>
      </c>
      <c r="G3505" t="s">
        <v>75</v>
      </c>
      <c r="H3505">
        <v>1</v>
      </c>
      <c r="I3505" s="3">
        <v>93.35</v>
      </c>
      <c r="J3505" t="s">
        <v>85</v>
      </c>
      <c r="K3505" t="s">
        <v>30</v>
      </c>
      <c r="L3505" s="4">
        <f>Table4[[#This Row],[quantity]]*Table4[[#This Row],[unit_price]]</f>
        <v>93.35</v>
      </c>
      <c r="M3505">
        <f>COUNTIFS($C$2:$C$3934,Table4[[#This Row],[customer_id]])</f>
        <v>7</v>
      </c>
      <c r="N3505" t="str">
        <f>IF(Table4[[#This Row],[customer_order_count]]=1,"New Customer","Repeat Customer")</f>
        <v>Repeat Customer</v>
      </c>
    </row>
    <row r="3506" spans="1:14">
      <c r="A3506" t="s">
        <v>3552</v>
      </c>
      <c r="B3506" s="1">
        <v>45035</v>
      </c>
      <c r="C3506" t="s">
        <v>3553</v>
      </c>
      <c r="D3506" t="s">
        <v>377</v>
      </c>
      <c r="E3506" t="s">
        <v>61</v>
      </c>
      <c r="F3506" t="s">
        <v>56</v>
      </c>
      <c r="G3506" t="s">
        <v>118</v>
      </c>
      <c r="H3506">
        <v>1</v>
      </c>
      <c r="I3506" s="3">
        <v>93.36</v>
      </c>
      <c r="J3506" t="s">
        <v>16</v>
      </c>
      <c r="K3506" t="s">
        <v>17</v>
      </c>
      <c r="L3506" s="4">
        <f>Table4[[#This Row],[quantity]]*Table4[[#This Row],[unit_price]]</f>
        <v>93.36</v>
      </c>
      <c r="M3506">
        <f>COUNTIFS($C$2:$C$3934,Table4[[#This Row],[customer_id]])</f>
        <v>1</v>
      </c>
      <c r="N3506" t="str">
        <f>IF(Table4[[#This Row],[customer_order_count]]=1,"New Customer","Repeat Customer")</f>
        <v>New Customer</v>
      </c>
    </row>
    <row r="3507" spans="1:14">
      <c r="A3507" t="s">
        <v>2220</v>
      </c>
      <c r="B3507" s="1">
        <v>45570</v>
      </c>
      <c r="C3507" t="s">
        <v>1842</v>
      </c>
      <c r="D3507" t="s">
        <v>496</v>
      </c>
      <c r="E3507" t="s">
        <v>44</v>
      </c>
      <c r="F3507" t="s">
        <v>79</v>
      </c>
      <c r="G3507" t="s">
        <v>230</v>
      </c>
      <c r="H3507">
        <v>1</v>
      </c>
      <c r="I3507" s="3">
        <v>93.4</v>
      </c>
      <c r="J3507" t="s">
        <v>85</v>
      </c>
      <c r="K3507" t="s">
        <v>30</v>
      </c>
      <c r="L3507" s="4">
        <f>Table4[[#This Row],[quantity]]*Table4[[#This Row],[unit_price]]</f>
        <v>93.4</v>
      </c>
      <c r="M3507">
        <f>COUNTIFS($C$2:$C$3934,Table4[[#This Row],[customer_id]])</f>
        <v>7</v>
      </c>
      <c r="N3507" t="str">
        <f>IF(Table4[[#This Row],[customer_order_count]]=1,"New Customer","Repeat Customer")</f>
        <v>Repeat Customer</v>
      </c>
    </row>
    <row r="3508" spans="1:14">
      <c r="A3508" t="s">
        <v>2749</v>
      </c>
      <c r="B3508" s="1">
        <v>45470</v>
      </c>
      <c r="C3508" t="s">
        <v>827</v>
      </c>
      <c r="D3508" t="s">
        <v>828</v>
      </c>
      <c r="E3508" t="s">
        <v>21</v>
      </c>
      <c r="F3508" t="s">
        <v>56</v>
      </c>
      <c r="G3508" t="s">
        <v>254</v>
      </c>
      <c r="H3508">
        <v>3</v>
      </c>
      <c r="I3508" s="3">
        <v>93.41</v>
      </c>
      <c r="J3508" t="s">
        <v>16</v>
      </c>
      <c r="K3508" t="s">
        <v>30</v>
      </c>
      <c r="L3508" s="4">
        <f>Table4[[#This Row],[quantity]]*Table4[[#This Row],[unit_price]]</f>
        <v>280.23</v>
      </c>
      <c r="M3508">
        <f>COUNTIFS($C$2:$C$3934,Table4[[#This Row],[customer_id]])</f>
        <v>6</v>
      </c>
      <c r="N3508" t="str">
        <f>IF(Table4[[#This Row],[customer_order_count]]=1,"New Customer","Repeat Customer")</f>
        <v>Repeat Customer</v>
      </c>
    </row>
    <row r="3509" spans="1:14">
      <c r="A3509" t="s">
        <v>163</v>
      </c>
      <c r="B3509" s="1">
        <v>45047</v>
      </c>
      <c r="C3509" t="s">
        <v>164</v>
      </c>
      <c r="D3509" t="s">
        <v>165</v>
      </c>
      <c r="E3509" t="s">
        <v>44</v>
      </c>
      <c r="F3509" t="s">
        <v>79</v>
      </c>
      <c r="G3509" t="s">
        <v>166</v>
      </c>
      <c r="H3509">
        <v>2</v>
      </c>
      <c r="I3509" s="3">
        <v>93.44</v>
      </c>
      <c r="J3509" t="s">
        <v>16</v>
      </c>
      <c r="K3509" t="s">
        <v>40</v>
      </c>
      <c r="L3509" s="4">
        <f>Table4[[#This Row],[quantity]]*Table4[[#This Row],[unit_price]]</f>
        <v>186.88</v>
      </c>
      <c r="M3509">
        <f>COUNTIFS($C$2:$C$3934,Table4[[#This Row],[customer_id]])</f>
        <v>6</v>
      </c>
      <c r="N3509" t="str">
        <f>IF(Table4[[#This Row],[customer_order_count]]=1,"New Customer","Repeat Customer")</f>
        <v>Repeat Customer</v>
      </c>
    </row>
    <row r="3510" spans="1:14">
      <c r="A3510" t="s">
        <v>908</v>
      </c>
      <c r="B3510" s="1">
        <v>45187</v>
      </c>
      <c r="C3510" t="s">
        <v>909</v>
      </c>
      <c r="D3510" t="s">
        <v>910</v>
      </c>
      <c r="E3510" t="s">
        <v>21</v>
      </c>
      <c r="F3510" t="s">
        <v>79</v>
      </c>
      <c r="G3510" t="s">
        <v>204</v>
      </c>
      <c r="H3510">
        <v>1</v>
      </c>
      <c r="I3510" s="3">
        <v>93.45</v>
      </c>
      <c r="J3510" t="s">
        <v>16</v>
      </c>
      <c r="K3510" t="s">
        <v>17</v>
      </c>
      <c r="L3510" s="4">
        <f>Table4[[#This Row],[quantity]]*Table4[[#This Row],[unit_price]]</f>
        <v>93.45</v>
      </c>
      <c r="M3510">
        <f>COUNTIFS($C$2:$C$3934,Table4[[#This Row],[customer_id]])</f>
        <v>7</v>
      </c>
      <c r="N3510" t="str">
        <f>IF(Table4[[#This Row],[customer_order_count]]=1,"New Customer","Repeat Customer")</f>
        <v>Repeat Customer</v>
      </c>
    </row>
    <row r="3511" spans="1:14">
      <c r="A3511" t="s">
        <v>3371</v>
      </c>
      <c r="B3511" s="1">
        <v>45213</v>
      </c>
      <c r="C3511" t="s">
        <v>1864</v>
      </c>
      <c r="D3511" t="s">
        <v>1244</v>
      </c>
      <c r="E3511" t="s">
        <v>21</v>
      </c>
      <c r="F3511" t="s">
        <v>56</v>
      </c>
      <c r="G3511" t="s">
        <v>210</v>
      </c>
      <c r="H3511">
        <v>3</v>
      </c>
      <c r="I3511" s="3">
        <v>93.45</v>
      </c>
      <c r="J3511" t="s">
        <v>16</v>
      </c>
      <c r="K3511" t="s">
        <v>17</v>
      </c>
      <c r="L3511" s="4">
        <f>Table4[[#This Row],[quantity]]*Table4[[#This Row],[unit_price]]</f>
        <v>280.35000000000002</v>
      </c>
      <c r="M3511">
        <f>COUNTIFS($C$2:$C$3934,Table4[[#This Row],[customer_id]])</f>
        <v>5</v>
      </c>
      <c r="N3511" t="str">
        <f>IF(Table4[[#This Row],[customer_order_count]]=1,"New Customer","Repeat Customer")</f>
        <v>Repeat Customer</v>
      </c>
    </row>
    <row r="3512" spans="1:14">
      <c r="A3512" t="s">
        <v>5130</v>
      </c>
      <c r="B3512" s="1">
        <v>45609</v>
      </c>
      <c r="C3512" t="s">
        <v>810</v>
      </c>
      <c r="D3512" t="s">
        <v>811</v>
      </c>
      <c r="E3512" t="s">
        <v>21</v>
      </c>
      <c r="F3512" t="s">
        <v>79</v>
      </c>
      <c r="G3512" t="s">
        <v>398</v>
      </c>
      <c r="H3512">
        <v>2</v>
      </c>
      <c r="I3512" s="3">
        <v>93.48</v>
      </c>
      <c r="J3512" t="s">
        <v>16</v>
      </c>
      <c r="K3512" t="s">
        <v>35</v>
      </c>
      <c r="L3512" s="4">
        <f>Table4[[#This Row],[quantity]]*Table4[[#This Row],[unit_price]]</f>
        <v>186.96</v>
      </c>
      <c r="M3512">
        <f>COUNTIFS($C$2:$C$3934,Table4[[#This Row],[customer_id]])</f>
        <v>7</v>
      </c>
      <c r="N3512" t="str">
        <f>IF(Table4[[#This Row],[customer_order_count]]=1,"New Customer","Repeat Customer")</f>
        <v>Repeat Customer</v>
      </c>
    </row>
    <row r="3513" spans="1:14">
      <c r="A3513" t="s">
        <v>3870</v>
      </c>
      <c r="B3513" s="1">
        <v>45161</v>
      </c>
      <c r="C3513" t="s">
        <v>1679</v>
      </c>
      <c r="D3513" t="s">
        <v>65</v>
      </c>
      <c r="E3513" t="s">
        <v>21</v>
      </c>
      <c r="F3513" t="s">
        <v>56</v>
      </c>
      <c r="G3513" t="s">
        <v>254</v>
      </c>
      <c r="H3513">
        <v>5</v>
      </c>
      <c r="I3513" s="3">
        <v>93.48</v>
      </c>
      <c r="J3513" t="s">
        <v>16</v>
      </c>
      <c r="K3513" t="s">
        <v>35</v>
      </c>
      <c r="L3513" s="4">
        <f>Table4[[#This Row],[quantity]]*Table4[[#This Row],[unit_price]]</f>
        <v>467.40000000000003</v>
      </c>
      <c r="M3513">
        <f>COUNTIFS($C$2:$C$3934,Table4[[#This Row],[customer_id]])</f>
        <v>8</v>
      </c>
      <c r="N3513" t="str">
        <f>IF(Table4[[#This Row],[customer_order_count]]=1,"New Customer","Repeat Customer")</f>
        <v>Repeat Customer</v>
      </c>
    </row>
    <row r="3514" spans="1:14">
      <c r="A3514" t="s">
        <v>803</v>
      </c>
      <c r="B3514" s="1">
        <v>45339</v>
      </c>
      <c r="C3514" t="s">
        <v>804</v>
      </c>
      <c r="D3514" t="s">
        <v>805</v>
      </c>
      <c r="E3514" t="s">
        <v>21</v>
      </c>
      <c r="F3514" t="s">
        <v>14</v>
      </c>
      <c r="G3514" t="s">
        <v>34</v>
      </c>
      <c r="H3514">
        <v>2</v>
      </c>
      <c r="I3514" s="3">
        <v>93.5</v>
      </c>
      <c r="J3514" t="s">
        <v>16</v>
      </c>
      <c r="K3514" t="s">
        <v>35</v>
      </c>
      <c r="L3514" s="4">
        <f>Table4[[#This Row],[quantity]]*Table4[[#This Row],[unit_price]]</f>
        <v>187</v>
      </c>
      <c r="M3514">
        <f>COUNTIFS($C$2:$C$3934,Table4[[#This Row],[customer_id]])</f>
        <v>6</v>
      </c>
      <c r="N3514" t="str">
        <f>IF(Table4[[#This Row],[customer_order_count]]=1,"New Customer","Repeat Customer")</f>
        <v>Repeat Customer</v>
      </c>
    </row>
    <row r="3515" spans="1:14">
      <c r="A3515" t="s">
        <v>3114</v>
      </c>
      <c r="B3515" s="1">
        <v>45355</v>
      </c>
      <c r="C3515" t="s">
        <v>760</v>
      </c>
      <c r="D3515" t="s">
        <v>761</v>
      </c>
      <c r="E3515" t="s">
        <v>21</v>
      </c>
      <c r="F3515" t="s">
        <v>56</v>
      </c>
      <c r="G3515" t="s">
        <v>118</v>
      </c>
      <c r="H3515">
        <v>4</v>
      </c>
      <c r="I3515" s="3">
        <v>93.5</v>
      </c>
      <c r="J3515" t="s">
        <v>16</v>
      </c>
      <c r="K3515" t="s">
        <v>40</v>
      </c>
      <c r="L3515" s="4">
        <f>Table4[[#This Row],[quantity]]*Table4[[#This Row],[unit_price]]</f>
        <v>374</v>
      </c>
      <c r="M3515">
        <f>COUNTIFS($C$2:$C$3934,Table4[[#This Row],[customer_id]])</f>
        <v>4</v>
      </c>
      <c r="N3515" t="str">
        <f>IF(Table4[[#This Row],[customer_order_count]]=1,"New Customer","Repeat Customer")</f>
        <v>Repeat Customer</v>
      </c>
    </row>
    <row r="3516" spans="1:14">
      <c r="A3516" t="s">
        <v>2689</v>
      </c>
      <c r="B3516" s="1">
        <v>45322</v>
      </c>
      <c r="C3516" t="s">
        <v>1379</v>
      </c>
      <c r="D3516" t="s">
        <v>1054</v>
      </c>
      <c r="E3516" t="s">
        <v>21</v>
      </c>
      <c r="F3516" t="s">
        <v>56</v>
      </c>
      <c r="G3516" t="s">
        <v>118</v>
      </c>
      <c r="H3516">
        <v>1</v>
      </c>
      <c r="I3516" s="3">
        <v>93.53</v>
      </c>
      <c r="J3516" t="s">
        <v>16</v>
      </c>
      <c r="K3516" t="s">
        <v>30</v>
      </c>
      <c r="L3516" s="4">
        <f>Table4[[#This Row],[quantity]]*Table4[[#This Row],[unit_price]]</f>
        <v>93.53</v>
      </c>
      <c r="M3516">
        <f>COUNTIFS($C$2:$C$3934,Table4[[#This Row],[customer_id]])</f>
        <v>5</v>
      </c>
      <c r="N3516" t="str">
        <f>IF(Table4[[#This Row],[customer_order_count]]=1,"New Customer","Repeat Customer")</f>
        <v>Repeat Customer</v>
      </c>
    </row>
    <row r="3517" spans="1:14">
      <c r="A3517" t="s">
        <v>2091</v>
      </c>
      <c r="B3517" s="1">
        <v>45475</v>
      </c>
      <c r="C3517" t="s">
        <v>708</v>
      </c>
      <c r="D3517" s="2" t="s">
        <v>5257</v>
      </c>
      <c r="E3517" t="s">
        <v>21</v>
      </c>
      <c r="F3517" t="s">
        <v>56</v>
      </c>
      <c r="G3517" t="s">
        <v>153</v>
      </c>
      <c r="H3517">
        <v>1</v>
      </c>
      <c r="I3517" s="3">
        <v>93.58</v>
      </c>
      <c r="J3517" t="s">
        <v>16</v>
      </c>
      <c r="K3517" t="s">
        <v>30</v>
      </c>
      <c r="L3517" s="4">
        <f>Table4[[#This Row],[quantity]]*Table4[[#This Row],[unit_price]]</f>
        <v>93.58</v>
      </c>
      <c r="M3517">
        <f>COUNTIFS($C$2:$C$3934,Table4[[#This Row],[customer_id]])</f>
        <v>7</v>
      </c>
      <c r="N3517" t="str">
        <f>IF(Table4[[#This Row],[customer_order_count]]=1,"New Customer","Repeat Customer")</f>
        <v>Repeat Customer</v>
      </c>
    </row>
    <row r="3518" spans="1:14">
      <c r="A3518" t="s">
        <v>2932</v>
      </c>
      <c r="B3518" s="1">
        <v>45383</v>
      </c>
      <c r="C3518" t="s">
        <v>2309</v>
      </c>
      <c r="D3518" s="5" t="s">
        <v>2310</v>
      </c>
      <c r="E3518" t="s">
        <v>21</v>
      </c>
      <c r="F3518" t="s">
        <v>14</v>
      </c>
      <c r="G3518" t="s">
        <v>34</v>
      </c>
      <c r="H3518">
        <v>1</v>
      </c>
      <c r="I3518" s="3">
        <v>93.63</v>
      </c>
      <c r="J3518" t="s">
        <v>16</v>
      </c>
      <c r="K3518" t="s">
        <v>35</v>
      </c>
      <c r="L3518" s="4">
        <f>Table4[[#This Row],[quantity]]*Table4[[#This Row],[unit_price]]</f>
        <v>93.63</v>
      </c>
      <c r="M3518">
        <f>COUNTIFS($C$2:$C$3934,Table4[[#This Row],[customer_id]])</f>
        <v>5</v>
      </c>
      <c r="N3518" t="str">
        <f>IF(Table4[[#This Row],[customer_order_count]]=1,"New Customer","Repeat Customer")</f>
        <v>Repeat Customer</v>
      </c>
    </row>
    <row r="3519" spans="1:14">
      <c r="A3519" t="s">
        <v>2602</v>
      </c>
      <c r="B3519" s="1">
        <v>45396</v>
      </c>
      <c r="C3519" t="s">
        <v>243</v>
      </c>
      <c r="D3519" t="s">
        <v>244</v>
      </c>
      <c r="E3519" t="s">
        <v>21</v>
      </c>
      <c r="F3519" t="s">
        <v>56</v>
      </c>
      <c r="G3519" t="s">
        <v>422</v>
      </c>
      <c r="H3519">
        <v>1</v>
      </c>
      <c r="I3519" s="3">
        <v>93.68</v>
      </c>
      <c r="J3519" t="s">
        <v>16</v>
      </c>
      <c r="K3519" t="s">
        <v>30</v>
      </c>
      <c r="L3519" s="4">
        <f>Table4[[#This Row],[quantity]]*Table4[[#This Row],[unit_price]]</f>
        <v>93.68</v>
      </c>
      <c r="M3519">
        <f>COUNTIFS($C$2:$C$3934,Table4[[#This Row],[customer_id]])</f>
        <v>8</v>
      </c>
      <c r="N3519" t="str">
        <f>IF(Table4[[#This Row],[customer_order_count]]=1,"New Customer","Repeat Customer")</f>
        <v>Repeat Customer</v>
      </c>
    </row>
    <row r="3520" spans="1:14">
      <c r="A3520" t="s">
        <v>1508</v>
      </c>
      <c r="B3520" s="1">
        <v>45327</v>
      </c>
      <c r="C3520" t="s">
        <v>1374</v>
      </c>
      <c r="D3520" t="s">
        <v>1000</v>
      </c>
      <c r="E3520" t="s">
        <v>21</v>
      </c>
      <c r="F3520" t="s">
        <v>79</v>
      </c>
      <c r="G3520" t="s">
        <v>541</v>
      </c>
      <c r="H3520">
        <v>3</v>
      </c>
      <c r="I3520" s="3">
        <v>93.72</v>
      </c>
      <c r="J3520" t="s">
        <v>16</v>
      </c>
      <c r="K3520" t="s">
        <v>17</v>
      </c>
      <c r="L3520" s="4">
        <f>Table4[[#This Row],[quantity]]*Table4[[#This Row],[unit_price]]</f>
        <v>281.15999999999997</v>
      </c>
      <c r="M3520">
        <f>COUNTIFS($C$2:$C$3934,Table4[[#This Row],[customer_id]])</f>
        <v>6</v>
      </c>
      <c r="N3520" t="str">
        <f>IF(Table4[[#This Row],[customer_order_count]]=1,"New Customer","Repeat Customer")</f>
        <v>Repeat Customer</v>
      </c>
    </row>
    <row r="3521" spans="1:14">
      <c r="A3521" t="s">
        <v>1984</v>
      </c>
      <c r="B3521" s="1">
        <v>45381</v>
      </c>
      <c r="C3521" t="s">
        <v>556</v>
      </c>
      <c r="D3521" t="s">
        <v>327</v>
      </c>
      <c r="E3521" t="s">
        <v>21</v>
      </c>
      <c r="F3521" t="s">
        <v>14</v>
      </c>
      <c r="G3521" t="s">
        <v>258</v>
      </c>
      <c r="H3521">
        <v>1</v>
      </c>
      <c r="I3521" s="3">
        <v>93.74</v>
      </c>
      <c r="J3521" t="s">
        <v>16</v>
      </c>
      <c r="K3521" t="s">
        <v>35</v>
      </c>
      <c r="L3521" s="4">
        <f>Table4[[#This Row],[quantity]]*Table4[[#This Row],[unit_price]]</f>
        <v>93.74</v>
      </c>
      <c r="M3521">
        <f>COUNTIFS($C$2:$C$3934,Table4[[#This Row],[customer_id]])</f>
        <v>7</v>
      </c>
      <c r="N3521" t="str">
        <f>IF(Table4[[#This Row],[customer_order_count]]=1,"New Customer","Repeat Customer")</f>
        <v>Repeat Customer</v>
      </c>
    </row>
    <row r="3522" spans="1:14">
      <c r="A3522" t="s">
        <v>2099</v>
      </c>
      <c r="B3522" s="1">
        <v>45186</v>
      </c>
      <c r="C3522" t="s">
        <v>1831</v>
      </c>
      <c r="D3522" t="s">
        <v>1832</v>
      </c>
      <c r="E3522" t="s">
        <v>21</v>
      </c>
      <c r="F3522" t="s">
        <v>14</v>
      </c>
      <c r="G3522" t="s">
        <v>62</v>
      </c>
      <c r="H3522">
        <v>2</v>
      </c>
      <c r="I3522" s="3">
        <v>93.8</v>
      </c>
      <c r="J3522" t="s">
        <v>16</v>
      </c>
      <c r="K3522" t="s">
        <v>30</v>
      </c>
      <c r="L3522" s="4">
        <f>Table4[[#This Row],[quantity]]*Table4[[#This Row],[unit_price]]</f>
        <v>187.6</v>
      </c>
      <c r="M3522">
        <f>COUNTIFS($C$2:$C$3934,Table4[[#This Row],[customer_id]])</f>
        <v>5</v>
      </c>
      <c r="N3522" t="str">
        <f>IF(Table4[[#This Row],[customer_order_count]]=1,"New Customer","Repeat Customer")</f>
        <v>Repeat Customer</v>
      </c>
    </row>
    <row r="3523" spans="1:14">
      <c r="A3523" t="s">
        <v>4114</v>
      </c>
      <c r="B3523" s="1">
        <v>45412</v>
      </c>
      <c r="C3523" t="s">
        <v>1815</v>
      </c>
      <c r="D3523" t="s">
        <v>684</v>
      </c>
      <c r="E3523" t="s">
        <v>21</v>
      </c>
      <c r="F3523" t="s">
        <v>56</v>
      </c>
      <c r="G3523" t="s">
        <v>254</v>
      </c>
      <c r="H3523">
        <v>2</v>
      </c>
      <c r="I3523" s="3">
        <v>93.81</v>
      </c>
      <c r="J3523" t="s">
        <v>16</v>
      </c>
      <c r="K3523" t="s">
        <v>40</v>
      </c>
      <c r="L3523" s="4">
        <f>Table4[[#This Row],[quantity]]*Table4[[#This Row],[unit_price]]</f>
        <v>187.62</v>
      </c>
      <c r="M3523">
        <f>COUNTIFS($C$2:$C$3934,Table4[[#This Row],[customer_id]])</f>
        <v>8</v>
      </c>
      <c r="N3523" t="str">
        <f>IF(Table4[[#This Row],[customer_order_count]]=1,"New Customer","Repeat Customer")</f>
        <v>Repeat Customer</v>
      </c>
    </row>
    <row r="3524" spans="1:14">
      <c r="A3524" t="s">
        <v>2973</v>
      </c>
      <c r="B3524" s="1">
        <v>45484</v>
      </c>
      <c r="C3524" t="s">
        <v>1671</v>
      </c>
      <c r="D3524" t="s">
        <v>576</v>
      </c>
      <c r="E3524" t="s">
        <v>21</v>
      </c>
      <c r="F3524" t="s">
        <v>56</v>
      </c>
      <c r="G3524" t="s">
        <v>254</v>
      </c>
      <c r="H3524">
        <v>1</v>
      </c>
      <c r="I3524" s="3">
        <v>93.85</v>
      </c>
      <c r="J3524" t="s">
        <v>16</v>
      </c>
      <c r="K3524" t="s">
        <v>17</v>
      </c>
      <c r="L3524" s="4">
        <f>Table4[[#This Row],[quantity]]*Table4[[#This Row],[unit_price]]</f>
        <v>93.85</v>
      </c>
      <c r="M3524">
        <f>COUNTIFS($C$2:$C$3934,Table4[[#This Row],[customer_id]])</f>
        <v>3</v>
      </c>
      <c r="N3524" t="str">
        <f>IF(Table4[[#This Row],[customer_order_count]]=1,"New Customer","Repeat Customer")</f>
        <v>Repeat Customer</v>
      </c>
    </row>
    <row r="3525" spans="1:14">
      <c r="A3525" t="s">
        <v>1300</v>
      </c>
      <c r="B3525" s="1">
        <v>45630</v>
      </c>
      <c r="C3525" t="s">
        <v>1282</v>
      </c>
      <c r="D3525" t="s">
        <v>78</v>
      </c>
      <c r="E3525" t="s">
        <v>21</v>
      </c>
      <c r="F3525" t="s">
        <v>14</v>
      </c>
      <c r="G3525" t="s">
        <v>258</v>
      </c>
      <c r="H3525">
        <v>1</v>
      </c>
      <c r="I3525" s="3">
        <v>93.88</v>
      </c>
      <c r="J3525" t="s">
        <v>16</v>
      </c>
      <c r="K3525" t="s">
        <v>40</v>
      </c>
      <c r="L3525" s="4">
        <f>Table4[[#This Row],[quantity]]*Table4[[#This Row],[unit_price]]</f>
        <v>93.88</v>
      </c>
      <c r="M3525">
        <f>COUNTIFS($C$2:$C$3934,Table4[[#This Row],[customer_id]])</f>
        <v>4</v>
      </c>
      <c r="N3525" t="str">
        <f>IF(Table4[[#This Row],[customer_order_count]]=1,"New Customer","Repeat Customer")</f>
        <v>Repeat Customer</v>
      </c>
    </row>
    <row r="3526" spans="1:14">
      <c r="A3526" t="s">
        <v>1647</v>
      </c>
      <c r="B3526" s="1">
        <v>45506</v>
      </c>
      <c r="C3526" t="s">
        <v>1648</v>
      </c>
      <c r="D3526" t="s">
        <v>1208</v>
      </c>
      <c r="E3526" t="s">
        <v>61</v>
      </c>
      <c r="F3526" t="s">
        <v>14</v>
      </c>
      <c r="G3526" t="s">
        <v>258</v>
      </c>
      <c r="H3526">
        <v>4</v>
      </c>
      <c r="I3526" s="3">
        <v>93.88</v>
      </c>
      <c r="J3526" t="s">
        <v>16</v>
      </c>
      <c r="K3526" t="s">
        <v>40</v>
      </c>
      <c r="L3526" s="4">
        <f>Table4[[#This Row],[quantity]]*Table4[[#This Row],[unit_price]]</f>
        <v>375.52</v>
      </c>
      <c r="M3526">
        <f>COUNTIFS($C$2:$C$3934,Table4[[#This Row],[customer_id]])</f>
        <v>6</v>
      </c>
      <c r="N3526" t="str">
        <f>IF(Table4[[#This Row],[customer_order_count]]=1,"New Customer","Repeat Customer")</f>
        <v>Repeat Customer</v>
      </c>
    </row>
    <row r="3527" spans="1:14">
      <c r="A3527" t="s">
        <v>479</v>
      </c>
      <c r="B3527" s="1">
        <v>45375</v>
      </c>
      <c r="C3527" t="s">
        <v>193</v>
      </c>
      <c r="D3527" t="s">
        <v>178</v>
      </c>
      <c r="E3527" t="s">
        <v>21</v>
      </c>
      <c r="F3527" t="s">
        <v>14</v>
      </c>
      <c r="G3527" t="s">
        <v>100</v>
      </c>
      <c r="H3527">
        <v>1</v>
      </c>
      <c r="I3527" s="3">
        <v>93.89</v>
      </c>
      <c r="J3527" t="s">
        <v>16</v>
      </c>
      <c r="K3527" t="s">
        <v>35</v>
      </c>
      <c r="L3527" s="4">
        <f>Table4[[#This Row],[quantity]]*Table4[[#This Row],[unit_price]]</f>
        <v>93.89</v>
      </c>
      <c r="M3527">
        <f>COUNTIFS($C$2:$C$3934,Table4[[#This Row],[customer_id]])</f>
        <v>8</v>
      </c>
      <c r="N3527" t="str">
        <f>IF(Table4[[#This Row],[customer_order_count]]=1,"New Customer","Repeat Customer")</f>
        <v>Repeat Customer</v>
      </c>
    </row>
    <row r="3528" spans="1:14">
      <c r="A3528" t="s">
        <v>1428</v>
      </c>
      <c r="B3528" s="1">
        <v>45418</v>
      </c>
      <c r="C3528" t="s">
        <v>1429</v>
      </c>
      <c r="D3528" t="s">
        <v>1430</v>
      </c>
      <c r="E3528" t="s">
        <v>21</v>
      </c>
      <c r="F3528" t="s">
        <v>56</v>
      </c>
      <c r="G3528" t="s">
        <v>118</v>
      </c>
      <c r="H3528">
        <v>3</v>
      </c>
      <c r="I3528" s="3">
        <v>93.95</v>
      </c>
      <c r="J3528" t="s">
        <v>16</v>
      </c>
      <c r="K3528" t="s">
        <v>17</v>
      </c>
      <c r="L3528" s="4">
        <f>Table4[[#This Row],[quantity]]*Table4[[#This Row],[unit_price]]</f>
        <v>281.85000000000002</v>
      </c>
      <c r="M3528">
        <f>COUNTIFS($C$2:$C$3934,Table4[[#This Row],[customer_id]])</f>
        <v>4</v>
      </c>
      <c r="N3528" t="str">
        <f>IF(Table4[[#This Row],[customer_order_count]]=1,"New Customer","Repeat Customer")</f>
        <v>Repeat Customer</v>
      </c>
    </row>
    <row r="3529" spans="1:14">
      <c r="A3529" t="s">
        <v>3737</v>
      </c>
      <c r="B3529" s="1">
        <v>45503</v>
      </c>
      <c r="C3529" t="s">
        <v>1144</v>
      </c>
      <c r="D3529" t="s">
        <v>60</v>
      </c>
      <c r="E3529" t="s">
        <v>21</v>
      </c>
      <c r="F3529" t="s">
        <v>14</v>
      </c>
      <c r="G3529" t="s">
        <v>258</v>
      </c>
      <c r="H3529">
        <v>1</v>
      </c>
      <c r="I3529" s="3">
        <v>93.96</v>
      </c>
      <c r="J3529" t="s">
        <v>16</v>
      </c>
      <c r="K3529" t="s">
        <v>30</v>
      </c>
      <c r="L3529" s="4">
        <f>Table4[[#This Row],[quantity]]*Table4[[#This Row],[unit_price]]</f>
        <v>93.96</v>
      </c>
      <c r="M3529">
        <f>COUNTIFS($C$2:$C$3934,Table4[[#This Row],[customer_id]])</f>
        <v>7</v>
      </c>
      <c r="N3529" t="str">
        <f>IF(Table4[[#This Row],[customer_order_count]]=1,"New Customer","Repeat Customer")</f>
        <v>Repeat Customer</v>
      </c>
    </row>
    <row r="3530" spans="1:14">
      <c r="A3530" t="s">
        <v>4588</v>
      </c>
      <c r="B3530" s="1">
        <v>45011</v>
      </c>
      <c r="C3530" t="s">
        <v>692</v>
      </c>
      <c r="D3530" t="s">
        <v>693</v>
      </c>
      <c r="E3530" t="s">
        <v>21</v>
      </c>
      <c r="F3530" t="s">
        <v>14</v>
      </c>
      <c r="G3530" t="s">
        <v>62</v>
      </c>
      <c r="H3530">
        <v>1</v>
      </c>
      <c r="I3530" s="3">
        <v>93.98</v>
      </c>
      <c r="J3530" t="s">
        <v>16</v>
      </c>
      <c r="K3530" t="s">
        <v>40</v>
      </c>
      <c r="L3530" s="4">
        <f>Table4[[#This Row],[quantity]]*Table4[[#This Row],[unit_price]]</f>
        <v>93.98</v>
      </c>
      <c r="M3530">
        <f>COUNTIFS($C$2:$C$3934,Table4[[#This Row],[customer_id]])</f>
        <v>3</v>
      </c>
      <c r="N3530" t="str">
        <f>IF(Table4[[#This Row],[customer_order_count]]=1,"New Customer","Repeat Customer")</f>
        <v>Repeat Customer</v>
      </c>
    </row>
    <row r="3531" spans="1:14">
      <c r="A3531" t="s">
        <v>4263</v>
      </c>
      <c r="B3531" s="1">
        <v>45285</v>
      </c>
      <c r="C3531" t="s">
        <v>663</v>
      </c>
      <c r="D3531" t="s">
        <v>48</v>
      </c>
      <c r="E3531" t="s">
        <v>21</v>
      </c>
      <c r="F3531" t="s">
        <v>79</v>
      </c>
      <c r="G3531" t="s">
        <v>96</v>
      </c>
      <c r="H3531">
        <v>1</v>
      </c>
      <c r="I3531" s="3">
        <v>94.01</v>
      </c>
      <c r="J3531" t="s">
        <v>16</v>
      </c>
      <c r="K3531" t="s">
        <v>30</v>
      </c>
      <c r="L3531" s="4">
        <f>Table4[[#This Row],[quantity]]*Table4[[#This Row],[unit_price]]</f>
        <v>94.01</v>
      </c>
      <c r="M3531">
        <f>COUNTIFS($C$2:$C$3934,Table4[[#This Row],[customer_id]])</f>
        <v>9</v>
      </c>
      <c r="N3531" t="str">
        <f>IF(Table4[[#This Row],[customer_order_count]]=1,"New Customer","Repeat Customer")</f>
        <v>Repeat Customer</v>
      </c>
    </row>
    <row r="3532" spans="1:14">
      <c r="A3532" t="s">
        <v>2603</v>
      </c>
      <c r="B3532" s="1">
        <v>45146</v>
      </c>
      <c r="C3532" t="s">
        <v>1338</v>
      </c>
      <c r="D3532" s="2" t="s">
        <v>5257</v>
      </c>
      <c r="E3532" t="s">
        <v>21</v>
      </c>
      <c r="F3532" t="s">
        <v>14</v>
      </c>
      <c r="G3532" t="s">
        <v>258</v>
      </c>
      <c r="H3532">
        <v>1</v>
      </c>
      <c r="I3532" s="3">
        <v>94.08</v>
      </c>
      <c r="J3532" t="s">
        <v>16</v>
      </c>
      <c r="K3532" t="s">
        <v>17</v>
      </c>
      <c r="L3532" s="4">
        <f>Table4[[#This Row],[quantity]]*Table4[[#This Row],[unit_price]]</f>
        <v>94.08</v>
      </c>
      <c r="M3532">
        <f>COUNTIFS($C$2:$C$3934,Table4[[#This Row],[customer_id]])</f>
        <v>7</v>
      </c>
      <c r="N3532" t="str">
        <f>IF(Table4[[#This Row],[customer_order_count]]=1,"New Customer","Repeat Customer")</f>
        <v>Repeat Customer</v>
      </c>
    </row>
    <row r="3533" spans="1:14">
      <c r="A3533" t="s">
        <v>5034</v>
      </c>
      <c r="B3533" s="1">
        <v>45251</v>
      </c>
      <c r="C3533" t="s">
        <v>799</v>
      </c>
      <c r="D3533" s="5" t="s">
        <v>43</v>
      </c>
      <c r="E3533" t="s">
        <v>21</v>
      </c>
      <c r="F3533" t="s">
        <v>14</v>
      </c>
      <c r="G3533" t="s">
        <v>62</v>
      </c>
      <c r="H3533">
        <v>1</v>
      </c>
      <c r="I3533" s="3">
        <v>94.24</v>
      </c>
      <c r="J3533" t="s">
        <v>16</v>
      </c>
      <c r="K3533" t="s">
        <v>40</v>
      </c>
      <c r="L3533" s="4">
        <f>Table4[[#This Row],[quantity]]*Table4[[#This Row],[unit_price]]</f>
        <v>94.24</v>
      </c>
      <c r="M3533">
        <f>COUNTIFS($C$2:$C$3934,Table4[[#This Row],[customer_id]])</f>
        <v>8</v>
      </c>
      <c r="N3533" t="str">
        <f>IF(Table4[[#This Row],[customer_order_count]]=1,"New Customer","Repeat Customer")</f>
        <v>Repeat Customer</v>
      </c>
    </row>
    <row r="3534" spans="1:14">
      <c r="A3534" t="s">
        <v>899</v>
      </c>
      <c r="B3534" s="1">
        <v>45631</v>
      </c>
      <c r="C3534" t="s">
        <v>900</v>
      </c>
      <c r="D3534" t="s">
        <v>857</v>
      </c>
      <c r="E3534" t="s">
        <v>21</v>
      </c>
      <c r="F3534" t="s">
        <v>56</v>
      </c>
      <c r="G3534" t="s">
        <v>153</v>
      </c>
      <c r="H3534">
        <v>2</v>
      </c>
      <c r="I3534" s="3">
        <v>94.43</v>
      </c>
      <c r="J3534" t="s">
        <v>85</v>
      </c>
      <c r="K3534" t="s">
        <v>17</v>
      </c>
      <c r="L3534" s="4">
        <f>Table4[[#This Row],[quantity]]*Table4[[#This Row],[unit_price]]</f>
        <v>188.86</v>
      </c>
      <c r="M3534">
        <f>COUNTIFS($C$2:$C$3934,Table4[[#This Row],[customer_id]])</f>
        <v>6</v>
      </c>
      <c r="N3534" t="str">
        <f>IF(Table4[[#This Row],[customer_order_count]]=1,"New Customer","Repeat Customer")</f>
        <v>Repeat Customer</v>
      </c>
    </row>
    <row r="3535" spans="1:14">
      <c r="A3535" t="s">
        <v>1779</v>
      </c>
      <c r="B3535" s="1">
        <v>45649</v>
      </c>
      <c r="C3535" t="s">
        <v>1780</v>
      </c>
      <c r="D3535" t="s">
        <v>169</v>
      </c>
      <c r="E3535" t="s">
        <v>44</v>
      </c>
      <c r="F3535" t="s">
        <v>56</v>
      </c>
      <c r="G3535" t="s">
        <v>57</v>
      </c>
      <c r="H3535">
        <v>2</v>
      </c>
      <c r="I3535" s="3">
        <v>94.45</v>
      </c>
      <c r="J3535" t="s">
        <v>16</v>
      </c>
      <c r="K3535" t="s">
        <v>40</v>
      </c>
      <c r="L3535" s="4">
        <f>Table4[[#This Row],[quantity]]*Table4[[#This Row],[unit_price]]</f>
        <v>188.9</v>
      </c>
      <c r="M3535">
        <f>COUNTIFS($C$2:$C$3934,Table4[[#This Row],[customer_id]])</f>
        <v>6</v>
      </c>
      <c r="N3535" t="str">
        <f>IF(Table4[[#This Row],[customer_order_count]]=1,"New Customer","Repeat Customer")</f>
        <v>Repeat Customer</v>
      </c>
    </row>
    <row r="3536" spans="1:14">
      <c r="A3536" t="s">
        <v>3550</v>
      </c>
      <c r="B3536" s="1">
        <v>45621</v>
      </c>
      <c r="C3536" t="s">
        <v>431</v>
      </c>
      <c r="D3536" t="s">
        <v>432</v>
      </c>
      <c r="E3536" t="s">
        <v>21</v>
      </c>
      <c r="F3536" t="s">
        <v>79</v>
      </c>
      <c r="G3536" t="s">
        <v>230</v>
      </c>
      <c r="H3536">
        <v>1</v>
      </c>
      <c r="I3536" s="3">
        <v>94.47</v>
      </c>
      <c r="J3536" t="s">
        <v>16</v>
      </c>
      <c r="K3536" t="s">
        <v>30</v>
      </c>
      <c r="L3536" s="4">
        <f>Table4[[#This Row],[quantity]]*Table4[[#This Row],[unit_price]]</f>
        <v>94.47</v>
      </c>
      <c r="M3536">
        <f>COUNTIFS($C$2:$C$3934,Table4[[#This Row],[customer_id]])</f>
        <v>7</v>
      </c>
      <c r="N3536" t="str">
        <f>IF(Table4[[#This Row],[customer_order_count]]=1,"New Customer","Repeat Customer")</f>
        <v>Repeat Customer</v>
      </c>
    </row>
    <row r="3537" spans="1:14">
      <c r="A3537" t="s">
        <v>5033</v>
      </c>
      <c r="B3537" s="1">
        <v>45517</v>
      </c>
      <c r="C3537" t="s">
        <v>2320</v>
      </c>
      <c r="D3537" t="s">
        <v>310</v>
      </c>
      <c r="E3537" t="s">
        <v>44</v>
      </c>
      <c r="F3537" t="s">
        <v>79</v>
      </c>
      <c r="G3537" t="s">
        <v>96</v>
      </c>
      <c r="H3537">
        <v>1</v>
      </c>
      <c r="I3537" s="3">
        <v>94.55</v>
      </c>
      <c r="J3537" t="s">
        <v>16</v>
      </c>
      <c r="K3537" t="s">
        <v>17</v>
      </c>
      <c r="L3537" s="4">
        <f>Table4[[#This Row],[quantity]]*Table4[[#This Row],[unit_price]]</f>
        <v>94.55</v>
      </c>
      <c r="M3537">
        <f>COUNTIFS($C$2:$C$3934,Table4[[#This Row],[customer_id]])</f>
        <v>6</v>
      </c>
      <c r="N3537" t="str">
        <f>IF(Table4[[#This Row],[customer_order_count]]=1,"New Customer","Repeat Customer")</f>
        <v>Repeat Customer</v>
      </c>
    </row>
    <row r="3538" spans="1:14">
      <c r="A3538" t="s">
        <v>1184</v>
      </c>
      <c r="B3538" s="1">
        <v>45520</v>
      </c>
      <c r="C3538" t="s">
        <v>1185</v>
      </c>
      <c r="D3538" t="s">
        <v>1186</v>
      </c>
      <c r="E3538" t="s">
        <v>44</v>
      </c>
      <c r="F3538" t="s">
        <v>79</v>
      </c>
      <c r="G3538" t="s">
        <v>80</v>
      </c>
      <c r="H3538">
        <v>5</v>
      </c>
      <c r="I3538" s="3">
        <v>94.62</v>
      </c>
      <c r="J3538" t="s">
        <v>16</v>
      </c>
      <c r="K3538" t="s">
        <v>35</v>
      </c>
      <c r="L3538" s="4">
        <f>Table4[[#This Row],[quantity]]*Table4[[#This Row],[unit_price]]</f>
        <v>473.1</v>
      </c>
      <c r="M3538">
        <f>COUNTIFS($C$2:$C$3934,Table4[[#This Row],[customer_id]])</f>
        <v>5</v>
      </c>
      <c r="N3538" t="str">
        <f>IF(Table4[[#This Row],[customer_order_count]]=1,"New Customer","Repeat Customer")</f>
        <v>Repeat Customer</v>
      </c>
    </row>
    <row r="3539" spans="1:14">
      <c r="A3539" t="s">
        <v>1478</v>
      </c>
      <c r="B3539" s="1">
        <v>45194</v>
      </c>
      <c r="C3539" t="s">
        <v>1291</v>
      </c>
      <c r="D3539" t="s">
        <v>1292</v>
      </c>
      <c r="E3539" t="s">
        <v>21</v>
      </c>
      <c r="F3539" t="s">
        <v>14</v>
      </c>
      <c r="G3539" t="s">
        <v>15</v>
      </c>
      <c r="H3539">
        <v>2</v>
      </c>
      <c r="I3539" s="3">
        <v>94.77</v>
      </c>
      <c r="J3539" t="s">
        <v>16</v>
      </c>
      <c r="K3539" t="s">
        <v>35</v>
      </c>
      <c r="L3539" s="4">
        <f>Table4[[#This Row],[quantity]]*Table4[[#This Row],[unit_price]]</f>
        <v>189.54</v>
      </c>
      <c r="M3539">
        <f>COUNTIFS($C$2:$C$3934,Table4[[#This Row],[customer_id]])</f>
        <v>6</v>
      </c>
      <c r="N3539" t="str">
        <f>IF(Table4[[#This Row],[customer_order_count]]=1,"New Customer","Repeat Customer")</f>
        <v>Repeat Customer</v>
      </c>
    </row>
    <row r="3540" spans="1:14">
      <c r="A3540" t="s">
        <v>1697</v>
      </c>
      <c r="B3540" s="1">
        <v>45119</v>
      </c>
      <c r="C3540" t="s">
        <v>1698</v>
      </c>
      <c r="D3540" t="s">
        <v>1440</v>
      </c>
      <c r="E3540" t="s">
        <v>21</v>
      </c>
      <c r="F3540" t="s">
        <v>56</v>
      </c>
      <c r="G3540" t="s">
        <v>422</v>
      </c>
      <c r="H3540">
        <v>1</v>
      </c>
      <c r="I3540" s="3">
        <v>94.81</v>
      </c>
      <c r="J3540" t="s">
        <v>24</v>
      </c>
      <c r="K3540" t="s">
        <v>35</v>
      </c>
      <c r="L3540" s="4">
        <f>Table4[[#This Row],[quantity]]*Table4[[#This Row],[unit_price]]</f>
        <v>94.81</v>
      </c>
      <c r="M3540">
        <f>COUNTIFS($C$2:$C$3934,Table4[[#This Row],[customer_id]])</f>
        <v>2</v>
      </c>
      <c r="N3540" t="str">
        <f>IF(Table4[[#This Row],[customer_order_count]]=1,"New Customer","Repeat Customer")</f>
        <v>Repeat Customer</v>
      </c>
    </row>
    <row r="3541" spans="1:14">
      <c r="A3541" t="s">
        <v>2392</v>
      </c>
      <c r="B3541" s="1">
        <v>45370</v>
      </c>
      <c r="C3541" t="s">
        <v>1077</v>
      </c>
      <c r="D3541" t="s">
        <v>765</v>
      </c>
      <c r="E3541" t="s">
        <v>21</v>
      </c>
      <c r="F3541" t="s">
        <v>79</v>
      </c>
      <c r="G3541" t="s">
        <v>80</v>
      </c>
      <c r="H3541">
        <v>4</v>
      </c>
      <c r="I3541" s="3">
        <v>94.94</v>
      </c>
      <c r="J3541" t="s">
        <v>85</v>
      </c>
      <c r="K3541" t="s">
        <v>30</v>
      </c>
      <c r="L3541" s="4">
        <f>Table4[[#This Row],[quantity]]*Table4[[#This Row],[unit_price]]</f>
        <v>379.76</v>
      </c>
      <c r="M3541">
        <f>COUNTIFS($C$2:$C$3934,Table4[[#This Row],[customer_id]])</f>
        <v>5</v>
      </c>
      <c r="N3541" t="str">
        <f>IF(Table4[[#This Row],[customer_order_count]]=1,"New Customer","Repeat Customer")</f>
        <v>Repeat Customer</v>
      </c>
    </row>
    <row r="3542" spans="1:14">
      <c r="A3542" t="s">
        <v>2839</v>
      </c>
      <c r="B3542" s="1">
        <v>45322</v>
      </c>
      <c r="C3542" t="s">
        <v>1580</v>
      </c>
      <c r="D3542" t="s">
        <v>525</v>
      </c>
      <c r="E3542" t="s">
        <v>44</v>
      </c>
      <c r="F3542" t="s">
        <v>56</v>
      </c>
      <c r="G3542" t="s">
        <v>210</v>
      </c>
      <c r="H3542">
        <v>3</v>
      </c>
      <c r="I3542" s="3">
        <v>94.98</v>
      </c>
      <c r="J3542" t="s">
        <v>16</v>
      </c>
      <c r="K3542" t="s">
        <v>30</v>
      </c>
      <c r="L3542" s="4">
        <f>Table4[[#This Row],[quantity]]*Table4[[#This Row],[unit_price]]</f>
        <v>284.94</v>
      </c>
      <c r="M3542">
        <f>COUNTIFS($C$2:$C$3934,Table4[[#This Row],[customer_id]])</f>
        <v>7</v>
      </c>
      <c r="N3542" t="str">
        <f>IF(Table4[[#This Row],[customer_order_count]]=1,"New Customer","Repeat Customer")</f>
        <v>Repeat Customer</v>
      </c>
    </row>
    <row r="3543" spans="1:14">
      <c r="A3543" t="s">
        <v>4286</v>
      </c>
      <c r="B3543" s="1">
        <v>45020</v>
      </c>
      <c r="C3543" t="s">
        <v>3639</v>
      </c>
      <c r="D3543" t="s">
        <v>65</v>
      </c>
      <c r="E3543" t="s">
        <v>21</v>
      </c>
      <c r="F3543" t="s">
        <v>79</v>
      </c>
      <c r="G3543" t="s">
        <v>96</v>
      </c>
      <c r="H3543">
        <v>1</v>
      </c>
      <c r="I3543" s="3">
        <v>95.02</v>
      </c>
      <c r="J3543" t="s">
        <v>24</v>
      </c>
      <c r="K3543" t="s">
        <v>35</v>
      </c>
      <c r="L3543" s="4">
        <f>Table4[[#This Row],[quantity]]*Table4[[#This Row],[unit_price]]</f>
        <v>95.02</v>
      </c>
      <c r="M3543">
        <f>COUNTIFS($C$2:$C$3934,Table4[[#This Row],[customer_id]])</f>
        <v>3</v>
      </c>
      <c r="N3543" t="str">
        <f>IF(Table4[[#This Row],[customer_order_count]]=1,"New Customer","Repeat Customer")</f>
        <v>Repeat Customer</v>
      </c>
    </row>
    <row r="3544" spans="1:14">
      <c r="A3544" t="s">
        <v>800</v>
      </c>
      <c r="B3544" s="1">
        <v>45119</v>
      </c>
      <c r="C3544" t="s">
        <v>801</v>
      </c>
      <c r="D3544" t="s">
        <v>802</v>
      </c>
      <c r="E3544" t="s">
        <v>44</v>
      </c>
      <c r="F3544" t="s">
        <v>14</v>
      </c>
      <c r="G3544" t="s">
        <v>34</v>
      </c>
      <c r="H3544">
        <v>4</v>
      </c>
      <c r="I3544" s="3">
        <v>95.03</v>
      </c>
      <c r="J3544" t="s">
        <v>16</v>
      </c>
      <c r="K3544" t="s">
        <v>40</v>
      </c>
      <c r="L3544" s="4">
        <f>Table4[[#This Row],[quantity]]*Table4[[#This Row],[unit_price]]</f>
        <v>380.12</v>
      </c>
      <c r="M3544">
        <f>COUNTIFS($C$2:$C$3934,Table4[[#This Row],[customer_id]])</f>
        <v>3</v>
      </c>
      <c r="N3544" t="str">
        <f>IF(Table4[[#This Row],[customer_order_count]]=1,"New Customer","Repeat Customer")</f>
        <v>Repeat Customer</v>
      </c>
    </row>
    <row r="3545" spans="1:14">
      <c r="A3545" t="s">
        <v>2223</v>
      </c>
      <c r="B3545" s="1">
        <v>45426</v>
      </c>
      <c r="C3545" t="s">
        <v>1482</v>
      </c>
      <c r="D3545" t="s">
        <v>269</v>
      </c>
      <c r="E3545" t="s">
        <v>21</v>
      </c>
      <c r="F3545" t="s">
        <v>14</v>
      </c>
      <c r="G3545" t="s">
        <v>15</v>
      </c>
      <c r="H3545">
        <v>1</v>
      </c>
      <c r="I3545" s="3">
        <v>95.1</v>
      </c>
      <c r="J3545" t="s">
        <v>16</v>
      </c>
      <c r="K3545" t="s">
        <v>30</v>
      </c>
      <c r="L3545" s="4">
        <f>Table4[[#This Row],[quantity]]*Table4[[#This Row],[unit_price]]</f>
        <v>95.1</v>
      </c>
      <c r="M3545">
        <f>COUNTIFS($C$2:$C$3934,Table4[[#This Row],[customer_id]])</f>
        <v>6</v>
      </c>
      <c r="N3545" t="str">
        <f>IF(Table4[[#This Row],[customer_order_count]]=1,"New Customer","Repeat Customer")</f>
        <v>Repeat Customer</v>
      </c>
    </row>
    <row r="3546" spans="1:14">
      <c r="A3546" t="s">
        <v>5176</v>
      </c>
      <c r="B3546" s="1">
        <v>45139</v>
      </c>
      <c r="C3546" t="s">
        <v>320</v>
      </c>
      <c r="D3546" t="s">
        <v>321</v>
      </c>
      <c r="E3546" t="s">
        <v>21</v>
      </c>
      <c r="F3546" t="s">
        <v>56</v>
      </c>
      <c r="G3546" t="s">
        <v>254</v>
      </c>
      <c r="H3546">
        <v>1</v>
      </c>
      <c r="I3546" s="3">
        <v>95.35</v>
      </c>
      <c r="J3546" t="s">
        <v>85</v>
      </c>
      <c r="K3546" t="s">
        <v>17</v>
      </c>
      <c r="L3546" s="4">
        <f>Table4[[#This Row],[quantity]]*Table4[[#This Row],[unit_price]]</f>
        <v>95.35</v>
      </c>
      <c r="M3546">
        <f>COUNTIFS($C$2:$C$3934,Table4[[#This Row],[customer_id]])</f>
        <v>3</v>
      </c>
      <c r="N3546" t="str">
        <f>IF(Table4[[#This Row],[customer_order_count]]=1,"New Customer","Repeat Customer")</f>
        <v>Repeat Customer</v>
      </c>
    </row>
    <row r="3547" spans="1:14">
      <c r="A3547" t="s">
        <v>3821</v>
      </c>
      <c r="B3547" s="1">
        <v>45501</v>
      </c>
      <c r="C3547" t="s">
        <v>868</v>
      </c>
      <c r="D3547" t="s">
        <v>869</v>
      </c>
      <c r="E3547" t="s">
        <v>21</v>
      </c>
      <c r="F3547" t="s">
        <v>56</v>
      </c>
      <c r="G3547" t="s">
        <v>118</v>
      </c>
      <c r="H3547">
        <v>1</v>
      </c>
      <c r="I3547" s="3">
        <v>95.36</v>
      </c>
      <c r="J3547" t="s">
        <v>16</v>
      </c>
      <c r="K3547" t="s">
        <v>40</v>
      </c>
      <c r="L3547" s="4">
        <f>Table4[[#This Row],[quantity]]*Table4[[#This Row],[unit_price]]</f>
        <v>95.36</v>
      </c>
      <c r="M3547">
        <f>COUNTIFS($C$2:$C$3934,Table4[[#This Row],[customer_id]])</f>
        <v>7</v>
      </c>
      <c r="N3547" t="str">
        <f>IF(Table4[[#This Row],[customer_order_count]]=1,"New Customer","Repeat Customer")</f>
        <v>Repeat Customer</v>
      </c>
    </row>
    <row r="3548" spans="1:14">
      <c r="A3548" t="s">
        <v>1265</v>
      </c>
      <c r="B3548" s="1">
        <v>45324</v>
      </c>
      <c r="C3548" t="s">
        <v>1266</v>
      </c>
      <c r="D3548" t="s">
        <v>828</v>
      </c>
      <c r="E3548" t="s">
        <v>21</v>
      </c>
      <c r="F3548" t="s">
        <v>14</v>
      </c>
      <c r="G3548" t="s">
        <v>100</v>
      </c>
      <c r="H3548">
        <v>2</v>
      </c>
      <c r="I3548" s="3">
        <v>95.38</v>
      </c>
      <c r="J3548" t="s">
        <v>16</v>
      </c>
      <c r="K3548" t="s">
        <v>40</v>
      </c>
      <c r="L3548" s="4">
        <f>Table4[[#This Row],[quantity]]*Table4[[#This Row],[unit_price]]</f>
        <v>190.76</v>
      </c>
      <c r="M3548">
        <f>COUNTIFS($C$2:$C$3934,Table4[[#This Row],[customer_id]])</f>
        <v>7</v>
      </c>
      <c r="N3548" t="str">
        <f>IF(Table4[[#This Row],[customer_order_count]]=1,"New Customer","Repeat Customer")</f>
        <v>Repeat Customer</v>
      </c>
    </row>
    <row r="3549" spans="1:14">
      <c r="A3549" t="s">
        <v>4794</v>
      </c>
      <c r="B3549" s="1">
        <v>45629</v>
      </c>
      <c r="C3549" t="s">
        <v>515</v>
      </c>
      <c r="D3549" t="s">
        <v>20</v>
      </c>
      <c r="E3549" t="s">
        <v>21</v>
      </c>
      <c r="F3549" t="s">
        <v>79</v>
      </c>
      <c r="G3549" t="s">
        <v>96</v>
      </c>
      <c r="H3549">
        <v>1</v>
      </c>
      <c r="I3549" s="3">
        <v>95.44</v>
      </c>
      <c r="J3549" t="s">
        <v>16</v>
      </c>
      <c r="K3549" t="s">
        <v>35</v>
      </c>
      <c r="L3549" s="4">
        <f>Table4[[#This Row],[quantity]]*Table4[[#This Row],[unit_price]]</f>
        <v>95.44</v>
      </c>
      <c r="M3549">
        <f>COUNTIFS($C$2:$C$3934,Table4[[#This Row],[customer_id]])</f>
        <v>6</v>
      </c>
      <c r="N3549" t="str">
        <f>IF(Table4[[#This Row],[customer_order_count]]=1,"New Customer","Repeat Customer")</f>
        <v>Repeat Customer</v>
      </c>
    </row>
    <row r="3550" spans="1:14">
      <c r="A3550" t="s">
        <v>1886</v>
      </c>
      <c r="B3550" s="1">
        <v>44949</v>
      </c>
      <c r="C3550" t="s">
        <v>443</v>
      </c>
      <c r="D3550" s="2" t="s">
        <v>5257</v>
      </c>
      <c r="E3550" t="s">
        <v>21</v>
      </c>
      <c r="F3550" t="s">
        <v>79</v>
      </c>
      <c r="G3550" t="s">
        <v>200</v>
      </c>
      <c r="H3550">
        <v>3</v>
      </c>
      <c r="I3550" s="3">
        <v>95.49</v>
      </c>
      <c r="J3550" t="s">
        <v>16</v>
      </c>
      <c r="K3550" t="s">
        <v>35</v>
      </c>
      <c r="L3550" s="4">
        <f>Table4[[#This Row],[quantity]]*Table4[[#This Row],[unit_price]]</f>
        <v>286.46999999999997</v>
      </c>
      <c r="M3550">
        <f>COUNTIFS($C$2:$C$3934,Table4[[#This Row],[customer_id]])</f>
        <v>5</v>
      </c>
      <c r="N3550" t="str">
        <f>IF(Table4[[#This Row],[customer_order_count]]=1,"New Customer","Repeat Customer")</f>
        <v>Repeat Customer</v>
      </c>
    </row>
    <row r="3551" spans="1:14">
      <c r="A3551" t="s">
        <v>4997</v>
      </c>
      <c r="B3551" s="1">
        <v>44996</v>
      </c>
      <c r="C3551" t="s">
        <v>2175</v>
      </c>
      <c r="D3551" s="5" t="s">
        <v>1938</v>
      </c>
      <c r="E3551" t="s">
        <v>44</v>
      </c>
      <c r="F3551" t="s">
        <v>79</v>
      </c>
      <c r="G3551" t="s">
        <v>230</v>
      </c>
      <c r="H3551">
        <v>5</v>
      </c>
      <c r="I3551" s="3">
        <v>95.63</v>
      </c>
      <c r="J3551" t="s">
        <v>16</v>
      </c>
      <c r="K3551" t="s">
        <v>40</v>
      </c>
      <c r="L3551" s="4">
        <f>Table4[[#This Row],[quantity]]*Table4[[#This Row],[unit_price]]</f>
        <v>478.15</v>
      </c>
      <c r="M3551">
        <f>COUNTIFS($C$2:$C$3934,Table4[[#This Row],[customer_id]])</f>
        <v>3</v>
      </c>
      <c r="N3551" t="str">
        <f>IF(Table4[[#This Row],[customer_order_count]]=1,"New Customer","Repeat Customer")</f>
        <v>Repeat Customer</v>
      </c>
    </row>
    <row r="3552" spans="1:14">
      <c r="A3552" t="s">
        <v>4307</v>
      </c>
      <c r="B3552" s="1">
        <v>45148</v>
      </c>
      <c r="C3552" t="s">
        <v>385</v>
      </c>
      <c r="D3552" t="s">
        <v>278</v>
      </c>
      <c r="E3552" t="s">
        <v>21</v>
      </c>
      <c r="F3552" t="s">
        <v>56</v>
      </c>
      <c r="G3552" t="s">
        <v>422</v>
      </c>
      <c r="H3552">
        <v>1</v>
      </c>
      <c r="I3552" s="3">
        <v>95.68</v>
      </c>
      <c r="J3552" t="s">
        <v>16</v>
      </c>
      <c r="K3552" t="s">
        <v>35</v>
      </c>
      <c r="L3552" s="4">
        <f>Table4[[#This Row],[quantity]]*Table4[[#This Row],[unit_price]]</f>
        <v>95.68</v>
      </c>
      <c r="M3552">
        <f>COUNTIFS($C$2:$C$3934,Table4[[#This Row],[customer_id]])</f>
        <v>6</v>
      </c>
      <c r="N3552" t="str">
        <f>IF(Table4[[#This Row],[customer_order_count]]=1,"New Customer","Repeat Customer")</f>
        <v>Repeat Customer</v>
      </c>
    </row>
    <row r="3553" spans="1:14">
      <c r="A3553" t="s">
        <v>3475</v>
      </c>
      <c r="B3553" s="1">
        <v>45144</v>
      </c>
      <c r="C3553" t="s">
        <v>1010</v>
      </c>
      <c r="D3553" t="s">
        <v>566</v>
      </c>
      <c r="E3553" t="s">
        <v>44</v>
      </c>
      <c r="F3553" t="s">
        <v>56</v>
      </c>
      <c r="G3553" t="s">
        <v>118</v>
      </c>
      <c r="H3553">
        <v>1</v>
      </c>
      <c r="I3553" s="3">
        <v>95.79</v>
      </c>
      <c r="J3553" t="s">
        <v>24</v>
      </c>
      <c r="K3553" t="s">
        <v>35</v>
      </c>
      <c r="L3553" s="4">
        <f>Table4[[#This Row],[quantity]]*Table4[[#This Row],[unit_price]]</f>
        <v>95.79</v>
      </c>
      <c r="M3553">
        <f>COUNTIFS($C$2:$C$3934,Table4[[#This Row],[customer_id]])</f>
        <v>5</v>
      </c>
      <c r="N3553" t="str">
        <f>IF(Table4[[#This Row],[customer_order_count]]=1,"New Customer","Repeat Customer")</f>
        <v>Repeat Customer</v>
      </c>
    </row>
    <row r="3554" spans="1:14">
      <c r="A3554" t="s">
        <v>5066</v>
      </c>
      <c r="B3554" s="1">
        <v>45534</v>
      </c>
      <c r="C3554" t="s">
        <v>1999</v>
      </c>
      <c r="D3554" t="s">
        <v>1907</v>
      </c>
      <c r="E3554" t="s">
        <v>44</v>
      </c>
      <c r="F3554" t="s">
        <v>14</v>
      </c>
      <c r="G3554" t="s">
        <v>62</v>
      </c>
      <c r="H3554">
        <v>1</v>
      </c>
      <c r="I3554" s="3">
        <v>95.85</v>
      </c>
      <c r="J3554" t="s">
        <v>16</v>
      </c>
      <c r="K3554" t="s">
        <v>17</v>
      </c>
      <c r="L3554" s="4">
        <f>Table4[[#This Row],[quantity]]*Table4[[#This Row],[unit_price]]</f>
        <v>95.85</v>
      </c>
      <c r="M3554">
        <f>COUNTIFS($C$2:$C$3934,Table4[[#This Row],[customer_id]])</f>
        <v>6</v>
      </c>
      <c r="N3554" t="str">
        <f>IF(Table4[[#This Row],[customer_order_count]]=1,"New Customer","Repeat Customer")</f>
        <v>Repeat Customer</v>
      </c>
    </row>
    <row r="3555" spans="1:14">
      <c r="A3555" t="s">
        <v>3510</v>
      </c>
      <c r="B3555" s="1">
        <v>44986</v>
      </c>
      <c r="C3555" t="s">
        <v>3511</v>
      </c>
      <c r="D3555" t="s">
        <v>2033</v>
      </c>
      <c r="E3555" t="s">
        <v>44</v>
      </c>
      <c r="F3555" t="s">
        <v>14</v>
      </c>
      <c r="G3555" t="s">
        <v>34</v>
      </c>
      <c r="H3555">
        <v>1</v>
      </c>
      <c r="I3555" s="3">
        <v>96</v>
      </c>
      <c r="J3555" t="s">
        <v>16</v>
      </c>
      <c r="K3555" t="s">
        <v>17</v>
      </c>
      <c r="L3555" s="4">
        <f>Table4[[#This Row],[quantity]]*Table4[[#This Row],[unit_price]]</f>
        <v>96</v>
      </c>
      <c r="M3555">
        <f>COUNTIFS($C$2:$C$3934,Table4[[#This Row],[customer_id]])</f>
        <v>4</v>
      </c>
      <c r="N3555" t="str">
        <f>IF(Table4[[#This Row],[customer_order_count]]=1,"New Customer","Repeat Customer")</f>
        <v>Repeat Customer</v>
      </c>
    </row>
    <row r="3556" spans="1:14">
      <c r="A3556" t="s">
        <v>4665</v>
      </c>
      <c r="B3556" s="1">
        <v>45624</v>
      </c>
      <c r="C3556" t="s">
        <v>1026</v>
      </c>
      <c r="D3556" t="s">
        <v>1027</v>
      </c>
      <c r="E3556" t="s">
        <v>21</v>
      </c>
      <c r="F3556" t="s">
        <v>14</v>
      </c>
      <c r="G3556" t="s">
        <v>15</v>
      </c>
      <c r="H3556">
        <v>4</v>
      </c>
      <c r="I3556" s="3">
        <v>96</v>
      </c>
      <c r="J3556" t="s">
        <v>16</v>
      </c>
      <c r="K3556" t="s">
        <v>30</v>
      </c>
      <c r="L3556" s="4">
        <f>Table4[[#This Row],[quantity]]*Table4[[#This Row],[unit_price]]</f>
        <v>384</v>
      </c>
      <c r="M3556">
        <f>COUNTIFS($C$2:$C$3934,Table4[[#This Row],[customer_id]])</f>
        <v>2</v>
      </c>
      <c r="N3556" t="str">
        <f>IF(Table4[[#This Row],[customer_order_count]]=1,"New Customer","Repeat Customer")</f>
        <v>Repeat Customer</v>
      </c>
    </row>
    <row r="3557" spans="1:14">
      <c r="A3557" t="s">
        <v>1584</v>
      </c>
      <c r="B3557" s="1">
        <v>45256</v>
      </c>
      <c r="C3557" t="s">
        <v>1585</v>
      </c>
      <c r="D3557" t="s">
        <v>48</v>
      </c>
      <c r="E3557" t="s">
        <v>44</v>
      </c>
      <c r="F3557" t="s">
        <v>56</v>
      </c>
      <c r="G3557" t="s">
        <v>422</v>
      </c>
      <c r="H3557">
        <v>1</v>
      </c>
      <c r="I3557" s="3">
        <v>96.02</v>
      </c>
      <c r="J3557" t="s">
        <v>16</v>
      </c>
      <c r="K3557" t="s">
        <v>30</v>
      </c>
      <c r="L3557" s="4">
        <f>Table4[[#This Row],[quantity]]*Table4[[#This Row],[unit_price]]</f>
        <v>96.02</v>
      </c>
      <c r="M3557">
        <f>COUNTIFS($C$2:$C$3934,Table4[[#This Row],[customer_id]])</f>
        <v>4</v>
      </c>
      <c r="N3557" t="str">
        <f>IF(Table4[[#This Row],[customer_order_count]]=1,"New Customer","Repeat Customer")</f>
        <v>Repeat Customer</v>
      </c>
    </row>
    <row r="3558" spans="1:14">
      <c r="A3558" t="s">
        <v>4441</v>
      </c>
      <c r="B3558" s="1">
        <v>45489</v>
      </c>
      <c r="C3558" t="s">
        <v>2448</v>
      </c>
      <c r="D3558" t="s">
        <v>903</v>
      </c>
      <c r="E3558" t="s">
        <v>44</v>
      </c>
      <c r="F3558" t="s">
        <v>56</v>
      </c>
      <c r="G3558" t="s">
        <v>422</v>
      </c>
      <c r="H3558">
        <v>2</v>
      </c>
      <c r="I3558" s="3">
        <v>96.03</v>
      </c>
      <c r="J3558" t="s">
        <v>85</v>
      </c>
      <c r="K3558" t="s">
        <v>40</v>
      </c>
      <c r="L3558" s="4">
        <f>Table4[[#This Row],[quantity]]*Table4[[#This Row],[unit_price]]</f>
        <v>192.06</v>
      </c>
      <c r="M3558">
        <f>COUNTIFS($C$2:$C$3934,Table4[[#This Row],[customer_id]])</f>
        <v>4</v>
      </c>
      <c r="N3558" t="str">
        <f>IF(Table4[[#This Row],[customer_order_count]]=1,"New Customer","Repeat Customer")</f>
        <v>Repeat Customer</v>
      </c>
    </row>
    <row r="3559" spans="1:14">
      <c r="A3559" t="s">
        <v>3681</v>
      </c>
      <c r="B3559" s="1">
        <v>45115</v>
      </c>
      <c r="C3559" t="s">
        <v>2372</v>
      </c>
      <c r="D3559" t="s">
        <v>1453</v>
      </c>
      <c r="E3559" t="s">
        <v>21</v>
      </c>
      <c r="F3559" t="s">
        <v>79</v>
      </c>
      <c r="G3559" t="s">
        <v>204</v>
      </c>
      <c r="H3559">
        <v>1</v>
      </c>
      <c r="I3559" s="3">
        <v>96.13</v>
      </c>
      <c r="J3559" t="s">
        <v>16</v>
      </c>
      <c r="K3559" t="s">
        <v>17</v>
      </c>
      <c r="L3559" s="4">
        <f>Table4[[#This Row],[quantity]]*Table4[[#This Row],[unit_price]]</f>
        <v>96.13</v>
      </c>
      <c r="M3559">
        <f>COUNTIFS($C$2:$C$3934,Table4[[#This Row],[customer_id]])</f>
        <v>6</v>
      </c>
      <c r="N3559" t="str">
        <f>IF(Table4[[#This Row],[customer_order_count]]=1,"New Customer","Repeat Customer")</f>
        <v>Repeat Customer</v>
      </c>
    </row>
    <row r="3560" spans="1:14">
      <c r="A3560" t="s">
        <v>3108</v>
      </c>
      <c r="B3560" s="1">
        <v>45560</v>
      </c>
      <c r="C3560" t="s">
        <v>1342</v>
      </c>
      <c r="D3560" t="s">
        <v>820</v>
      </c>
      <c r="E3560" t="s">
        <v>21</v>
      </c>
      <c r="F3560" t="s">
        <v>56</v>
      </c>
      <c r="G3560" t="s">
        <v>118</v>
      </c>
      <c r="H3560">
        <v>1</v>
      </c>
      <c r="I3560" s="3">
        <v>96.15</v>
      </c>
      <c r="J3560" t="s">
        <v>85</v>
      </c>
      <c r="K3560" t="s">
        <v>30</v>
      </c>
      <c r="L3560" s="4">
        <f>Table4[[#This Row],[quantity]]*Table4[[#This Row],[unit_price]]</f>
        <v>96.15</v>
      </c>
      <c r="M3560">
        <f>COUNTIFS($C$2:$C$3934,Table4[[#This Row],[customer_id]])</f>
        <v>5</v>
      </c>
      <c r="N3560" t="str">
        <f>IF(Table4[[#This Row],[customer_order_count]]=1,"New Customer","Repeat Customer")</f>
        <v>Repeat Customer</v>
      </c>
    </row>
    <row r="3561" spans="1:14">
      <c r="A3561" t="s">
        <v>1441</v>
      </c>
      <c r="B3561" s="1">
        <v>45064</v>
      </c>
      <c r="C3561" t="s">
        <v>1127</v>
      </c>
      <c r="D3561" t="s">
        <v>947</v>
      </c>
      <c r="E3561" t="s">
        <v>21</v>
      </c>
      <c r="F3561" t="s">
        <v>14</v>
      </c>
      <c r="G3561" t="s">
        <v>100</v>
      </c>
      <c r="H3561">
        <v>3</v>
      </c>
      <c r="I3561" s="3">
        <v>96.17</v>
      </c>
      <c r="J3561" t="s">
        <v>16</v>
      </c>
      <c r="K3561" t="s">
        <v>40</v>
      </c>
      <c r="L3561" s="4">
        <f>Table4[[#This Row],[quantity]]*Table4[[#This Row],[unit_price]]</f>
        <v>288.51</v>
      </c>
      <c r="M3561">
        <f>COUNTIFS($C$2:$C$3934,Table4[[#This Row],[customer_id]])</f>
        <v>7</v>
      </c>
      <c r="N3561" t="str">
        <f>IF(Table4[[#This Row],[customer_order_count]]=1,"New Customer","Repeat Customer")</f>
        <v>Repeat Customer</v>
      </c>
    </row>
    <row r="3562" spans="1:14">
      <c r="A3562" t="s">
        <v>2354</v>
      </c>
      <c r="B3562" s="1">
        <v>45468</v>
      </c>
      <c r="C3562" t="s">
        <v>2355</v>
      </c>
      <c r="D3562" t="s">
        <v>2356</v>
      </c>
      <c r="E3562" t="s">
        <v>44</v>
      </c>
      <c r="F3562" t="s">
        <v>79</v>
      </c>
      <c r="G3562" t="s">
        <v>200</v>
      </c>
      <c r="H3562">
        <v>1</v>
      </c>
      <c r="I3562" s="3">
        <v>96.19</v>
      </c>
      <c r="J3562" t="s">
        <v>16</v>
      </c>
      <c r="K3562" t="s">
        <v>30</v>
      </c>
      <c r="L3562" s="4">
        <f>Table4[[#This Row],[quantity]]*Table4[[#This Row],[unit_price]]</f>
        <v>96.19</v>
      </c>
      <c r="M3562">
        <f>COUNTIFS($C$2:$C$3934,Table4[[#This Row],[customer_id]])</f>
        <v>4</v>
      </c>
      <c r="N3562" t="str">
        <f>IF(Table4[[#This Row],[customer_order_count]]=1,"New Customer","Repeat Customer")</f>
        <v>Repeat Customer</v>
      </c>
    </row>
    <row r="3563" spans="1:14">
      <c r="A3563" t="s">
        <v>3276</v>
      </c>
      <c r="B3563" s="1">
        <v>45473</v>
      </c>
      <c r="C3563" t="s">
        <v>3277</v>
      </c>
      <c r="D3563" t="s">
        <v>1156</v>
      </c>
      <c r="E3563" t="s">
        <v>44</v>
      </c>
      <c r="F3563" t="s">
        <v>14</v>
      </c>
      <c r="G3563" t="s">
        <v>100</v>
      </c>
      <c r="H3563">
        <v>1</v>
      </c>
      <c r="I3563" s="3">
        <v>96.21</v>
      </c>
      <c r="J3563" t="s">
        <v>16</v>
      </c>
      <c r="K3563" t="s">
        <v>17</v>
      </c>
      <c r="L3563" s="4">
        <f>Table4[[#This Row],[quantity]]*Table4[[#This Row],[unit_price]]</f>
        <v>96.21</v>
      </c>
      <c r="M3563">
        <f>COUNTIFS($C$2:$C$3934,Table4[[#This Row],[customer_id]])</f>
        <v>2</v>
      </c>
      <c r="N3563" t="str">
        <f>IF(Table4[[#This Row],[customer_order_count]]=1,"New Customer","Repeat Customer")</f>
        <v>Repeat Customer</v>
      </c>
    </row>
    <row r="3564" spans="1:14">
      <c r="A3564" t="s">
        <v>4595</v>
      </c>
      <c r="B3564" s="1">
        <v>45374</v>
      </c>
      <c r="C3564" t="s">
        <v>400</v>
      </c>
      <c r="D3564" t="s">
        <v>365</v>
      </c>
      <c r="E3564" t="s">
        <v>21</v>
      </c>
      <c r="F3564" t="s">
        <v>79</v>
      </c>
      <c r="G3564" t="s">
        <v>80</v>
      </c>
      <c r="H3564">
        <v>1</v>
      </c>
      <c r="I3564" s="3">
        <v>96.24</v>
      </c>
      <c r="J3564" t="s">
        <v>16</v>
      </c>
      <c r="K3564" t="s">
        <v>17</v>
      </c>
      <c r="L3564" s="4">
        <f>Table4[[#This Row],[quantity]]*Table4[[#This Row],[unit_price]]</f>
        <v>96.24</v>
      </c>
      <c r="M3564">
        <f>COUNTIFS($C$2:$C$3934,Table4[[#This Row],[customer_id]])</f>
        <v>7</v>
      </c>
      <c r="N3564" t="str">
        <f>IF(Table4[[#This Row],[customer_order_count]]=1,"New Customer","Repeat Customer")</f>
        <v>Repeat Customer</v>
      </c>
    </row>
    <row r="3565" spans="1:14">
      <c r="A3565" t="s">
        <v>3564</v>
      </c>
      <c r="B3565" s="1">
        <v>45212</v>
      </c>
      <c r="C3565" t="s">
        <v>2726</v>
      </c>
      <c r="D3565" t="s">
        <v>1578</v>
      </c>
      <c r="E3565" t="s">
        <v>21</v>
      </c>
      <c r="F3565" t="s">
        <v>14</v>
      </c>
      <c r="G3565" t="s">
        <v>15</v>
      </c>
      <c r="H3565">
        <v>2</v>
      </c>
      <c r="I3565" s="3">
        <v>96.46</v>
      </c>
      <c r="J3565" t="s">
        <v>16</v>
      </c>
      <c r="K3565" t="s">
        <v>40</v>
      </c>
      <c r="L3565" s="4">
        <f>Table4[[#This Row],[quantity]]*Table4[[#This Row],[unit_price]]</f>
        <v>192.92</v>
      </c>
      <c r="M3565">
        <f>COUNTIFS($C$2:$C$3934,Table4[[#This Row],[customer_id]])</f>
        <v>5</v>
      </c>
      <c r="N3565" t="str">
        <f>IF(Table4[[#This Row],[customer_order_count]]=1,"New Customer","Repeat Customer")</f>
        <v>Repeat Customer</v>
      </c>
    </row>
    <row r="3566" spans="1:14">
      <c r="A3566" t="s">
        <v>3632</v>
      </c>
      <c r="B3566" s="1">
        <v>45578</v>
      </c>
      <c r="C3566" t="s">
        <v>1146</v>
      </c>
      <c r="D3566" t="s">
        <v>347</v>
      </c>
      <c r="E3566" t="s">
        <v>21</v>
      </c>
      <c r="F3566" t="s">
        <v>79</v>
      </c>
      <c r="G3566" t="s">
        <v>200</v>
      </c>
      <c r="H3566">
        <v>1</v>
      </c>
      <c r="I3566" s="3">
        <v>96.64</v>
      </c>
      <c r="J3566" t="s">
        <v>16</v>
      </c>
      <c r="K3566" t="s">
        <v>40</v>
      </c>
      <c r="L3566" s="4">
        <f>Table4[[#This Row],[quantity]]*Table4[[#This Row],[unit_price]]</f>
        <v>96.64</v>
      </c>
      <c r="M3566">
        <f>COUNTIFS($C$2:$C$3934,Table4[[#This Row],[customer_id]])</f>
        <v>7</v>
      </c>
      <c r="N3566" t="str">
        <f>IF(Table4[[#This Row],[customer_order_count]]=1,"New Customer","Repeat Customer")</f>
        <v>Repeat Customer</v>
      </c>
    </row>
    <row r="3567" spans="1:14">
      <c r="A3567" t="s">
        <v>882</v>
      </c>
      <c r="B3567" s="1">
        <v>45422</v>
      </c>
      <c r="C3567" t="s">
        <v>883</v>
      </c>
      <c r="D3567" t="s">
        <v>181</v>
      </c>
      <c r="E3567" t="s">
        <v>21</v>
      </c>
      <c r="F3567" t="s">
        <v>79</v>
      </c>
      <c r="G3567" t="s">
        <v>398</v>
      </c>
      <c r="H3567">
        <v>2</v>
      </c>
      <c r="I3567" s="3">
        <v>96.85</v>
      </c>
      <c r="J3567" t="s">
        <v>85</v>
      </c>
      <c r="K3567" t="s">
        <v>40</v>
      </c>
      <c r="L3567" s="4">
        <f>Table4[[#This Row],[quantity]]*Table4[[#This Row],[unit_price]]</f>
        <v>193.7</v>
      </c>
      <c r="M3567">
        <f>COUNTIFS($C$2:$C$3934,Table4[[#This Row],[customer_id]])</f>
        <v>11</v>
      </c>
      <c r="N3567" t="str">
        <f>IF(Table4[[#This Row],[customer_order_count]]=1,"New Customer","Repeat Customer")</f>
        <v>Repeat Customer</v>
      </c>
    </row>
    <row r="3568" spans="1:14">
      <c r="A3568" t="s">
        <v>4352</v>
      </c>
      <c r="B3568" s="1">
        <v>44928</v>
      </c>
      <c r="C3568" t="s">
        <v>3262</v>
      </c>
      <c r="D3568" t="s">
        <v>1938</v>
      </c>
      <c r="E3568" t="s">
        <v>21</v>
      </c>
      <c r="F3568" t="s">
        <v>79</v>
      </c>
      <c r="G3568" t="s">
        <v>166</v>
      </c>
      <c r="H3568">
        <v>1</v>
      </c>
      <c r="I3568" s="3">
        <v>96.87</v>
      </c>
      <c r="J3568" t="s">
        <v>16</v>
      </c>
      <c r="K3568" t="s">
        <v>30</v>
      </c>
      <c r="L3568" s="4">
        <f>Table4[[#This Row],[quantity]]*Table4[[#This Row],[unit_price]]</f>
        <v>96.87</v>
      </c>
      <c r="M3568">
        <f>COUNTIFS($C$2:$C$3934,Table4[[#This Row],[customer_id]])</f>
        <v>7</v>
      </c>
      <c r="N3568" t="str">
        <f>IF(Table4[[#This Row],[customer_order_count]]=1,"New Customer","Repeat Customer")</f>
        <v>Repeat Customer</v>
      </c>
    </row>
    <row r="3569" spans="1:14">
      <c r="A3569" t="s">
        <v>1048</v>
      </c>
      <c r="B3569" s="1">
        <v>45389</v>
      </c>
      <c r="C3569" t="s">
        <v>1049</v>
      </c>
      <c r="D3569" t="s">
        <v>1050</v>
      </c>
      <c r="E3569" t="s">
        <v>44</v>
      </c>
      <c r="F3569" t="s">
        <v>14</v>
      </c>
      <c r="G3569" t="s">
        <v>34</v>
      </c>
      <c r="H3569">
        <v>1</v>
      </c>
      <c r="I3569" s="3">
        <v>96.97</v>
      </c>
      <c r="J3569" t="s">
        <v>16</v>
      </c>
      <c r="K3569" t="s">
        <v>17</v>
      </c>
      <c r="L3569" s="4">
        <f>Table4[[#This Row],[quantity]]*Table4[[#This Row],[unit_price]]</f>
        <v>96.97</v>
      </c>
      <c r="M3569">
        <f>COUNTIFS($C$2:$C$3934,Table4[[#This Row],[customer_id]])</f>
        <v>5</v>
      </c>
      <c r="N3569" t="str">
        <f>IF(Table4[[#This Row],[customer_order_count]]=1,"New Customer","Repeat Customer")</f>
        <v>Repeat Customer</v>
      </c>
    </row>
    <row r="3570" spans="1:14">
      <c r="A3570" t="s">
        <v>4840</v>
      </c>
      <c r="B3570" s="1">
        <v>45421</v>
      </c>
      <c r="C3570" t="s">
        <v>4613</v>
      </c>
      <c r="D3570" t="s">
        <v>250</v>
      </c>
      <c r="E3570" t="s">
        <v>61</v>
      </c>
      <c r="F3570" t="s">
        <v>14</v>
      </c>
      <c r="G3570" t="s">
        <v>258</v>
      </c>
      <c r="H3570">
        <v>1</v>
      </c>
      <c r="I3570" s="3">
        <v>96.97</v>
      </c>
      <c r="J3570" t="s">
        <v>16</v>
      </c>
      <c r="K3570" s="2" t="s">
        <v>5256</v>
      </c>
      <c r="L3570" s="4">
        <f>Table4[[#This Row],[quantity]]*Table4[[#This Row],[unit_price]]</f>
        <v>96.97</v>
      </c>
      <c r="M3570">
        <f>COUNTIFS($C$2:$C$3934,Table4[[#This Row],[customer_id]])</f>
        <v>3</v>
      </c>
      <c r="N3570" t="str">
        <f>IF(Table4[[#This Row],[customer_order_count]]=1,"New Customer","Repeat Customer")</f>
        <v>Repeat Customer</v>
      </c>
    </row>
    <row r="3571" spans="1:14">
      <c r="A3571" t="s">
        <v>3850</v>
      </c>
      <c r="B3571" s="1">
        <v>45262</v>
      </c>
      <c r="C3571" t="s">
        <v>955</v>
      </c>
      <c r="D3571" t="s">
        <v>956</v>
      </c>
      <c r="E3571" t="s">
        <v>21</v>
      </c>
      <c r="F3571" t="s">
        <v>14</v>
      </c>
      <c r="G3571" t="s">
        <v>15</v>
      </c>
      <c r="H3571">
        <v>1</v>
      </c>
      <c r="I3571" s="3">
        <v>97.11</v>
      </c>
      <c r="J3571" t="s">
        <v>85</v>
      </c>
      <c r="K3571" s="5" t="s">
        <v>40</v>
      </c>
      <c r="L3571" s="4">
        <f>Table4[[#This Row],[quantity]]*Table4[[#This Row],[unit_price]]</f>
        <v>97.11</v>
      </c>
      <c r="M3571">
        <f>COUNTIFS($C$2:$C$3934,Table4[[#This Row],[customer_id]])</f>
        <v>5</v>
      </c>
      <c r="N3571" t="str">
        <f>IF(Table4[[#This Row],[customer_order_count]]=1,"New Customer","Repeat Customer")</f>
        <v>Repeat Customer</v>
      </c>
    </row>
    <row r="3572" spans="1:14">
      <c r="A3572" t="s">
        <v>3317</v>
      </c>
      <c r="B3572" s="1">
        <v>45179</v>
      </c>
      <c r="C3572" t="s">
        <v>708</v>
      </c>
      <c r="D3572" t="s">
        <v>709</v>
      </c>
      <c r="E3572" t="s">
        <v>21</v>
      </c>
      <c r="F3572" t="s">
        <v>14</v>
      </c>
      <c r="G3572" t="s">
        <v>258</v>
      </c>
      <c r="H3572">
        <v>1</v>
      </c>
      <c r="I3572" s="3">
        <v>97.15</v>
      </c>
      <c r="J3572" t="s">
        <v>16</v>
      </c>
      <c r="K3572" t="s">
        <v>17</v>
      </c>
      <c r="L3572" s="4">
        <f>Table4[[#This Row],[quantity]]*Table4[[#This Row],[unit_price]]</f>
        <v>97.15</v>
      </c>
      <c r="M3572">
        <f>COUNTIFS($C$2:$C$3934,Table4[[#This Row],[customer_id]])</f>
        <v>7</v>
      </c>
      <c r="N3572" t="str">
        <f>IF(Table4[[#This Row],[customer_order_count]]=1,"New Customer","Repeat Customer")</f>
        <v>Repeat Customer</v>
      </c>
    </row>
    <row r="3573" spans="1:14">
      <c r="A3573" t="s">
        <v>3101</v>
      </c>
      <c r="B3573" s="1">
        <v>45481</v>
      </c>
      <c r="C3573" t="s">
        <v>1747</v>
      </c>
      <c r="D3573" t="s">
        <v>1748</v>
      </c>
      <c r="E3573" t="s">
        <v>21</v>
      </c>
      <c r="F3573" t="s">
        <v>14</v>
      </c>
      <c r="G3573" t="s">
        <v>258</v>
      </c>
      <c r="H3573">
        <v>2</v>
      </c>
      <c r="I3573" s="3">
        <v>97.16</v>
      </c>
      <c r="J3573" t="s">
        <v>85</v>
      </c>
      <c r="K3573" s="2" t="s">
        <v>5256</v>
      </c>
      <c r="L3573" s="4">
        <f>Table4[[#This Row],[quantity]]*Table4[[#This Row],[unit_price]]</f>
        <v>194.32</v>
      </c>
      <c r="M3573">
        <f>COUNTIFS($C$2:$C$3934,Table4[[#This Row],[customer_id]])</f>
        <v>8</v>
      </c>
      <c r="N3573" t="str">
        <f>IF(Table4[[#This Row],[customer_order_count]]=1,"New Customer","Repeat Customer")</f>
        <v>Repeat Customer</v>
      </c>
    </row>
    <row r="3574" spans="1:14">
      <c r="A3574" t="s">
        <v>300</v>
      </c>
      <c r="B3574" s="1">
        <v>45134</v>
      </c>
      <c r="C3574" t="s">
        <v>301</v>
      </c>
      <c r="D3574" t="s">
        <v>189</v>
      </c>
      <c r="E3574" t="s">
        <v>21</v>
      </c>
      <c r="F3574" t="s">
        <v>56</v>
      </c>
      <c r="G3574" t="s">
        <v>254</v>
      </c>
      <c r="H3574">
        <v>2</v>
      </c>
      <c r="I3574" s="3">
        <v>97.27</v>
      </c>
      <c r="J3574" t="s">
        <v>16</v>
      </c>
      <c r="K3574" s="5" t="s">
        <v>17</v>
      </c>
      <c r="L3574" s="4">
        <f>Table4[[#This Row],[quantity]]*Table4[[#This Row],[unit_price]]</f>
        <v>194.54</v>
      </c>
      <c r="M3574">
        <f>COUNTIFS($C$2:$C$3934,Table4[[#This Row],[customer_id]])</f>
        <v>5</v>
      </c>
      <c r="N3574" t="str">
        <f>IF(Table4[[#This Row],[customer_order_count]]=1,"New Customer","Repeat Customer")</f>
        <v>Repeat Customer</v>
      </c>
    </row>
    <row r="3575" spans="1:14">
      <c r="A3575" t="s">
        <v>2243</v>
      </c>
      <c r="B3575" s="1">
        <v>45329</v>
      </c>
      <c r="C3575" t="s">
        <v>1254</v>
      </c>
      <c r="D3575" t="s">
        <v>1255</v>
      </c>
      <c r="E3575" t="s">
        <v>44</v>
      </c>
      <c r="F3575" t="s">
        <v>56</v>
      </c>
      <c r="G3575" t="s">
        <v>57</v>
      </c>
      <c r="H3575">
        <v>1</v>
      </c>
      <c r="I3575" s="3">
        <v>97.36</v>
      </c>
      <c r="J3575" t="s">
        <v>16</v>
      </c>
      <c r="K3575" t="s">
        <v>17</v>
      </c>
      <c r="L3575" s="4">
        <f>Table4[[#This Row],[quantity]]*Table4[[#This Row],[unit_price]]</f>
        <v>97.36</v>
      </c>
      <c r="M3575">
        <f>COUNTIFS($C$2:$C$3934,Table4[[#This Row],[customer_id]])</f>
        <v>5</v>
      </c>
      <c r="N3575" t="str">
        <f>IF(Table4[[#This Row],[customer_order_count]]=1,"New Customer","Repeat Customer")</f>
        <v>Repeat Customer</v>
      </c>
    </row>
    <row r="3576" spans="1:14">
      <c r="A3576" t="s">
        <v>3061</v>
      </c>
      <c r="B3576" s="1">
        <v>45305</v>
      </c>
      <c r="C3576" t="s">
        <v>1928</v>
      </c>
      <c r="D3576" t="s">
        <v>1444</v>
      </c>
      <c r="E3576" t="s">
        <v>21</v>
      </c>
      <c r="F3576" t="s">
        <v>14</v>
      </c>
      <c r="G3576" t="s">
        <v>62</v>
      </c>
      <c r="H3576">
        <v>2</v>
      </c>
      <c r="I3576" s="3">
        <v>97.36</v>
      </c>
      <c r="J3576" t="s">
        <v>16</v>
      </c>
      <c r="K3576" t="s">
        <v>17</v>
      </c>
      <c r="L3576" s="4">
        <f>Table4[[#This Row],[quantity]]*Table4[[#This Row],[unit_price]]</f>
        <v>194.72</v>
      </c>
      <c r="M3576">
        <f>COUNTIFS($C$2:$C$3934,Table4[[#This Row],[customer_id]])</f>
        <v>7</v>
      </c>
      <c r="N3576" t="str">
        <f>IF(Table4[[#This Row],[customer_order_count]]=1,"New Customer","Repeat Customer")</f>
        <v>Repeat Customer</v>
      </c>
    </row>
    <row r="3577" spans="1:14">
      <c r="A3577" t="s">
        <v>2529</v>
      </c>
      <c r="B3577" s="1">
        <v>45018</v>
      </c>
      <c r="C3577" t="s">
        <v>2013</v>
      </c>
      <c r="D3577" t="s">
        <v>2014</v>
      </c>
      <c r="E3577" t="s">
        <v>21</v>
      </c>
      <c r="F3577" t="s">
        <v>56</v>
      </c>
      <c r="G3577" t="s">
        <v>254</v>
      </c>
      <c r="H3577">
        <v>2</v>
      </c>
      <c r="I3577" s="3">
        <v>97.46</v>
      </c>
      <c r="J3577" t="s">
        <v>85</v>
      </c>
      <c r="K3577" t="s">
        <v>40</v>
      </c>
      <c r="L3577" s="4">
        <f>Table4[[#This Row],[quantity]]*Table4[[#This Row],[unit_price]]</f>
        <v>194.92</v>
      </c>
      <c r="M3577">
        <f>COUNTIFS($C$2:$C$3934,Table4[[#This Row],[customer_id]])</f>
        <v>5</v>
      </c>
      <c r="N3577" t="str">
        <f>IF(Table4[[#This Row],[customer_order_count]]=1,"New Customer","Repeat Customer")</f>
        <v>Repeat Customer</v>
      </c>
    </row>
    <row r="3578" spans="1:14">
      <c r="A3578" t="s">
        <v>2254</v>
      </c>
      <c r="B3578" s="1">
        <v>44994</v>
      </c>
      <c r="C3578" t="s">
        <v>1831</v>
      </c>
      <c r="D3578" t="s">
        <v>1832</v>
      </c>
      <c r="E3578" t="s">
        <v>21</v>
      </c>
      <c r="F3578" t="s">
        <v>14</v>
      </c>
      <c r="G3578" t="s">
        <v>34</v>
      </c>
      <c r="H3578">
        <v>1</v>
      </c>
      <c r="I3578" s="3">
        <v>97.5</v>
      </c>
      <c r="J3578" t="s">
        <v>85</v>
      </c>
      <c r="K3578" t="s">
        <v>35</v>
      </c>
      <c r="L3578" s="4">
        <f>Table4[[#This Row],[quantity]]*Table4[[#This Row],[unit_price]]</f>
        <v>97.5</v>
      </c>
      <c r="M3578">
        <f>COUNTIFS($C$2:$C$3934,Table4[[#This Row],[customer_id]])</f>
        <v>5</v>
      </c>
      <c r="N3578" t="str">
        <f>IF(Table4[[#This Row],[customer_order_count]]=1,"New Customer","Repeat Customer")</f>
        <v>Repeat Customer</v>
      </c>
    </row>
    <row r="3579" spans="1:14">
      <c r="A3579" t="s">
        <v>3861</v>
      </c>
      <c r="B3579" s="1">
        <v>45380</v>
      </c>
      <c r="C3579" t="s">
        <v>405</v>
      </c>
      <c r="D3579" t="s">
        <v>406</v>
      </c>
      <c r="E3579" t="s">
        <v>21</v>
      </c>
      <c r="F3579" t="s">
        <v>79</v>
      </c>
      <c r="G3579" t="s">
        <v>541</v>
      </c>
      <c r="H3579">
        <v>1</v>
      </c>
      <c r="I3579" s="3">
        <v>97.51</v>
      </c>
      <c r="J3579" t="s">
        <v>16</v>
      </c>
      <c r="K3579" t="s">
        <v>35</v>
      </c>
      <c r="L3579" s="4">
        <f>Table4[[#This Row],[quantity]]*Table4[[#This Row],[unit_price]]</f>
        <v>97.51</v>
      </c>
      <c r="M3579">
        <f>COUNTIFS($C$2:$C$3934,Table4[[#This Row],[customer_id]])</f>
        <v>5</v>
      </c>
      <c r="N3579" t="str">
        <f>IF(Table4[[#This Row],[customer_order_count]]=1,"New Customer","Repeat Customer")</f>
        <v>Repeat Customer</v>
      </c>
    </row>
    <row r="3580" spans="1:14">
      <c r="A3580" t="s">
        <v>738</v>
      </c>
      <c r="B3580" s="1">
        <v>45010</v>
      </c>
      <c r="C3580" t="s">
        <v>739</v>
      </c>
      <c r="D3580" t="s">
        <v>740</v>
      </c>
      <c r="E3580" t="s">
        <v>21</v>
      </c>
      <c r="F3580" t="s">
        <v>14</v>
      </c>
      <c r="G3580" t="s">
        <v>15</v>
      </c>
      <c r="H3580">
        <v>1</v>
      </c>
      <c r="I3580" s="3">
        <v>97.51</v>
      </c>
      <c r="J3580" t="s">
        <v>16</v>
      </c>
      <c r="K3580" t="s">
        <v>40</v>
      </c>
      <c r="L3580" s="4">
        <f>Table4[[#This Row],[quantity]]*Table4[[#This Row],[unit_price]]</f>
        <v>97.51</v>
      </c>
      <c r="M3580">
        <f>COUNTIFS($C$2:$C$3934,Table4[[#This Row],[customer_id]])</f>
        <v>7</v>
      </c>
      <c r="N3580" t="str">
        <f>IF(Table4[[#This Row],[customer_order_count]]=1,"New Customer","Repeat Customer")</f>
        <v>Repeat Customer</v>
      </c>
    </row>
    <row r="3581" spans="1:14">
      <c r="A3581" t="s">
        <v>3485</v>
      </c>
      <c r="B3581" s="1">
        <v>45157</v>
      </c>
      <c r="C3581" t="s">
        <v>1476</v>
      </c>
      <c r="D3581" t="s">
        <v>1477</v>
      </c>
      <c r="E3581" t="s">
        <v>21</v>
      </c>
      <c r="F3581" t="s">
        <v>14</v>
      </c>
      <c r="G3581" t="s">
        <v>258</v>
      </c>
      <c r="H3581">
        <v>1</v>
      </c>
      <c r="I3581" s="3">
        <v>97.51</v>
      </c>
      <c r="J3581" t="s">
        <v>16</v>
      </c>
      <c r="K3581" t="s">
        <v>30</v>
      </c>
      <c r="L3581" s="4">
        <f>Table4[[#This Row],[quantity]]*Table4[[#This Row],[unit_price]]</f>
        <v>97.51</v>
      </c>
      <c r="M3581">
        <f>COUNTIFS($C$2:$C$3934,Table4[[#This Row],[customer_id]])</f>
        <v>5</v>
      </c>
      <c r="N3581" t="str">
        <f>IF(Table4[[#This Row],[customer_order_count]]=1,"New Customer","Repeat Customer")</f>
        <v>Repeat Customer</v>
      </c>
    </row>
    <row r="3582" spans="1:14">
      <c r="A3582" t="s">
        <v>1548</v>
      </c>
      <c r="B3582" s="1">
        <v>45451</v>
      </c>
      <c r="C3582" t="s">
        <v>568</v>
      </c>
      <c r="D3582" t="s">
        <v>569</v>
      </c>
      <c r="E3582" t="s">
        <v>21</v>
      </c>
      <c r="F3582" t="s">
        <v>14</v>
      </c>
      <c r="G3582" t="s">
        <v>34</v>
      </c>
      <c r="H3582">
        <v>1</v>
      </c>
      <c r="I3582" s="3">
        <v>97.59</v>
      </c>
      <c r="J3582" t="s">
        <v>16</v>
      </c>
      <c r="K3582" t="s">
        <v>30</v>
      </c>
      <c r="L3582" s="4">
        <f>Table4[[#This Row],[quantity]]*Table4[[#This Row],[unit_price]]</f>
        <v>97.59</v>
      </c>
      <c r="M3582">
        <f>COUNTIFS($C$2:$C$3934,Table4[[#This Row],[customer_id]])</f>
        <v>4</v>
      </c>
      <c r="N3582" t="str">
        <f>IF(Table4[[#This Row],[customer_order_count]]=1,"New Customer","Repeat Customer")</f>
        <v>Repeat Customer</v>
      </c>
    </row>
    <row r="3583" spans="1:14">
      <c r="A3583" t="s">
        <v>1072</v>
      </c>
      <c r="B3583" s="1">
        <v>45402</v>
      </c>
      <c r="C3583" t="s">
        <v>209</v>
      </c>
      <c r="D3583" t="s">
        <v>181</v>
      </c>
      <c r="E3583" t="s">
        <v>21</v>
      </c>
      <c r="F3583" t="s">
        <v>14</v>
      </c>
      <c r="G3583" t="s">
        <v>258</v>
      </c>
      <c r="H3583">
        <v>1</v>
      </c>
      <c r="I3583" s="3">
        <v>97.69</v>
      </c>
      <c r="J3583" t="s">
        <v>16</v>
      </c>
      <c r="K3583" t="s">
        <v>40</v>
      </c>
      <c r="L3583" s="4">
        <f>Table4[[#This Row],[quantity]]*Table4[[#This Row],[unit_price]]</f>
        <v>97.69</v>
      </c>
      <c r="M3583">
        <f>COUNTIFS($C$2:$C$3934,Table4[[#This Row],[customer_id]])</f>
        <v>5</v>
      </c>
      <c r="N3583" t="str">
        <f>IF(Table4[[#This Row],[customer_order_count]]=1,"New Customer","Repeat Customer")</f>
        <v>Repeat Customer</v>
      </c>
    </row>
    <row r="3584" spans="1:14">
      <c r="A3584" t="s">
        <v>5157</v>
      </c>
      <c r="B3584" s="1">
        <v>45081</v>
      </c>
      <c r="C3584" t="s">
        <v>1100</v>
      </c>
      <c r="D3584" s="2" t="s">
        <v>5257</v>
      </c>
      <c r="E3584" t="s">
        <v>61</v>
      </c>
      <c r="F3584" t="s">
        <v>56</v>
      </c>
      <c r="G3584" t="s">
        <v>422</v>
      </c>
      <c r="H3584">
        <v>1</v>
      </c>
      <c r="I3584" s="3">
        <v>97.7</v>
      </c>
      <c r="J3584" t="s">
        <v>16</v>
      </c>
      <c r="K3584" t="s">
        <v>35</v>
      </c>
      <c r="L3584" s="4">
        <f>Table4[[#This Row],[quantity]]*Table4[[#This Row],[unit_price]]</f>
        <v>97.7</v>
      </c>
      <c r="M3584">
        <f>COUNTIFS($C$2:$C$3934,Table4[[#This Row],[customer_id]])</f>
        <v>4</v>
      </c>
      <c r="N3584" t="str">
        <f>IF(Table4[[#This Row],[customer_order_count]]=1,"New Customer","Repeat Customer")</f>
        <v>Repeat Customer</v>
      </c>
    </row>
    <row r="3585" spans="1:14">
      <c r="A3585" t="s">
        <v>4885</v>
      </c>
      <c r="B3585" s="1">
        <v>45442</v>
      </c>
      <c r="C3585" t="s">
        <v>1452</v>
      </c>
      <c r="D3585" s="5" t="s">
        <v>1453</v>
      </c>
      <c r="E3585" t="s">
        <v>21</v>
      </c>
      <c r="F3585" t="s">
        <v>14</v>
      </c>
      <c r="G3585" t="s">
        <v>258</v>
      </c>
      <c r="H3585">
        <v>1</v>
      </c>
      <c r="I3585" s="3">
        <v>97.73</v>
      </c>
      <c r="J3585" t="s">
        <v>16</v>
      </c>
      <c r="K3585" t="s">
        <v>40</v>
      </c>
      <c r="L3585" s="4">
        <f>Table4[[#This Row],[quantity]]*Table4[[#This Row],[unit_price]]</f>
        <v>97.73</v>
      </c>
      <c r="M3585">
        <f>COUNTIFS($C$2:$C$3934,Table4[[#This Row],[customer_id]])</f>
        <v>7</v>
      </c>
      <c r="N3585" t="str">
        <f>IF(Table4[[#This Row],[customer_order_count]]=1,"New Customer","Repeat Customer")</f>
        <v>Repeat Customer</v>
      </c>
    </row>
    <row r="3586" spans="1:14">
      <c r="A3586" t="s">
        <v>4129</v>
      </c>
      <c r="B3586" s="1">
        <v>45455</v>
      </c>
      <c r="C3586" t="s">
        <v>1575</v>
      </c>
      <c r="D3586" t="s">
        <v>449</v>
      </c>
      <c r="E3586" t="s">
        <v>44</v>
      </c>
      <c r="F3586" t="s">
        <v>56</v>
      </c>
      <c r="G3586" t="s">
        <v>254</v>
      </c>
      <c r="H3586">
        <v>4</v>
      </c>
      <c r="I3586" s="3">
        <v>97.87</v>
      </c>
      <c r="J3586" t="s">
        <v>85</v>
      </c>
      <c r="K3586" t="s">
        <v>40</v>
      </c>
      <c r="L3586" s="4">
        <f>Table4[[#This Row],[quantity]]*Table4[[#This Row],[unit_price]]</f>
        <v>391.48</v>
      </c>
      <c r="M3586">
        <f>COUNTIFS($C$2:$C$3934,Table4[[#This Row],[customer_id]])</f>
        <v>5</v>
      </c>
      <c r="N3586" t="str">
        <f>IF(Table4[[#This Row],[customer_order_count]]=1,"New Customer","Repeat Customer")</f>
        <v>Repeat Customer</v>
      </c>
    </row>
    <row r="3587" spans="1:14">
      <c r="A3587" t="s">
        <v>2633</v>
      </c>
      <c r="B3587" s="1">
        <v>45182</v>
      </c>
      <c r="C3587" t="s">
        <v>907</v>
      </c>
      <c r="D3587" t="s">
        <v>275</v>
      </c>
      <c r="E3587" t="s">
        <v>21</v>
      </c>
      <c r="F3587" t="s">
        <v>14</v>
      </c>
      <c r="G3587" t="s">
        <v>100</v>
      </c>
      <c r="H3587">
        <v>1</v>
      </c>
      <c r="I3587" s="3">
        <v>97.9</v>
      </c>
      <c r="J3587" t="s">
        <v>16</v>
      </c>
      <c r="K3587" t="s">
        <v>17</v>
      </c>
      <c r="L3587" s="4">
        <f>Table4[[#This Row],[quantity]]*Table4[[#This Row],[unit_price]]</f>
        <v>97.9</v>
      </c>
      <c r="M3587">
        <f>COUNTIFS($C$2:$C$3934,Table4[[#This Row],[customer_id]])</f>
        <v>4</v>
      </c>
      <c r="N3587" t="str">
        <f>IF(Table4[[#This Row],[customer_order_count]]=1,"New Customer","Repeat Customer")</f>
        <v>Repeat Customer</v>
      </c>
    </row>
    <row r="3588" spans="1:14">
      <c r="A3588" t="s">
        <v>506</v>
      </c>
      <c r="B3588" s="1">
        <v>45523</v>
      </c>
      <c r="C3588" t="s">
        <v>507</v>
      </c>
      <c r="D3588" t="s">
        <v>275</v>
      </c>
      <c r="E3588" t="s">
        <v>21</v>
      </c>
      <c r="F3588" t="s">
        <v>56</v>
      </c>
      <c r="G3588" t="s">
        <v>118</v>
      </c>
      <c r="H3588">
        <v>2</v>
      </c>
      <c r="I3588" s="3">
        <v>97.92</v>
      </c>
      <c r="J3588" t="s">
        <v>16</v>
      </c>
      <c r="K3588" t="s">
        <v>35</v>
      </c>
      <c r="L3588" s="4">
        <f>Table4[[#This Row],[quantity]]*Table4[[#This Row],[unit_price]]</f>
        <v>195.84</v>
      </c>
      <c r="M3588">
        <f>COUNTIFS($C$2:$C$3934,Table4[[#This Row],[customer_id]])</f>
        <v>3</v>
      </c>
      <c r="N3588" t="str">
        <f>IF(Table4[[#This Row],[customer_order_count]]=1,"New Customer","Repeat Customer")</f>
        <v>Repeat Customer</v>
      </c>
    </row>
    <row r="3589" spans="1:14">
      <c r="A3589" t="s">
        <v>1762</v>
      </c>
      <c r="B3589" s="1">
        <v>45460</v>
      </c>
      <c r="C3589" t="s">
        <v>1763</v>
      </c>
      <c r="D3589" t="s">
        <v>1103</v>
      </c>
      <c r="E3589" t="s">
        <v>21</v>
      </c>
      <c r="F3589" t="s">
        <v>56</v>
      </c>
      <c r="G3589" t="s">
        <v>75</v>
      </c>
      <c r="H3589">
        <v>2</v>
      </c>
      <c r="I3589" s="3">
        <v>97.95</v>
      </c>
      <c r="J3589" t="s">
        <v>16</v>
      </c>
      <c r="K3589" t="s">
        <v>30</v>
      </c>
      <c r="L3589" s="4">
        <f>Table4[[#This Row],[quantity]]*Table4[[#This Row],[unit_price]]</f>
        <v>195.9</v>
      </c>
      <c r="M3589">
        <f>COUNTIFS($C$2:$C$3934,Table4[[#This Row],[customer_id]])</f>
        <v>8</v>
      </c>
      <c r="N3589" t="str">
        <f>IF(Table4[[#This Row],[customer_order_count]]=1,"New Customer","Repeat Customer")</f>
        <v>Repeat Customer</v>
      </c>
    </row>
    <row r="3590" spans="1:14">
      <c r="A3590" t="s">
        <v>2523</v>
      </c>
      <c r="B3590" s="1">
        <v>44971</v>
      </c>
      <c r="C3590" t="s">
        <v>2157</v>
      </c>
      <c r="D3590" t="s">
        <v>576</v>
      </c>
      <c r="E3590" t="s">
        <v>44</v>
      </c>
      <c r="F3590" t="s">
        <v>56</v>
      </c>
      <c r="G3590" t="s">
        <v>210</v>
      </c>
      <c r="H3590">
        <v>2</v>
      </c>
      <c r="I3590" s="3">
        <v>97.98</v>
      </c>
      <c r="J3590" t="s">
        <v>16</v>
      </c>
      <c r="K3590" t="s">
        <v>30</v>
      </c>
      <c r="L3590" s="4">
        <f>Table4[[#This Row],[quantity]]*Table4[[#This Row],[unit_price]]</f>
        <v>195.96</v>
      </c>
      <c r="M3590">
        <f>COUNTIFS($C$2:$C$3934,Table4[[#This Row],[customer_id]])</f>
        <v>4</v>
      </c>
      <c r="N3590" t="str">
        <f>IF(Table4[[#This Row],[customer_order_count]]=1,"New Customer","Repeat Customer")</f>
        <v>Repeat Customer</v>
      </c>
    </row>
    <row r="3591" spans="1:14">
      <c r="A3591" t="s">
        <v>5112</v>
      </c>
      <c r="B3591" s="1">
        <v>45168</v>
      </c>
      <c r="C3591" t="s">
        <v>742</v>
      </c>
      <c r="D3591" t="s">
        <v>743</v>
      </c>
      <c r="E3591" t="s">
        <v>21</v>
      </c>
      <c r="F3591" t="s">
        <v>14</v>
      </c>
      <c r="G3591" t="s">
        <v>15</v>
      </c>
      <c r="H3591">
        <v>2</v>
      </c>
      <c r="I3591" s="3">
        <v>98.11</v>
      </c>
      <c r="J3591" t="s">
        <v>85</v>
      </c>
      <c r="K3591" t="s">
        <v>30</v>
      </c>
      <c r="L3591" s="4">
        <f>Table4[[#This Row],[quantity]]*Table4[[#This Row],[unit_price]]</f>
        <v>196.22</v>
      </c>
      <c r="M3591">
        <f>COUNTIFS($C$2:$C$3934,Table4[[#This Row],[customer_id]])</f>
        <v>8</v>
      </c>
      <c r="N3591" t="str">
        <f>IF(Table4[[#This Row],[customer_order_count]]=1,"New Customer","Repeat Customer")</f>
        <v>Repeat Customer</v>
      </c>
    </row>
    <row r="3592" spans="1:14">
      <c r="A3592" t="s">
        <v>2611</v>
      </c>
      <c r="B3592" s="1">
        <v>44989</v>
      </c>
      <c r="C3592" t="s">
        <v>2612</v>
      </c>
      <c r="D3592" t="s">
        <v>881</v>
      </c>
      <c r="E3592" t="s">
        <v>21</v>
      </c>
      <c r="F3592" t="s">
        <v>56</v>
      </c>
      <c r="G3592" t="s">
        <v>57</v>
      </c>
      <c r="H3592">
        <v>4</v>
      </c>
      <c r="I3592" s="3">
        <v>98.22</v>
      </c>
      <c r="J3592" t="s">
        <v>16</v>
      </c>
      <c r="K3592" t="s">
        <v>17</v>
      </c>
      <c r="L3592" s="4">
        <f>Table4[[#This Row],[quantity]]*Table4[[#This Row],[unit_price]]</f>
        <v>392.88</v>
      </c>
      <c r="M3592">
        <f>COUNTIFS($C$2:$C$3934,Table4[[#This Row],[customer_id]])</f>
        <v>3</v>
      </c>
      <c r="N3592" t="str">
        <f>IF(Table4[[#This Row],[customer_order_count]]=1,"New Customer","Repeat Customer")</f>
        <v>Repeat Customer</v>
      </c>
    </row>
    <row r="3593" spans="1:14">
      <c r="A3593" t="s">
        <v>1632</v>
      </c>
      <c r="B3593" s="1">
        <v>45132</v>
      </c>
      <c r="C3593" t="s">
        <v>73</v>
      </c>
      <c r="D3593" s="2" t="s">
        <v>5257</v>
      </c>
      <c r="E3593" t="s">
        <v>21</v>
      </c>
      <c r="F3593" t="s">
        <v>79</v>
      </c>
      <c r="G3593" t="s">
        <v>398</v>
      </c>
      <c r="H3593">
        <v>1</v>
      </c>
      <c r="I3593" s="3">
        <v>98.27</v>
      </c>
      <c r="J3593" t="s">
        <v>16</v>
      </c>
      <c r="K3593" t="s">
        <v>40</v>
      </c>
      <c r="L3593" s="4">
        <f>Table4[[#This Row],[quantity]]*Table4[[#This Row],[unit_price]]</f>
        <v>98.27</v>
      </c>
      <c r="M3593">
        <f>COUNTIFS($C$2:$C$3934,Table4[[#This Row],[customer_id]])</f>
        <v>5</v>
      </c>
      <c r="N3593" t="str">
        <f>IF(Table4[[#This Row],[customer_order_count]]=1,"New Customer","Repeat Customer")</f>
        <v>Repeat Customer</v>
      </c>
    </row>
    <row r="3594" spans="1:14">
      <c r="A3594" t="s">
        <v>779</v>
      </c>
      <c r="B3594" s="1">
        <v>45190</v>
      </c>
      <c r="C3594" t="s">
        <v>780</v>
      </c>
      <c r="D3594" s="5" t="s">
        <v>237</v>
      </c>
      <c r="E3594" t="s">
        <v>44</v>
      </c>
      <c r="F3594" t="s">
        <v>14</v>
      </c>
      <c r="G3594" t="s">
        <v>62</v>
      </c>
      <c r="H3594">
        <v>1</v>
      </c>
      <c r="I3594" s="3">
        <v>98.3</v>
      </c>
      <c r="J3594" t="s">
        <v>16</v>
      </c>
      <c r="K3594" s="2" t="s">
        <v>5256</v>
      </c>
      <c r="L3594" s="4">
        <f>Table4[[#This Row],[quantity]]*Table4[[#This Row],[unit_price]]</f>
        <v>98.3</v>
      </c>
      <c r="M3594">
        <f>COUNTIFS($C$2:$C$3934,Table4[[#This Row],[customer_id]])</f>
        <v>6</v>
      </c>
      <c r="N3594" t="str">
        <f>IF(Table4[[#This Row],[customer_order_count]]=1,"New Customer","Repeat Customer")</f>
        <v>Repeat Customer</v>
      </c>
    </row>
    <row r="3595" spans="1:14">
      <c r="A3595" t="s">
        <v>4142</v>
      </c>
      <c r="B3595" s="1">
        <v>45616</v>
      </c>
      <c r="C3595" t="s">
        <v>371</v>
      </c>
      <c r="D3595" t="s">
        <v>372</v>
      </c>
      <c r="E3595" t="s">
        <v>21</v>
      </c>
      <c r="F3595" t="s">
        <v>56</v>
      </c>
      <c r="G3595" t="s">
        <v>118</v>
      </c>
      <c r="H3595">
        <v>1</v>
      </c>
      <c r="I3595" s="3">
        <v>98.34</v>
      </c>
      <c r="J3595" t="s">
        <v>16</v>
      </c>
      <c r="K3595" s="5" t="s">
        <v>35</v>
      </c>
      <c r="L3595" s="4">
        <f>Table4[[#This Row],[quantity]]*Table4[[#This Row],[unit_price]]</f>
        <v>98.34</v>
      </c>
      <c r="M3595">
        <f>COUNTIFS($C$2:$C$3934,Table4[[#This Row],[customer_id]])</f>
        <v>4</v>
      </c>
      <c r="N3595" t="str">
        <f>IF(Table4[[#This Row],[customer_order_count]]=1,"New Customer","Repeat Customer")</f>
        <v>Repeat Customer</v>
      </c>
    </row>
    <row r="3596" spans="1:14">
      <c r="A3596" t="s">
        <v>3203</v>
      </c>
      <c r="B3596" s="1">
        <v>45084</v>
      </c>
      <c r="C3596" t="s">
        <v>1136</v>
      </c>
      <c r="D3596" t="s">
        <v>525</v>
      </c>
      <c r="E3596" t="s">
        <v>44</v>
      </c>
      <c r="F3596" t="s">
        <v>79</v>
      </c>
      <c r="G3596" t="s">
        <v>80</v>
      </c>
      <c r="H3596">
        <v>1</v>
      </c>
      <c r="I3596" s="3">
        <v>98.39</v>
      </c>
      <c r="J3596" t="s">
        <v>16</v>
      </c>
      <c r="K3596" t="s">
        <v>17</v>
      </c>
      <c r="L3596" s="4">
        <f>Table4[[#This Row],[quantity]]*Table4[[#This Row],[unit_price]]</f>
        <v>98.39</v>
      </c>
      <c r="M3596">
        <f>COUNTIFS($C$2:$C$3934,Table4[[#This Row],[customer_id]])</f>
        <v>8</v>
      </c>
      <c r="N3596" t="str">
        <f>IF(Table4[[#This Row],[customer_order_count]]=1,"New Customer","Repeat Customer")</f>
        <v>Repeat Customer</v>
      </c>
    </row>
    <row r="3597" spans="1:14">
      <c r="A3597" t="s">
        <v>3873</v>
      </c>
      <c r="B3597" s="1">
        <v>45550</v>
      </c>
      <c r="C3597" t="s">
        <v>1747</v>
      </c>
      <c r="D3597" t="s">
        <v>1748</v>
      </c>
      <c r="E3597" t="s">
        <v>21</v>
      </c>
      <c r="F3597" t="s">
        <v>79</v>
      </c>
      <c r="G3597" t="s">
        <v>200</v>
      </c>
      <c r="H3597">
        <v>1</v>
      </c>
      <c r="I3597" s="3">
        <v>98.43</v>
      </c>
      <c r="J3597" t="s">
        <v>16</v>
      </c>
      <c r="K3597" t="s">
        <v>30</v>
      </c>
      <c r="L3597" s="4">
        <f>Table4[[#This Row],[quantity]]*Table4[[#This Row],[unit_price]]</f>
        <v>98.43</v>
      </c>
      <c r="M3597">
        <f>COUNTIFS($C$2:$C$3934,Table4[[#This Row],[customer_id]])</f>
        <v>8</v>
      </c>
      <c r="N3597" t="str">
        <f>IF(Table4[[#This Row],[customer_order_count]]=1,"New Customer","Repeat Customer")</f>
        <v>Repeat Customer</v>
      </c>
    </row>
    <row r="3598" spans="1:14">
      <c r="A3598" t="s">
        <v>4962</v>
      </c>
      <c r="B3598" s="1">
        <v>45204</v>
      </c>
      <c r="C3598" t="s">
        <v>364</v>
      </c>
      <c r="D3598" t="s">
        <v>365</v>
      </c>
      <c r="E3598" t="s">
        <v>21</v>
      </c>
      <c r="F3598" t="s">
        <v>79</v>
      </c>
      <c r="G3598" t="s">
        <v>230</v>
      </c>
      <c r="H3598">
        <v>1</v>
      </c>
      <c r="I3598" s="3">
        <v>98.55</v>
      </c>
      <c r="J3598" t="s">
        <v>16</v>
      </c>
      <c r="K3598" t="s">
        <v>17</v>
      </c>
      <c r="L3598" s="4">
        <f>Table4[[#This Row],[quantity]]*Table4[[#This Row],[unit_price]]</f>
        <v>98.55</v>
      </c>
      <c r="M3598">
        <f>COUNTIFS($C$2:$C$3934,Table4[[#This Row],[customer_id]])</f>
        <v>6</v>
      </c>
      <c r="N3598" t="str">
        <f>IF(Table4[[#This Row],[customer_order_count]]=1,"New Customer","Repeat Customer")</f>
        <v>Repeat Customer</v>
      </c>
    </row>
    <row r="3599" spans="1:14">
      <c r="A3599" t="s">
        <v>5220</v>
      </c>
      <c r="B3599" s="1">
        <v>45452</v>
      </c>
      <c r="C3599" t="s">
        <v>2292</v>
      </c>
      <c r="D3599" t="s">
        <v>714</v>
      </c>
      <c r="E3599" t="s">
        <v>21</v>
      </c>
      <c r="F3599" t="s">
        <v>56</v>
      </c>
      <c r="G3599" t="s">
        <v>57</v>
      </c>
      <c r="H3599">
        <v>1</v>
      </c>
      <c r="I3599" s="3">
        <v>98.59</v>
      </c>
      <c r="J3599" t="s">
        <v>16</v>
      </c>
      <c r="K3599" t="s">
        <v>17</v>
      </c>
      <c r="L3599" s="4">
        <f>Table4[[#This Row],[quantity]]*Table4[[#This Row],[unit_price]]</f>
        <v>98.59</v>
      </c>
      <c r="M3599">
        <f>COUNTIFS($C$2:$C$3934,Table4[[#This Row],[customer_id]])</f>
        <v>6</v>
      </c>
      <c r="N3599" t="str">
        <f>IF(Table4[[#This Row],[customer_order_count]]=1,"New Customer","Repeat Customer")</f>
        <v>Repeat Customer</v>
      </c>
    </row>
    <row r="3600" spans="1:14">
      <c r="A3600" t="s">
        <v>840</v>
      </c>
      <c r="B3600" s="1">
        <v>44971</v>
      </c>
      <c r="C3600" t="s">
        <v>841</v>
      </c>
      <c r="D3600" t="s">
        <v>842</v>
      </c>
      <c r="E3600" t="s">
        <v>21</v>
      </c>
      <c r="F3600" t="s">
        <v>14</v>
      </c>
      <c r="G3600" t="s">
        <v>62</v>
      </c>
      <c r="H3600">
        <v>1</v>
      </c>
      <c r="I3600" s="3">
        <v>98.62</v>
      </c>
      <c r="J3600" t="s">
        <v>16</v>
      </c>
      <c r="K3600" s="2" t="s">
        <v>5256</v>
      </c>
      <c r="L3600" s="4">
        <f>Table4[[#This Row],[quantity]]*Table4[[#This Row],[unit_price]]</f>
        <v>98.62</v>
      </c>
      <c r="M3600">
        <f>COUNTIFS($C$2:$C$3934,Table4[[#This Row],[customer_id]])</f>
        <v>4</v>
      </c>
      <c r="N3600" t="str">
        <f>IF(Table4[[#This Row],[customer_order_count]]=1,"New Customer","Repeat Customer")</f>
        <v>Repeat Customer</v>
      </c>
    </row>
    <row r="3601" spans="1:14">
      <c r="A3601" t="s">
        <v>2586</v>
      </c>
      <c r="B3601" s="1">
        <v>45141</v>
      </c>
      <c r="C3601" t="s">
        <v>1545</v>
      </c>
      <c r="D3601" s="2" t="s">
        <v>5257</v>
      </c>
      <c r="E3601" t="s">
        <v>44</v>
      </c>
      <c r="F3601" t="s">
        <v>79</v>
      </c>
      <c r="G3601" t="s">
        <v>398</v>
      </c>
      <c r="H3601">
        <v>2</v>
      </c>
      <c r="I3601" s="3">
        <v>98.64</v>
      </c>
      <c r="J3601" t="s">
        <v>16</v>
      </c>
      <c r="K3601" s="5" t="s">
        <v>40</v>
      </c>
      <c r="L3601" s="4">
        <f>Table4[[#This Row],[quantity]]*Table4[[#This Row],[unit_price]]</f>
        <v>197.28</v>
      </c>
      <c r="M3601">
        <f>COUNTIFS($C$2:$C$3934,Table4[[#This Row],[customer_id]])</f>
        <v>5</v>
      </c>
      <c r="N3601" t="str">
        <f>IF(Table4[[#This Row],[customer_order_count]]=1,"New Customer","Repeat Customer")</f>
        <v>Repeat Customer</v>
      </c>
    </row>
    <row r="3602" spans="1:14">
      <c r="A3602" t="s">
        <v>2761</v>
      </c>
      <c r="B3602" s="1">
        <v>45553</v>
      </c>
      <c r="C3602" t="s">
        <v>1743</v>
      </c>
      <c r="D3602" s="5" t="s">
        <v>20</v>
      </c>
      <c r="E3602" t="s">
        <v>21</v>
      </c>
      <c r="F3602" t="s">
        <v>56</v>
      </c>
      <c r="G3602" t="s">
        <v>57</v>
      </c>
      <c r="H3602">
        <v>1</v>
      </c>
      <c r="I3602" s="3">
        <v>98.7</v>
      </c>
      <c r="J3602" t="s">
        <v>24</v>
      </c>
      <c r="K3602" t="s">
        <v>30</v>
      </c>
      <c r="L3602" s="4">
        <f>Table4[[#This Row],[quantity]]*Table4[[#This Row],[unit_price]]</f>
        <v>98.7</v>
      </c>
      <c r="M3602">
        <f>COUNTIFS($C$2:$C$3934,Table4[[#This Row],[customer_id]])</f>
        <v>8</v>
      </c>
      <c r="N3602" t="str">
        <f>IF(Table4[[#This Row],[customer_order_count]]=1,"New Customer","Repeat Customer")</f>
        <v>Repeat Customer</v>
      </c>
    </row>
    <row r="3603" spans="1:14">
      <c r="A3603" t="s">
        <v>3296</v>
      </c>
      <c r="B3603" s="1">
        <v>45369</v>
      </c>
      <c r="C3603" t="s">
        <v>283</v>
      </c>
      <c r="D3603" t="s">
        <v>203</v>
      </c>
      <c r="E3603" t="s">
        <v>44</v>
      </c>
      <c r="F3603" t="s">
        <v>79</v>
      </c>
      <c r="G3603" t="s">
        <v>166</v>
      </c>
      <c r="H3603">
        <v>1</v>
      </c>
      <c r="I3603" s="3">
        <v>98.77</v>
      </c>
      <c r="J3603" t="s">
        <v>255</v>
      </c>
      <c r="K3603" t="s">
        <v>40</v>
      </c>
      <c r="L3603" s="4">
        <f>Table4[[#This Row],[quantity]]*Table4[[#This Row],[unit_price]]</f>
        <v>98.77</v>
      </c>
      <c r="M3603">
        <f>COUNTIFS($C$2:$C$3934,Table4[[#This Row],[customer_id]])</f>
        <v>3</v>
      </c>
      <c r="N3603" t="str">
        <f>IF(Table4[[#This Row],[customer_order_count]]=1,"New Customer","Repeat Customer")</f>
        <v>Repeat Customer</v>
      </c>
    </row>
    <row r="3604" spans="1:14">
      <c r="A3604" t="s">
        <v>4716</v>
      </c>
      <c r="B3604" s="1">
        <v>45270</v>
      </c>
      <c r="C3604" t="s">
        <v>916</v>
      </c>
      <c r="D3604" t="s">
        <v>917</v>
      </c>
      <c r="E3604" t="s">
        <v>21</v>
      </c>
      <c r="F3604" t="s">
        <v>79</v>
      </c>
      <c r="G3604" t="s">
        <v>541</v>
      </c>
      <c r="H3604">
        <v>1</v>
      </c>
      <c r="I3604" s="3">
        <v>98.8</v>
      </c>
      <c r="J3604" t="s">
        <v>16</v>
      </c>
      <c r="K3604" t="s">
        <v>40</v>
      </c>
      <c r="L3604" s="4">
        <f>Table4[[#This Row],[quantity]]*Table4[[#This Row],[unit_price]]</f>
        <v>98.8</v>
      </c>
      <c r="M3604">
        <f>COUNTIFS($C$2:$C$3934,Table4[[#This Row],[customer_id]])</f>
        <v>3</v>
      </c>
      <c r="N3604" t="str">
        <f>IF(Table4[[#This Row],[customer_order_count]]=1,"New Customer","Repeat Customer")</f>
        <v>Repeat Customer</v>
      </c>
    </row>
    <row r="3605" spans="1:14">
      <c r="A3605" t="s">
        <v>3076</v>
      </c>
      <c r="B3605" s="1">
        <v>45255</v>
      </c>
      <c r="C3605" t="s">
        <v>1671</v>
      </c>
      <c r="D3605" t="s">
        <v>576</v>
      </c>
      <c r="E3605" t="s">
        <v>21</v>
      </c>
      <c r="F3605" t="s">
        <v>79</v>
      </c>
      <c r="G3605" t="s">
        <v>166</v>
      </c>
      <c r="H3605">
        <v>1</v>
      </c>
      <c r="I3605" s="3">
        <v>98.82</v>
      </c>
      <c r="J3605" t="s">
        <v>16</v>
      </c>
      <c r="K3605" s="2" t="s">
        <v>5256</v>
      </c>
      <c r="L3605" s="4">
        <f>Table4[[#This Row],[quantity]]*Table4[[#This Row],[unit_price]]</f>
        <v>98.82</v>
      </c>
      <c r="M3605">
        <f>COUNTIFS($C$2:$C$3934,Table4[[#This Row],[customer_id]])</f>
        <v>3</v>
      </c>
      <c r="N3605" t="str">
        <f>IF(Table4[[#This Row],[customer_order_count]]=1,"New Customer","Repeat Customer")</f>
        <v>Repeat Customer</v>
      </c>
    </row>
    <row r="3606" spans="1:14">
      <c r="A3606" t="s">
        <v>2224</v>
      </c>
      <c r="B3606" s="1">
        <v>44982</v>
      </c>
      <c r="C3606" t="s">
        <v>2225</v>
      </c>
      <c r="D3606" t="s">
        <v>438</v>
      </c>
      <c r="E3606" t="s">
        <v>44</v>
      </c>
      <c r="F3606" t="s">
        <v>79</v>
      </c>
      <c r="G3606" t="s">
        <v>80</v>
      </c>
      <c r="H3606">
        <v>1</v>
      </c>
      <c r="I3606" s="3">
        <v>98.82</v>
      </c>
      <c r="J3606" t="s">
        <v>85</v>
      </c>
      <c r="K3606" s="5" t="s">
        <v>40</v>
      </c>
      <c r="L3606" s="4">
        <f>Table4[[#This Row],[quantity]]*Table4[[#This Row],[unit_price]]</f>
        <v>98.82</v>
      </c>
      <c r="M3606">
        <f>COUNTIFS($C$2:$C$3934,Table4[[#This Row],[customer_id]])</f>
        <v>6</v>
      </c>
      <c r="N3606" t="str">
        <f>IF(Table4[[#This Row],[customer_order_count]]=1,"New Customer","Repeat Customer")</f>
        <v>Repeat Customer</v>
      </c>
    </row>
    <row r="3607" spans="1:14">
      <c r="A3607" t="s">
        <v>4254</v>
      </c>
      <c r="B3607" s="1">
        <v>45389</v>
      </c>
      <c r="C3607" t="s">
        <v>2126</v>
      </c>
      <c r="D3607" t="s">
        <v>2127</v>
      </c>
      <c r="E3607" t="s">
        <v>21</v>
      </c>
      <c r="F3607" t="s">
        <v>56</v>
      </c>
      <c r="G3607" t="s">
        <v>57</v>
      </c>
      <c r="H3607">
        <v>1</v>
      </c>
      <c r="I3607" s="3">
        <v>98.93</v>
      </c>
      <c r="J3607" t="s">
        <v>16</v>
      </c>
      <c r="K3607" t="s">
        <v>17</v>
      </c>
      <c r="L3607" s="4">
        <f>Table4[[#This Row],[quantity]]*Table4[[#This Row],[unit_price]]</f>
        <v>98.93</v>
      </c>
      <c r="M3607">
        <f>COUNTIFS($C$2:$C$3934,Table4[[#This Row],[customer_id]])</f>
        <v>3</v>
      </c>
      <c r="N3607" t="str">
        <f>IF(Table4[[#This Row],[customer_order_count]]=1,"New Customer","Repeat Customer")</f>
        <v>Repeat Customer</v>
      </c>
    </row>
    <row r="3608" spans="1:14">
      <c r="A3608" t="s">
        <v>884</v>
      </c>
      <c r="B3608" s="1">
        <v>45369</v>
      </c>
      <c r="C3608" t="s">
        <v>578</v>
      </c>
      <c r="D3608" t="s">
        <v>579</v>
      </c>
      <c r="E3608" t="s">
        <v>21</v>
      </c>
      <c r="F3608" t="s">
        <v>56</v>
      </c>
      <c r="G3608" t="s">
        <v>118</v>
      </c>
      <c r="H3608">
        <v>1</v>
      </c>
      <c r="I3608" s="3">
        <v>99.01</v>
      </c>
      <c r="J3608" t="s">
        <v>16</v>
      </c>
      <c r="K3608" t="s">
        <v>17</v>
      </c>
      <c r="L3608" s="4">
        <f>Table4[[#This Row],[quantity]]*Table4[[#This Row],[unit_price]]</f>
        <v>99.01</v>
      </c>
      <c r="M3608">
        <f>COUNTIFS($C$2:$C$3934,Table4[[#This Row],[customer_id]])</f>
        <v>10</v>
      </c>
      <c r="N3608" t="str">
        <f>IF(Table4[[#This Row],[customer_order_count]]=1,"New Customer","Repeat Customer")</f>
        <v>Repeat Customer</v>
      </c>
    </row>
    <row r="3609" spans="1:14">
      <c r="A3609" t="s">
        <v>4982</v>
      </c>
      <c r="B3609" s="1">
        <v>45567</v>
      </c>
      <c r="C3609" t="s">
        <v>3504</v>
      </c>
      <c r="D3609" t="s">
        <v>173</v>
      </c>
      <c r="E3609" t="s">
        <v>21</v>
      </c>
      <c r="F3609" t="s">
        <v>14</v>
      </c>
      <c r="G3609" t="s">
        <v>100</v>
      </c>
      <c r="H3609">
        <v>1</v>
      </c>
      <c r="I3609" s="3">
        <v>99.07</v>
      </c>
      <c r="J3609" t="s">
        <v>16</v>
      </c>
      <c r="K3609" t="s">
        <v>35</v>
      </c>
      <c r="L3609" s="4">
        <f>Table4[[#This Row],[quantity]]*Table4[[#This Row],[unit_price]]</f>
        <v>99.07</v>
      </c>
      <c r="M3609">
        <f>COUNTIFS($C$2:$C$3934,Table4[[#This Row],[customer_id]])</f>
        <v>4</v>
      </c>
      <c r="N3609" t="str">
        <f>IF(Table4[[#This Row],[customer_order_count]]=1,"New Customer","Repeat Customer")</f>
        <v>Repeat Customer</v>
      </c>
    </row>
    <row r="3610" spans="1:14">
      <c r="A3610" t="s">
        <v>3840</v>
      </c>
      <c r="B3610" s="1">
        <v>45636</v>
      </c>
      <c r="C3610" t="s">
        <v>443</v>
      </c>
      <c r="D3610" t="s">
        <v>444</v>
      </c>
      <c r="E3610" t="s">
        <v>21</v>
      </c>
      <c r="F3610" t="s">
        <v>56</v>
      </c>
      <c r="G3610" t="s">
        <v>210</v>
      </c>
      <c r="H3610">
        <v>1</v>
      </c>
      <c r="I3610" s="3">
        <v>99.12</v>
      </c>
      <c r="J3610" t="s">
        <v>16</v>
      </c>
      <c r="K3610" t="s">
        <v>17</v>
      </c>
      <c r="L3610" s="4">
        <f>Table4[[#This Row],[quantity]]*Table4[[#This Row],[unit_price]]</f>
        <v>99.12</v>
      </c>
      <c r="M3610">
        <f>COUNTIFS($C$2:$C$3934,Table4[[#This Row],[customer_id]])</f>
        <v>5</v>
      </c>
      <c r="N3610" t="str">
        <f>IF(Table4[[#This Row],[customer_order_count]]=1,"New Customer","Repeat Customer")</f>
        <v>Repeat Customer</v>
      </c>
    </row>
    <row r="3611" spans="1:14">
      <c r="A3611" t="s">
        <v>4228</v>
      </c>
      <c r="B3611" s="1">
        <v>45193</v>
      </c>
      <c r="C3611" t="s">
        <v>268</v>
      </c>
      <c r="D3611" t="s">
        <v>269</v>
      </c>
      <c r="E3611" t="s">
        <v>21</v>
      </c>
      <c r="F3611" t="s">
        <v>14</v>
      </c>
      <c r="G3611" t="s">
        <v>62</v>
      </c>
      <c r="H3611">
        <v>5</v>
      </c>
      <c r="I3611" s="3">
        <v>99.19</v>
      </c>
      <c r="J3611" t="s">
        <v>16</v>
      </c>
      <c r="K3611" t="s">
        <v>17</v>
      </c>
      <c r="L3611" s="4">
        <f>Table4[[#This Row],[quantity]]*Table4[[#This Row],[unit_price]]</f>
        <v>495.95</v>
      </c>
      <c r="M3611">
        <f>COUNTIFS($C$2:$C$3934,Table4[[#This Row],[customer_id]])</f>
        <v>4</v>
      </c>
      <c r="N3611" t="str">
        <f>IF(Table4[[#This Row],[customer_order_count]]=1,"New Customer","Repeat Customer")</f>
        <v>Repeat Customer</v>
      </c>
    </row>
    <row r="3612" spans="1:14">
      <c r="A3612" t="s">
        <v>4180</v>
      </c>
      <c r="B3612" s="1">
        <v>45073</v>
      </c>
      <c r="C3612" t="s">
        <v>195</v>
      </c>
      <c r="D3612" t="s">
        <v>196</v>
      </c>
      <c r="E3612" t="s">
        <v>21</v>
      </c>
      <c r="F3612" t="s">
        <v>56</v>
      </c>
      <c r="G3612" t="s">
        <v>75</v>
      </c>
      <c r="H3612">
        <v>1</v>
      </c>
      <c r="I3612" s="3">
        <v>99.31</v>
      </c>
      <c r="J3612" t="s">
        <v>85</v>
      </c>
      <c r="K3612" t="s">
        <v>30</v>
      </c>
      <c r="L3612" s="4">
        <f>Table4[[#This Row],[quantity]]*Table4[[#This Row],[unit_price]]</f>
        <v>99.31</v>
      </c>
      <c r="M3612">
        <f>COUNTIFS($C$2:$C$3934,Table4[[#This Row],[customer_id]])</f>
        <v>5</v>
      </c>
      <c r="N3612" t="str">
        <f>IF(Table4[[#This Row],[customer_order_count]]=1,"New Customer","Repeat Customer")</f>
        <v>Repeat Customer</v>
      </c>
    </row>
    <row r="3613" spans="1:14">
      <c r="A3613" t="s">
        <v>1829</v>
      </c>
      <c r="B3613" s="1">
        <v>45311</v>
      </c>
      <c r="C3613" t="s">
        <v>983</v>
      </c>
      <c r="D3613" t="s">
        <v>237</v>
      </c>
      <c r="E3613" t="s">
        <v>44</v>
      </c>
      <c r="F3613" t="s">
        <v>14</v>
      </c>
      <c r="G3613" t="s">
        <v>39</v>
      </c>
      <c r="H3613">
        <v>2</v>
      </c>
      <c r="I3613" s="3">
        <v>99.46</v>
      </c>
      <c r="J3613" t="s">
        <v>16</v>
      </c>
      <c r="K3613" t="s">
        <v>35</v>
      </c>
      <c r="L3613" s="4">
        <f>Table4[[#This Row],[quantity]]*Table4[[#This Row],[unit_price]]</f>
        <v>198.92</v>
      </c>
      <c r="M3613">
        <f>COUNTIFS($C$2:$C$3934,Table4[[#This Row],[customer_id]])</f>
        <v>7</v>
      </c>
      <c r="N3613" t="str">
        <f>IF(Table4[[#This Row],[customer_order_count]]=1,"New Customer","Repeat Customer")</f>
        <v>Repeat Customer</v>
      </c>
    </row>
    <row r="3614" spans="1:14">
      <c r="A3614" t="s">
        <v>4208</v>
      </c>
      <c r="B3614" s="1">
        <v>45106</v>
      </c>
      <c r="C3614" t="s">
        <v>1447</v>
      </c>
      <c r="D3614" t="s">
        <v>55</v>
      </c>
      <c r="E3614" t="s">
        <v>21</v>
      </c>
      <c r="F3614" t="s">
        <v>79</v>
      </c>
      <c r="G3614" t="s">
        <v>541</v>
      </c>
      <c r="H3614">
        <v>1</v>
      </c>
      <c r="I3614" s="3">
        <v>99.47</v>
      </c>
      <c r="J3614" t="s">
        <v>16</v>
      </c>
      <c r="K3614" t="s">
        <v>40</v>
      </c>
      <c r="L3614" s="4">
        <f>Table4[[#This Row],[quantity]]*Table4[[#This Row],[unit_price]]</f>
        <v>99.47</v>
      </c>
      <c r="M3614">
        <f>COUNTIFS($C$2:$C$3934,Table4[[#This Row],[customer_id]])</f>
        <v>7</v>
      </c>
      <c r="N3614" t="str">
        <f>IF(Table4[[#This Row],[customer_order_count]]=1,"New Customer","Repeat Customer")</f>
        <v>Repeat Customer</v>
      </c>
    </row>
    <row r="3615" spans="1:14">
      <c r="A3615" t="s">
        <v>3465</v>
      </c>
      <c r="B3615" s="1">
        <v>45182</v>
      </c>
      <c r="C3615" t="s">
        <v>3029</v>
      </c>
      <c r="D3615" t="s">
        <v>92</v>
      </c>
      <c r="E3615" t="s">
        <v>21</v>
      </c>
      <c r="F3615" t="s">
        <v>14</v>
      </c>
      <c r="G3615" t="s">
        <v>34</v>
      </c>
      <c r="H3615">
        <v>2</v>
      </c>
      <c r="I3615" s="3">
        <v>99.56</v>
      </c>
      <c r="J3615" t="s">
        <v>85</v>
      </c>
      <c r="K3615" t="s">
        <v>17</v>
      </c>
      <c r="L3615" s="4">
        <f>Table4[[#This Row],[quantity]]*Table4[[#This Row],[unit_price]]</f>
        <v>199.12</v>
      </c>
      <c r="M3615">
        <f>COUNTIFS($C$2:$C$3934,Table4[[#This Row],[customer_id]])</f>
        <v>6</v>
      </c>
      <c r="N3615" t="str">
        <f>IF(Table4[[#This Row],[customer_order_count]]=1,"New Customer","Repeat Customer")</f>
        <v>Repeat Customer</v>
      </c>
    </row>
    <row r="3616" spans="1:14">
      <c r="A3616" t="s">
        <v>2358</v>
      </c>
      <c r="B3616" s="1">
        <v>44978</v>
      </c>
      <c r="C3616" t="s">
        <v>895</v>
      </c>
      <c r="D3616" t="s">
        <v>149</v>
      </c>
      <c r="E3616" t="s">
        <v>21</v>
      </c>
      <c r="F3616" t="s">
        <v>56</v>
      </c>
      <c r="G3616" t="s">
        <v>57</v>
      </c>
      <c r="H3616">
        <v>2</v>
      </c>
      <c r="I3616" s="3">
        <v>99.59</v>
      </c>
      <c r="J3616" t="s">
        <v>16</v>
      </c>
      <c r="K3616" t="s">
        <v>35</v>
      </c>
      <c r="L3616" s="4">
        <f>Table4[[#This Row],[quantity]]*Table4[[#This Row],[unit_price]]</f>
        <v>199.18</v>
      </c>
      <c r="M3616">
        <f>COUNTIFS($C$2:$C$3934,Table4[[#This Row],[customer_id]])</f>
        <v>7</v>
      </c>
      <c r="N3616" t="str">
        <f>IF(Table4[[#This Row],[customer_order_count]]=1,"New Customer","Repeat Customer")</f>
        <v>Repeat Customer</v>
      </c>
    </row>
    <row r="3617" spans="1:14">
      <c r="A3617" t="s">
        <v>5197</v>
      </c>
      <c r="B3617" s="1">
        <v>45421</v>
      </c>
      <c r="C3617" t="s">
        <v>897</v>
      </c>
      <c r="D3617" t="s">
        <v>831</v>
      </c>
      <c r="E3617" t="s">
        <v>21</v>
      </c>
      <c r="F3617" t="s">
        <v>79</v>
      </c>
      <c r="G3617" t="s">
        <v>204</v>
      </c>
      <c r="H3617">
        <v>1</v>
      </c>
      <c r="I3617" s="3">
        <v>99.62</v>
      </c>
      <c r="J3617" t="s">
        <v>16</v>
      </c>
      <c r="K3617" t="s">
        <v>40</v>
      </c>
      <c r="L3617" s="4">
        <f>Table4[[#This Row],[quantity]]*Table4[[#This Row],[unit_price]]</f>
        <v>99.62</v>
      </c>
      <c r="M3617">
        <f>COUNTIFS($C$2:$C$3934,Table4[[#This Row],[customer_id]])</f>
        <v>6</v>
      </c>
      <c r="N3617" t="str">
        <f>IF(Table4[[#This Row],[customer_order_count]]=1,"New Customer","Repeat Customer")</f>
        <v>Repeat Customer</v>
      </c>
    </row>
    <row r="3618" spans="1:14">
      <c r="A3618" t="s">
        <v>4004</v>
      </c>
      <c r="B3618" s="1">
        <v>45394</v>
      </c>
      <c r="C3618" t="s">
        <v>323</v>
      </c>
      <c r="D3618" t="s">
        <v>324</v>
      </c>
      <c r="E3618" t="s">
        <v>44</v>
      </c>
      <c r="F3618" t="s">
        <v>79</v>
      </c>
      <c r="G3618" t="s">
        <v>200</v>
      </c>
      <c r="H3618">
        <v>2</v>
      </c>
      <c r="I3618" s="3">
        <v>99.62</v>
      </c>
      <c r="J3618" t="s">
        <v>16</v>
      </c>
      <c r="K3618" t="s">
        <v>17</v>
      </c>
      <c r="L3618" s="4">
        <f>Table4[[#This Row],[quantity]]*Table4[[#This Row],[unit_price]]</f>
        <v>199.24</v>
      </c>
      <c r="M3618">
        <f>COUNTIFS($C$2:$C$3934,Table4[[#This Row],[customer_id]])</f>
        <v>6</v>
      </c>
      <c r="N3618" t="str">
        <f>IF(Table4[[#This Row],[customer_order_count]]=1,"New Customer","Repeat Customer")</f>
        <v>Repeat Customer</v>
      </c>
    </row>
    <row r="3619" spans="1:14">
      <c r="A3619" t="s">
        <v>2764</v>
      </c>
      <c r="B3619" s="1">
        <v>45085</v>
      </c>
      <c r="C3619" t="s">
        <v>1603</v>
      </c>
      <c r="D3619" t="s">
        <v>226</v>
      </c>
      <c r="E3619" t="s">
        <v>21</v>
      </c>
      <c r="F3619" t="s">
        <v>56</v>
      </c>
      <c r="G3619" t="s">
        <v>254</v>
      </c>
      <c r="H3619">
        <v>1</v>
      </c>
      <c r="I3619" s="3">
        <v>99.63</v>
      </c>
      <c r="J3619" t="s">
        <v>255</v>
      </c>
      <c r="K3619" t="s">
        <v>30</v>
      </c>
      <c r="L3619" s="4">
        <f>Table4[[#This Row],[quantity]]*Table4[[#This Row],[unit_price]]</f>
        <v>99.63</v>
      </c>
      <c r="M3619">
        <f>COUNTIFS($C$2:$C$3934,Table4[[#This Row],[customer_id]])</f>
        <v>6</v>
      </c>
      <c r="N3619" t="str">
        <f>IF(Table4[[#This Row],[customer_order_count]]=1,"New Customer","Repeat Customer")</f>
        <v>Repeat Customer</v>
      </c>
    </row>
    <row r="3620" spans="1:14">
      <c r="A3620" t="s">
        <v>2304</v>
      </c>
      <c r="B3620" s="1">
        <v>45374</v>
      </c>
      <c r="C3620" t="s">
        <v>1010</v>
      </c>
      <c r="D3620" t="s">
        <v>566</v>
      </c>
      <c r="E3620" t="s">
        <v>44</v>
      </c>
      <c r="F3620" t="s">
        <v>14</v>
      </c>
      <c r="G3620" t="s">
        <v>34</v>
      </c>
      <c r="H3620">
        <v>2</v>
      </c>
      <c r="I3620" s="3">
        <v>99.71</v>
      </c>
      <c r="J3620" t="s">
        <v>85</v>
      </c>
      <c r="K3620" t="s">
        <v>30</v>
      </c>
      <c r="L3620" s="4">
        <f>Table4[[#This Row],[quantity]]*Table4[[#This Row],[unit_price]]</f>
        <v>199.42</v>
      </c>
      <c r="M3620">
        <f>COUNTIFS($C$2:$C$3934,Table4[[#This Row],[customer_id]])</f>
        <v>5</v>
      </c>
      <c r="N3620" t="str">
        <f>IF(Table4[[#This Row],[customer_order_count]]=1,"New Customer","Repeat Customer")</f>
        <v>Repeat Customer</v>
      </c>
    </row>
    <row r="3621" spans="1:14">
      <c r="A3621" t="s">
        <v>2336</v>
      </c>
      <c r="B3621" s="1">
        <v>45264</v>
      </c>
      <c r="C3621" t="s">
        <v>257</v>
      </c>
      <c r="D3621" t="s">
        <v>131</v>
      </c>
      <c r="E3621" t="s">
        <v>44</v>
      </c>
      <c r="F3621" t="s">
        <v>14</v>
      </c>
      <c r="G3621" t="s">
        <v>15</v>
      </c>
      <c r="H3621">
        <v>1</v>
      </c>
      <c r="I3621" s="3">
        <v>99.79</v>
      </c>
      <c r="J3621" t="s">
        <v>16</v>
      </c>
      <c r="K3621" t="s">
        <v>40</v>
      </c>
      <c r="L3621" s="4">
        <f>Table4[[#This Row],[quantity]]*Table4[[#This Row],[unit_price]]</f>
        <v>99.79</v>
      </c>
      <c r="M3621">
        <f>COUNTIFS($C$2:$C$3934,Table4[[#This Row],[customer_id]])</f>
        <v>5</v>
      </c>
      <c r="N3621" t="str">
        <f>IF(Table4[[#This Row],[customer_order_count]]=1,"New Customer","Repeat Customer")</f>
        <v>Repeat Customer</v>
      </c>
    </row>
    <row r="3622" spans="1:14">
      <c r="A3622" t="s">
        <v>4243</v>
      </c>
      <c r="B3622" s="1">
        <v>44980</v>
      </c>
      <c r="C3622" t="s">
        <v>1532</v>
      </c>
      <c r="D3622" t="s">
        <v>1533</v>
      </c>
      <c r="E3622" t="s">
        <v>44</v>
      </c>
      <c r="F3622" t="s">
        <v>56</v>
      </c>
      <c r="G3622" t="s">
        <v>153</v>
      </c>
      <c r="H3622">
        <v>2</v>
      </c>
      <c r="I3622" s="3">
        <v>99.79</v>
      </c>
      <c r="J3622" t="s">
        <v>16</v>
      </c>
      <c r="K3622" t="s">
        <v>40</v>
      </c>
      <c r="L3622" s="4">
        <f>Table4[[#This Row],[quantity]]*Table4[[#This Row],[unit_price]]</f>
        <v>199.58</v>
      </c>
      <c r="M3622">
        <f>COUNTIFS($C$2:$C$3934,Table4[[#This Row],[customer_id]])</f>
        <v>9</v>
      </c>
      <c r="N3622" t="str">
        <f>IF(Table4[[#This Row],[customer_order_count]]=1,"New Customer","Repeat Customer")</f>
        <v>Repeat Customer</v>
      </c>
    </row>
    <row r="3623" spans="1:14">
      <c r="A3623" t="s">
        <v>2475</v>
      </c>
      <c r="B3623" s="1">
        <v>44966</v>
      </c>
      <c r="C3623" t="s">
        <v>1205</v>
      </c>
      <c r="D3623" t="s">
        <v>372</v>
      </c>
      <c r="E3623" t="s">
        <v>44</v>
      </c>
      <c r="F3623" t="s">
        <v>79</v>
      </c>
      <c r="G3623" t="s">
        <v>166</v>
      </c>
      <c r="H3623">
        <v>1</v>
      </c>
      <c r="I3623" s="3">
        <v>99.81</v>
      </c>
      <c r="J3623" t="s">
        <v>16</v>
      </c>
      <c r="K3623" t="s">
        <v>17</v>
      </c>
      <c r="L3623" s="4">
        <f>Table4[[#This Row],[quantity]]*Table4[[#This Row],[unit_price]]</f>
        <v>99.81</v>
      </c>
      <c r="M3623">
        <f>COUNTIFS($C$2:$C$3934,Table4[[#This Row],[customer_id]])</f>
        <v>4</v>
      </c>
      <c r="N3623" t="str">
        <f>IF(Table4[[#This Row],[customer_order_count]]=1,"New Customer","Repeat Customer")</f>
        <v>Repeat Customer</v>
      </c>
    </row>
    <row r="3624" spans="1:14">
      <c r="A3624" t="s">
        <v>1011</v>
      </c>
      <c r="B3624" s="1">
        <v>45525</v>
      </c>
      <c r="C3624" t="s">
        <v>1012</v>
      </c>
      <c r="D3624" t="s">
        <v>372</v>
      </c>
      <c r="E3624" t="s">
        <v>21</v>
      </c>
      <c r="F3624" t="s">
        <v>79</v>
      </c>
      <c r="G3624" t="s">
        <v>204</v>
      </c>
      <c r="H3624">
        <v>1</v>
      </c>
      <c r="I3624" s="3">
        <v>99.85</v>
      </c>
      <c r="J3624" t="s">
        <v>16</v>
      </c>
      <c r="K3624" t="s">
        <v>35</v>
      </c>
      <c r="L3624" s="4">
        <f>Table4[[#This Row],[quantity]]*Table4[[#This Row],[unit_price]]</f>
        <v>99.85</v>
      </c>
      <c r="M3624">
        <f>COUNTIFS($C$2:$C$3934,Table4[[#This Row],[customer_id]])</f>
        <v>6</v>
      </c>
      <c r="N3624" t="str">
        <f>IF(Table4[[#This Row],[customer_order_count]]=1,"New Customer","Repeat Customer")</f>
        <v>Repeat Customer</v>
      </c>
    </row>
    <row r="3625" spans="1:14">
      <c r="A3625" t="s">
        <v>1216</v>
      </c>
      <c r="B3625" s="1">
        <v>45562</v>
      </c>
      <c r="C3625" t="s">
        <v>164</v>
      </c>
      <c r="D3625" t="s">
        <v>165</v>
      </c>
      <c r="E3625" t="s">
        <v>44</v>
      </c>
      <c r="F3625" t="s">
        <v>14</v>
      </c>
      <c r="G3625" t="s">
        <v>62</v>
      </c>
      <c r="H3625">
        <v>4</v>
      </c>
      <c r="I3625" s="3">
        <v>99.85</v>
      </c>
      <c r="J3625" t="s">
        <v>16</v>
      </c>
      <c r="K3625" t="s">
        <v>40</v>
      </c>
      <c r="L3625" s="4">
        <f>Table4[[#This Row],[quantity]]*Table4[[#This Row],[unit_price]]</f>
        <v>399.4</v>
      </c>
      <c r="M3625">
        <f>COUNTIFS($C$2:$C$3934,Table4[[#This Row],[customer_id]])</f>
        <v>6</v>
      </c>
      <c r="N3625" t="str">
        <f>IF(Table4[[#This Row],[customer_order_count]]=1,"New Customer","Repeat Customer")</f>
        <v>Repeat Customer</v>
      </c>
    </row>
    <row r="3626" spans="1:14">
      <c r="A3626" t="s">
        <v>1983</v>
      </c>
      <c r="B3626" s="1">
        <v>44934</v>
      </c>
      <c r="C3626" t="s">
        <v>698</v>
      </c>
      <c r="D3626" t="s">
        <v>307</v>
      </c>
      <c r="E3626" t="s">
        <v>21</v>
      </c>
      <c r="F3626" t="s">
        <v>14</v>
      </c>
      <c r="G3626" t="s">
        <v>34</v>
      </c>
      <c r="H3626">
        <v>5</v>
      </c>
      <c r="I3626" s="3">
        <v>99.89</v>
      </c>
      <c r="J3626" t="s">
        <v>16</v>
      </c>
      <c r="K3626" t="s">
        <v>30</v>
      </c>
      <c r="L3626" s="4">
        <f>Table4[[#This Row],[quantity]]*Table4[[#This Row],[unit_price]]</f>
        <v>499.45</v>
      </c>
      <c r="M3626">
        <f>COUNTIFS($C$2:$C$3934,Table4[[#This Row],[customer_id]])</f>
        <v>5</v>
      </c>
      <c r="N3626" t="str">
        <f>IF(Table4[[#This Row],[customer_order_count]]=1,"New Customer","Repeat Customer")</f>
        <v>Repeat Customer</v>
      </c>
    </row>
    <row r="3627" spans="1:14">
      <c r="A3627" t="s">
        <v>4741</v>
      </c>
      <c r="B3627" s="1">
        <v>45508</v>
      </c>
      <c r="C3627" t="s">
        <v>680</v>
      </c>
      <c r="D3627" t="s">
        <v>681</v>
      </c>
      <c r="E3627" t="s">
        <v>21</v>
      </c>
      <c r="F3627" t="s">
        <v>79</v>
      </c>
      <c r="G3627" t="s">
        <v>166</v>
      </c>
      <c r="H3627">
        <v>2</v>
      </c>
      <c r="I3627" s="3">
        <v>99.92</v>
      </c>
      <c r="J3627" t="s">
        <v>16</v>
      </c>
      <c r="K3627" t="s">
        <v>17</v>
      </c>
      <c r="L3627" s="4">
        <f>Table4[[#This Row],[quantity]]*Table4[[#This Row],[unit_price]]</f>
        <v>199.84</v>
      </c>
      <c r="M3627">
        <f>COUNTIFS($C$2:$C$3934,Table4[[#This Row],[customer_id]])</f>
        <v>11</v>
      </c>
      <c r="N3627" t="str">
        <f>IF(Table4[[#This Row],[customer_order_count]]=1,"New Customer","Repeat Customer")</f>
        <v>Repeat Customer</v>
      </c>
    </row>
    <row r="3628" spans="1:14">
      <c r="A3628" t="s">
        <v>251</v>
      </c>
      <c r="B3628" s="1">
        <v>45583</v>
      </c>
      <c r="C3628" t="s">
        <v>252</v>
      </c>
      <c r="D3628" t="s">
        <v>253</v>
      </c>
      <c r="E3628" t="s">
        <v>44</v>
      </c>
      <c r="F3628" t="s">
        <v>56</v>
      </c>
      <c r="G3628" t="s">
        <v>254</v>
      </c>
      <c r="H3628">
        <v>1</v>
      </c>
      <c r="I3628" s="3">
        <v>99.97</v>
      </c>
      <c r="J3628" t="s">
        <v>255</v>
      </c>
      <c r="K3628" t="s">
        <v>40</v>
      </c>
      <c r="L3628" s="4">
        <f>Table4[[#This Row],[quantity]]*Table4[[#This Row],[unit_price]]</f>
        <v>99.97</v>
      </c>
      <c r="M3628">
        <f>COUNTIFS($C$2:$C$3934,Table4[[#This Row],[customer_id]])</f>
        <v>5</v>
      </c>
      <c r="N3628" t="str">
        <f>IF(Table4[[#This Row],[customer_order_count]]=1,"New Customer","Repeat Customer")</f>
        <v>Repeat Customer</v>
      </c>
    </row>
    <row r="3629" spans="1:14">
      <c r="A3629" t="s">
        <v>4824</v>
      </c>
      <c r="B3629" s="1">
        <v>45032</v>
      </c>
      <c r="C3629" t="s">
        <v>649</v>
      </c>
      <c r="D3629" t="s">
        <v>650</v>
      </c>
      <c r="E3629" t="s">
        <v>21</v>
      </c>
      <c r="F3629" t="s">
        <v>79</v>
      </c>
      <c r="G3629" t="s">
        <v>166</v>
      </c>
      <c r="H3629">
        <v>1</v>
      </c>
      <c r="I3629" s="3">
        <v>100.08</v>
      </c>
      <c r="J3629" t="s">
        <v>24</v>
      </c>
      <c r="K3629" t="s">
        <v>17</v>
      </c>
      <c r="L3629" s="4">
        <f>Table4[[#This Row],[quantity]]*Table4[[#This Row],[unit_price]]</f>
        <v>100.08</v>
      </c>
      <c r="M3629">
        <f>COUNTIFS($C$2:$C$3934,Table4[[#This Row],[customer_id]])</f>
        <v>7</v>
      </c>
      <c r="N3629" t="str">
        <f>IF(Table4[[#This Row],[customer_order_count]]=1,"New Customer","Repeat Customer")</f>
        <v>Repeat Customer</v>
      </c>
    </row>
    <row r="3630" spans="1:14">
      <c r="A3630" t="s">
        <v>1791</v>
      </c>
      <c r="B3630" s="1">
        <v>45302</v>
      </c>
      <c r="C3630" t="s">
        <v>702</v>
      </c>
      <c r="D3630" t="s">
        <v>20</v>
      </c>
      <c r="E3630" t="s">
        <v>21</v>
      </c>
      <c r="F3630" t="s">
        <v>56</v>
      </c>
      <c r="G3630" t="s">
        <v>75</v>
      </c>
      <c r="H3630">
        <v>3</v>
      </c>
      <c r="I3630" s="3">
        <v>100.12</v>
      </c>
      <c r="J3630" t="s">
        <v>24</v>
      </c>
      <c r="K3630" t="s">
        <v>30</v>
      </c>
      <c r="L3630" s="4">
        <f>Table4[[#This Row],[quantity]]*Table4[[#This Row],[unit_price]]</f>
        <v>300.36</v>
      </c>
      <c r="M3630">
        <f>COUNTIFS($C$2:$C$3934,Table4[[#This Row],[customer_id]])</f>
        <v>5</v>
      </c>
      <c r="N3630" t="str">
        <f>IF(Table4[[#This Row],[customer_order_count]]=1,"New Customer","Repeat Customer")</f>
        <v>Repeat Customer</v>
      </c>
    </row>
    <row r="3631" spans="1:14">
      <c r="A3631" t="s">
        <v>3785</v>
      </c>
      <c r="B3631" s="1">
        <v>44960</v>
      </c>
      <c r="C3631" t="s">
        <v>1250</v>
      </c>
      <c r="D3631" t="s">
        <v>60</v>
      </c>
      <c r="E3631" t="s">
        <v>21</v>
      </c>
      <c r="F3631" t="s">
        <v>79</v>
      </c>
      <c r="G3631" t="s">
        <v>230</v>
      </c>
      <c r="H3631">
        <v>2</v>
      </c>
      <c r="I3631" s="3">
        <v>100.23</v>
      </c>
      <c r="J3631" t="s">
        <v>16</v>
      </c>
      <c r="K3631" t="s">
        <v>35</v>
      </c>
      <c r="L3631" s="4">
        <f>Table4[[#This Row],[quantity]]*Table4[[#This Row],[unit_price]]</f>
        <v>200.46</v>
      </c>
      <c r="M3631">
        <f>COUNTIFS($C$2:$C$3934,Table4[[#This Row],[customer_id]])</f>
        <v>3</v>
      </c>
      <c r="N3631" t="str">
        <f>IF(Table4[[#This Row],[customer_order_count]]=1,"New Customer","Repeat Customer")</f>
        <v>Repeat Customer</v>
      </c>
    </row>
    <row r="3632" spans="1:14">
      <c r="A3632" t="s">
        <v>4800</v>
      </c>
      <c r="B3632" s="1">
        <v>45605</v>
      </c>
      <c r="C3632" t="s">
        <v>1851</v>
      </c>
      <c r="D3632" t="s">
        <v>1000</v>
      </c>
      <c r="E3632" t="s">
        <v>21</v>
      </c>
      <c r="F3632" t="s">
        <v>79</v>
      </c>
      <c r="G3632" t="s">
        <v>200</v>
      </c>
      <c r="H3632">
        <v>3</v>
      </c>
      <c r="I3632" s="3">
        <v>100.47</v>
      </c>
      <c r="J3632" t="s">
        <v>16</v>
      </c>
      <c r="K3632" t="s">
        <v>30</v>
      </c>
      <c r="L3632" s="4">
        <f>Table4[[#This Row],[quantity]]*Table4[[#This Row],[unit_price]]</f>
        <v>301.40999999999997</v>
      </c>
      <c r="M3632">
        <f>COUNTIFS($C$2:$C$3934,Table4[[#This Row],[customer_id]])</f>
        <v>6</v>
      </c>
      <c r="N3632" t="str">
        <f>IF(Table4[[#This Row],[customer_order_count]]=1,"New Customer","Repeat Customer")</f>
        <v>Repeat Customer</v>
      </c>
    </row>
    <row r="3633" spans="1:14">
      <c r="A3633" t="s">
        <v>1333</v>
      </c>
      <c r="B3633" s="1">
        <v>45547</v>
      </c>
      <c r="C3633" t="s">
        <v>120</v>
      </c>
      <c r="D3633" t="s">
        <v>121</v>
      </c>
      <c r="E3633" t="s">
        <v>21</v>
      </c>
      <c r="F3633" t="s">
        <v>79</v>
      </c>
      <c r="G3633" t="s">
        <v>80</v>
      </c>
      <c r="H3633">
        <v>1</v>
      </c>
      <c r="I3633" s="3">
        <v>100.5</v>
      </c>
      <c r="J3633" t="s">
        <v>16</v>
      </c>
      <c r="K3633" t="s">
        <v>30</v>
      </c>
      <c r="L3633" s="4">
        <f>Table4[[#This Row],[quantity]]*Table4[[#This Row],[unit_price]]</f>
        <v>100.5</v>
      </c>
      <c r="M3633">
        <f>COUNTIFS($C$2:$C$3934,Table4[[#This Row],[customer_id]])</f>
        <v>5</v>
      </c>
      <c r="N3633" t="str">
        <f>IF(Table4[[#This Row],[customer_order_count]]=1,"New Customer","Repeat Customer")</f>
        <v>Repeat Customer</v>
      </c>
    </row>
    <row r="3634" spans="1:14">
      <c r="A3634" t="s">
        <v>4857</v>
      </c>
      <c r="B3634" s="1">
        <v>45070</v>
      </c>
      <c r="C3634" t="s">
        <v>4505</v>
      </c>
      <c r="D3634" t="s">
        <v>1103</v>
      </c>
      <c r="E3634" t="s">
        <v>21</v>
      </c>
      <c r="F3634" t="s">
        <v>79</v>
      </c>
      <c r="G3634" t="s">
        <v>96</v>
      </c>
      <c r="H3634">
        <v>1</v>
      </c>
      <c r="I3634" s="3">
        <v>100.6</v>
      </c>
      <c r="J3634" t="s">
        <v>16</v>
      </c>
      <c r="K3634" t="s">
        <v>35</v>
      </c>
      <c r="L3634" s="4">
        <f>Table4[[#This Row],[quantity]]*Table4[[#This Row],[unit_price]]</f>
        <v>100.6</v>
      </c>
      <c r="M3634">
        <f>COUNTIFS($C$2:$C$3934,Table4[[#This Row],[customer_id]])</f>
        <v>3</v>
      </c>
      <c r="N3634" t="str">
        <f>IF(Table4[[#This Row],[customer_order_count]]=1,"New Customer","Repeat Customer")</f>
        <v>Repeat Customer</v>
      </c>
    </row>
    <row r="3635" spans="1:14">
      <c r="A3635" t="s">
        <v>4315</v>
      </c>
      <c r="B3635" s="1">
        <v>45558</v>
      </c>
      <c r="C3635" t="s">
        <v>4064</v>
      </c>
      <c r="D3635" t="s">
        <v>241</v>
      </c>
      <c r="E3635" t="s">
        <v>61</v>
      </c>
      <c r="F3635" t="s">
        <v>79</v>
      </c>
      <c r="G3635" t="s">
        <v>96</v>
      </c>
      <c r="H3635">
        <v>1</v>
      </c>
      <c r="I3635" s="3">
        <v>100.67</v>
      </c>
      <c r="J3635" t="s">
        <v>85</v>
      </c>
      <c r="K3635" t="s">
        <v>30</v>
      </c>
      <c r="L3635" s="4">
        <f>Table4[[#This Row],[quantity]]*Table4[[#This Row],[unit_price]]</f>
        <v>100.67</v>
      </c>
      <c r="M3635">
        <f>COUNTIFS($C$2:$C$3934,Table4[[#This Row],[customer_id]])</f>
        <v>4</v>
      </c>
      <c r="N3635" t="str">
        <f>IF(Table4[[#This Row],[customer_order_count]]=1,"New Customer","Repeat Customer")</f>
        <v>Repeat Customer</v>
      </c>
    </row>
    <row r="3636" spans="1:14">
      <c r="A3636" t="s">
        <v>4628</v>
      </c>
      <c r="B3636" s="1">
        <v>45224</v>
      </c>
      <c r="C3636" t="s">
        <v>477</v>
      </c>
      <c r="D3636" t="s">
        <v>478</v>
      </c>
      <c r="E3636" t="s">
        <v>21</v>
      </c>
      <c r="F3636" t="s">
        <v>79</v>
      </c>
      <c r="G3636" t="s">
        <v>80</v>
      </c>
      <c r="H3636">
        <v>1</v>
      </c>
      <c r="I3636" s="3">
        <v>100.81</v>
      </c>
      <c r="J3636" t="s">
        <v>16</v>
      </c>
      <c r="K3636" t="s">
        <v>30</v>
      </c>
      <c r="L3636" s="4">
        <f>Table4[[#This Row],[quantity]]*Table4[[#This Row],[unit_price]]</f>
        <v>100.81</v>
      </c>
      <c r="M3636">
        <f>COUNTIFS($C$2:$C$3934,Table4[[#This Row],[customer_id]])</f>
        <v>6</v>
      </c>
      <c r="N3636" t="str">
        <f>IF(Table4[[#This Row],[customer_order_count]]=1,"New Customer","Repeat Customer")</f>
        <v>Repeat Customer</v>
      </c>
    </row>
    <row r="3637" spans="1:14">
      <c r="A3637" t="s">
        <v>3526</v>
      </c>
      <c r="B3637" s="1">
        <v>45452</v>
      </c>
      <c r="C3637" t="s">
        <v>711</v>
      </c>
      <c r="D3637" t="s">
        <v>505</v>
      </c>
      <c r="E3637" t="s">
        <v>21</v>
      </c>
      <c r="F3637" t="s">
        <v>79</v>
      </c>
      <c r="G3637" t="s">
        <v>80</v>
      </c>
      <c r="H3637">
        <v>1</v>
      </c>
      <c r="I3637" s="3">
        <v>100.89</v>
      </c>
      <c r="J3637" t="s">
        <v>16</v>
      </c>
      <c r="K3637" t="s">
        <v>40</v>
      </c>
      <c r="L3637" s="4">
        <f>Table4[[#This Row],[quantity]]*Table4[[#This Row],[unit_price]]</f>
        <v>100.89</v>
      </c>
      <c r="M3637">
        <f>COUNTIFS($C$2:$C$3934,Table4[[#This Row],[customer_id]])</f>
        <v>8</v>
      </c>
      <c r="N3637" t="str">
        <f>IF(Table4[[#This Row],[customer_order_count]]=1,"New Customer","Repeat Customer")</f>
        <v>Repeat Customer</v>
      </c>
    </row>
    <row r="3638" spans="1:14">
      <c r="A3638" t="s">
        <v>4866</v>
      </c>
      <c r="B3638" s="1">
        <v>44971</v>
      </c>
      <c r="C3638" t="s">
        <v>408</v>
      </c>
      <c r="D3638" t="s">
        <v>409</v>
      </c>
      <c r="E3638" t="s">
        <v>21</v>
      </c>
      <c r="F3638" t="s">
        <v>79</v>
      </c>
      <c r="G3638" t="s">
        <v>230</v>
      </c>
      <c r="H3638">
        <v>3</v>
      </c>
      <c r="I3638" s="3">
        <v>100.93</v>
      </c>
      <c r="J3638" t="s">
        <v>16</v>
      </c>
      <c r="K3638" t="s">
        <v>40</v>
      </c>
      <c r="L3638" s="4">
        <f>Table4[[#This Row],[quantity]]*Table4[[#This Row],[unit_price]]</f>
        <v>302.79000000000002</v>
      </c>
      <c r="M3638">
        <f>COUNTIFS($C$2:$C$3934,Table4[[#This Row],[customer_id]])</f>
        <v>5</v>
      </c>
      <c r="N3638" t="str">
        <f>IF(Table4[[#This Row],[customer_order_count]]=1,"New Customer","Repeat Customer")</f>
        <v>Repeat Customer</v>
      </c>
    </row>
    <row r="3639" spans="1:14">
      <c r="A3639" t="s">
        <v>2165</v>
      </c>
      <c r="B3639" s="1">
        <v>45162</v>
      </c>
      <c r="C3639" t="s">
        <v>1191</v>
      </c>
      <c r="D3639" t="s">
        <v>1192</v>
      </c>
      <c r="E3639" t="s">
        <v>44</v>
      </c>
      <c r="F3639" t="s">
        <v>56</v>
      </c>
      <c r="G3639" t="s">
        <v>254</v>
      </c>
      <c r="H3639">
        <v>1</v>
      </c>
      <c r="I3639" s="3">
        <v>101.26</v>
      </c>
      <c r="J3639" t="s">
        <v>16</v>
      </c>
      <c r="K3639" t="s">
        <v>40</v>
      </c>
      <c r="L3639" s="4">
        <f>Table4[[#This Row],[quantity]]*Table4[[#This Row],[unit_price]]</f>
        <v>101.26</v>
      </c>
      <c r="M3639">
        <f>COUNTIFS($C$2:$C$3934,Table4[[#This Row],[customer_id]])</f>
        <v>3</v>
      </c>
      <c r="N3639" t="str">
        <f>IF(Table4[[#This Row],[customer_order_count]]=1,"New Customer","Repeat Customer")</f>
        <v>Repeat Customer</v>
      </c>
    </row>
    <row r="3640" spans="1:14">
      <c r="A3640" t="s">
        <v>4549</v>
      </c>
      <c r="B3640" s="1">
        <v>45497</v>
      </c>
      <c r="C3640" t="s">
        <v>249</v>
      </c>
      <c r="D3640" t="s">
        <v>250</v>
      </c>
      <c r="E3640" t="s">
        <v>21</v>
      </c>
      <c r="F3640" t="s">
        <v>56</v>
      </c>
      <c r="G3640" t="s">
        <v>118</v>
      </c>
      <c r="H3640">
        <v>2</v>
      </c>
      <c r="I3640" s="3">
        <v>101.48</v>
      </c>
      <c r="J3640" t="s">
        <v>16</v>
      </c>
      <c r="K3640" t="s">
        <v>40</v>
      </c>
      <c r="L3640" s="4">
        <f>Table4[[#This Row],[quantity]]*Table4[[#This Row],[unit_price]]</f>
        <v>202.96</v>
      </c>
      <c r="M3640">
        <f>COUNTIFS($C$2:$C$3934,Table4[[#This Row],[customer_id]])</f>
        <v>12</v>
      </c>
      <c r="N3640" t="str">
        <f>IF(Table4[[#This Row],[customer_order_count]]=1,"New Customer","Repeat Customer")</f>
        <v>Repeat Customer</v>
      </c>
    </row>
    <row r="3641" spans="1:14">
      <c r="A3641" t="s">
        <v>1667</v>
      </c>
      <c r="B3641" s="1">
        <v>45633</v>
      </c>
      <c r="C3641" t="s">
        <v>1248</v>
      </c>
      <c r="D3641" t="s">
        <v>787</v>
      </c>
      <c r="E3641" t="s">
        <v>21</v>
      </c>
      <c r="F3641" t="s">
        <v>56</v>
      </c>
      <c r="G3641" t="s">
        <v>422</v>
      </c>
      <c r="H3641">
        <v>1</v>
      </c>
      <c r="I3641" s="3">
        <v>101.52</v>
      </c>
      <c r="J3641" t="s">
        <v>16</v>
      </c>
      <c r="K3641" t="s">
        <v>35</v>
      </c>
      <c r="L3641" s="4">
        <f>Table4[[#This Row],[quantity]]*Table4[[#This Row],[unit_price]]</f>
        <v>101.52</v>
      </c>
      <c r="M3641">
        <f>COUNTIFS($C$2:$C$3934,Table4[[#This Row],[customer_id]])</f>
        <v>6</v>
      </c>
      <c r="N3641" t="str">
        <f>IF(Table4[[#This Row],[customer_order_count]]=1,"New Customer","Repeat Customer")</f>
        <v>Repeat Customer</v>
      </c>
    </row>
    <row r="3642" spans="1:14">
      <c r="A3642" t="s">
        <v>4447</v>
      </c>
      <c r="B3642" s="1">
        <v>45130</v>
      </c>
      <c r="C3642" t="s">
        <v>629</v>
      </c>
      <c r="D3642" t="s">
        <v>630</v>
      </c>
      <c r="E3642" t="s">
        <v>44</v>
      </c>
      <c r="F3642" t="s">
        <v>79</v>
      </c>
      <c r="G3642" t="s">
        <v>166</v>
      </c>
      <c r="H3642">
        <v>3</v>
      </c>
      <c r="I3642" s="3">
        <v>101.77</v>
      </c>
      <c r="J3642" t="s">
        <v>16</v>
      </c>
      <c r="K3642" t="s">
        <v>35</v>
      </c>
      <c r="L3642" s="4">
        <f>Table4[[#This Row],[quantity]]*Table4[[#This Row],[unit_price]]</f>
        <v>305.31</v>
      </c>
      <c r="M3642">
        <f>COUNTIFS($C$2:$C$3934,Table4[[#This Row],[customer_id]])</f>
        <v>5</v>
      </c>
      <c r="N3642" t="str">
        <f>IF(Table4[[#This Row],[customer_order_count]]=1,"New Customer","Repeat Customer")</f>
        <v>Repeat Customer</v>
      </c>
    </row>
    <row r="3643" spans="1:14">
      <c r="A3643" t="s">
        <v>3041</v>
      </c>
      <c r="B3643" s="1">
        <v>44927</v>
      </c>
      <c r="C3643" t="s">
        <v>1298</v>
      </c>
      <c r="D3643" t="s">
        <v>48</v>
      </c>
      <c r="E3643" t="s">
        <v>21</v>
      </c>
      <c r="F3643" t="s">
        <v>56</v>
      </c>
      <c r="G3643" t="s">
        <v>75</v>
      </c>
      <c r="H3643">
        <v>1</v>
      </c>
      <c r="I3643" s="3">
        <v>101.82</v>
      </c>
      <c r="J3643" t="s">
        <v>16</v>
      </c>
      <c r="K3643" t="s">
        <v>30</v>
      </c>
      <c r="L3643" s="4">
        <f>Table4[[#This Row],[quantity]]*Table4[[#This Row],[unit_price]]</f>
        <v>101.82</v>
      </c>
      <c r="M3643">
        <f>COUNTIFS($C$2:$C$3934,Table4[[#This Row],[customer_id]])</f>
        <v>10</v>
      </c>
      <c r="N3643" t="str">
        <f>IF(Table4[[#This Row],[customer_order_count]]=1,"New Customer","Repeat Customer")</f>
        <v>Repeat Customer</v>
      </c>
    </row>
    <row r="3644" spans="1:14">
      <c r="A3644" t="s">
        <v>3812</v>
      </c>
      <c r="B3644" s="1">
        <v>45246</v>
      </c>
      <c r="C3644" t="s">
        <v>3177</v>
      </c>
      <c r="D3644" t="s">
        <v>758</v>
      </c>
      <c r="E3644" t="s">
        <v>21</v>
      </c>
      <c r="F3644" t="s">
        <v>79</v>
      </c>
      <c r="G3644" t="s">
        <v>230</v>
      </c>
      <c r="H3644">
        <v>5</v>
      </c>
      <c r="I3644" s="3">
        <v>101.98</v>
      </c>
      <c r="J3644" t="s">
        <v>85</v>
      </c>
      <c r="K3644" t="s">
        <v>17</v>
      </c>
      <c r="L3644" s="4">
        <f>Table4[[#This Row],[quantity]]*Table4[[#This Row],[unit_price]]</f>
        <v>509.90000000000003</v>
      </c>
      <c r="M3644">
        <f>COUNTIFS($C$2:$C$3934,Table4[[#This Row],[customer_id]])</f>
        <v>4</v>
      </c>
      <c r="N3644" t="str">
        <f>IF(Table4[[#This Row],[customer_order_count]]=1,"New Customer","Repeat Customer")</f>
        <v>Repeat Customer</v>
      </c>
    </row>
    <row r="3645" spans="1:14">
      <c r="A3645" t="s">
        <v>4124</v>
      </c>
      <c r="B3645" s="1">
        <v>45091</v>
      </c>
      <c r="C3645" t="s">
        <v>827</v>
      </c>
      <c r="D3645" t="s">
        <v>828</v>
      </c>
      <c r="E3645" t="s">
        <v>21</v>
      </c>
      <c r="F3645" t="s">
        <v>79</v>
      </c>
      <c r="G3645" t="s">
        <v>398</v>
      </c>
      <c r="H3645">
        <v>2</v>
      </c>
      <c r="I3645" s="3">
        <v>101.99</v>
      </c>
      <c r="J3645" t="s">
        <v>16</v>
      </c>
      <c r="K3645" t="s">
        <v>35</v>
      </c>
      <c r="L3645" s="4">
        <f>Table4[[#This Row],[quantity]]*Table4[[#This Row],[unit_price]]</f>
        <v>203.98</v>
      </c>
      <c r="M3645">
        <f>COUNTIFS($C$2:$C$3934,Table4[[#This Row],[customer_id]])</f>
        <v>6</v>
      </c>
      <c r="N3645" t="str">
        <f>IF(Table4[[#This Row],[customer_order_count]]=1,"New Customer","Repeat Customer")</f>
        <v>Repeat Customer</v>
      </c>
    </row>
    <row r="3646" spans="1:14">
      <c r="A3646" t="s">
        <v>2346</v>
      </c>
      <c r="B3646" s="1">
        <v>45149</v>
      </c>
      <c r="C3646" t="s">
        <v>2347</v>
      </c>
      <c r="D3646" t="s">
        <v>1036</v>
      </c>
      <c r="E3646" t="s">
        <v>21</v>
      </c>
      <c r="F3646" t="s">
        <v>56</v>
      </c>
      <c r="G3646" t="s">
        <v>57</v>
      </c>
      <c r="H3646">
        <v>1</v>
      </c>
      <c r="I3646" s="3">
        <v>102.03</v>
      </c>
      <c r="J3646" t="s">
        <v>16</v>
      </c>
      <c r="K3646" t="s">
        <v>17</v>
      </c>
      <c r="L3646" s="4">
        <f>Table4[[#This Row],[quantity]]*Table4[[#This Row],[unit_price]]</f>
        <v>102.03</v>
      </c>
      <c r="M3646">
        <f>COUNTIFS($C$2:$C$3934,Table4[[#This Row],[customer_id]])</f>
        <v>7</v>
      </c>
      <c r="N3646" t="str">
        <f>IF(Table4[[#This Row],[customer_order_count]]=1,"New Customer","Repeat Customer")</f>
        <v>Repeat Customer</v>
      </c>
    </row>
    <row r="3647" spans="1:14">
      <c r="A3647" t="s">
        <v>3804</v>
      </c>
      <c r="B3647" s="1">
        <v>44957</v>
      </c>
      <c r="C3647" t="s">
        <v>551</v>
      </c>
      <c r="D3647" t="s">
        <v>220</v>
      </c>
      <c r="E3647" t="s">
        <v>21</v>
      </c>
      <c r="F3647" t="s">
        <v>56</v>
      </c>
      <c r="G3647" t="s">
        <v>153</v>
      </c>
      <c r="H3647">
        <v>1</v>
      </c>
      <c r="I3647" s="3">
        <v>102.03</v>
      </c>
      <c r="J3647" t="s">
        <v>16</v>
      </c>
      <c r="K3647" t="s">
        <v>40</v>
      </c>
      <c r="L3647" s="4">
        <f>Table4[[#This Row],[quantity]]*Table4[[#This Row],[unit_price]]</f>
        <v>102.03</v>
      </c>
      <c r="M3647">
        <f>COUNTIFS($C$2:$C$3934,Table4[[#This Row],[customer_id]])</f>
        <v>8</v>
      </c>
      <c r="N3647" t="str">
        <f>IF(Table4[[#This Row],[customer_order_count]]=1,"New Customer","Repeat Customer")</f>
        <v>Repeat Customer</v>
      </c>
    </row>
    <row r="3648" spans="1:14">
      <c r="A3648" t="s">
        <v>1812</v>
      </c>
      <c r="B3648" s="1">
        <v>45015</v>
      </c>
      <c r="C3648" t="s">
        <v>1142</v>
      </c>
      <c r="D3648" t="s">
        <v>758</v>
      </c>
      <c r="E3648" t="s">
        <v>21</v>
      </c>
      <c r="F3648" t="s">
        <v>56</v>
      </c>
      <c r="G3648" t="s">
        <v>57</v>
      </c>
      <c r="H3648">
        <v>2</v>
      </c>
      <c r="I3648" s="3">
        <v>102.18</v>
      </c>
      <c r="J3648" t="s">
        <v>16</v>
      </c>
      <c r="K3648" t="s">
        <v>30</v>
      </c>
      <c r="L3648" s="4">
        <f>Table4[[#This Row],[quantity]]*Table4[[#This Row],[unit_price]]</f>
        <v>204.36</v>
      </c>
      <c r="M3648">
        <f>COUNTIFS($C$2:$C$3934,Table4[[#This Row],[customer_id]])</f>
        <v>3</v>
      </c>
      <c r="N3648" t="str">
        <f>IF(Table4[[#This Row],[customer_order_count]]=1,"New Customer","Repeat Customer")</f>
        <v>Repeat Customer</v>
      </c>
    </row>
    <row r="3649" spans="1:14">
      <c r="A3649" t="s">
        <v>1678</v>
      </c>
      <c r="B3649" s="1">
        <v>45464</v>
      </c>
      <c r="C3649" t="s">
        <v>1679</v>
      </c>
      <c r="D3649" t="s">
        <v>65</v>
      </c>
      <c r="E3649" t="s">
        <v>21</v>
      </c>
      <c r="F3649" t="s">
        <v>79</v>
      </c>
      <c r="G3649" t="s">
        <v>200</v>
      </c>
      <c r="H3649">
        <v>1</v>
      </c>
      <c r="I3649" s="3">
        <v>102.63</v>
      </c>
      <c r="J3649" t="s">
        <v>16</v>
      </c>
      <c r="K3649" t="s">
        <v>30</v>
      </c>
      <c r="L3649" s="4">
        <f>Table4[[#This Row],[quantity]]*Table4[[#This Row],[unit_price]]</f>
        <v>102.63</v>
      </c>
      <c r="M3649">
        <f>COUNTIFS($C$2:$C$3934,Table4[[#This Row],[customer_id]])</f>
        <v>8</v>
      </c>
      <c r="N3649" t="str">
        <f>IF(Table4[[#This Row],[customer_order_count]]=1,"New Customer","Repeat Customer")</f>
        <v>Repeat Customer</v>
      </c>
    </row>
    <row r="3650" spans="1:14">
      <c r="A3650" t="s">
        <v>53</v>
      </c>
      <c r="B3650" s="1">
        <v>45040</v>
      </c>
      <c r="C3650" t="s">
        <v>54</v>
      </c>
      <c r="D3650" t="s">
        <v>55</v>
      </c>
      <c r="E3650" t="s">
        <v>21</v>
      </c>
      <c r="F3650" t="s">
        <v>56</v>
      </c>
      <c r="G3650" t="s">
        <v>57</v>
      </c>
      <c r="H3650">
        <v>1</v>
      </c>
      <c r="I3650" s="3">
        <v>102.66</v>
      </c>
      <c r="J3650" t="s">
        <v>16</v>
      </c>
      <c r="K3650" t="s">
        <v>40</v>
      </c>
      <c r="L3650" s="4">
        <f>Table4[[#This Row],[quantity]]*Table4[[#This Row],[unit_price]]</f>
        <v>102.66</v>
      </c>
      <c r="M3650">
        <f>COUNTIFS($C$2:$C$3934,Table4[[#This Row],[customer_id]])</f>
        <v>6</v>
      </c>
      <c r="N3650" t="str">
        <f>IF(Table4[[#This Row],[customer_order_count]]=1,"New Customer","Repeat Customer")</f>
        <v>Repeat Customer</v>
      </c>
    </row>
    <row r="3651" spans="1:14">
      <c r="A3651" t="s">
        <v>3232</v>
      </c>
      <c r="B3651" s="1">
        <v>45108</v>
      </c>
      <c r="C3651" t="s">
        <v>2448</v>
      </c>
      <c r="D3651" t="s">
        <v>903</v>
      </c>
      <c r="E3651" t="s">
        <v>44</v>
      </c>
      <c r="F3651" t="s">
        <v>56</v>
      </c>
      <c r="G3651" t="s">
        <v>118</v>
      </c>
      <c r="H3651">
        <v>2</v>
      </c>
      <c r="I3651" s="3">
        <v>102.73</v>
      </c>
      <c r="J3651" t="s">
        <v>16</v>
      </c>
      <c r="K3651" t="s">
        <v>35</v>
      </c>
      <c r="L3651" s="4">
        <f>Table4[[#This Row],[quantity]]*Table4[[#This Row],[unit_price]]</f>
        <v>205.46</v>
      </c>
      <c r="M3651">
        <f>COUNTIFS($C$2:$C$3934,Table4[[#This Row],[customer_id]])</f>
        <v>4</v>
      </c>
      <c r="N3651" t="str">
        <f>IF(Table4[[#This Row],[customer_order_count]]=1,"New Customer","Repeat Customer")</f>
        <v>Repeat Customer</v>
      </c>
    </row>
    <row r="3652" spans="1:14">
      <c r="A3652" t="s">
        <v>4626</v>
      </c>
      <c r="B3652" s="1">
        <v>45314</v>
      </c>
      <c r="C3652" t="s">
        <v>531</v>
      </c>
      <c r="D3652" t="s">
        <v>532</v>
      </c>
      <c r="E3652" t="s">
        <v>44</v>
      </c>
      <c r="F3652" t="s">
        <v>79</v>
      </c>
      <c r="G3652" t="s">
        <v>230</v>
      </c>
      <c r="H3652">
        <v>1</v>
      </c>
      <c r="I3652" s="3">
        <v>102.77</v>
      </c>
      <c r="J3652" t="s">
        <v>16</v>
      </c>
      <c r="K3652" t="s">
        <v>40</v>
      </c>
      <c r="L3652" s="4">
        <f>Table4[[#This Row],[quantity]]*Table4[[#This Row],[unit_price]]</f>
        <v>102.77</v>
      </c>
      <c r="M3652">
        <f>COUNTIFS($C$2:$C$3934,Table4[[#This Row],[customer_id]])</f>
        <v>3</v>
      </c>
      <c r="N3652" t="str">
        <f>IF(Table4[[#This Row],[customer_order_count]]=1,"New Customer","Repeat Customer")</f>
        <v>Repeat Customer</v>
      </c>
    </row>
    <row r="3653" spans="1:14">
      <c r="A3653" t="s">
        <v>2235</v>
      </c>
      <c r="B3653" s="1">
        <v>45558</v>
      </c>
      <c r="C3653" t="s">
        <v>2236</v>
      </c>
      <c r="D3653" t="s">
        <v>2237</v>
      </c>
      <c r="E3653" t="s">
        <v>106</v>
      </c>
      <c r="F3653" t="s">
        <v>56</v>
      </c>
      <c r="G3653" t="s">
        <v>422</v>
      </c>
      <c r="H3653">
        <v>1</v>
      </c>
      <c r="I3653" s="3">
        <v>102.81</v>
      </c>
      <c r="J3653" t="s">
        <v>16</v>
      </c>
      <c r="K3653" t="s">
        <v>35</v>
      </c>
      <c r="L3653" s="4">
        <f>Table4[[#This Row],[quantity]]*Table4[[#This Row],[unit_price]]</f>
        <v>102.81</v>
      </c>
      <c r="M3653">
        <f>COUNTIFS($C$2:$C$3934,Table4[[#This Row],[customer_id]])</f>
        <v>2</v>
      </c>
      <c r="N3653" t="str">
        <f>IF(Table4[[#This Row],[customer_order_count]]=1,"New Customer","Repeat Customer")</f>
        <v>Repeat Customer</v>
      </c>
    </row>
    <row r="3654" spans="1:14">
      <c r="A3654" t="s">
        <v>1509</v>
      </c>
      <c r="B3654" s="1">
        <v>44928</v>
      </c>
      <c r="C3654" t="s">
        <v>900</v>
      </c>
      <c r="D3654" t="s">
        <v>857</v>
      </c>
      <c r="E3654" t="s">
        <v>21</v>
      </c>
      <c r="F3654" t="s">
        <v>56</v>
      </c>
      <c r="G3654" t="s">
        <v>75</v>
      </c>
      <c r="H3654">
        <v>2</v>
      </c>
      <c r="I3654" s="3">
        <v>102.93</v>
      </c>
      <c r="J3654" t="s">
        <v>16</v>
      </c>
      <c r="K3654" t="s">
        <v>30</v>
      </c>
      <c r="L3654" s="4">
        <f>Table4[[#This Row],[quantity]]*Table4[[#This Row],[unit_price]]</f>
        <v>205.86</v>
      </c>
      <c r="M3654">
        <f>COUNTIFS($C$2:$C$3934,Table4[[#This Row],[customer_id]])</f>
        <v>6</v>
      </c>
      <c r="N3654" t="str">
        <f>IF(Table4[[#This Row],[customer_order_count]]=1,"New Customer","Repeat Customer")</f>
        <v>Repeat Customer</v>
      </c>
    </row>
    <row r="3655" spans="1:14">
      <c r="A3655" t="s">
        <v>1754</v>
      </c>
      <c r="B3655" s="1">
        <v>45562</v>
      </c>
      <c r="C3655" t="s">
        <v>225</v>
      </c>
      <c r="D3655" t="s">
        <v>226</v>
      </c>
      <c r="E3655" t="s">
        <v>21</v>
      </c>
      <c r="F3655" t="s">
        <v>56</v>
      </c>
      <c r="G3655" t="s">
        <v>153</v>
      </c>
      <c r="H3655">
        <v>1</v>
      </c>
      <c r="I3655" s="3">
        <v>102.95</v>
      </c>
      <c r="J3655" t="s">
        <v>16</v>
      </c>
      <c r="K3655" t="s">
        <v>35</v>
      </c>
      <c r="L3655" s="4">
        <f>Table4[[#This Row],[quantity]]*Table4[[#This Row],[unit_price]]</f>
        <v>102.95</v>
      </c>
      <c r="M3655">
        <f>COUNTIFS($C$2:$C$3934,Table4[[#This Row],[customer_id]])</f>
        <v>7</v>
      </c>
      <c r="N3655" t="str">
        <f>IF(Table4[[#This Row],[customer_order_count]]=1,"New Customer","Repeat Customer")</f>
        <v>Repeat Customer</v>
      </c>
    </row>
    <row r="3656" spans="1:14">
      <c r="A3656" t="s">
        <v>273</v>
      </c>
      <c r="B3656" s="1">
        <v>45132</v>
      </c>
      <c r="C3656" t="s">
        <v>274</v>
      </c>
      <c r="D3656" t="s">
        <v>275</v>
      </c>
      <c r="E3656" t="s">
        <v>21</v>
      </c>
      <c r="F3656" t="s">
        <v>56</v>
      </c>
      <c r="G3656" t="s">
        <v>210</v>
      </c>
      <c r="H3656">
        <v>1</v>
      </c>
      <c r="I3656" s="3">
        <v>103.33</v>
      </c>
      <c r="J3656" t="s">
        <v>16</v>
      </c>
      <c r="K3656" t="s">
        <v>35</v>
      </c>
      <c r="L3656" s="4">
        <f>Table4[[#This Row],[quantity]]*Table4[[#This Row],[unit_price]]</f>
        <v>103.33</v>
      </c>
      <c r="M3656">
        <f>COUNTIFS($C$2:$C$3934,Table4[[#This Row],[customer_id]])</f>
        <v>3</v>
      </c>
      <c r="N3656" t="str">
        <f>IF(Table4[[#This Row],[customer_order_count]]=1,"New Customer","Repeat Customer")</f>
        <v>Repeat Customer</v>
      </c>
    </row>
    <row r="3657" spans="1:14">
      <c r="A3657" t="s">
        <v>4752</v>
      </c>
      <c r="B3657" s="1">
        <v>45477</v>
      </c>
      <c r="C3657" t="s">
        <v>668</v>
      </c>
      <c r="D3657" t="s">
        <v>669</v>
      </c>
      <c r="E3657" t="s">
        <v>44</v>
      </c>
      <c r="F3657" t="s">
        <v>56</v>
      </c>
      <c r="G3657" t="s">
        <v>254</v>
      </c>
      <c r="H3657">
        <v>1</v>
      </c>
      <c r="I3657" s="3">
        <v>103.34</v>
      </c>
      <c r="J3657" t="s">
        <v>16</v>
      </c>
      <c r="K3657" t="s">
        <v>40</v>
      </c>
      <c r="L3657" s="4">
        <f>Table4[[#This Row],[quantity]]*Table4[[#This Row],[unit_price]]</f>
        <v>103.34</v>
      </c>
      <c r="M3657">
        <f>COUNTIFS($C$2:$C$3934,Table4[[#This Row],[customer_id]])</f>
        <v>7</v>
      </c>
      <c r="N3657" t="str">
        <f>IF(Table4[[#This Row],[customer_order_count]]=1,"New Customer","Repeat Customer")</f>
        <v>Repeat Customer</v>
      </c>
    </row>
    <row r="3658" spans="1:14">
      <c r="A3658" t="s">
        <v>3874</v>
      </c>
      <c r="B3658" s="1">
        <v>45190</v>
      </c>
      <c r="C3658" t="s">
        <v>1097</v>
      </c>
      <c r="D3658" t="s">
        <v>560</v>
      </c>
      <c r="E3658" t="s">
        <v>21</v>
      </c>
      <c r="F3658" t="s">
        <v>56</v>
      </c>
      <c r="G3658" t="s">
        <v>75</v>
      </c>
      <c r="H3658">
        <v>1</v>
      </c>
      <c r="I3658" s="3">
        <v>103.41</v>
      </c>
      <c r="J3658" t="s">
        <v>16</v>
      </c>
      <c r="K3658" t="s">
        <v>35</v>
      </c>
      <c r="L3658" s="4">
        <f>Table4[[#This Row],[quantity]]*Table4[[#This Row],[unit_price]]</f>
        <v>103.41</v>
      </c>
      <c r="M3658">
        <f>COUNTIFS($C$2:$C$3934,Table4[[#This Row],[customer_id]])</f>
        <v>7</v>
      </c>
      <c r="N3658" t="str">
        <f>IF(Table4[[#This Row],[customer_order_count]]=1,"New Customer","Repeat Customer")</f>
        <v>Repeat Customer</v>
      </c>
    </row>
    <row r="3659" spans="1:14">
      <c r="A3659" t="s">
        <v>2906</v>
      </c>
      <c r="B3659" s="1">
        <v>45420</v>
      </c>
      <c r="C3659" t="s">
        <v>2693</v>
      </c>
      <c r="D3659" t="s">
        <v>1835</v>
      </c>
      <c r="E3659" t="s">
        <v>21</v>
      </c>
      <c r="F3659" t="s">
        <v>56</v>
      </c>
      <c r="G3659" t="s">
        <v>254</v>
      </c>
      <c r="H3659">
        <v>1</v>
      </c>
      <c r="I3659" s="3">
        <v>103.58</v>
      </c>
      <c r="J3659" t="s">
        <v>16</v>
      </c>
      <c r="K3659" t="s">
        <v>40</v>
      </c>
      <c r="L3659" s="4">
        <f>Table4[[#This Row],[quantity]]*Table4[[#This Row],[unit_price]]</f>
        <v>103.58</v>
      </c>
      <c r="M3659">
        <f>COUNTIFS($C$2:$C$3934,Table4[[#This Row],[customer_id]])</f>
        <v>3</v>
      </c>
      <c r="N3659" t="str">
        <f>IF(Table4[[#This Row],[customer_order_count]]=1,"New Customer","Repeat Customer")</f>
        <v>Repeat Customer</v>
      </c>
    </row>
    <row r="3660" spans="1:14">
      <c r="A3660" t="s">
        <v>1919</v>
      </c>
      <c r="B3660" s="1">
        <v>44941</v>
      </c>
      <c r="C3660" t="s">
        <v>47</v>
      </c>
      <c r="D3660" t="s">
        <v>48</v>
      </c>
      <c r="E3660" t="s">
        <v>21</v>
      </c>
      <c r="F3660" t="s">
        <v>56</v>
      </c>
      <c r="G3660" t="s">
        <v>153</v>
      </c>
      <c r="H3660">
        <v>1</v>
      </c>
      <c r="I3660" s="3">
        <v>103.8</v>
      </c>
      <c r="J3660" t="s">
        <v>16</v>
      </c>
      <c r="K3660" t="s">
        <v>35</v>
      </c>
      <c r="L3660" s="4">
        <f>Table4[[#This Row],[quantity]]*Table4[[#This Row],[unit_price]]</f>
        <v>103.8</v>
      </c>
      <c r="M3660">
        <f>COUNTIFS($C$2:$C$3934,Table4[[#This Row],[customer_id]])</f>
        <v>8</v>
      </c>
      <c r="N3660" t="str">
        <f>IF(Table4[[#This Row],[customer_order_count]]=1,"New Customer","Repeat Customer")</f>
        <v>Repeat Customer</v>
      </c>
    </row>
    <row r="3661" spans="1:14">
      <c r="A3661" t="s">
        <v>5086</v>
      </c>
      <c r="B3661" s="1">
        <v>45229</v>
      </c>
      <c r="C3661" t="s">
        <v>636</v>
      </c>
      <c r="D3661" t="s">
        <v>1554</v>
      </c>
      <c r="E3661" t="s">
        <v>44</v>
      </c>
      <c r="F3661" t="s">
        <v>79</v>
      </c>
      <c r="G3661" t="s">
        <v>96</v>
      </c>
      <c r="H3661">
        <v>1</v>
      </c>
      <c r="I3661" s="3">
        <v>103.86</v>
      </c>
      <c r="J3661" t="s">
        <v>16</v>
      </c>
      <c r="K3661" t="s">
        <v>35</v>
      </c>
      <c r="L3661" s="4">
        <f>Table4[[#This Row],[quantity]]*Table4[[#This Row],[unit_price]]</f>
        <v>103.86</v>
      </c>
      <c r="M3661">
        <f>COUNTIFS($C$2:$C$3934,Table4[[#This Row],[customer_id]])</f>
        <v>6</v>
      </c>
      <c r="N3661" t="str">
        <f>IF(Table4[[#This Row],[customer_order_count]]=1,"New Customer","Repeat Customer")</f>
        <v>Repeat Customer</v>
      </c>
    </row>
    <row r="3662" spans="1:14">
      <c r="A3662" t="s">
        <v>4237</v>
      </c>
      <c r="B3662" s="1">
        <v>45235</v>
      </c>
      <c r="C3662" t="s">
        <v>2361</v>
      </c>
      <c r="D3662" t="s">
        <v>244</v>
      </c>
      <c r="E3662" t="s">
        <v>21</v>
      </c>
      <c r="F3662" t="s">
        <v>56</v>
      </c>
      <c r="G3662" t="s">
        <v>75</v>
      </c>
      <c r="H3662">
        <v>1</v>
      </c>
      <c r="I3662" s="3">
        <v>104.35</v>
      </c>
      <c r="J3662" t="s">
        <v>16</v>
      </c>
      <c r="K3662" t="s">
        <v>17</v>
      </c>
      <c r="L3662" s="4">
        <f>Table4[[#This Row],[quantity]]*Table4[[#This Row],[unit_price]]</f>
        <v>104.35</v>
      </c>
      <c r="M3662">
        <f>COUNTIFS($C$2:$C$3934,Table4[[#This Row],[customer_id]])</f>
        <v>6</v>
      </c>
      <c r="N3662" t="str">
        <f>IF(Table4[[#This Row],[customer_order_count]]=1,"New Customer","Repeat Customer")</f>
        <v>Repeat Customer</v>
      </c>
    </row>
    <row r="3663" spans="1:14">
      <c r="A3663" t="s">
        <v>3316</v>
      </c>
      <c r="B3663" s="1">
        <v>45049</v>
      </c>
      <c r="C3663" t="s">
        <v>1894</v>
      </c>
      <c r="D3663" t="s">
        <v>145</v>
      </c>
      <c r="E3663" t="s">
        <v>21</v>
      </c>
      <c r="F3663" t="s">
        <v>79</v>
      </c>
      <c r="G3663" t="s">
        <v>166</v>
      </c>
      <c r="H3663">
        <v>1</v>
      </c>
      <c r="I3663" s="3">
        <v>104.51</v>
      </c>
      <c r="J3663" t="s">
        <v>16</v>
      </c>
      <c r="K3663" t="s">
        <v>40</v>
      </c>
      <c r="L3663" s="4">
        <f>Table4[[#This Row],[quantity]]*Table4[[#This Row],[unit_price]]</f>
        <v>104.51</v>
      </c>
      <c r="M3663">
        <f>COUNTIFS($C$2:$C$3934,Table4[[#This Row],[customer_id]])</f>
        <v>6</v>
      </c>
      <c r="N3663" t="str">
        <f>IF(Table4[[#This Row],[customer_order_count]]=1,"New Customer","Repeat Customer")</f>
        <v>Repeat Customer</v>
      </c>
    </row>
    <row r="3664" spans="1:14">
      <c r="A3664" t="s">
        <v>3452</v>
      </c>
      <c r="B3664" s="1">
        <v>45143</v>
      </c>
      <c r="C3664" t="s">
        <v>1008</v>
      </c>
      <c r="D3664" t="s">
        <v>425</v>
      </c>
      <c r="E3664" t="s">
        <v>21</v>
      </c>
      <c r="F3664" t="s">
        <v>79</v>
      </c>
      <c r="G3664" t="s">
        <v>166</v>
      </c>
      <c r="H3664">
        <v>5</v>
      </c>
      <c r="I3664" s="3">
        <v>104.55</v>
      </c>
      <c r="J3664" t="s">
        <v>16</v>
      </c>
      <c r="K3664" t="s">
        <v>35</v>
      </c>
      <c r="L3664" s="4">
        <f>Table4[[#This Row],[quantity]]*Table4[[#This Row],[unit_price]]</f>
        <v>522.75</v>
      </c>
      <c r="M3664">
        <f>COUNTIFS($C$2:$C$3934,Table4[[#This Row],[customer_id]])</f>
        <v>7</v>
      </c>
      <c r="N3664" t="str">
        <f>IF(Table4[[#This Row],[customer_order_count]]=1,"New Customer","Repeat Customer")</f>
        <v>Repeat Customer</v>
      </c>
    </row>
    <row r="3665" spans="1:14">
      <c r="A3665" t="s">
        <v>4036</v>
      </c>
      <c r="B3665" s="1">
        <v>45605</v>
      </c>
      <c r="C3665" t="s">
        <v>2650</v>
      </c>
      <c r="D3665" t="s">
        <v>2024</v>
      </c>
      <c r="E3665" t="s">
        <v>21</v>
      </c>
      <c r="F3665" t="s">
        <v>79</v>
      </c>
      <c r="G3665" t="s">
        <v>166</v>
      </c>
      <c r="H3665">
        <v>2</v>
      </c>
      <c r="I3665" s="3">
        <v>104.61</v>
      </c>
      <c r="J3665" t="s">
        <v>16</v>
      </c>
      <c r="K3665" t="s">
        <v>35</v>
      </c>
      <c r="L3665" s="4">
        <f>Table4[[#This Row],[quantity]]*Table4[[#This Row],[unit_price]]</f>
        <v>209.22</v>
      </c>
      <c r="M3665">
        <f>COUNTIFS($C$2:$C$3934,Table4[[#This Row],[customer_id]])</f>
        <v>4</v>
      </c>
      <c r="N3665" t="str">
        <f>IF(Table4[[#This Row],[customer_order_count]]=1,"New Customer","Repeat Customer")</f>
        <v>Repeat Customer</v>
      </c>
    </row>
    <row r="3666" spans="1:14">
      <c r="A3666" t="s">
        <v>686</v>
      </c>
      <c r="B3666" s="1">
        <v>45480</v>
      </c>
      <c r="C3666" t="s">
        <v>687</v>
      </c>
      <c r="D3666" t="s">
        <v>612</v>
      </c>
      <c r="E3666" t="s">
        <v>21</v>
      </c>
      <c r="F3666" t="s">
        <v>79</v>
      </c>
      <c r="G3666" t="s">
        <v>230</v>
      </c>
      <c r="H3666">
        <v>2</v>
      </c>
      <c r="I3666" s="3">
        <v>104.61</v>
      </c>
      <c r="J3666" t="s">
        <v>16</v>
      </c>
      <c r="K3666" t="s">
        <v>40</v>
      </c>
      <c r="L3666" s="4">
        <f>Table4[[#This Row],[quantity]]*Table4[[#This Row],[unit_price]]</f>
        <v>209.22</v>
      </c>
      <c r="M3666">
        <f>COUNTIFS($C$2:$C$3934,Table4[[#This Row],[customer_id]])</f>
        <v>4</v>
      </c>
      <c r="N3666" t="str">
        <f>IF(Table4[[#This Row],[customer_order_count]]=1,"New Customer","Repeat Customer")</f>
        <v>Repeat Customer</v>
      </c>
    </row>
    <row r="3667" spans="1:14">
      <c r="A3667" t="s">
        <v>1107</v>
      </c>
      <c r="B3667" s="1">
        <v>45149</v>
      </c>
      <c r="C3667" t="s">
        <v>1108</v>
      </c>
      <c r="D3667" t="s">
        <v>372</v>
      </c>
      <c r="E3667" t="s">
        <v>44</v>
      </c>
      <c r="F3667" t="s">
        <v>79</v>
      </c>
      <c r="G3667" t="s">
        <v>80</v>
      </c>
      <c r="H3667">
        <v>4</v>
      </c>
      <c r="I3667" s="3">
        <v>104.67</v>
      </c>
      <c r="J3667" t="s">
        <v>16</v>
      </c>
      <c r="K3667" t="s">
        <v>40</v>
      </c>
      <c r="L3667" s="4">
        <f>Table4[[#This Row],[quantity]]*Table4[[#This Row],[unit_price]]</f>
        <v>418.68</v>
      </c>
      <c r="M3667">
        <f>COUNTIFS($C$2:$C$3934,Table4[[#This Row],[customer_id]])</f>
        <v>3</v>
      </c>
      <c r="N3667" t="str">
        <f>IF(Table4[[#This Row],[customer_order_count]]=1,"New Customer","Repeat Customer")</f>
        <v>Repeat Customer</v>
      </c>
    </row>
    <row r="3668" spans="1:14">
      <c r="A3668" t="s">
        <v>4126</v>
      </c>
      <c r="B3668" s="1">
        <v>45612</v>
      </c>
      <c r="C3668" t="s">
        <v>1276</v>
      </c>
      <c r="D3668" t="s">
        <v>452</v>
      </c>
      <c r="E3668" t="s">
        <v>21</v>
      </c>
      <c r="F3668" t="s">
        <v>56</v>
      </c>
      <c r="G3668" t="s">
        <v>118</v>
      </c>
      <c r="H3668">
        <v>2</v>
      </c>
      <c r="I3668" s="3">
        <v>104.74</v>
      </c>
      <c r="J3668" t="s">
        <v>16</v>
      </c>
      <c r="K3668" t="s">
        <v>40</v>
      </c>
      <c r="L3668" s="4">
        <f>Table4[[#This Row],[quantity]]*Table4[[#This Row],[unit_price]]</f>
        <v>209.48</v>
      </c>
      <c r="M3668">
        <f>COUNTIFS($C$2:$C$3934,Table4[[#This Row],[customer_id]])</f>
        <v>4</v>
      </c>
      <c r="N3668" t="str">
        <f>IF(Table4[[#This Row],[customer_order_count]]=1,"New Customer","Repeat Customer")</f>
        <v>Repeat Customer</v>
      </c>
    </row>
    <row r="3669" spans="1:14">
      <c r="A3669" t="s">
        <v>1899</v>
      </c>
      <c r="B3669" s="1">
        <v>45077</v>
      </c>
      <c r="C3669" t="s">
        <v>1900</v>
      </c>
      <c r="D3669" t="s">
        <v>1310</v>
      </c>
      <c r="E3669" t="s">
        <v>21</v>
      </c>
      <c r="F3669" t="s">
        <v>56</v>
      </c>
      <c r="G3669" t="s">
        <v>254</v>
      </c>
      <c r="H3669">
        <v>5</v>
      </c>
      <c r="I3669" s="3">
        <v>104.78</v>
      </c>
      <c r="J3669" t="s">
        <v>16</v>
      </c>
      <c r="K3669" t="s">
        <v>40</v>
      </c>
      <c r="L3669" s="4">
        <f>Table4[[#This Row],[quantity]]*Table4[[#This Row],[unit_price]]</f>
        <v>523.9</v>
      </c>
      <c r="M3669">
        <f>COUNTIFS($C$2:$C$3934,Table4[[#This Row],[customer_id]])</f>
        <v>5</v>
      </c>
      <c r="N3669" t="str">
        <f>IF(Table4[[#This Row],[customer_order_count]]=1,"New Customer","Repeat Customer")</f>
        <v>Repeat Customer</v>
      </c>
    </row>
    <row r="3670" spans="1:14">
      <c r="A3670" t="s">
        <v>1015</v>
      </c>
      <c r="B3670" s="1">
        <v>44951</v>
      </c>
      <c r="C3670" t="s">
        <v>1016</v>
      </c>
      <c r="D3670" t="s">
        <v>1017</v>
      </c>
      <c r="E3670" t="s">
        <v>106</v>
      </c>
      <c r="F3670" t="s">
        <v>56</v>
      </c>
      <c r="G3670" t="s">
        <v>422</v>
      </c>
      <c r="H3670">
        <v>2</v>
      </c>
      <c r="I3670" s="3">
        <v>104.86</v>
      </c>
      <c r="J3670" t="s">
        <v>16</v>
      </c>
      <c r="K3670" t="s">
        <v>35</v>
      </c>
      <c r="L3670" s="4">
        <f>Table4[[#This Row],[quantity]]*Table4[[#This Row],[unit_price]]</f>
        <v>209.72</v>
      </c>
      <c r="M3670">
        <f>COUNTIFS($C$2:$C$3934,Table4[[#This Row],[customer_id]])</f>
        <v>2</v>
      </c>
      <c r="N3670" t="str">
        <f>IF(Table4[[#This Row],[customer_order_count]]=1,"New Customer","Repeat Customer")</f>
        <v>Repeat Customer</v>
      </c>
    </row>
    <row r="3671" spans="1:14">
      <c r="A3671" t="s">
        <v>5106</v>
      </c>
      <c r="B3671" s="1">
        <v>44933</v>
      </c>
      <c r="C3671" t="s">
        <v>4064</v>
      </c>
      <c r="D3671" t="s">
        <v>241</v>
      </c>
      <c r="E3671" t="s">
        <v>61</v>
      </c>
      <c r="F3671" t="s">
        <v>79</v>
      </c>
      <c r="G3671" t="s">
        <v>541</v>
      </c>
      <c r="H3671">
        <v>2</v>
      </c>
      <c r="I3671" s="3">
        <v>104.9</v>
      </c>
      <c r="J3671" t="s">
        <v>16</v>
      </c>
      <c r="K3671" t="s">
        <v>35</v>
      </c>
      <c r="L3671" s="4">
        <f>Table4[[#This Row],[quantity]]*Table4[[#This Row],[unit_price]]</f>
        <v>209.8</v>
      </c>
      <c r="M3671">
        <f>COUNTIFS($C$2:$C$3934,Table4[[#This Row],[customer_id]])</f>
        <v>4</v>
      </c>
      <c r="N3671" t="str">
        <f>IF(Table4[[#This Row],[customer_order_count]]=1,"New Customer","Repeat Customer")</f>
        <v>Repeat Customer</v>
      </c>
    </row>
    <row r="3672" spans="1:14">
      <c r="A3672" t="s">
        <v>1759</v>
      </c>
      <c r="B3672" s="1">
        <v>45570</v>
      </c>
      <c r="C3672" t="s">
        <v>1530</v>
      </c>
      <c r="D3672" t="s">
        <v>834</v>
      </c>
      <c r="E3672" t="s">
        <v>21</v>
      </c>
      <c r="F3672" t="s">
        <v>56</v>
      </c>
      <c r="G3672" t="s">
        <v>57</v>
      </c>
      <c r="H3672">
        <v>1</v>
      </c>
      <c r="I3672" s="3">
        <v>104.96</v>
      </c>
      <c r="J3672" t="s">
        <v>16</v>
      </c>
      <c r="K3672" t="s">
        <v>17</v>
      </c>
      <c r="L3672" s="4">
        <f>Table4[[#This Row],[quantity]]*Table4[[#This Row],[unit_price]]</f>
        <v>104.96</v>
      </c>
      <c r="M3672">
        <f>COUNTIFS($C$2:$C$3934,Table4[[#This Row],[customer_id]])</f>
        <v>8</v>
      </c>
      <c r="N3672" t="str">
        <f>IF(Table4[[#This Row],[customer_order_count]]=1,"New Customer","Repeat Customer")</f>
        <v>Repeat Customer</v>
      </c>
    </row>
    <row r="3673" spans="1:14">
      <c r="A3673" t="s">
        <v>367</v>
      </c>
      <c r="B3673" s="1">
        <v>45217</v>
      </c>
      <c r="C3673" t="s">
        <v>368</v>
      </c>
      <c r="D3673" t="s">
        <v>369</v>
      </c>
      <c r="E3673" t="s">
        <v>21</v>
      </c>
      <c r="F3673" t="s">
        <v>56</v>
      </c>
      <c r="G3673" t="s">
        <v>57</v>
      </c>
      <c r="H3673">
        <v>1</v>
      </c>
      <c r="I3673" s="3">
        <v>105.13</v>
      </c>
      <c r="J3673" t="s">
        <v>85</v>
      </c>
      <c r="K3673" t="s">
        <v>17</v>
      </c>
      <c r="L3673" s="4">
        <f>Table4[[#This Row],[quantity]]*Table4[[#This Row],[unit_price]]</f>
        <v>105.13</v>
      </c>
      <c r="M3673">
        <f>COUNTIFS($C$2:$C$3934,Table4[[#This Row],[customer_id]])</f>
        <v>7</v>
      </c>
      <c r="N3673" t="str">
        <f>IF(Table4[[#This Row],[customer_order_count]]=1,"New Customer","Repeat Customer")</f>
        <v>Repeat Customer</v>
      </c>
    </row>
    <row r="3674" spans="1:14">
      <c r="A3674" t="s">
        <v>4203</v>
      </c>
      <c r="B3674" s="1">
        <v>45352</v>
      </c>
      <c r="C3674" t="s">
        <v>2560</v>
      </c>
      <c r="D3674" t="s">
        <v>828</v>
      </c>
      <c r="E3674" t="s">
        <v>44</v>
      </c>
      <c r="F3674" t="s">
        <v>79</v>
      </c>
      <c r="G3674" t="s">
        <v>80</v>
      </c>
      <c r="H3674">
        <v>2</v>
      </c>
      <c r="I3674" s="3">
        <v>105.51</v>
      </c>
      <c r="J3674" t="s">
        <v>16</v>
      </c>
      <c r="K3674" t="s">
        <v>17</v>
      </c>
      <c r="L3674" s="4">
        <f>Table4[[#This Row],[quantity]]*Table4[[#This Row],[unit_price]]</f>
        <v>211.02</v>
      </c>
      <c r="M3674">
        <f>COUNTIFS($C$2:$C$3934,Table4[[#This Row],[customer_id]])</f>
        <v>5</v>
      </c>
      <c r="N3674" t="str">
        <f>IF(Table4[[#This Row],[customer_order_count]]=1,"New Customer","Repeat Customer")</f>
        <v>Repeat Customer</v>
      </c>
    </row>
    <row r="3675" spans="1:14">
      <c r="A3675" t="s">
        <v>1483</v>
      </c>
      <c r="B3675" s="1">
        <v>45217</v>
      </c>
      <c r="C3675" t="s">
        <v>1484</v>
      </c>
      <c r="D3675" t="s">
        <v>1124</v>
      </c>
      <c r="E3675" t="s">
        <v>44</v>
      </c>
      <c r="F3675" t="s">
        <v>56</v>
      </c>
      <c r="G3675" t="s">
        <v>153</v>
      </c>
      <c r="H3675">
        <v>2</v>
      </c>
      <c r="I3675" s="3">
        <v>105.52</v>
      </c>
      <c r="J3675" t="s">
        <v>16</v>
      </c>
      <c r="K3675" t="s">
        <v>30</v>
      </c>
      <c r="L3675" s="4">
        <f>Table4[[#This Row],[quantity]]*Table4[[#This Row],[unit_price]]</f>
        <v>211.04</v>
      </c>
      <c r="M3675">
        <f>COUNTIFS($C$2:$C$3934,Table4[[#This Row],[customer_id]])</f>
        <v>2</v>
      </c>
      <c r="N3675" t="str">
        <f>IF(Table4[[#This Row],[customer_order_count]]=1,"New Customer","Repeat Customer")</f>
        <v>Repeat Customer</v>
      </c>
    </row>
    <row r="3676" spans="1:14">
      <c r="A3676" t="s">
        <v>3129</v>
      </c>
      <c r="B3676" s="1">
        <v>45567</v>
      </c>
      <c r="C3676" t="s">
        <v>1447</v>
      </c>
      <c r="D3676" t="s">
        <v>55</v>
      </c>
      <c r="E3676" t="s">
        <v>21</v>
      </c>
      <c r="F3676" t="s">
        <v>79</v>
      </c>
      <c r="G3676" t="s">
        <v>204</v>
      </c>
      <c r="H3676">
        <v>2</v>
      </c>
      <c r="I3676" s="3">
        <v>105.66</v>
      </c>
      <c r="J3676" t="s">
        <v>16</v>
      </c>
      <c r="K3676" t="s">
        <v>35</v>
      </c>
      <c r="L3676" s="4">
        <f>Table4[[#This Row],[quantity]]*Table4[[#This Row],[unit_price]]</f>
        <v>211.32</v>
      </c>
      <c r="M3676">
        <f>COUNTIFS($C$2:$C$3934,Table4[[#This Row],[customer_id]])</f>
        <v>7</v>
      </c>
      <c r="N3676" t="str">
        <f>IF(Table4[[#This Row],[customer_order_count]]=1,"New Customer","Repeat Customer")</f>
        <v>Repeat Customer</v>
      </c>
    </row>
    <row r="3677" spans="1:14">
      <c r="A3677" t="s">
        <v>3717</v>
      </c>
      <c r="B3677" s="1">
        <v>45321</v>
      </c>
      <c r="C3677" t="s">
        <v>1449</v>
      </c>
      <c r="D3677" t="s">
        <v>1450</v>
      </c>
      <c r="E3677" t="s">
        <v>21</v>
      </c>
      <c r="F3677" t="s">
        <v>56</v>
      </c>
      <c r="G3677" t="s">
        <v>75</v>
      </c>
      <c r="H3677">
        <v>1</v>
      </c>
      <c r="I3677" s="3">
        <v>105.72</v>
      </c>
      <c r="J3677" t="s">
        <v>16</v>
      </c>
      <c r="K3677" t="s">
        <v>35</v>
      </c>
      <c r="L3677" s="4">
        <f>Table4[[#This Row],[quantity]]*Table4[[#This Row],[unit_price]]</f>
        <v>105.72</v>
      </c>
      <c r="M3677">
        <f>COUNTIFS($C$2:$C$3934,Table4[[#This Row],[customer_id]])</f>
        <v>4</v>
      </c>
      <c r="N3677" t="str">
        <f>IF(Table4[[#This Row],[customer_order_count]]=1,"New Customer","Repeat Customer")</f>
        <v>Repeat Customer</v>
      </c>
    </row>
    <row r="3678" spans="1:14">
      <c r="A3678" t="s">
        <v>4948</v>
      </c>
      <c r="B3678" s="1">
        <v>45058</v>
      </c>
      <c r="C3678" t="s">
        <v>1989</v>
      </c>
      <c r="D3678" t="s">
        <v>340</v>
      </c>
      <c r="E3678" t="s">
        <v>21</v>
      </c>
      <c r="F3678" t="s">
        <v>79</v>
      </c>
      <c r="G3678" t="s">
        <v>230</v>
      </c>
      <c r="H3678">
        <v>1</v>
      </c>
      <c r="I3678" s="3">
        <v>105.79</v>
      </c>
      <c r="J3678" t="s">
        <v>16</v>
      </c>
      <c r="K3678" t="s">
        <v>17</v>
      </c>
      <c r="L3678" s="4">
        <f>Table4[[#This Row],[quantity]]*Table4[[#This Row],[unit_price]]</f>
        <v>105.79</v>
      </c>
      <c r="M3678">
        <f>COUNTIFS($C$2:$C$3934,Table4[[#This Row],[customer_id]])</f>
        <v>8</v>
      </c>
      <c r="N3678" t="str">
        <f>IF(Table4[[#This Row],[customer_order_count]]=1,"New Customer","Repeat Customer")</f>
        <v>Repeat Customer</v>
      </c>
    </row>
    <row r="3679" spans="1:14">
      <c r="A3679" t="s">
        <v>1293</v>
      </c>
      <c r="B3679" s="1">
        <v>45546</v>
      </c>
      <c r="C3679" t="s">
        <v>1294</v>
      </c>
      <c r="D3679" t="s">
        <v>1241</v>
      </c>
      <c r="E3679" t="s">
        <v>21</v>
      </c>
      <c r="F3679" t="s">
        <v>79</v>
      </c>
      <c r="G3679" t="s">
        <v>80</v>
      </c>
      <c r="H3679">
        <v>2</v>
      </c>
      <c r="I3679" s="3">
        <v>105.86</v>
      </c>
      <c r="J3679" t="s">
        <v>16</v>
      </c>
      <c r="K3679" t="s">
        <v>35</v>
      </c>
      <c r="L3679" s="4">
        <f>Table4[[#This Row],[quantity]]*Table4[[#This Row],[unit_price]]</f>
        <v>211.72</v>
      </c>
      <c r="M3679">
        <f>COUNTIFS($C$2:$C$3934,Table4[[#This Row],[customer_id]])</f>
        <v>6</v>
      </c>
      <c r="N3679" t="str">
        <f>IF(Table4[[#This Row],[customer_order_count]]=1,"New Customer","Repeat Customer")</f>
        <v>Repeat Customer</v>
      </c>
    </row>
    <row r="3680" spans="1:14">
      <c r="A3680" t="s">
        <v>2816</v>
      </c>
      <c r="B3680" s="1">
        <v>44938</v>
      </c>
      <c r="C3680" t="s">
        <v>2817</v>
      </c>
      <c r="D3680" t="s">
        <v>1390</v>
      </c>
      <c r="E3680" t="s">
        <v>21</v>
      </c>
      <c r="F3680" t="s">
        <v>56</v>
      </c>
      <c r="G3680" t="s">
        <v>422</v>
      </c>
      <c r="H3680">
        <v>3</v>
      </c>
      <c r="I3680" s="3">
        <v>105.96</v>
      </c>
      <c r="J3680" t="s">
        <v>16</v>
      </c>
      <c r="K3680" t="s">
        <v>17</v>
      </c>
      <c r="L3680" s="4">
        <f>Table4[[#This Row],[quantity]]*Table4[[#This Row],[unit_price]]</f>
        <v>317.88</v>
      </c>
      <c r="M3680">
        <f>COUNTIFS($C$2:$C$3934,Table4[[#This Row],[customer_id]])</f>
        <v>4</v>
      </c>
      <c r="N3680" t="str">
        <f>IF(Table4[[#This Row],[customer_order_count]]=1,"New Customer","Repeat Customer")</f>
        <v>Repeat Customer</v>
      </c>
    </row>
    <row r="3681" spans="1:14">
      <c r="A3681" t="s">
        <v>3410</v>
      </c>
      <c r="B3681" s="1">
        <v>45088</v>
      </c>
      <c r="C3681" t="s">
        <v>195</v>
      </c>
      <c r="D3681" t="s">
        <v>196</v>
      </c>
      <c r="E3681" t="s">
        <v>21</v>
      </c>
      <c r="F3681" t="s">
        <v>56</v>
      </c>
      <c r="G3681" t="s">
        <v>57</v>
      </c>
      <c r="H3681">
        <v>4</v>
      </c>
      <c r="I3681" s="3">
        <v>106.12</v>
      </c>
      <c r="J3681" t="s">
        <v>16</v>
      </c>
      <c r="K3681" t="s">
        <v>30</v>
      </c>
      <c r="L3681" s="4">
        <f>Table4[[#This Row],[quantity]]*Table4[[#This Row],[unit_price]]</f>
        <v>424.48</v>
      </c>
      <c r="M3681">
        <f>COUNTIFS($C$2:$C$3934,Table4[[#This Row],[customer_id]])</f>
        <v>5</v>
      </c>
      <c r="N3681" t="str">
        <f>IF(Table4[[#This Row],[customer_order_count]]=1,"New Customer","Repeat Customer")</f>
        <v>Repeat Customer</v>
      </c>
    </row>
    <row r="3682" spans="1:14">
      <c r="A3682" t="s">
        <v>3940</v>
      </c>
      <c r="B3682" s="1">
        <v>45638</v>
      </c>
      <c r="C3682" t="s">
        <v>144</v>
      </c>
      <c r="D3682" t="s">
        <v>145</v>
      </c>
      <c r="E3682" t="s">
        <v>21</v>
      </c>
      <c r="F3682" t="s">
        <v>56</v>
      </c>
      <c r="G3682" t="s">
        <v>57</v>
      </c>
      <c r="H3682">
        <v>2</v>
      </c>
      <c r="I3682" s="3">
        <v>106.14</v>
      </c>
      <c r="J3682" t="s">
        <v>16</v>
      </c>
      <c r="K3682" t="s">
        <v>17</v>
      </c>
      <c r="L3682" s="4">
        <f>Table4[[#This Row],[quantity]]*Table4[[#This Row],[unit_price]]</f>
        <v>212.28</v>
      </c>
      <c r="M3682">
        <f>COUNTIFS($C$2:$C$3934,Table4[[#This Row],[customer_id]])</f>
        <v>4</v>
      </c>
      <c r="N3682" t="str">
        <f>IF(Table4[[#This Row],[customer_order_count]]=1,"New Customer","Repeat Customer")</f>
        <v>Repeat Customer</v>
      </c>
    </row>
    <row r="3683" spans="1:14">
      <c r="A3683" t="s">
        <v>5087</v>
      </c>
      <c r="B3683" s="1">
        <v>45156</v>
      </c>
      <c r="C3683" t="s">
        <v>2010</v>
      </c>
      <c r="D3683" t="s">
        <v>372</v>
      </c>
      <c r="E3683" t="s">
        <v>44</v>
      </c>
      <c r="F3683" t="s">
        <v>56</v>
      </c>
      <c r="G3683" t="s">
        <v>254</v>
      </c>
      <c r="H3683">
        <v>2</v>
      </c>
      <c r="I3683" s="3">
        <v>106.32</v>
      </c>
      <c r="J3683" t="s">
        <v>16</v>
      </c>
      <c r="K3683" t="s">
        <v>17</v>
      </c>
      <c r="L3683" s="4">
        <f>Table4[[#This Row],[quantity]]*Table4[[#This Row],[unit_price]]</f>
        <v>212.64</v>
      </c>
      <c r="M3683">
        <f>COUNTIFS($C$2:$C$3934,Table4[[#This Row],[customer_id]])</f>
        <v>5</v>
      </c>
      <c r="N3683" t="str">
        <f>IF(Table4[[#This Row],[customer_order_count]]=1,"New Customer","Repeat Customer")</f>
        <v>Repeat Customer</v>
      </c>
    </row>
    <row r="3684" spans="1:14">
      <c r="A3684" t="s">
        <v>2771</v>
      </c>
      <c r="B3684" s="1">
        <v>45104</v>
      </c>
      <c r="C3684" t="s">
        <v>534</v>
      </c>
      <c r="D3684" t="s">
        <v>535</v>
      </c>
      <c r="E3684" t="s">
        <v>21</v>
      </c>
      <c r="F3684" t="s">
        <v>56</v>
      </c>
      <c r="G3684" t="s">
        <v>210</v>
      </c>
      <c r="H3684">
        <v>1</v>
      </c>
      <c r="I3684" s="3">
        <v>106.63</v>
      </c>
      <c r="J3684" t="s">
        <v>16</v>
      </c>
      <c r="K3684" t="s">
        <v>35</v>
      </c>
      <c r="L3684" s="4">
        <f>Table4[[#This Row],[quantity]]*Table4[[#This Row],[unit_price]]</f>
        <v>106.63</v>
      </c>
      <c r="M3684">
        <f>COUNTIFS($C$2:$C$3934,Table4[[#This Row],[customer_id]])</f>
        <v>6</v>
      </c>
      <c r="N3684" t="str">
        <f>IF(Table4[[#This Row],[customer_order_count]]=1,"New Customer","Repeat Customer")</f>
        <v>Repeat Customer</v>
      </c>
    </row>
    <row r="3685" spans="1:14">
      <c r="A3685" t="s">
        <v>3651</v>
      </c>
      <c r="B3685" s="1">
        <v>45150</v>
      </c>
      <c r="C3685" t="s">
        <v>1363</v>
      </c>
      <c r="D3685" t="s">
        <v>1364</v>
      </c>
      <c r="E3685" t="s">
        <v>21</v>
      </c>
      <c r="F3685" t="s">
        <v>56</v>
      </c>
      <c r="G3685" t="s">
        <v>57</v>
      </c>
      <c r="H3685">
        <v>1</v>
      </c>
      <c r="I3685" s="3">
        <v>106.64</v>
      </c>
      <c r="J3685" t="s">
        <v>16</v>
      </c>
      <c r="K3685" t="s">
        <v>35</v>
      </c>
      <c r="L3685" s="4">
        <f>Table4[[#This Row],[quantity]]*Table4[[#This Row],[unit_price]]</f>
        <v>106.64</v>
      </c>
      <c r="M3685">
        <f>COUNTIFS($C$2:$C$3934,Table4[[#This Row],[customer_id]])</f>
        <v>3</v>
      </c>
      <c r="N3685" t="str">
        <f>IF(Table4[[#This Row],[customer_order_count]]=1,"New Customer","Repeat Customer")</f>
        <v>Repeat Customer</v>
      </c>
    </row>
    <row r="3686" spans="1:14">
      <c r="A3686" t="s">
        <v>3400</v>
      </c>
      <c r="B3686" s="1">
        <v>45276</v>
      </c>
      <c r="C3686" t="s">
        <v>1837</v>
      </c>
      <c r="D3686" t="s">
        <v>1838</v>
      </c>
      <c r="E3686" t="s">
        <v>21</v>
      </c>
      <c r="F3686" t="s">
        <v>56</v>
      </c>
      <c r="G3686" t="s">
        <v>118</v>
      </c>
      <c r="H3686">
        <v>1</v>
      </c>
      <c r="I3686" s="3">
        <v>106.78</v>
      </c>
      <c r="J3686" t="s">
        <v>16</v>
      </c>
      <c r="K3686" t="s">
        <v>30</v>
      </c>
      <c r="L3686" s="4">
        <f>Table4[[#This Row],[quantity]]*Table4[[#This Row],[unit_price]]</f>
        <v>106.78</v>
      </c>
      <c r="M3686">
        <f>COUNTIFS($C$2:$C$3934,Table4[[#This Row],[customer_id]])</f>
        <v>9</v>
      </c>
      <c r="N3686" t="str">
        <f>IF(Table4[[#This Row],[customer_order_count]]=1,"New Customer","Repeat Customer")</f>
        <v>Repeat Customer</v>
      </c>
    </row>
    <row r="3687" spans="1:14">
      <c r="A3687" t="s">
        <v>3423</v>
      </c>
      <c r="B3687" s="1">
        <v>44963</v>
      </c>
      <c r="C3687" t="s">
        <v>2130</v>
      </c>
      <c r="D3687" t="s">
        <v>953</v>
      </c>
      <c r="E3687" t="s">
        <v>21</v>
      </c>
      <c r="F3687" t="s">
        <v>79</v>
      </c>
      <c r="G3687" t="s">
        <v>166</v>
      </c>
      <c r="H3687">
        <v>1</v>
      </c>
      <c r="I3687" s="3">
        <v>106.83</v>
      </c>
      <c r="J3687" t="s">
        <v>16</v>
      </c>
      <c r="K3687" t="s">
        <v>17</v>
      </c>
      <c r="L3687" s="4">
        <f>Table4[[#This Row],[quantity]]*Table4[[#This Row],[unit_price]]</f>
        <v>106.83</v>
      </c>
      <c r="M3687">
        <f>COUNTIFS($C$2:$C$3934,Table4[[#This Row],[customer_id]])</f>
        <v>5</v>
      </c>
      <c r="N3687" t="str">
        <f>IF(Table4[[#This Row],[customer_order_count]]=1,"New Customer","Repeat Customer")</f>
        <v>Repeat Customer</v>
      </c>
    </row>
    <row r="3688" spans="1:14">
      <c r="A3688" t="s">
        <v>4679</v>
      </c>
      <c r="B3688" s="1">
        <v>45329</v>
      </c>
      <c r="C3688" t="s">
        <v>1452</v>
      </c>
      <c r="D3688" t="s">
        <v>1453</v>
      </c>
      <c r="E3688" t="s">
        <v>21</v>
      </c>
      <c r="F3688" t="s">
        <v>79</v>
      </c>
      <c r="G3688" t="s">
        <v>200</v>
      </c>
      <c r="H3688">
        <v>1</v>
      </c>
      <c r="I3688" s="3">
        <v>106.83</v>
      </c>
      <c r="J3688" t="s">
        <v>16</v>
      </c>
      <c r="K3688" t="s">
        <v>40</v>
      </c>
      <c r="L3688" s="4">
        <f>Table4[[#This Row],[quantity]]*Table4[[#This Row],[unit_price]]</f>
        <v>106.83</v>
      </c>
      <c r="M3688">
        <f>COUNTIFS($C$2:$C$3934,Table4[[#This Row],[customer_id]])</f>
        <v>7</v>
      </c>
      <c r="N3688" t="str">
        <f>IF(Table4[[#This Row],[customer_order_count]]=1,"New Customer","Repeat Customer")</f>
        <v>Repeat Customer</v>
      </c>
    </row>
    <row r="3689" spans="1:14">
      <c r="A3689" t="s">
        <v>1562</v>
      </c>
      <c r="B3689" s="1">
        <v>45140</v>
      </c>
      <c r="C3689" t="s">
        <v>1563</v>
      </c>
      <c r="D3689" t="s">
        <v>432</v>
      </c>
      <c r="E3689" t="s">
        <v>44</v>
      </c>
      <c r="F3689" t="s">
        <v>56</v>
      </c>
      <c r="G3689" t="s">
        <v>57</v>
      </c>
      <c r="H3689">
        <v>2</v>
      </c>
      <c r="I3689" s="3">
        <v>106.94</v>
      </c>
      <c r="J3689" t="s">
        <v>16</v>
      </c>
      <c r="K3689" t="s">
        <v>30</v>
      </c>
      <c r="L3689" s="4">
        <f>Table4[[#This Row],[quantity]]*Table4[[#This Row],[unit_price]]</f>
        <v>213.88</v>
      </c>
      <c r="M3689">
        <f>COUNTIFS($C$2:$C$3934,Table4[[#This Row],[customer_id]])</f>
        <v>3</v>
      </c>
      <c r="N3689" t="str">
        <f>IF(Table4[[#This Row],[customer_order_count]]=1,"New Customer","Repeat Customer")</f>
        <v>Repeat Customer</v>
      </c>
    </row>
    <row r="3690" spans="1:14">
      <c r="A3690" t="s">
        <v>3719</v>
      </c>
      <c r="B3690" s="1">
        <v>45208</v>
      </c>
      <c r="C3690" t="s">
        <v>629</v>
      </c>
      <c r="D3690" t="s">
        <v>630</v>
      </c>
      <c r="E3690" t="s">
        <v>44</v>
      </c>
      <c r="F3690" t="s">
        <v>56</v>
      </c>
      <c r="G3690" t="s">
        <v>57</v>
      </c>
      <c r="H3690">
        <v>1</v>
      </c>
      <c r="I3690" s="3">
        <v>106.98</v>
      </c>
      <c r="J3690" t="s">
        <v>16</v>
      </c>
      <c r="K3690" t="s">
        <v>35</v>
      </c>
      <c r="L3690" s="4">
        <f>Table4[[#This Row],[quantity]]*Table4[[#This Row],[unit_price]]</f>
        <v>106.98</v>
      </c>
      <c r="M3690">
        <f>COUNTIFS($C$2:$C$3934,Table4[[#This Row],[customer_id]])</f>
        <v>5</v>
      </c>
      <c r="N3690" t="str">
        <f>IF(Table4[[#This Row],[customer_order_count]]=1,"New Customer","Repeat Customer")</f>
        <v>Repeat Customer</v>
      </c>
    </row>
    <row r="3691" spans="1:14">
      <c r="A3691" t="s">
        <v>1112</v>
      </c>
      <c r="B3691" s="1">
        <v>45599</v>
      </c>
      <c r="C3691" t="s">
        <v>1113</v>
      </c>
      <c r="D3691" t="s">
        <v>1114</v>
      </c>
      <c r="E3691" t="s">
        <v>21</v>
      </c>
      <c r="F3691" t="s">
        <v>79</v>
      </c>
      <c r="G3691" t="s">
        <v>204</v>
      </c>
      <c r="H3691">
        <v>1</v>
      </c>
      <c r="I3691" s="3">
        <v>107.18</v>
      </c>
      <c r="J3691" t="s">
        <v>16</v>
      </c>
      <c r="K3691" t="s">
        <v>35</v>
      </c>
      <c r="L3691" s="4">
        <f>Table4[[#This Row],[quantity]]*Table4[[#This Row],[unit_price]]</f>
        <v>107.18</v>
      </c>
      <c r="M3691">
        <f>COUNTIFS($C$2:$C$3934,Table4[[#This Row],[customer_id]])</f>
        <v>7</v>
      </c>
      <c r="N3691" t="str">
        <f>IF(Table4[[#This Row],[customer_order_count]]=1,"New Customer","Repeat Customer")</f>
        <v>Repeat Customer</v>
      </c>
    </row>
    <row r="3692" spans="1:14">
      <c r="A3692" t="s">
        <v>1365</v>
      </c>
      <c r="B3692" s="1">
        <v>45461</v>
      </c>
      <c r="C3692" t="s">
        <v>1366</v>
      </c>
      <c r="D3692" t="s">
        <v>797</v>
      </c>
      <c r="E3692" t="s">
        <v>21</v>
      </c>
      <c r="F3692" t="s">
        <v>79</v>
      </c>
      <c r="G3692" t="s">
        <v>96</v>
      </c>
      <c r="H3692">
        <v>4</v>
      </c>
      <c r="I3692" s="3">
        <v>107.24</v>
      </c>
      <c r="J3692" t="s">
        <v>16</v>
      </c>
      <c r="K3692" t="s">
        <v>17</v>
      </c>
      <c r="L3692" s="4">
        <f>Table4[[#This Row],[quantity]]*Table4[[#This Row],[unit_price]]</f>
        <v>428.96</v>
      </c>
      <c r="M3692">
        <f>COUNTIFS($C$2:$C$3934,Table4[[#This Row],[customer_id]])</f>
        <v>2</v>
      </c>
      <c r="N3692" t="str">
        <f>IF(Table4[[#This Row],[customer_order_count]]=1,"New Customer","Repeat Customer")</f>
        <v>Repeat Customer</v>
      </c>
    </row>
    <row r="3693" spans="1:14">
      <c r="A3693" t="s">
        <v>4498</v>
      </c>
      <c r="B3693" s="1">
        <v>45366</v>
      </c>
      <c r="C3693" t="s">
        <v>2872</v>
      </c>
      <c r="D3693" s="2" t="s">
        <v>5257</v>
      </c>
      <c r="E3693" t="s">
        <v>21</v>
      </c>
      <c r="F3693" t="s">
        <v>56</v>
      </c>
      <c r="G3693" t="s">
        <v>118</v>
      </c>
      <c r="H3693">
        <v>1</v>
      </c>
      <c r="I3693" s="3">
        <v>107.46</v>
      </c>
      <c r="J3693" t="s">
        <v>85</v>
      </c>
      <c r="K3693" t="s">
        <v>30</v>
      </c>
      <c r="L3693" s="4">
        <f>Table4[[#This Row],[quantity]]*Table4[[#This Row],[unit_price]]</f>
        <v>107.46</v>
      </c>
      <c r="M3693">
        <f>COUNTIFS($C$2:$C$3934,Table4[[#This Row],[customer_id]])</f>
        <v>3</v>
      </c>
      <c r="N3693" t="str">
        <f>IF(Table4[[#This Row],[customer_order_count]]=1,"New Customer","Repeat Customer")</f>
        <v>Repeat Customer</v>
      </c>
    </row>
    <row r="3694" spans="1:14">
      <c r="A3694" t="s">
        <v>912</v>
      </c>
      <c r="B3694" s="1">
        <v>45335</v>
      </c>
      <c r="C3694" t="s">
        <v>596</v>
      </c>
      <c r="D3694" s="5" t="s">
        <v>597</v>
      </c>
      <c r="E3694" t="s">
        <v>21</v>
      </c>
      <c r="F3694" t="s">
        <v>79</v>
      </c>
      <c r="G3694" t="s">
        <v>200</v>
      </c>
      <c r="H3694">
        <v>5</v>
      </c>
      <c r="I3694" s="3">
        <v>107.57</v>
      </c>
      <c r="J3694" t="s">
        <v>24</v>
      </c>
      <c r="K3694" t="s">
        <v>40</v>
      </c>
      <c r="L3694" s="4">
        <f>Table4[[#This Row],[quantity]]*Table4[[#This Row],[unit_price]]</f>
        <v>537.84999999999991</v>
      </c>
      <c r="M3694">
        <f>COUNTIFS($C$2:$C$3934,Table4[[#This Row],[customer_id]])</f>
        <v>8</v>
      </c>
      <c r="N3694" t="str">
        <f>IF(Table4[[#This Row],[customer_order_count]]=1,"New Customer","Repeat Customer")</f>
        <v>Repeat Customer</v>
      </c>
    </row>
    <row r="3695" spans="1:14">
      <c r="A3695" t="s">
        <v>4658</v>
      </c>
      <c r="B3695" s="1">
        <v>45037</v>
      </c>
      <c r="C3695" t="s">
        <v>988</v>
      </c>
      <c r="D3695" t="s">
        <v>505</v>
      </c>
      <c r="E3695" t="s">
        <v>21</v>
      </c>
      <c r="F3695" t="s">
        <v>79</v>
      </c>
      <c r="G3695" t="s">
        <v>398</v>
      </c>
      <c r="H3695">
        <v>2</v>
      </c>
      <c r="I3695" s="3">
        <v>107.59</v>
      </c>
      <c r="J3695" t="s">
        <v>255</v>
      </c>
      <c r="K3695" t="s">
        <v>40</v>
      </c>
      <c r="L3695" s="4">
        <f>Table4[[#This Row],[quantity]]*Table4[[#This Row],[unit_price]]</f>
        <v>215.18</v>
      </c>
      <c r="M3695">
        <f>COUNTIFS($C$2:$C$3934,Table4[[#This Row],[customer_id]])</f>
        <v>3</v>
      </c>
      <c r="N3695" t="str">
        <f>IF(Table4[[#This Row],[customer_order_count]]=1,"New Customer","Repeat Customer")</f>
        <v>Repeat Customer</v>
      </c>
    </row>
    <row r="3696" spans="1:14">
      <c r="A3696" t="s">
        <v>3267</v>
      </c>
      <c r="B3696" s="1">
        <v>45371</v>
      </c>
      <c r="C3696" t="s">
        <v>563</v>
      </c>
      <c r="D3696" t="s">
        <v>203</v>
      </c>
      <c r="E3696" t="s">
        <v>21</v>
      </c>
      <c r="F3696" t="s">
        <v>56</v>
      </c>
      <c r="G3696" t="s">
        <v>210</v>
      </c>
      <c r="H3696">
        <v>1</v>
      </c>
      <c r="I3696" s="3">
        <v>107.68</v>
      </c>
      <c r="J3696" t="s">
        <v>16</v>
      </c>
      <c r="K3696" t="s">
        <v>35</v>
      </c>
      <c r="L3696" s="4">
        <f>Table4[[#This Row],[quantity]]*Table4[[#This Row],[unit_price]]</f>
        <v>107.68</v>
      </c>
      <c r="M3696">
        <f>COUNTIFS($C$2:$C$3934,Table4[[#This Row],[customer_id]])</f>
        <v>6</v>
      </c>
      <c r="N3696" t="str">
        <f>IF(Table4[[#This Row],[customer_order_count]]=1,"New Customer","Repeat Customer")</f>
        <v>Repeat Customer</v>
      </c>
    </row>
    <row r="3697" spans="1:14">
      <c r="A3697" t="s">
        <v>5024</v>
      </c>
      <c r="B3697" s="1">
        <v>44951</v>
      </c>
      <c r="C3697" t="s">
        <v>2976</v>
      </c>
      <c r="D3697" t="s">
        <v>499</v>
      </c>
      <c r="E3697" t="s">
        <v>21</v>
      </c>
      <c r="F3697" t="s">
        <v>56</v>
      </c>
      <c r="G3697" t="s">
        <v>75</v>
      </c>
      <c r="H3697">
        <v>1</v>
      </c>
      <c r="I3697" s="3">
        <v>108.04</v>
      </c>
      <c r="J3697" t="s">
        <v>16</v>
      </c>
      <c r="K3697" t="s">
        <v>17</v>
      </c>
      <c r="L3697" s="4">
        <f>Table4[[#This Row],[quantity]]*Table4[[#This Row],[unit_price]]</f>
        <v>108.04</v>
      </c>
      <c r="M3697">
        <f>COUNTIFS($C$2:$C$3934,Table4[[#This Row],[customer_id]])</f>
        <v>4</v>
      </c>
      <c r="N3697" t="str">
        <f>IF(Table4[[#This Row],[customer_order_count]]=1,"New Customer","Repeat Customer")</f>
        <v>Repeat Customer</v>
      </c>
    </row>
    <row r="3698" spans="1:14">
      <c r="A3698" t="s">
        <v>198</v>
      </c>
      <c r="B3698" s="1">
        <v>45076</v>
      </c>
      <c r="C3698" t="s">
        <v>199</v>
      </c>
      <c r="D3698" s="2" t="s">
        <v>5257</v>
      </c>
      <c r="E3698" t="s">
        <v>21</v>
      </c>
      <c r="F3698" t="s">
        <v>79</v>
      </c>
      <c r="G3698" t="s">
        <v>200</v>
      </c>
      <c r="H3698">
        <v>1</v>
      </c>
      <c r="I3698" s="3">
        <v>108.09</v>
      </c>
      <c r="J3698" t="s">
        <v>16</v>
      </c>
      <c r="K3698" t="s">
        <v>40</v>
      </c>
      <c r="L3698" s="4">
        <f>Table4[[#This Row],[quantity]]*Table4[[#This Row],[unit_price]]</f>
        <v>108.09</v>
      </c>
      <c r="M3698">
        <f>COUNTIFS($C$2:$C$3934,Table4[[#This Row],[customer_id]])</f>
        <v>5</v>
      </c>
      <c r="N3698" t="str">
        <f>IF(Table4[[#This Row],[customer_order_count]]=1,"New Customer","Repeat Customer")</f>
        <v>Repeat Customer</v>
      </c>
    </row>
    <row r="3699" spans="1:14">
      <c r="A3699" t="s">
        <v>5097</v>
      </c>
      <c r="B3699" s="1">
        <v>45413</v>
      </c>
      <c r="C3699" t="s">
        <v>518</v>
      </c>
      <c r="D3699" s="5" t="s">
        <v>519</v>
      </c>
      <c r="E3699" t="s">
        <v>21</v>
      </c>
      <c r="F3699" t="s">
        <v>56</v>
      </c>
      <c r="G3699" t="s">
        <v>210</v>
      </c>
      <c r="H3699">
        <v>2</v>
      </c>
      <c r="I3699" s="3">
        <v>108.1</v>
      </c>
      <c r="J3699" t="s">
        <v>16</v>
      </c>
      <c r="K3699" t="s">
        <v>35</v>
      </c>
      <c r="L3699" s="4">
        <f>Table4[[#This Row],[quantity]]*Table4[[#This Row],[unit_price]]</f>
        <v>216.2</v>
      </c>
      <c r="M3699">
        <f>COUNTIFS($C$2:$C$3934,Table4[[#This Row],[customer_id]])</f>
        <v>7</v>
      </c>
      <c r="N3699" t="str">
        <f>IF(Table4[[#This Row],[customer_order_count]]=1,"New Customer","Repeat Customer")</f>
        <v>Repeat Customer</v>
      </c>
    </row>
    <row r="3700" spans="1:14">
      <c r="A3700" t="s">
        <v>2291</v>
      </c>
      <c r="B3700" s="1">
        <v>45495</v>
      </c>
      <c r="C3700" t="s">
        <v>2292</v>
      </c>
      <c r="D3700" t="s">
        <v>714</v>
      </c>
      <c r="E3700" t="s">
        <v>21</v>
      </c>
      <c r="F3700" t="s">
        <v>56</v>
      </c>
      <c r="G3700" t="s">
        <v>210</v>
      </c>
      <c r="H3700">
        <v>2</v>
      </c>
      <c r="I3700" s="3">
        <v>108.14</v>
      </c>
      <c r="J3700" t="s">
        <v>16</v>
      </c>
      <c r="K3700" t="s">
        <v>35</v>
      </c>
      <c r="L3700" s="4">
        <f>Table4[[#This Row],[quantity]]*Table4[[#This Row],[unit_price]]</f>
        <v>216.28</v>
      </c>
      <c r="M3700">
        <f>COUNTIFS($C$2:$C$3934,Table4[[#This Row],[customer_id]])</f>
        <v>6</v>
      </c>
      <c r="N3700" t="str">
        <f>IF(Table4[[#This Row],[customer_order_count]]=1,"New Customer","Repeat Customer")</f>
        <v>Repeat Customer</v>
      </c>
    </row>
    <row r="3701" spans="1:14">
      <c r="A3701" t="s">
        <v>2797</v>
      </c>
      <c r="B3701" s="1">
        <v>45200</v>
      </c>
      <c r="C3701" t="s">
        <v>690</v>
      </c>
      <c r="D3701" t="s">
        <v>281</v>
      </c>
      <c r="E3701" t="s">
        <v>21</v>
      </c>
      <c r="F3701" t="s">
        <v>56</v>
      </c>
      <c r="G3701" t="s">
        <v>153</v>
      </c>
      <c r="H3701">
        <v>1</v>
      </c>
      <c r="I3701" s="3">
        <v>108.21</v>
      </c>
      <c r="J3701" t="s">
        <v>255</v>
      </c>
      <c r="K3701" t="s">
        <v>30</v>
      </c>
      <c r="L3701" s="4">
        <f>Table4[[#This Row],[quantity]]*Table4[[#This Row],[unit_price]]</f>
        <v>108.21</v>
      </c>
      <c r="M3701">
        <f>COUNTIFS($C$2:$C$3934,Table4[[#This Row],[customer_id]])</f>
        <v>5</v>
      </c>
      <c r="N3701" t="str">
        <f>IF(Table4[[#This Row],[customer_order_count]]=1,"New Customer","Repeat Customer")</f>
        <v>Repeat Customer</v>
      </c>
    </row>
    <row r="3702" spans="1:14">
      <c r="A3702" t="s">
        <v>3693</v>
      </c>
      <c r="B3702" s="1">
        <v>45288</v>
      </c>
      <c r="C3702" t="s">
        <v>2383</v>
      </c>
      <c r="D3702" s="2" t="s">
        <v>5257</v>
      </c>
      <c r="E3702" t="s">
        <v>21</v>
      </c>
      <c r="F3702" t="s">
        <v>56</v>
      </c>
      <c r="G3702" t="s">
        <v>118</v>
      </c>
      <c r="H3702">
        <v>5</v>
      </c>
      <c r="I3702" s="3">
        <v>108.24</v>
      </c>
      <c r="J3702" t="s">
        <v>16</v>
      </c>
      <c r="K3702" t="s">
        <v>35</v>
      </c>
      <c r="L3702" s="4">
        <f>Table4[[#This Row],[quantity]]*Table4[[#This Row],[unit_price]]</f>
        <v>541.19999999999993</v>
      </c>
      <c r="M3702">
        <f>COUNTIFS($C$2:$C$3934,Table4[[#This Row],[customer_id]])</f>
        <v>4</v>
      </c>
      <c r="N3702" t="str">
        <f>IF(Table4[[#This Row],[customer_order_count]]=1,"New Customer","Repeat Customer")</f>
        <v>Repeat Customer</v>
      </c>
    </row>
    <row r="3703" spans="1:14">
      <c r="A3703" t="s">
        <v>4799</v>
      </c>
      <c r="B3703" s="1">
        <v>45621</v>
      </c>
      <c r="C3703" t="s">
        <v>876</v>
      </c>
      <c r="D3703" s="5" t="s">
        <v>877</v>
      </c>
      <c r="E3703" t="s">
        <v>21</v>
      </c>
      <c r="F3703" t="s">
        <v>79</v>
      </c>
      <c r="G3703" t="s">
        <v>200</v>
      </c>
      <c r="H3703">
        <v>1</v>
      </c>
      <c r="I3703" s="3">
        <v>108.32</v>
      </c>
      <c r="J3703" t="s">
        <v>16</v>
      </c>
      <c r="K3703" t="s">
        <v>40</v>
      </c>
      <c r="L3703" s="4">
        <f>Table4[[#This Row],[quantity]]*Table4[[#This Row],[unit_price]]</f>
        <v>108.32</v>
      </c>
      <c r="M3703">
        <f>COUNTIFS($C$2:$C$3934,Table4[[#This Row],[customer_id]])</f>
        <v>5</v>
      </c>
      <c r="N3703" t="str">
        <f>IF(Table4[[#This Row],[customer_order_count]]=1,"New Customer","Repeat Customer")</f>
        <v>Repeat Customer</v>
      </c>
    </row>
    <row r="3704" spans="1:14">
      <c r="A3704" t="s">
        <v>3329</v>
      </c>
      <c r="B3704" s="1">
        <v>45555</v>
      </c>
      <c r="C3704" t="s">
        <v>3330</v>
      </c>
      <c r="D3704" t="s">
        <v>3331</v>
      </c>
      <c r="E3704" t="s">
        <v>61</v>
      </c>
      <c r="F3704" t="s">
        <v>56</v>
      </c>
      <c r="G3704" t="s">
        <v>57</v>
      </c>
      <c r="H3704">
        <v>1</v>
      </c>
      <c r="I3704" s="3">
        <v>108.34</v>
      </c>
      <c r="J3704" t="s">
        <v>16</v>
      </c>
      <c r="K3704" t="s">
        <v>40</v>
      </c>
      <c r="L3704" s="4">
        <f>Table4[[#This Row],[quantity]]*Table4[[#This Row],[unit_price]]</f>
        <v>108.34</v>
      </c>
      <c r="M3704">
        <f>COUNTIFS($C$2:$C$3934,Table4[[#This Row],[customer_id]])</f>
        <v>1</v>
      </c>
      <c r="N3704" t="str">
        <f>IF(Table4[[#This Row],[customer_order_count]]=1,"New Customer","Repeat Customer")</f>
        <v>New Customer</v>
      </c>
    </row>
    <row r="3705" spans="1:14">
      <c r="A3705" t="s">
        <v>3863</v>
      </c>
      <c r="B3705" s="1">
        <v>45009</v>
      </c>
      <c r="C3705" t="s">
        <v>42</v>
      </c>
      <c r="D3705" t="s">
        <v>43</v>
      </c>
      <c r="E3705" t="s">
        <v>21</v>
      </c>
      <c r="F3705" t="s">
        <v>79</v>
      </c>
      <c r="G3705" t="s">
        <v>96</v>
      </c>
      <c r="H3705">
        <v>1</v>
      </c>
      <c r="I3705" s="3">
        <v>108.41</v>
      </c>
      <c r="J3705" t="s">
        <v>16</v>
      </c>
      <c r="K3705" t="s">
        <v>40</v>
      </c>
      <c r="L3705" s="4">
        <f>Table4[[#This Row],[quantity]]*Table4[[#This Row],[unit_price]]</f>
        <v>108.41</v>
      </c>
      <c r="M3705">
        <f>COUNTIFS($C$2:$C$3934,Table4[[#This Row],[customer_id]])</f>
        <v>8</v>
      </c>
      <c r="N3705" t="str">
        <f>IF(Table4[[#This Row],[customer_order_count]]=1,"New Customer","Repeat Customer")</f>
        <v>Repeat Customer</v>
      </c>
    </row>
    <row r="3706" spans="1:14">
      <c r="A3706" t="s">
        <v>4960</v>
      </c>
      <c r="B3706" s="1">
        <v>45375</v>
      </c>
      <c r="C3706" t="s">
        <v>1010</v>
      </c>
      <c r="D3706" t="s">
        <v>566</v>
      </c>
      <c r="E3706" t="s">
        <v>44</v>
      </c>
      <c r="F3706" t="s">
        <v>56</v>
      </c>
      <c r="G3706" t="s">
        <v>57</v>
      </c>
      <c r="H3706">
        <v>2</v>
      </c>
      <c r="I3706" s="3">
        <v>108.42</v>
      </c>
      <c r="J3706" t="s">
        <v>16</v>
      </c>
      <c r="K3706" t="s">
        <v>30</v>
      </c>
      <c r="L3706" s="4">
        <f>Table4[[#This Row],[quantity]]*Table4[[#This Row],[unit_price]]</f>
        <v>216.84</v>
      </c>
      <c r="M3706">
        <f>COUNTIFS($C$2:$C$3934,Table4[[#This Row],[customer_id]])</f>
        <v>5</v>
      </c>
      <c r="N3706" t="str">
        <f>IF(Table4[[#This Row],[customer_order_count]]=1,"New Customer","Repeat Customer")</f>
        <v>Repeat Customer</v>
      </c>
    </row>
    <row r="3707" spans="1:14">
      <c r="A3707" t="s">
        <v>984</v>
      </c>
      <c r="B3707" s="1">
        <v>45170</v>
      </c>
      <c r="C3707" t="s">
        <v>985</v>
      </c>
      <c r="D3707" t="s">
        <v>986</v>
      </c>
      <c r="E3707" t="s">
        <v>44</v>
      </c>
      <c r="F3707" t="s">
        <v>79</v>
      </c>
      <c r="G3707" t="s">
        <v>200</v>
      </c>
      <c r="H3707">
        <v>1</v>
      </c>
      <c r="I3707" s="3">
        <v>108.5</v>
      </c>
      <c r="J3707" t="s">
        <v>16</v>
      </c>
      <c r="K3707" t="s">
        <v>40</v>
      </c>
      <c r="L3707" s="4">
        <f>Table4[[#This Row],[quantity]]*Table4[[#This Row],[unit_price]]</f>
        <v>108.5</v>
      </c>
      <c r="M3707">
        <f>COUNTIFS($C$2:$C$3934,Table4[[#This Row],[customer_id]])</f>
        <v>3</v>
      </c>
      <c r="N3707" t="str">
        <f>IF(Table4[[#This Row],[customer_order_count]]=1,"New Customer","Repeat Customer")</f>
        <v>Repeat Customer</v>
      </c>
    </row>
    <row r="3708" spans="1:14">
      <c r="A3708" t="s">
        <v>703</v>
      </c>
      <c r="B3708" s="1">
        <v>45036</v>
      </c>
      <c r="C3708" t="s">
        <v>704</v>
      </c>
      <c r="D3708" t="s">
        <v>705</v>
      </c>
      <c r="E3708" t="s">
        <v>21</v>
      </c>
      <c r="F3708" t="s">
        <v>79</v>
      </c>
      <c r="G3708" t="s">
        <v>200</v>
      </c>
      <c r="H3708">
        <v>1</v>
      </c>
      <c r="I3708" s="3">
        <v>108.69</v>
      </c>
      <c r="J3708" t="s">
        <v>16</v>
      </c>
      <c r="K3708" t="s">
        <v>40</v>
      </c>
      <c r="L3708" s="4">
        <f>Table4[[#This Row],[quantity]]*Table4[[#This Row],[unit_price]]</f>
        <v>108.69</v>
      </c>
      <c r="M3708">
        <f>COUNTIFS($C$2:$C$3934,Table4[[#This Row],[customer_id]])</f>
        <v>5</v>
      </c>
      <c r="N3708" t="str">
        <f>IF(Table4[[#This Row],[customer_order_count]]=1,"New Customer","Repeat Customer")</f>
        <v>Repeat Customer</v>
      </c>
    </row>
    <row r="3709" spans="1:14">
      <c r="A3709" t="s">
        <v>4593</v>
      </c>
      <c r="B3709" s="1">
        <v>44994</v>
      </c>
      <c r="C3709" t="s">
        <v>4594</v>
      </c>
      <c r="D3709" t="s">
        <v>27</v>
      </c>
      <c r="E3709" t="s">
        <v>44</v>
      </c>
      <c r="F3709" t="s">
        <v>79</v>
      </c>
      <c r="G3709" t="s">
        <v>80</v>
      </c>
      <c r="H3709">
        <v>4</v>
      </c>
      <c r="I3709" s="3">
        <v>109.05</v>
      </c>
      <c r="J3709" t="s">
        <v>16</v>
      </c>
      <c r="K3709" t="s">
        <v>35</v>
      </c>
      <c r="L3709" s="4">
        <f>Table4[[#This Row],[quantity]]*Table4[[#This Row],[unit_price]]</f>
        <v>436.2</v>
      </c>
      <c r="M3709">
        <f>COUNTIFS($C$2:$C$3934,Table4[[#This Row],[customer_id]])</f>
        <v>1</v>
      </c>
      <c r="N3709" t="str">
        <f>IF(Table4[[#This Row],[customer_order_count]]=1,"New Customer","Repeat Customer")</f>
        <v>New Customer</v>
      </c>
    </row>
    <row r="3710" spans="1:14">
      <c r="A3710" t="s">
        <v>4939</v>
      </c>
      <c r="B3710" s="1">
        <v>44996</v>
      </c>
      <c r="C3710" t="s">
        <v>827</v>
      </c>
      <c r="D3710" t="s">
        <v>828</v>
      </c>
      <c r="E3710" t="s">
        <v>21</v>
      </c>
      <c r="F3710" t="s">
        <v>56</v>
      </c>
      <c r="G3710" t="s">
        <v>210</v>
      </c>
      <c r="H3710">
        <v>1</v>
      </c>
      <c r="I3710" s="3">
        <v>109.38</v>
      </c>
      <c r="J3710" t="s">
        <v>85</v>
      </c>
      <c r="K3710" t="s">
        <v>35</v>
      </c>
      <c r="L3710" s="4">
        <f>Table4[[#This Row],[quantity]]*Table4[[#This Row],[unit_price]]</f>
        <v>109.38</v>
      </c>
      <c r="M3710">
        <f>COUNTIFS($C$2:$C$3934,Table4[[#This Row],[customer_id]])</f>
        <v>6</v>
      </c>
      <c r="N3710" t="str">
        <f>IF(Table4[[#This Row],[customer_order_count]]=1,"New Customer","Repeat Customer")</f>
        <v>Repeat Customer</v>
      </c>
    </row>
    <row r="3711" spans="1:14">
      <c r="A3711" t="s">
        <v>5052</v>
      </c>
      <c r="B3711" s="1">
        <v>45402</v>
      </c>
      <c r="C3711" t="s">
        <v>1005</v>
      </c>
      <c r="D3711" t="s">
        <v>1006</v>
      </c>
      <c r="E3711" t="s">
        <v>21</v>
      </c>
      <c r="F3711" t="s">
        <v>56</v>
      </c>
      <c r="G3711" t="s">
        <v>422</v>
      </c>
      <c r="H3711">
        <v>1</v>
      </c>
      <c r="I3711" s="3">
        <v>109.52</v>
      </c>
      <c r="J3711" t="s">
        <v>16</v>
      </c>
      <c r="K3711" t="s">
        <v>40</v>
      </c>
      <c r="L3711" s="4">
        <f>Table4[[#This Row],[quantity]]*Table4[[#This Row],[unit_price]]</f>
        <v>109.52</v>
      </c>
      <c r="M3711">
        <f>COUNTIFS($C$2:$C$3934,Table4[[#This Row],[customer_id]])</f>
        <v>6</v>
      </c>
      <c r="N3711" t="str">
        <f>IF(Table4[[#This Row],[customer_order_count]]=1,"New Customer","Repeat Customer")</f>
        <v>Repeat Customer</v>
      </c>
    </row>
    <row r="3712" spans="1:14">
      <c r="A3712" t="s">
        <v>1859</v>
      </c>
      <c r="B3712" s="1">
        <v>45216</v>
      </c>
      <c r="C3712" t="s">
        <v>939</v>
      </c>
      <c r="D3712" t="s">
        <v>525</v>
      </c>
      <c r="E3712" t="s">
        <v>21</v>
      </c>
      <c r="F3712" t="s">
        <v>79</v>
      </c>
      <c r="G3712" t="s">
        <v>204</v>
      </c>
      <c r="H3712">
        <v>5</v>
      </c>
      <c r="I3712" s="3">
        <v>109.68</v>
      </c>
      <c r="J3712" t="s">
        <v>16</v>
      </c>
      <c r="K3712" t="s">
        <v>17</v>
      </c>
      <c r="L3712" s="4">
        <f>Table4[[#This Row],[quantity]]*Table4[[#This Row],[unit_price]]</f>
        <v>548.40000000000009</v>
      </c>
      <c r="M3712">
        <f>COUNTIFS($C$2:$C$3934,Table4[[#This Row],[customer_id]])</f>
        <v>3</v>
      </c>
      <c r="N3712" t="str">
        <f>IF(Table4[[#This Row],[customer_order_count]]=1,"New Customer","Repeat Customer")</f>
        <v>Repeat Customer</v>
      </c>
    </row>
    <row r="3713" spans="1:14">
      <c r="A3713" t="s">
        <v>4305</v>
      </c>
      <c r="B3713" s="1">
        <v>45246</v>
      </c>
      <c r="C3713" t="s">
        <v>1831</v>
      </c>
      <c r="D3713" t="s">
        <v>1832</v>
      </c>
      <c r="E3713" t="s">
        <v>21</v>
      </c>
      <c r="F3713" t="s">
        <v>79</v>
      </c>
      <c r="G3713" t="s">
        <v>204</v>
      </c>
      <c r="H3713">
        <v>5</v>
      </c>
      <c r="I3713" s="3">
        <v>109.85</v>
      </c>
      <c r="J3713" t="s">
        <v>16</v>
      </c>
      <c r="K3713" t="s">
        <v>40</v>
      </c>
      <c r="L3713" s="4">
        <f>Table4[[#This Row],[quantity]]*Table4[[#This Row],[unit_price]]</f>
        <v>549.25</v>
      </c>
      <c r="M3713">
        <f>COUNTIFS($C$2:$C$3934,Table4[[#This Row],[customer_id]])</f>
        <v>5</v>
      </c>
      <c r="N3713" t="str">
        <f>IF(Table4[[#This Row],[customer_order_count]]=1,"New Customer","Repeat Customer")</f>
        <v>Repeat Customer</v>
      </c>
    </row>
    <row r="3714" spans="1:14">
      <c r="A3714" t="s">
        <v>4381</v>
      </c>
      <c r="B3714" s="1">
        <v>45585</v>
      </c>
      <c r="C3714" t="s">
        <v>1814</v>
      </c>
      <c r="D3714" t="s">
        <v>1453</v>
      </c>
      <c r="E3714" t="s">
        <v>21</v>
      </c>
      <c r="F3714" t="s">
        <v>79</v>
      </c>
      <c r="G3714" t="s">
        <v>166</v>
      </c>
      <c r="H3714">
        <v>1</v>
      </c>
      <c r="I3714" s="3">
        <v>109.86</v>
      </c>
      <c r="J3714" t="s">
        <v>16</v>
      </c>
      <c r="K3714" t="s">
        <v>30</v>
      </c>
      <c r="L3714" s="4">
        <f>Table4[[#This Row],[quantity]]*Table4[[#This Row],[unit_price]]</f>
        <v>109.86</v>
      </c>
      <c r="M3714">
        <f>COUNTIFS($C$2:$C$3934,Table4[[#This Row],[customer_id]])</f>
        <v>8</v>
      </c>
      <c r="N3714" t="str">
        <f>IF(Table4[[#This Row],[customer_order_count]]=1,"New Customer","Repeat Customer")</f>
        <v>Repeat Customer</v>
      </c>
    </row>
    <row r="3715" spans="1:14">
      <c r="A3715" t="s">
        <v>929</v>
      </c>
      <c r="B3715" s="1">
        <v>45042</v>
      </c>
      <c r="C3715" t="s">
        <v>930</v>
      </c>
      <c r="D3715" t="s">
        <v>931</v>
      </c>
      <c r="E3715" t="s">
        <v>21</v>
      </c>
      <c r="F3715" t="s">
        <v>56</v>
      </c>
      <c r="G3715" t="s">
        <v>57</v>
      </c>
      <c r="H3715">
        <v>1</v>
      </c>
      <c r="I3715" s="3">
        <v>109.93</v>
      </c>
      <c r="J3715" t="s">
        <v>16</v>
      </c>
      <c r="K3715" s="2" t="s">
        <v>5256</v>
      </c>
      <c r="L3715" s="4">
        <f>Table4[[#This Row],[quantity]]*Table4[[#This Row],[unit_price]]</f>
        <v>109.93</v>
      </c>
      <c r="M3715">
        <f>COUNTIFS($C$2:$C$3934,Table4[[#This Row],[customer_id]])</f>
        <v>6</v>
      </c>
      <c r="N3715" t="str">
        <f>IF(Table4[[#This Row],[customer_order_count]]=1,"New Customer","Repeat Customer")</f>
        <v>Repeat Customer</v>
      </c>
    </row>
    <row r="3716" spans="1:14">
      <c r="A3716" t="s">
        <v>4501</v>
      </c>
      <c r="B3716" s="1">
        <v>44983</v>
      </c>
      <c r="C3716" t="s">
        <v>1888</v>
      </c>
      <c r="D3716" t="s">
        <v>1889</v>
      </c>
      <c r="E3716" t="s">
        <v>21</v>
      </c>
      <c r="F3716" t="s">
        <v>56</v>
      </c>
      <c r="G3716" t="s">
        <v>153</v>
      </c>
      <c r="H3716">
        <v>1</v>
      </c>
      <c r="I3716" s="3">
        <v>110.02</v>
      </c>
      <c r="J3716" t="s">
        <v>16</v>
      </c>
      <c r="K3716" s="5" t="s">
        <v>40</v>
      </c>
      <c r="L3716" s="4">
        <f>Table4[[#This Row],[quantity]]*Table4[[#This Row],[unit_price]]</f>
        <v>110.02</v>
      </c>
      <c r="M3716">
        <f>COUNTIFS($C$2:$C$3934,Table4[[#This Row],[customer_id]])</f>
        <v>6</v>
      </c>
      <c r="N3716" t="str">
        <f>IF(Table4[[#This Row],[customer_order_count]]=1,"New Customer","Repeat Customer")</f>
        <v>Repeat Customer</v>
      </c>
    </row>
    <row r="3717" spans="1:14">
      <c r="A3717" t="s">
        <v>3830</v>
      </c>
      <c r="B3717" s="1">
        <v>45352</v>
      </c>
      <c r="C3717" t="s">
        <v>54</v>
      </c>
      <c r="D3717" t="s">
        <v>55</v>
      </c>
      <c r="E3717" t="s">
        <v>21</v>
      </c>
      <c r="F3717" t="s">
        <v>56</v>
      </c>
      <c r="G3717" t="s">
        <v>210</v>
      </c>
      <c r="H3717">
        <v>1</v>
      </c>
      <c r="I3717" s="3">
        <v>110.05</v>
      </c>
      <c r="J3717" t="s">
        <v>16</v>
      </c>
      <c r="K3717" t="s">
        <v>30</v>
      </c>
      <c r="L3717" s="4">
        <f>Table4[[#This Row],[quantity]]*Table4[[#This Row],[unit_price]]</f>
        <v>110.05</v>
      </c>
      <c r="M3717">
        <f>COUNTIFS($C$2:$C$3934,Table4[[#This Row],[customer_id]])</f>
        <v>6</v>
      </c>
      <c r="N3717" t="str">
        <f>IF(Table4[[#This Row],[customer_order_count]]=1,"New Customer","Repeat Customer")</f>
        <v>Repeat Customer</v>
      </c>
    </row>
    <row r="3718" spans="1:14">
      <c r="A3718" t="s">
        <v>3060</v>
      </c>
      <c r="B3718" s="1">
        <v>45061</v>
      </c>
      <c r="C3718" t="s">
        <v>1636</v>
      </c>
      <c r="D3718" t="s">
        <v>956</v>
      </c>
      <c r="E3718" t="s">
        <v>21</v>
      </c>
      <c r="F3718" t="s">
        <v>56</v>
      </c>
      <c r="G3718" t="s">
        <v>210</v>
      </c>
      <c r="H3718">
        <v>1</v>
      </c>
      <c r="I3718" s="3">
        <v>110.24</v>
      </c>
      <c r="J3718" t="s">
        <v>255</v>
      </c>
      <c r="K3718" t="s">
        <v>17</v>
      </c>
      <c r="L3718" s="4">
        <f>Table4[[#This Row],[quantity]]*Table4[[#This Row],[unit_price]]</f>
        <v>110.24</v>
      </c>
      <c r="M3718">
        <f>COUNTIFS($C$2:$C$3934,Table4[[#This Row],[customer_id]])</f>
        <v>5</v>
      </c>
      <c r="N3718" t="str">
        <f>IF(Table4[[#This Row],[customer_order_count]]=1,"New Customer","Repeat Customer")</f>
        <v>Repeat Customer</v>
      </c>
    </row>
    <row r="3719" spans="1:14">
      <c r="A3719" t="s">
        <v>3162</v>
      </c>
      <c r="B3719" s="1">
        <v>45044</v>
      </c>
      <c r="C3719" t="s">
        <v>1820</v>
      </c>
      <c r="D3719" t="s">
        <v>464</v>
      </c>
      <c r="E3719" t="s">
        <v>21</v>
      </c>
      <c r="F3719" t="s">
        <v>56</v>
      </c>
      <c r="G3719" t="s">
        <v>57</v>
      </c>
      <c r="H3719">
        <v>1</v>
      </c>
      <c r="I3719" s="3">
        <v>110.35</v>
      </c>
      <c r="J3719" t="s">
        <v>255</v>
      </c>
      <c r="K3719" t="s">
        <v>40</v>
      </c>
      <c r="L3719" s="4">
        <f>Table4[[#This Row],[quantity]]*Table4[[#This Row],[unit_price]]</f>
        <v>110.35</v>
      </c>
      <c r="M3719">
        <f>COUNTIFS($C$2:$C$3934,Table4[[#This Row],[customer_id]])</f>
        <v>4</v>
      </c>
      <c r="N3719" t="str">
        <f>IF(Table4[[#This Row],[customer_order_count]]=1,"New Customer","Repeat Customer")</f>
        <v>Repeat Customer</v>
      </c>
    </row>
    <row r="3720" spans="1:14">
      <c r="A3720" t="s">
        <v>632</v>
      </c>
      <c r="B3720" s="1">
        <v>45233</v>
      </c>
      <c r="C3720" t="s">
        <v>633</v>
      </c>
      <c r="D3720" t="s">
        <v>634</v>
      </c>
      <c r="E3720" t="s">
        <v>21</v>
      </c>
      <c r="F3720" t="s">
        <v>79</v>
      </c>
      <c r="G3720" t="s">
        <v>541</v>
      </c>
      <c r="H3720">
        <v>4</v>
      </c>
      <c r="I3720" s="3">
        <v>110.46</v>
      </c>
      <c r="J3720" t="s">
        <v>16</v>
      </c>
      <c r="K3720" t="s">
        <v>17</v>
      </c>
      <c r="L3720" s="4">
        <f>Table4[[#This Row],[quantity]]*Table4[[#This Row],[unit_price]]</f>
        <v>441.84</v>
      </c>
      <c r="M3720">
        <f>COUNTIFS($C$2:$C$3934,Table4[[#This Row],[customer_id]])</f>
        <v>4</v>
      </c>
      <c r="N3720" t="str">
        <f>IF(Table4[[#This Row],[customer_order_count]]=1,"New Customer","Repeat Customer")</f>
        <v>Repeat Customer</v>
      </c>
    </row>
    <row r="3721" spans="1:14">
      <c r="A3721" t="s">
        <v>4828</v>
      </c>
      <c r="B3721" s="1">
        <v>45602</v>
      </c>
      <c r="C3721" t="s">
        <v>326</v>
      </c>
      <c r="D3721" t="s">
        <v>327</v>
      </c>
      <c r="E3721" t="s">
        <v>21</v>
      </c>
      <c r="F3721" t="s">
        <v>56</v>
      </c>
      <c r="G3721" t="s">
        <v>153</v>
      </c>
      <c r="H3721">
        <v>1</v>
      </c>
      <c r="I3721" s="3">
        <v>110.52</v>
      </c>
      <c r="J3721" t="s">
        <v>16</v>
      </c>
      <c r="K3721" t="s">
        <v>17</v>
      </c>
      <c r="L3721" s="4">
        <f>Table4[[#This Row],[quantity]]*Table4[[#This Row],[unit_price]]</f>
        <v>110.52</v>
      </c>
      <c r="M3721">
        <f>COUNTIFS($C$2:$C$3934,Table4[[#This Row],[customer_id]])</f>
        <v>5</v>
      </c>
      <c r="N3721" t="str">
        <f>IF(Table4[[#This Row],[customer_order_count]]=1,"New Customer","Repeat Customer")</f>
        <v>Repeat Customer</v>
      </c>
    </row>
    <row r="3722" spans="1:14">
      <c r="A3722" t="s">
        <v>4555</v>
      </c>
      <c r="B3722" s="1">
        <v>45150</v>
      </c>
      <c r="C3722" t="s">
        <v>3644</v>
      </c>
      <c r="D3722" t="s">
        <v>145</v>
      </c>
      <c r="E3722" t="s">
        <v>44</v>
      </c>
      <c r="F3722" t="s">
        <v>56</v>
      </c>
      <c r="G3722" t="s">
        <v>210</v>
      </c>
      <c r="H3722">
        <v>3</v>
      </c>
      <c r="I3722" s="3">
        <v>110.55</v>
      </c>
      <c r="J3722" t="s">
        <v>16</v>
      </c>
      <c r="K3722" t="s">
        <v>35</v>
      </c>
      <c r="L3722" s="4">
        <f>Table4[[#This Row],[quantity]]*Table4[[#This Row],[unit_price]]</f>
        <v>331.65</v>
      </c>
      <c r="M3722">
        <f>COUNTIFS($C$2:$C$3934,Table4[[#This Row],[customer_id]])</f>
        <v>3</v>
      </c>
      <c r="N3722" t="str">
        <f>IF(Table4[[#This Row],[customer_order_count]]=1,"New Customer","Repeat Customer")</f>
        <v>Repeat Customer</v>
      </c>
    </row>
    <row r="3723" spans="1:14">
      <c r="A3723" t="s">
        <v>2316</v>
      </c>
      <c r="B3723" s="1">
        <v>45623</v>
      </c>
      <c r="C3723" t="s">
        <v>1127</v>
      </c>
      <c r="D3723" t="s">
        <v>947</v>
      </c>
      <c r="E3723" t="s">
        <v>21</v>
      </c>
      <c r="F3723" t="s">
        <v>56</v>
      </c>
      <c r="G3723" t="s">
        <v>75</v>
      </c>
      <c r="H3723">
        <v>1</v>
      </c>
      <c r="I3723" s="3">
        <v>110.64</v>
      </c>
      <c r="J3723" t="s">
        <v>16</v>
      </c>
      <c r="K3723" t="s">
        <v>35</v>
      </c>
      <c r="L3723" s="4">
        <f>Table4[[#This Row],[quantity]]*Table4[[#This Row],[unit_price]]</f>
        <v>110.64</v>
      </c>
      <c r="M3723">
        <f>COUNTIFS($C$2:$C$3934,Table4[[#This Row],[customer_id]])</f>
        <v>7</v>
      </c>
      <c r="N3723" t="str">
        <f>IF(Table4[[#This Row],[customer_order_count]]=1,"New Customer","Repeat Customer")</f>
        <v>Repeat Customer</v>
      </c>
    </row>
    <row r="3724" spans="1:14">
      <c r="A3724" t="s">
        <v>397</v>
      </c>
      <c r="B3724" s="1">
        <v>45299</v>
      </c>
      <c r="C3724" t="s">
        <v>126</v>
      </c>
      <c r="D3724" t="s">
        <v>127</v>
      </c>
      <c r="E3724" t="s">
        <v>21</v>
      </c>
      <c r="F3724" t="s">
        <v>79</v>
      </c>
      <c r="G3724" t="s">
        <v>398</v>
      </c>
      <c r="H3724">
        <v>2</v>
      </c>
      <c r="I3724" s="3">
        <v>110.66</v>
      </c>
      <c r="J3724" t="s">
        <v>16</v>
      </c>
      <c r="K3724" t="s">
        <v>30</v>
      </c>
      <c r="L3724" s="4">
        <f>Table4[[#This Row],[quantity]]*Table4[[#This Row],[unit_price]]</f>
        <v>221.32</v>
      </c>
      <c r="M3724">
        <f>COUNTIFS($C$2:$C$3934,Table4[[#This Row],[customer_id]])</f>
        <v>4</v>
      </c>
      <c r="N3724" t="str">
        <f>IF(Table4[[#This Row],[customer_order_count]]=1,"New Customer","Repeat Customer")</f>
        <v>Repeat Customer</v>
      </c>
    </row>
    <row r="3725" spans="1:14">
      <c r="A3725" t="s">
        <v>5080</v>
      </c>
      <c r="B3725" s="1">
        <v>45523</v>
      </c>
      <c r="C3725" t="s">
        <v>364</v>
      </c>
      <c r="D3725" t="s">
        <v>365</v>
      </c>
      <c r="E3725" t="s">
        <v>21</v>
      </c>
      <c r="F3725" t="s">
        <v>56</v>
      </c>
      <c r="G3725" t="s">
        <v>422</v>
      </c>
      <c r="H3725">
        <v>1</v>
      </c>
      <c r="I3725" s="3">
        <v>110.75</v>
      </c>
      <c r="J3725" t="s">
        <v>16</v>
      </c>
      <c r="K3725" t="s">
        <v>30</v>
      </c>
      <c r="L3725" s="4">
        <f>Table4[[#This Row],[quantity]]*Table4[[#This Row],[unit_price]]</f>
        <v>110.75</v>
      </c>
      <c r="M3725">
        <f>COUNTIFS($C$2:$C$3934,Table4[[#This Row],[customer_id]])</f>
        <v>6</v>
      </c>
      <c r="N3725" t="str">
        <f>IF(Table4[[#This Row],[customer_order_count]]=1,"New Customer","Repeat Customer")</f>
        <v>Repeat Customer</v>
      </c>
    </row>
    <row r="3726" spans="1:14">
      <c r="A3726" t="s">
        <v>3554</v>
      </c>
      <c r="B3726" s="1">
        <v>45420</v>
      </c>
      <c r="C3726" t="s">
        <v>2424</v>
      </c>
      <c r="D3726" t="s">
        <v>646</v>
      </c>
      <c r="E3726" t="s">
        <v>21</v>
      </c>
      <c r="F3726" t="s">
        <v>56</v>
      </c>
      <c r="G3726" t="s">
        <v>254</v>
      </c>
      <c r="H3726">
        <v>1</v>
      </c>
      <c r="I3726" s="3">
        <v>110.78</v>
      </c>
      <c r="J3726" t="s">
        <v>16</v>
      </c>
      <c r="K3726" t="s">
        <v>35</v>
      </c>
      <c r="L3726" s="4">
        <f>Table4[[#This Row],[quantity]]*Table4[[#This Row],[unit_price]]</f>
        <v>110.78</v>
      </c>
      <c r="M3726">
        <f>COUNTIFS($C$2:$C$3934,Table4[[#This Row],[customer_id]])</f>
        <v>6</v>
      </c>
      <c r="N3726" t="str">
        <f>IF(Table4[[#This Row],[customer_order_count]]=1,"New Customer","Repeat Customer")</f>
        <v>Repeat Customer</v>
      </c>
    </row>
    <row r="3727" spans="1:14">
      <c r="A3727" t="s">
        <v>4134</v>
      </c>
      <c r="B3727" s="1">
        <v>45089</v>
      </c>
      <c r="C3727" t="s">
        <v>1761</v>
      </c>
      <c r="D3727" t="s">
        <v>797</v>
      </c>
      <c r="E3727" t="s">
        <v>21</v>
      </c>
      <c r="F3727" t="s">
        <v>56</v>
      </c>
      <c r="G3727" t="s">
        <v>118</v>
      </c>
      <c r="H3727">
        <v>2</v>
      </c>
      <c r="I3727" s="3">
        <v>110.94</v>
      </c>
      <c r="J3727" t="s">
        <v>16</v>
      </c>
      <c r="K3727" t="s">
        <v>30</v>
      </c>
      <c r="L3727" s="4">
        <f>Table4[[#This Row],[quantity]]*Table4[[#This Row],[unit_price]]</f>
        <v>221.88</v>
      </c>
      <c r="M3727">
        <f>COUNTIFS($C$2:$C$3934,Table4[[#This Row],[customer_id]])</f>
        <v>4</v>
      </c>
      <c r="N3727" t="str">
        <f>IF(Table4[[#This Row],[customer_order_count]]=1,"New Customer","Repeat Customer")</f>
        <v>Repeat Customer</v>
      </c>
    </row>
    <row r="3728" spans="1:14">
      <c r="A3728" t="s">
        <v>3198</v>
      </c>
      <c r="B3728" s="1">
        <v>45528</v>
      </c>
      <c r="C3728" t="s">
        <v>3199</v>
      </c>
      <c r="D3728" t="s">
        <v>3200</v>
      </c>
      <c r="E3728" t="s">
        <v>21</v>
      </c>
      <c r="F3728" t="s">
        <v>79</v>
      </c>
      <c r="G3728" t="s">
        <v>230</v>
      </c>
      <c r="H3728">
        <v>2</v>
      </c>
      <c r="I3728" s="3">
        <v>110.97</v>
      </c>
      <c r="J3728" t="s">
        <v>85</v>
      </c>
      <c r="K3728" t="s">
        <v>30</v>
      </c>
      <c r="L3728" s="4">
        <f>Table4[[#This Row],[quantity]]*Table4[[#This Row],[unit_price]]</f>
        <v>221.94</v>
      </c>
      <c r="M3728">
        <f>COUNTIFS($C$2:$C$3934,Table4[[#This Row],[customer_id]])</f>
        <v>4</v>
      </c>
      <c r="N3728" t="str">
        <f>IF(Table4[[#This Row],[customer_order_count]]=1,"New Customer","Repeat Customer")</f>
        <v>Repeat Customer</v>
      </c>
    </row>
    <row r="3729" spans="1:14">
      <c r="A3729" t="s">
        <v>2058</v>
      </c>
      <c r="B3729" s="1">
        <v>45603</v>
      </c>
      <c r="C3729" t="s">
        <v>2059</v>
      </c>
      <c r="D3729" t="s">
        <v>2014</v>
      </c>
      <c r="E3729" t="s">
        <v>21</v>
      </c>
      <c r="F3729" t="s">
        <v>56</v>
      </c>
      <c r="G3729" t="s">
        <v>254</v>
      </c>
      <c r="H3729">
        <v>3</v>
      </c>
      <c r="I3729" s="3">
        <v>111.11</v>
      </c>
      <c r="J3729" t="s">
        <v>255</v>
      </c>
      <c r="K3729" t="s">
        <v>30</v>
      </c>
      <c r="L3729" s="4">
        <f>Table4[[#This Row],[quantity]]*Table4[[#This Row],[unit_price]]</f>
        <v>333.33</v>
      </c>
      <c r="M3729">
        <f>COUNTIFS($C$2:$C$3934,Table4[[#This Row],[customer_id]])</f>
        <v>3</v>
      </c>
      <c r="N3729" t="str">
        <f>IF(Table4[[#This Row],[customer_order_count]]=1,"New Customer","Repeat Customer")</f>
        <v>Repeat Customer</v>
      </c>
    </row>
    <row r="3730" spans="1:14">
      <c r="A3730" t="s">
        <v>1742</v>
      </c>
      <c r="B3730" s="1">
        <v>45469</v>
      </c>
      <c r="C3730" t="s">
        <v>1743</v>
      </c>
      <c r="D3730" t="s">
        <v>20</v>
      </c>
      <c r="E3730" t="s">
        <v>21</v>
      </c>
      <c r="F3730" t="s">
        <v>56</v>
      </c>
      <c r="G3730" t="s">
        <v>422</v>
      </c>
      <c r="H3730">
        <v>2</v>
      </c>
      <c r="I3730" s="3">
        <v>111.2</v>
      </c>
      <c r="J3730" t="s">
        <v>16</v>
      </c>
      <c r="K3730" t="s">
        <v>30</v>
      </c>
      <c r="L3730" s="4">
        <f>Table4[[#This Row],[quantity]]*Table4[[#This Row],[unit_price]]</f>
        <v>222.4</v>
      </c>
      <c r="M3730">
        <f>COUNTIFS($C$2:$C$3934,Table4[[#This Row],[customer_id]])</f>
        <v>8</v>
      </c>
      <c r="N3730" t="str">
        <f>IF(Table4[[#This Row],[customer_order_count]]=1,"New Customer","Repeat Customer")</f>
        <v>Repeat Customer</v>
      </c>
    </row>
    <row r="3731" spans="1:14">
      <c r="A3731" t="s">
        <v>3388</v>
      </c>
      <c r="B3731" s="1">
        <v>45585</v>
      </c>
      <c r="C3731" t="s">
        <v>3211</v>
      </c>
      <c r="D3731" t="s">
        <v>950</v>
      </c>
      <c r="E3731" t="s">
        <v>21</v>
      </c>
      <c r="F3731" t="s">
        <v>79</v>
      </c>
      <c r="G3731" t="s">
        <v>166</v>
      </c>
      <c r="H3731">
        <v>1</v>
      </c>
      <c r="I3731" s="3">
        <v>111.43</v>
      </c>
      <c r="J3731" t="s">
        <v>255</v>
      </c>
      <c r="K3731" t="s">
        <v>40</v>
      </c>
      <c r="L3731" s="4">
        <f>Table4[[#This Row],[quantity]]*Table4[[#This Row],[unit_price]]</f>
        <v>111.43</v>
      </c>
      <c r="M3731">
        <f>COUNTIFS($C$2:$C$3934,Table4[[#This Row],[customer_id]])</f>
        <v>6</v>
      </c>
      <c r="N3731" t="str">
        <f>IF(Table4[[#This Row],[customer_order_count]]=1,"New Customer","Repeat Customer")</f>
        <v>Repeat Customer</v>
      </c>
    </row>
    <row r="3732" spans="1:14">
      <c r="A3732" t="s">
        <v>3608</v>
      </c>
      <c r="B3732" s="1">
        <v>44936</v>
      </c>
      <c r="C3732" t="s">
        <v>671</v>
      </c>
      <c r="D3732" t="s">
        <v>672</v>
      </c>
      <c r="E3732" t="s">
        <v>61</v>
      </c>
      <c r="F3732" t="s">
        <v>56</v>
      </c>
      <c r="G3732" t="s">
        <v>118</v>
      </c>
      <c r="H3732">
        <v>1</v>
      </c>
      <c r="I3732" s="3">
        <v>111.53</v>
      </c>
      <c r="J3732" t="s">
        <v>16</v>
      </c>
      <c r="K3732" t="s">
        <v>40</v>
      </c>
      <c r="L3732" s="4">
        <f>Table4[[#This Row],[quantity]]*Table4[[#This Row],[unit_price]]</f>
        <v>111.53</v>
      </c>
      <c r="M3732">
        <f>COUNTIFS($C$2:$C$3934,Table4[[#This Row],[customer_id]])</f>
        <v>4</v>
      </c>
      <c r="N3732" t="str">
        <f>IF(Table4[[#This Row],[customer_order_count]]=1,"New Customer","Repeat Customer")</f>
        <v>Repeat Customer</v>
      </c>
    </row>
    <row r="3733" spans="1:14">
      <c r="A3733" t="s">
        <v>5138</v>
      </c>
      <c r="B3733" s="1">
        <v>45571</v>
      </c>
      <c r="C3733" t="s">
        <v>1820</v>
      </c>
      <c r="D3733" s="2" t="s">
        <v>5257</v>
      </c>
      <c r="E3733" t="s">
        <v>21</v>
      </c>
      <c r="F3733" t="s">
        <v>79</v>
      </c>
      <c r="G3733" t="s">
        <v>96</v>
      </c>
      <c r="H3733">
        <v>1</v>
      </c>
      <c r="I3733" s="3">
        <v>111.75</v>
      </c>
      <c r="J3733" t="s">
        <v>16</v>
      </c>
      <c r="K3733" t="s">
        <v>35</v>
      </c>
      <c r="L3733" s="4">
        <f>Table4[[#This Row],[quantity]]*Table4[[#This Row],[unit_price]]</f>
        <v>111.75</v>
      </c>
      <c r="M3733">
        <f>COUNTIFS($C$2:$C$3934,Table4[[#This Row],[customer_id]])</f>
        <v>4</v>
      </c>
      <c r="N3733" t="str">
        <f>IF(Table4[[#This Row],[customer_order_count]]=1,"New Customer","Repeat Customer")</f>
        <v>Repeat Customer</v>
      </c>
    </row>
    <row r="3734" spans="1:14">
      <c r="A3734" t="s">
        <v>1902</v>
      </c>
      <c r="B3734" s="1">
        <v>45140</v>
      </c>
      <c r="C3734" t="s">
        <v>1903</v>
      </c>
      <c r="D3734" s="2" t="s">
        <v>5257</v>
      </c>
      <c r="E3734" t="s">
        <v>21</v>
      </c>
      <c r="F3734" t="s">
        <v>79</v>
      </c>
      <c r="G3734" t="s">
        <v>204</v>
      </c>
      <c r="H3734">
        <v>2</v>
      </c>
      <c r="I3734" s="3">
        <v>111.83</v>
      </c>
      <c r="J3734" t="s">
        <v>255</v>
      </c>
      <c r="K3734" t="s">
        <v>30</v>
      </c>
      <c r="L3734" s="4">
        <f>Table4[[#This Row],[quantity]]*Table4[[#This Row],[unit_price]]</f>
        <v>223.66</v>
      </c>
      <c r="M3734">
        <f>COUNTIFS($C$2:$C$3934,Table4[[#This Row],[customer_id]])</f>
        <v>4</v>
      </c>
      <c r="N3734" t="str">
        <f>IF(Table4[[#This Row],[customer_order_count]]=1,"New Customer","Repeat Customer")</f>
        <v>Repeat Customer</v>
      </c>
    </row>
    <row r="3735" spans="1:14">
      <c r="A3735" t="s">
        <v>2809</v>
      </c>
      <c r="B3735" s="1">
        <v>45424</v>
      </c>
      <c r="C3735" t="s">
        <v>2810</v>
      </c>
      <c r="D3735" s="5" t="s">
        <v>207</v>
      </c>
      <c r="E3735" t="s">
        <v>21</v>
      </c>
      <c r="F3735" t="s">
        <v>79</v>
      </c>
      <c r="G3735" t="s">
        <v>230</v>
      </c>
      <c r="H3735">
        <v>1</v>
      </c>
      <c r="I3735" s="3">
        <v>111.97</v>
      </c>
      <c r="J3735" t="s">
        <v>16</v>
      </c>
      <c r="K3735" s="2" t="s">
        <v>5256</v>
      </c>
      <c r="L3735" s="4">
        <f>Table4[[#This Row],[quantity]]*Table4[[#This Row],[unit_price]]</f>
        <v>111.97</v>
      </c>
      <c r="M3735">
        <f>COUNTIFS($C$2:$C$3934,Table4[[#This Row],[customer_id]])</f>
        <v>2</v>
      </c>
      <c r="N3735" t="str">
        <f>IF(Table4[[#This Row],[customer_order_count]]=1,"New Customer","Repeat Customer")</f>
        <v>Repeat Customer</v>
      </c>
    </row>
    <row r="3736" spans="1:14">
      <c r="A3736" t="s">
        <v>2003</v>
      </c>
      <c r="B3736" s="1">
        <v>45043</v>
      </c>
      <c r="C3736" t="s">
        <v>2004</v>
      </c>
      <c r="D3736" s="2" t="s">
        <v>5257</v>
      </c>
      <c r="E3736" t="s">
        <v>44</v>
      </c>
      <c r="F3736" t="s">
        <v>79</v>
      </c>
      <c r="G3736" t="s">
        <v>204</v>
      </c>
      <c r="H3736">
        <v>1</v>
      </c>
      <c r="I3736" s="3">
        <v>111.99</v>
      </c>
      <c r="J3736" t="s">
        <v>85</v>
      </c>
      <c r="K3736" s="5" t="s">
        <v>35</v>
      </c>
      <c r="L3736" s="4">
        <f>Table4[[#This Row],[quantity]]*Table4[[#This Row],[unit_price]]</f>
        <v>111.99</v>
      </c>
      <c r="M3736">
        <f>COUNTIFS($C$2:$C$3934,Table4[[#This Row],[customer_id]])</f>
        <v>6</v>
      </c>
      <c r="N3736" t="str">
        <f>IF(Table4[[#This Row],[customer_order_count]]=1,"New Customer","Repeat Customer")</f>
        <v>Repeat Customer</v>
      </c>
    </row>
    <row r="3737" spans="1:14">
      <c r="A3737" t="s">
        <v>4544</v>
      </c>
      <c r="B3737" s="1">
        <v>45504</v>
      </c>
      <c r="C3737" t="s">
        <v>191</v>
      </c>
      <c r="D3737" s="5" t="s">
        <v>78</v>
      </c>
      <c r="E3737" t="s">
        <v>21</v>
      </c>
      <c r="F3737" t="s">
        <v>56</v>
      </c>
      <c r="G3737" t="s">
        <v>254</v>
      </c>
      <c r="H3737">
        <v>1</v>
      </c>
      <c r="I3737" s="3">
        <v>112.05</v>
      </c>
      <c r="J3737" t="s">
        <v>16</v>
      </c>
      <c r="K3737" t="s">
        <v>30</v>
      </c>
      <c r="L3737" s="4">
        <f>Table4[[#This Row],[quantity]]*Table4[[#This Row],[unit_price]]</f>
        <v>112.05</v>
      </c>
      <c r="M3737">
        <f>COUNTIFS($C$2:$C$3934,Table4[[#This Row],[customer_id]])</f>
        <v>6</v>
      </c>
      <c r="N3737" t="str">
        <f>IF(Table4[[#This Row],[customer_order_count]]=1,"New Customer","Repeat Customer")</f>
        <v>Repeat Customer</v>
      </c>
    </row>
    <row r="3738" spans="1:14">
      <c r="A3738" t="s">
        <v>3965</v>
      </c>
      <c r="B3738" s="1">
        <v>44997</v>
      </c>
      <c r="C3738" t="s">
        <v>941</v>
      </c>
      <c r="D3738" t="s">
        <v>1835</v>
      </c>
      <c r="E3738" t="s">
        <v>44</v>
      </c>
      <c r="F3738" t="s">
        <v>56</v>
      </c>
      <c r="G3738" t="s">
        <v>153</v>
      </c>
      <c r="H3738">
        <v>2</v>
      </c>
      <c r="I3738" s="3">
        <v>112.14</v>
      </c>
      <c r="J3738" t="s">
        <v>16</v>
      </c>
      <c r="K3738" t="s">
        <v>35</v>
      </c>
      <c r="L3738" s="4">
        <f>Table4[[#This Row],[quantity]]*Table4[[#This Row],[unit_price]]</f>
        <v>224.28</v>
      </c>
      <c r="M3738">
        <f>COUNTIFS($C$2:$C$3934,Table4[[#This Row],[customer_id]])</f>
        <v>2</v>
      </c>
      <c r="N3738" t="str">
        <f>IF(Table4[[#This Row],[customer_order_count]]=1,"New Customer","Repeat Customer")</f>
        <v>Repeat Customer</v>
      </c>
    </row>
    <row r="3739" spans="1:14">
      <c r="A3739" t="s">
        <v>2025</v>
      </c>
      <c r="B3739" s="1">
        <v>45585</v>
      </c>
      <c r="C3739" t="s">
        <v>1603</v>
      </c>
      <c r="D3739" t="s">
        <v>226</v>
      </c>
      <c r="E3739" t="s">
        <v>21</v>
      </c>
      <c r="F3739" t="s">
        <v>79</v>
      </c>
      <c r="G3739" t="s">
        <v>398</v>
      </c>
      <c r="H3739">
        <v>1</v>
      </c>
      <c r="I3739" s="3">
        <v>112.31</v>
      </c>
      <c r="J3739" t="s">
        <v>85</v>
      </c>
      <c r="K3739" t="s">
        <v>30</v>
      </c>
      <c r="L3739" s="4">
        <f>Table4[[#This Row],[quantity]]*Table4[[#This Row],[unit_price]]</f>
        <v>112.31</v>
      </c>
      <c r="M3739">
        <f>COUNTIFS($C$2:$C$3934,Table4[[#This Row],[customer_id]])</f>
        <v>6</v>
      </c>
      <c r="N3739" t="str">
        <f>IF(Table4[[#This Row],[customer_order_count]]=1,"New Customer","Repeat Customer")</f>
        <v>Repeat Customer</v>
      </c>
    </row>
    <row r="3740" spans="1:14">
      <c r="A3740" t="s">
        <v>72</v>
      </c>
      <c r="B3740" s="1">
        <v>45500</v>
      </c>
      <c r="C3740" t="s">
        <v>73</v>
      </c>
      <c r="D3740" t="s">
        <v>74</v>
      </c>
      <c r="E3740" t="s">
        <v>21</v>
      </c>
      <c r="F3740" t="s">
        <v>56</v>
      </c>
      <c r="G3740" t="s">
        <v>75</v>
      </c>
      <c r="H3740">
        <v>1</v>
      </c>
      <c r="I3740" s="3">
        <v>112.68</v>
      </c>
      <c r="J3740" t="s">
        <v>16</v>
      </c>
      <c r="K3740" t="s">
        <v>30</v>
      </c>
      <c r="L3740" s="4">
        <f>Table4[[#This Row],[quantity]]*Table4[[#This Row],[unit_price]]</f>
        <v>112.68</v>
      </c>
      <c r="M3740">
        <f>COUNTIFS($C$2:$C$3934,Table4[[#This Row],[customer_id]])</f>
        <v>5</v>
      </c>
      <c r="N3740" t="str">
        <f>IF(Table4[[#This Row],[customer_order_count]]=1,"New Customer","Repeat Customer")</f>
        <v>Repeat Customer</v>
      </c>
    </row>
    <row r="3741" spans="1:14">
      <c r="A3741" t="s">
        <v>4403</v>
      </c>
      <c r="B3741" s="1">
        <v>45122</v>
      </c>
      <c r="C3741" t="s">
        <v>2610</v>
      </c>
      <c r="D3741" t="s">
        <v>678</v>
      </c>
      <c r="E3741" t="s">
        <v>21</v>
      </c>
      <c r="F3741" t="s">
        <v>56</v>
      </c>
      <c r="G3741" t="s">
        <v>57</v>
      </c>
      <c r="H3741">
        <v>2</v>
      </c>
      <c r="I3741" s="3">
        <v>112.71</v>
      </c>
      <c r="J3741" t="s">
        <v>16</v>
      </c>
      <c r="K3741" t="s">
        <v>30</v>
      </c>
      <c r="L3741" s="4">
        <f>Table4[[#This Row],[quantity]]*Table4[[#This Row],[unit_price]]</f>
        <v>225.42</v>
      </c>
      <c r="M3741">
        <f>COUNTIFS($C$2:$C$3934,Table4[[#This Row],[customer_id]])</f>
        <v>3</v>
      </c>
      <c r="N3741" t="str">
        <f>IF(Table4[[#This Row],[customer_order_count]]=1,"New Customer","Repeat Customer")</f>
        <v>Repeat Customer</v>
      </c>
    </row>
    <row r="3742" spans="1:14">
      <c r="A3742" t="s">
        <v>3366</v>
      </c>
      <c r="B3742" s="1">
        <v>45199</v>
      </c>
      <c r="C3742" t="s">
        <v>1631</v>
      </c>
      <c r="D3742" t="s">
        <v>403</v>
      </c>
      <c r="E3742" t="s">
        <v>21</v>
      </c>
      <c r="F3742" t="s">
        <v>56</v>
      </c>
      <c r="G3742" t="s">
        <v>75</v>
      </c>
      <c r="H3742">
        <v>5</v>
      </c>
      <c r="I3742" s="3">
        <v>113.3</v>
      </c>
      <c r="J3742" t="s">
        <v>16</v>
      </c>
      <c r="K3742" t="s">
        <v>30</v>
      </c>
      <c r="L3742" s="4">
        <f>Table4[[#This Row],[quantity]]*Table4[[#This Row],[unit_price]]</f>
        <v>566.5</v>
      </c>
      <c r="M3742">
        <f>COUNTIFS($C$2:$C$3934,Table4[[#This Row],[customer_id]])</f>
        <v>7</v>
      </c>
      <c r="N3742" t="str">
        <f>IF(Table4[[#This Row],[customer_order_count]]=1,"New Customer","Repeat Customer")</f>
        <v>Repeat Customer</v>
      </c>
    </row>
    <row r="3743" spans="1:14">
      <c r="A3743" t="s">
        <v>3637</v>
      </c>
      <c r="B3743" s="1">
        <v>44994</v>
      </c>
      <c r="C3743" t="s">
        <v>1743</v>
      </c>
      <c r="D3743" t="s">
        <v>20</v>
      </c>
      <c r="E3743" t="s">
        <v>21</v>
      </c>
      <c r="F3743" t="s">
        <v>79</v>
      </c>
      <c r="G3743" t="s">
        <v>80</v>
      </c>
      <c r="H3743">
        <v>2</v>
      </c>
      <c r="I3743" s="3">
        <v>113.39</v>
      </c>
      <c r="J3743" t="s">
        <v>16</v>
      </c>
      <c r="K3743" t="s">
        <v>30</v>
      </c>
      <c r="L3743" s="4">
        <f>Table4[[#This Row],[quantity]]*Table4[[#This Row],[unit_price]]</f>
        <v>226.78</v>
      </c>
      <c r="M3743">
        <f>COUNTIFS($C$2:$C$3934,Table4[[#This Row],[customer_id]])</f>
        <v>8</v>
      </c>
      <c r="N3743" t="str">
        <f>IF(Table4[[#This Row],[customer_order_count]]=1,"New Customer","Repeat Customer")</f>
        <v>Repeat Customer</v>
      </c>
    </row>
    <row r="3744" spans="1:14">
      <c r="A3744" t="s">
        <v>1422</v>
      </c>
      <c r="B3744" s="1">
        <v>45235</v>
      </c>
      <c r="C3744" t="s">
        <v>1423</v>
      </c>
      <c r="D3744" t="s">
        <v>1203</v>
      </c>
      <c r="E3744" t="s">
        <v>21</v>
      </c>
      <c r="F3744" t="s">
        <v>79</v>
      </c>
      <c r="G3744" t="s">
        <v>541</v>
      </c>
      <c r="H3744">
        <v>2</v>
      </c>
      <c r="I3744" s="3">
        <v>113.46</v>
      </c>
      <c r="J3744" t="s">
        <v>85</v>
      </c>
      <c r="K3744" t="s">
        <v>17</v>
      </c>
      <c r="L3744" s="4">
        <f>Table4[[#This Row],[quantity]]*Table4[[#This Row],[unit_price]]</f>
        <v>226.92</v>
      </c>
      <c r="M3744">
        <f>COUNTIFS($C$2:$C$3934,Table4[[#This Row],[customer_id]])</f>
        <v>3</v>
      </c>
      <c r="N3744" t="str">
        <f>IF(Table4[[#This Row],[customer_order_count]]=1,"New Customer","Repeat Customer")</f>
        <v>Repeat Customer</v>
      </c>
    </row>
    <row r="3745" spans="1:14">
      <c r="A3745" t="s">
        <v>1232</v>
      </c>
      <c r="B3745" s="1">
        <v>45325</v>
      </c>
      <c r="C3745" t="s">
        <v>909</v>
      </c>
      <c r="D3745" t="s">
        <v>910</v>
      </c>
      <c r="E3745" t="s">
        <v>21</v>
      </c>
      <c r="F3745" t="s">
        <v>56</v>
      </c>
      <c r="G3745" t="s">
        <v>210</v>
      </c>
      <c r="H3745">
        <v>3</v>
      </c>
      <c r="I3745" s="3">
        <v>113.46</v>
      </c>
      <c r="J3745" t="s">
        <v>16</v>
      </c>
      <c r="K3745" t="s">
        <v>30</v>
      </c>
      <c r="L3745" s="4">
        <f>Table4[[#This Row],[quantity]]*Table4[[#This Row],[unit_price]]</f>
        <v>340.38</v>
      </c>
      <c r="M3745">
        <f>COUNTIFS($C$2:$C$3934,Table4[[#This Row],[customer_id]])</f>
        <v>7</v>
      </c>
      <c r="N3745" t="str">
        <f>IF(Table4[[#This Row],[customer_order_count]]=1,"New Customer","Repeat Customer")</f>
        <v>Repeat Customer</v>
      </c>
    </row>
    <row r="3746" spans="1:14">
      <c r="A3746" t="s">
        <v>2250</v>
      </c>
      <c r="B3746" s="1">
        <v>45501</v>
      </c>
      <c r="C3746" t="s">
        <v>2251</v>
      </c>
      <c r="D3746" t="s">
        <v>1748</v>
      </c>
      <c r="E3746" t="s">
        <v>61</v>
      </c>
      <c r="F3746" t="s">
        <v>79</v>
      </c>
      <c r="G3746" t="s">
        <v>200</v>
      </c>
      <c r="H3746">
        <v>1</v>
      </c>
      <c r="I3746" s="3">
        <v>113.75</v>
      </c>
      <c r="J3746" t="s">
        <v>24</v>
      </c>
      <c r="K3746" t="s">
        <v>17</v>
      </c>
      <c r="L3746" s="4">
        <f>Table4[[#This Row],[quantity]]*Table4[[#This Row],[unit_price]]</f>
        <v>113.75</v>
      </c>
      <c r="M3746">
        <f>COUNTIFS($C$2:$C$3934,Table4[[#This Row],[customer_id]])</f>
        <v>3</v>
      </c>
      <c r="N3746" t="str">
        <f>IF(Table4[[#This Row],[customer_order_count]]=1,"New Customer","Repeat Customer")</f>
        <v>Repeat Customer</v>
      </c>
    </row>
    <row r="3747" spans="1:14">
      <c r="A3747" t="s">
        <v>4520</v>
      </c>
      <c r="B3747" s="1">
        <v>45198</v>
      </c>
      <c r="C3747" t="s">
        <v>509</v>
      </c>
      <c r="D3747" t="s">
        <v>510</v>
      </c>
      <c r="E3747" t="s">
        <v>21</v>
      </c>
      <c r="F3747" t="s">
        <v>79</v>
      </c>
      <c r="G3747" t="s">
        <v>80</v>
      </c>
      <c r="H3747">
        <v>3</v>
      </c>
      <c r="I3747" s="3">
        <v>113.88</v>
      </c>
      <c r="J3747" t="s">
        <v>16</v>
      </c>
      <c r="K3747" t="s">
        <v>17</v>
      </c>
      <c r="L3747" s="4">
        <f>Table4[[#This Row],[quantity]]*Table4[[#This Row],[unit_price]]</f>
        <v>341.64</v>
      </c>
      <c r="M3747">
        <f>COUNTIFS($C$2:$C$3934,Table4[[#This Row],[customer_id]])</f>
        <v>6</v>
      </c>
      <c r="N3747" t="str">
        <f>IF(Table4[[#This Row],[customer_order_count]]=1,"New Customer","Repeat Customer")</f>
        <v>Repeat Customer</v>
      </c>
    </row>
    <row r="3748" spans="1:14">
      <c r="A3748" t="s">
        <v>3702</v>
      </c>
      <c r="B3748" s="1">
        <v>45238</v>
      </c>
      <c r="C3748" t="s">
        <v>961</v>
      </c>
      <c r="D3748" t="s">
        <v>962</v>
      </c>
      <c r="E3748" t="s">
        <v>21</v>
      </c>
      <c r="F3748" t="s">
        <v>56</v>
      </c>
      <c r="G3748" t="s">
        <v>422</v>
      </c>
      <c r="H3748">
        <v>1</v>
      </c>
      <c r="I3748" s="3">
        <v>113.92</v>
      </c>
      <c r="J3748" t="s">
        <v>24</v>
      </c>
      <c r="K3748" t="s">
        <v>35</v>
      </c>
      <c r="L3748" s="4">
        <f>Table4[[#This Row],[quantity]]*Table4[[#This Row],[unit_price]]</f>
        <v>113.92</v>
      </c>
      <c r="M3748">
        <f>COUNTIFS($C$2:$C$3934,Table4[[#This Row],[customer_id]])</f>
        <v>6</v>
      </c>
      <c r="N3748" t="str">
        <f>IF(Table4[[#This Row],[customer_order_count]]=1,"New Customer","Repeat Customer")</f>
        <v>Repeat Customer</v>
      </c>
    </row>
    <row r="3749" spans="1:14">
      <c r="A3749" t="s">
        <v>1920</v>
      </c>
      <c r="B3749" s="1">
        <v>45333</v>
      </c>
      <c r="C3749" t="s">
        <v>1921</v>
      </c>
      <c r="D3749" t="s">
        <v>1922</v>
      </c>
      <c r="E3749" t="s">
        <v>21</v>
      </c>
      <c r="F3749" t="s">
        <v>56</v>
      </c>
      <c r="G3749" t="s">
        <v>254</v>
      </c>
      <c r="H3749">
        <v>1</v>
      </c>
      <c r="I3749" s="3">
        <v>114.07</v>
      </c>
      <c r="J3749" t="s">
        <v>16</v>
      </c>
      <c r="K3749" t="s">
        <v>17</v>
      </c>
      <c r="L3749" s="4">
        <f>Table4[[#This Row],[quantity]]*Table4[[#This Row],[unit_price]]</f>
        <v>114.07</v>
      </c>
      <c r="M3749">
        <f>COUNTIFS($C$2:$C$3934,Table4[[#This Row],[customer_id]])</f>
        <v>5</v>
      </c>
      <c r="N3749" t="str">
        <f>IF(Table4[[#This Row],[customer_order_count]]=1,"New Customer","Repeat Customer")</f>
        <v>Repeat Customer</v>
      </c>
    </row>
    <row r="3750" spans="1:14">
      <c r="A3750" t="s">
        <v>3607</v>
      </c>
      <c r="B3750" s="1">
        <v>45020</v>
      </c>
      <c r="C3750" t="s">
        <v>1834</v>
      </c>
      <c r="D3750" t="s">
        <v>359</v>
      </c>
      <c r="E3750" t="s">
        <v>21</v>
      </c>
      <c r="F3750" t="s">
        <v>79</v>
      </c>
      <c r="G3750" t="s">
        <v>166</v>
      </c>
      <c r="H3750">
        <v>1</v>
      </c>
      <c r="I3750" s="3">
        <v>114.08</v>
      </c>
      <c r="J3750" t="s">
        <v>85</v>
      </c>
      <c r="K3750" t="s">
        <v>30</v>
      </c>
      <c r="L3750" s="4">
        <f>Table4[[#This Row],[quantity]]*Table4[[#This Row],[unit_price]]</f>
        <v>114.08</v>
      </c>
      <c r="M3750">
        <f>COUNTIFS($C$2:$C$3934,Table4[[#This Row],[customer_id]])</f>
        <v>7</v>
      </c>
      <c r="N3750" t="str">
        <f>IF(Table4[[#This Row],[customer_order_count]]=1,"New Customer","Repeat Customer")</f>
        <v>Repeat Customer</v>
      </c>
    </row>
    <row r="3751" spans="1:14">
      <c r="A3751" t="s">
        <v>3369</v>
      </c>
      <c r="B3751" s="1">
        <v>45017</v>
      </c>
      <c r="C3751" t="s">
        <v>993</v>
      </c>
      <c r="D3751" t="s">
        <v>117</v>
      </c>
      <c r="E3751" t="s">
        <v>21</v>
      </c>
      <c r="F3751" t="s">
        <v>56</v>
      </c>
      <c r="G3751" t="s">
        <v>153</v>
      </c>
      <c r="H3751">
        <v>1</v>
      </c>
      <c r="I3751" s="3">
        <v>114.34</v>
      </c>
      <c r="J3751" t="s">
        <v>16</v>
      </c>
      <c r="K3751" t="s">
        <v>17</v>
      </c>
      <c r="L3751" s="4">
        <f>Table4[[#This Row],[quantity]]*Table4[[#This Row],[unit_price]]</f>
        <v>114.34</v>
      </c>
      <c r="M3751">
        <f>COUNTIFS($C$2:$C$3934,Table4[[#This Row],[customer_id]])</f>
        <v>5</v>
      </c>
      <c r="N3751" t="str">
        <f>IF(Table4[[#This Row],[customer_order_count]]=1,"New Customer","Repeat Customer")</f>
        <v>Repeat Customer</v>
      </c>
    </row>
    <row r="3752" spans="1:14">
      <c r="A3752" t="s">
        <v>4189</v>
      </c>
      <c r="B3752" s="1">
        <v>44971</v>
      </c>
      <c r="C3752" t="s">
        <v>755</v>
      </c>
      <c r="D3752" t="s">
        <v>452</v>
      </c>
      <c r="E3752" t="s">
        <v>21</v>
      </c>
      <c r="F3752" t="s">
        <v>56</v>
      </c>
      <c r="G3752" t="s">
        <v>254</v>
      </c>
      <c r="H3752">
        <v>1</v>
      </c>
      <c r="I3752" s="3">
        <v>114.51</v>
      </c>
      <c r="J3752" t="s">
        <v>16</v>
      </c>
      <c r="K3752" t="s">
        <v>17</v>
      </c>
      <c r="L3752" s="4">
        <f>Table4[[#This Row],[quantity]]*Table4[[#This Row],[unit_price]]</f>
        <v>114.51</v>
      </c>
      <c r="M3752">
        <f>COUNTIFS($C$2:$C$3934,Table4[[#This Row],[customer_id]])</f>
        <v>5</v>
      </c>
      <c r="N3752" t="str">
        <f>IF(Table4[[#This Row],[customer_order_count]]=1,"New Customer","Repeat Customer")</f>
        <v>Repeat Customer</v>
      </c>
    </row>
    <row r="3753" spans="1:14">
      <c r="A3753" t="s">
        <v>2373</v>
      </c>
      <c r="B3753" s="1">
        <v>45652</v>
      </c>
      <c r="C3753" t="s">
        <v>288</v>
      </c>
      <c r="D3753" t="s">
        <v>289</v>
      </c>
      <c r="E3753" t="s">
        <v>21</v>
      </c>
      <c r="F3753" t="s">
        <v>56</v>
      </c>
      <c r="G3753" t="s">
        <v>153</v>
      </c>
      <c r="H3753">
        <v>2</v>
      </c>
      <c r="I3753" s="3">
        <v>114.64</v>
      </c>
      <c r="J3753" t="s">
        <v>16</v>
      </c>
      <c r="K3753" t="s">
        <v>30</v>
      </c>
      <c r="L3753" s="4">
        <f>Table4[[#This Row],[quantity]]*Table4[[#This Row],[unit_price]]</f>
        <v>229.28</v>
      </c>
      <c r="M3753">
        <f>COUNTIFS($C$2:$C$3934,Table4[[#This Row],[customer_id]])</f>
        <v>6</v>
      </c>
      <c r="N3753" t="str">
        <f>IF(Table4[[#This Row],[customer_order_count]]=1,"New Customer","Repeat Customer")</f>
        <v>Repeat Customer</v>
      </c>
    </row>
    <row r="3754" spans="1:14">
      <c r="A3754" t="s">
        <v>3811</v>
      </c>
      <c r="B3754" s="1">
        <v>45422</v>
      </c>
      <c r="C3754" t="s">
        <v>1397</v>
      </c>
      <c r="D3754" t="s">
        <v>383</v>
      </c>
      <c r="E3754" t="s">
        <v>44</v>
      </c>
      <c r="F3754" t="s">
        <v>56</v>
      </c>
      <c r="G3754" t="s">
        <v>254</v>
      </c>
      <c r="H3754">
        <v>1</v>
      </c>
      <c r="I3754" s="3">
        <v>114.7</v>
      </c>
      <c r="J3754" t="s">
        <v>16</v>
      </c>
      <c r="K3754" t="s">
        <v>35</v>
      </c>
      <c r="L3754" s="4">
        <f>Table4[[#This Row],[quantity]]*Table4[[#This Row],[unit_price]]</f>
        <v>114.7</v>
      </c>
      <c r="M3754">
        <f>COUNTIFS($C$2:$C$3934,Table4[[#This Row],[customer_id]])</f>
        <v>9</v>
      </c>
      <c r="N3754" t="str">
        <f>IF(Table4[[#This Row],[customer_order_count]]=1,"New Customer","Repeat Customer")</f>
        <v>Repeat Customer</v>
      </c>
    </row>
    <row r="3755" spans="1:14">
      <c r="A3755" t="s">
        <v>1126</v>
      </c>
      <c r="B3755" s="1">
        <v>45307</v>
      </c>
      <c r="C3755" t="s">
        <v>1127</v>
      </c>
      <c r="D3755" t="s">
        <v>947</v>
      </c>
      <c r="E3755" t="s">
        <v>21</v>
      </c>
      <c r="F3755" t="s">
        <v>79</v>
      </c>
      <c r="G3755" t="s">
        <v>80</v>
      </c>
      <c r="H3755">
        <v>1</v>
      </c>
      <c r="I3755" s="3">
        <v>114.9</v>
      </c>
      <c r="J3755" t="s">
        <v>16</v>
      </c>
      <c r="K3755" t="s">
        <v>40</v>
      </c>
      <c r="L3755" s="4">
        <f>Table4[[#This Row],[quantity]]*Table4[[#This Row],[unit_price]]</f>
        <v>114.9</v>
      </c>
      <c r="M3755">
        <f>COUNTIFS($C$2:$C$3934,Table4[[#This Row],[customer_id]])</f>
        <v>7</v>
      </c>
      <c r="N3755" t="str">
        <f>IF(Table4[[#This Row],[customer_order_count]]=1,"New Customer","Repeat Customer")</f>
        <v>Repeat Customer</v>
      </c>
    </row>
    <row r="3756" spans="1:14">
      <c r="A3756" t="s">
        <v>2548</v>
      </c>
      <c r="B3756" s="1">
        <v>44964</v>
      </c>
      <c r="C3756" t="s">
        <v>1710</v>
      </c>
      <c r="D3756" s="2" t="s">
        <v>5257</v>
      </c>
      <c r="E3756" t="s">
        <v>21</v>
      </c>
      <c r="F3756" t="s">
        <v>79</v>
      </c>
      <c r="G3756" t="s">
        <v>80</v>
      </c>
      <c r="H3756">
        <v>1</v>
      </c>
      <c r="I3756" s="3">
        <v>114.97</v>
      </c>
      <c r="J3756" t="s">
        <v>16</v>
      </c>
      <c r="K3756" t="s">
        <v>40</v>
      </c>
      <c r="L3756" s="4">
        <f>Table4[[#This Row],[quantity]]*Table4[[#This Row],[unit_price]]</f>
        <v>114.97</v>
      </c>
      <c r="M3756">
        <f>COUNTIFS($C$2:$C$3934,Table4[[#This Row],[customer_id]])</f>
        <v>10</v>
      </c>
      <c r="N3756" t="str">
        <f>IF(Table4[[#This Row],[customer_order_count]]=1,"New Customer","Repeat Customer")</f>
        <v>Repeat Customer</v>
      </c>
    </row>
    <row r="3757" spans="1:14">
      <c r="A3757" t="s">
        <v>2351</v>
      </c>
      <c r="B3757" s="1">
        <v>45423</v>
      </c>
      <c r="C3757" t="s">
        <v>1757</v>
      </c>
      <c r="D3757" s="5" t="s">
        <v>1758</v>
      </c>
      <c r="E3757" t="s">
        <v>21</v>
      </c>
      <c r="F3757" t="s">
        <v>56</v>
      </c>
      <c r="G3757" t="s">
        <v>153</v>
      </c>
      <c r="H3757">
        <v>1</v>
      </c>
      <c r="I3757" s="3">
        <v>115.09</v>
      </c>
      <c r="J3757" t="s">
        <v>16</v>
      </c>
      <c r="K3757" t="s">
        <v>30</v>
      </c>
      <c r="L3757" s="4">
        <f>Table4[[#This Row],[quantity]]*Table4[[#This Row],[unit_price]]</f>
        <v>115.09</v>
      </c>
      <c r="M3757">
        <f>COUNTIFS($C$2:$C$3934,Table4[[#This Row],[customer_id]])</f>
        <v>9</v>
      </c>
      <c r="N3757" t="str">
        <f>IF(Table4[[#This Row],[customer_order_count]]=1,"New Customer","Repeat Customer")</f>
        <v>Repeat Customer</v>
      </c>
    </row>
    <row r="3758" spans="1:14">
      <c r="A3758" t="s">
        <v>3901</v>
      </c>
      <c r="B3758" s="1">
        <v>45397</v>
      </c>
      <c r="C3758" t="s">
        <v>361</v>
      </c>
      <c r="D3758" t="s">
        <v>362</v>
      </c>
      <c r="E3758" t="s">
        <v>21</v>
      </c>
      <c r="F3758" t="s">
        <v>79</v>
      </c>
      <c r="G3758" t="s">
        <v>230</v>
      </c>
      <c r="H3758">
        <v>2</v>
      </c>
      <c r="I3758" s="3">
        <v>115.1</v>
      </c>
      <c r="J3758" t="s">
        <v>16</v>
      </c>
      <c r="K3758" t="s">
        <v>17</v>
      </c>
      <c r="L3758" s="4">
        <f>Table4[[#This Row],[quantity]]*Table4[[#This Row],[unit_price]]</f>
        <v>230.2</v>
      </c>
      <c r="M3758">
        <f>COUNTIFS($C$2:$C$3934,Table4[[#This Row],[customer_id]])</f>
        <v>8</v>
      </c>
      <c r="N3758" t="str">
        <f>IF(Table4[[#This Row],[customer_order_count]]=1,"New Customer","Repeat Customer")</f>
        <v>Repeat Customer</v>
      </c>
    </row>
    <row r="3759" spans="1:14">
      <c r="A3759" t="s">
        <v>4225</v>
      </c>
      <c r="B3759" s="1">
        <v>45557</v>
      </c>
      <c r="C3759" t="s">
        <v>382</v>
      </c>
      <c r="D3759" t="s">
        <v>383</v>
      </c>
      <c r="E3759" t="s">
        <v>21</v>
      </c>
      <c r="F3759" t="s">
        <v>56</v>
      </c>
      <c r="G3759" t="s">
        <v>153</v>
      </c>
      <c r="H3759">
        <v>2</v>
      </c>
      <c r="I3759" s="3">
        <v>115.34</v>
      </c>
      <c r="J3759" t="s">
        <v>16</v>
      </c>
      <c r="K3759" t="s">
        <v>40</v>
      </c>
      <c r="L3759" s="4">
        <f>Table4[[#This Row],[quantity]]*Table4[[#This Row],[unit_price]]</f>
        <v>230.68</v>
      </c>
      <c r="M3759">
        <f>COUNTIFS($C$2:$C$3934,Table4[[#This Row],[customer_id]])</f>
        <v>6</v>
      </c>
      <c r="N3759" t="str">
        <f>IF(Table4[[#This Row],[customer_order_count]]=1,"New Customer","Repeat Customer")</f>
        <v>Repeat Customer</v>
      </c>
    </row>
    <row r="3760" spans="1:14">
      <c r="A3760" t="s">
        <v>3996</v>
      </c>
      <c r="B3760" s="1">
        <v>45280</v>
      </c>
      <c r="C3760" t="s">
        <v>285</v>
      </c>
      <c r="D3760" t="s">
        <v>286</v>
      </c>
      <c r="E3760" t="s">
        <v>21</v>
      </c>
      <c r="F3760" t="s">
        <v>56</v>
      </c>
      <c r="G3760" t="s">
        <v>57</v>
      </c>
      <c r="H3760">
        <v>1</v>
      </c>
      <c r="I3760" s="3">
        <v>115.42</v>
      </c>
      <c r="J3760" t="s">
        <v>255</v>
      </c>
      <c r="K3760" t="s">
        <v>30</v>
      </c>
      <c r="L3760" s="4">
        <f>Table4[[#This Row],[quantity]]*Table4[[#This Row],[unit_price]]</f>
        <v>115.42</v>
      </c>
      <c r="M3760">
        <f>COUNTIFS($C$2:$C$3934,Table4[[#This Row],[customer_id]])</f>
        <v>9</v>
      </c>
      <c r="N3760" t="str">
        <f>IF(Table4[[#This Row],[customer_order_count]]=1,"New Customer","Repeat Customer")</f>
        <v>Repeat Customer</v>
      </c>
    </row>
    <row r="3761" spans="1:14">
      <c r="A3761" t="s">
        <v>4884</v>
      </c>
      <c r="B3761" s="1">
        <v>45522</v>
      </c>
      <c r="C3761" t="s">
        <v>2395</v>
      </c>
      <c r="D3761" t="s">
        <v>92</v>
      </c>
      <c r="E3761" t="s">
        <v>21</v>
      </c>
      <c r="F3761" t="s">
        <v>56</v>
      </c>
      <c r="G3761" t="s">
        <v>422</v>
      </c>
      <c r="H3761">
        <v>3</v>
      </c>
      <c r="I3761" s="3">
        <v>115.54</v>
      </c>
      <c r="J3761" t="s">
        <v>16</v>
      </c>
      <c r="K3761" t="s">
        <v>30</v>
      </c>
      <c r="L3761" s="4">
        <f>Table4[[#This Row],[quantity]]*Table4[[#This Row],[unit_price]]</f>
        <v>346.62</v>
      </c>
      <c r="M3761">
        <f>COUNTIFS($C$2:$C$3934,Table4[[#This Row],[customer_id]])</f>
        <v>7</v>
      </c>
      <c r="N3761" t="str">
        <f>IF(Table4[[#This Row],[customer_order_count]]=1,"New Customer","Repeat Customer")</f>
        <v>Repeat Customer</v>
      </c>
    </row>
    <row r="3762" spans="1:14">
      <c r="A3762" t="s">
        <v>115</v>
      </c>
      <c r="B3762" s="1">
        <v>45654</v>
      </c>
      <c r="C3762" t="s">
        <v>116</v>
      </c>
      <c r="D3762" t="s">
        <v>117</v>
      </c>
      <c r="E3762" t="s">
        <v>21</v>
      </c>
      <c r="F3762" t="s">
        <v>56</v>
      </c>
      <c r="G3762" t="s">
        <v>118</v>
      </c>
      <c r="H3762">
        <v>4</v>
      </c>
      <c r="I3762" s="3">
        <v>115.54</v>
      </c>
      <c r="J3762" t="s">
        <v>16</v>
      </c>
      <c r="K3762" t="s">
        <v>35</v>
      </c>
      <c r="L3762" s="4">
        <f>Table4[[#This Row],[quantity]]*Table4[[#This Row],[unit_price]]</f>
        <v>462.16</v>
      </c>
      <c r="M3762">
        <f>COUNTIFS($C$2:$C$3934,Table4[[#This Row],[customer_id]])</f>
        <v>2</v>
      </c>
      <c r="N3762" t="str">
        <f>IF(Table4[[#This Row],[customer_order_count]]=1,"New Customer","Repeat Customer")</f>
        <v>Repeat Customer</v>
      </c>
    </row>
    <row r="3763" spans="1:14">
      <c r="A3763" t="s">
        <v>4283</v>
      </c>
      <c r="B3763" s="1">
        <v>44929</v>
      </c>
      <c r="C3763" t="s">
        <v>1989</v>
      </c>
      <c r="D3763" t="s">
        <v>340</v>
      </c>
      <c r="E3763" t="s">
        <v>21</v>
      </c>
      <c r="F3763" t="s">
        <v>56</v>
      </c>
      <c r="G3763" t="s">
        <v>75</v>
      </c>
      <c r="H3763">
        <v>1</v>
      </c>
      <c r="I3763" s="3">
        <v>115.62</v>
      </c>
      <c r="J3763" t="s">
        <v>16</v>
      </c>
      <c r="K3763" t="s">
        <v>30</v>
      </c>
      <c r="L3763" s="4">
        <f>Table4[[#This Row],[quantity]]*Table4[[#This Row],[unit_price]]</f>
        <v>115.62</v>
      </c>
      <c r="M3763">
        <f>COUNTIFS($C$2:$C$3934,Table4[[#This Row],[customer_id]])</f>
        <v>8</v>
      </c>
      <c r="N3763" t="str">
        <f>IF(Table4[[#This Row],[customer_order_count]]=1,"New Customer","Repeat Customer")</f>
        <v>Repeat Customer</v>
      </c>
    </row>
    <row r="3764" spans="1:14">
      <c r="A3764" t="s">
        <v>2958</v>
      </c>
      <c r="B3764" s="1">
        <v>45127</v>
      </c>
      <c r="C3764" t="s">
        <v>87</v>
      </c>
      <c r="D3764" t="s">
        <v>88</v>
      </c>
      <c r="E3764" t="s">
        <v>21</v>
      </c>
      <c r="F3764" t="s">
        <v>79</v>
      </c>
      <c r="G3764" t="s">
        <v>230</v>
      </c>
      <c r="H3764">
        <v>2</v>
      </c>
      <c r="I3764" s="3">
        <v>115.73</v>
      </c>
      <c r="J3764" t="s">
        <v>85</v>
      </c>
      <c r="K3764" t="s">
        <v>17</v>
      </c>
      <c r="L3764" s="4">
        <f>Table4[[#This Row],[quantity]]*Table4[[#This Row],[unit_price]]</f>
        <v>231.46</v>
      </c>
      <c r="M3764">
        <f>COUNTIFS($C$2:$C$3934,Table4[[#This Row],[customer_id]])</f>
        <v>4</v>
      </c>
      <c r="N3764" t="str">
        <f>IF(Table4[[#This Row],[customer_order_count]]=1,"New Customer","Repeat Customer")</f>
        <v>Repeat Customer</v>
      </c>
    </row>
    <row r="3765" spans="1:14">
      <c r="A3765" t="s">
        <v>4556</v>
      </c>
      <c r="B3765" s="1">
        <v>45417</v>
      </c>
      <c r="C3765" t="s">
        <v>1657</v>
      </c>
      <c r="D3765" t="s">
        <v>714</v>
      </c>
      <c r="E3765" t="s">
        <v>61</v>
      </c>
      <c r="F3765" t="s">
        <v>79</v>
      </c>
      <c r="G3765" t="s">
        <v>230</v>
      </c>
      <c r="H3765">
        <v>1</v>
      </c>
      <c r="I3765" s="3">
        <v>115.78</v>
      </c>
      <c r="J3765" t="s">
        <v>16</v>
      </c>
      <c r="K3765" t="s">
        <v>35</v>
      </c>
      <c r="L3765" s="4">
        <f>Table4[[#This Row],[quantity]]*Table4[[#This Row],[unit_price]]</f>
        <v>115.78</v>
      </c>
      <c r="M3765">
        <f>COUNTIFS($C$2:$C$3934,Table4[[#This Row],[customer_id]])</f>
        <v>3</v>
      </c>
      <c r="N3765" t="str">
        <f>IF(Table4[[#This Row],[customer_order_count]]=1,"New Customer","Repeat Customer")</f>
        <v>Repeat Customer</v>
      </c>
    </row>
    <row r="3766" spans="1:14">
      <c r="A3766" t="s">
        <v>1003</v>
      </c>
      <c r="B3766" s="1">
        <v>45033</v>
      </c>
      <c r="C3766" t="s">
        <v>212</v>
      </c>
      <c r="D3766" t="s">
        <v>213</v>
      </c>
      <c r="E3766" t="s">
        <v>44</v>
      </c>
      <c r="F3766" t="s">
        <v>56</v>
      </c>
      <c r="G3766" t="s">
        <v>153</v>
      </c>
      <c r="H3766">
        <v>1</v>
      </c>
      <c r="I3766" s="3">
        <v>115.8</v>
      </c>
      <c r="J3766" t="s">
        <v>16</v>
      </c>
      <c r="K3766" t="s">
        <v>40</v>
      </c>
      <c r="L3766" s="4">
        <f>Table4[[#This Row],[quantity]]*Table4[[#This Row],[unit_price]]</f>
        <v>115.8</v>
      </c>
      <c r="M3766">
        <f>COUNTIFS($C$2:$C$3934,Table4[[#This Row],[customer_id]])</f>
        <v>4</v>
      </c>
      <c r="N3766" t="str">
        <f>IF(Table4[[#This Row],[customer_order_count]]=1,"New Customer","Repeat Customer")</f>
        <v>Repeat Customer</v>
      </c>
    </row>
    <row r="3767" spans="1:14">
      <c r="A3767" t="s">
        <v>2045</v>
      </c>
      <c r="B3767" s="1">
        <v>45427</v>
      </c>
      <c r="C3767" t="s">
        <v>2046</v>
      </c>
      <c r="D3767" t="s">
        <v>414</v>
      </c>
      <c r="E3767" t="s">
        <v>61</v>
      </c>
      <c r="F3767" t="s">
        <v>56</v>
      </c>
      <c r="G3767" t="s">
        <v>75</v>
      </c>
      <c r="H3767">
        <v>2</v>
      </c>
      <c r="I3767" s="3">
        <v>115.8</v>
      </c>
      <c r="J3767" t="s">
        <v>16</v>
      </c>
      <c r="K3767" t="s">
        <v>30</v>
      </c>
      <c r="L3767" s="4">
        <f>Table4[[#This Row],[quantity]]*Table4[[#This Row],[unit_price]]</f>
        <v>231.6</v>
      </c>
      <c r="M3767">
        <f>COUNTIFS($C$2:$C$3934,Table4[[#This Row],[customer_id]])</f>
        <v>3</v>
      </c>
      <c r="N3767" t="str">
        <f>IF(Table4[[#This Row],[customer_order_count]]=1,"New Customer","Repeat Customer")</f>
        <v>Repeat Customer</v>
      </c>
    </row>
    <row r="3768" spans="1:14">
      <c r="A3768" t="s">
        <v>2123</v>
      </c>
      <c r="B3768" s="1">
        <v>44989</v>
      </c>
      <c r="C3768" t="s">
        <v>629</v>
      </c>
      <c r="D3768" t="s">
        <v>630</v>
      </c>
      <c r="E3768" t="s">
        <v>44</v>
      </c>
      <c r="F3768" t="s">
        <v>56</v>
      </c>
      <c r="G3768" t="s">
        <v>422</v>
      </c>
      <c r="H3768">
        <v>1</v>
      </c>
      <c r="I3768" s="3">
        <v>115.87</v>
      </c>
      <c r="J3768" t="s">
        <v>16</v>
      </c>
      <c r="K3768" t="s">
        <v>30</v>
      </c>
      <c r="L3768" s="4">
        <f>Table4[[#This Row],[quantity]]*Table4[[#This Row],[unit_price]]</f>
        <v>115.87</v>
      </c>
      <c r="M3768">
        <f>COUNTIFS($C$2:$C$3934,Table4[[#This Row],[customer_id]])</f>
        <v>5</v>
      </c>
      <c r="N3768" t="str">
        <f>IF(Table4[[#This Row],[customer_order_count]]=1,"New Customer","Repeat Customer")</f>
        <v>Repeat Customer</v>
      </c>
    </row>
    <row r="3769" spans="1:14">
      <c r="A3769" t="s">
        <v>4833</v>
      </c>
      <c r="B3769" s="1">
        <v>45112</v>
      </c>
      <c r="C3769" t="s">
        <v>1021</v>
      </c>
      <c r="D3769" t="s">
        <v>1022</v>
      </c>
      <c r="E3769" t="s">
        <v>21</v>
      </c>
      <c r="F3769" t="s">
        <v>56</v>
      </c>
      <c r="G3769" t="s">
        <v>75</v>
      </c>
      <c r="H3769">
        <v>1</v>
      </c>
      <c r="I3769" s="3">
        <v>115.88</v>
      </c>
      <c r="J3769" t="s">
        <v>16</v>
      </c>
      <c r="K3769" t="s">
        <v>30</v>
      </c>
      <c r="L3769" s="4">
        <f>Table4[[#This Row],[quantity]]*Table4[[#This Row],[unit_price]]</f>
        <v>115.88</v>
      </c>
      <c r="M3769">
        <f>COUNTIFS($C$2:$C$3934,Table4[[#This Row],[customer_id]])</f>
        <v>6</v>
      </c>
      <c r="N3769" t="str">
        <f>IF(Table4[[#This Row],[customer_order_count]]=1,"New Customer","Repeat Customer")</f>
        <v>Repeat Customer</v>
      </c>
    </row>
    <row r="3770" spans="1:14">
      <c r="A3770" t="s">
        <v>3597</v>
      </c>
      <c r="B3770" s="1">
        <v>44978</v>
      </c>
      <c r="C3770" t="s">
        <v>1077</v>
      </c>
      <c r="D3770" t="s">
        <v>765</v>
      </c>
      <c r="E3770" t="s">
        <v>21</v>
      </c>
      <c r="F3770" t="s">
        <v>79</v>
      </c>
      <c r="G3770" t="s">
        <v>541</v>
      </c>
      <c r="H3770">
        <v>2</v>
      </c>
      <c r="I3770" s="3">
        <v>115.95</v>
      </c>
      <c r="J3770" t="s">
        <v>16</v>
      </c>
      <c r="K3770" t="s">
        <v>40</v>
      </c>
      <c r="L3770" s="4">
        <f>Table4[[#This Row],[quantity]]*Table4[[#This Row],[unit_price]]</f>
        <v>231.9</v>
      </c>
      <c r="M3770">
        <f>COUNTIFS($C$2:$C$3934,Table4[[#This Row],[customer_id]])</f>
        <v>5</v>
      </c>
      <c r="N3770" t="str">
        <f>IF(Table4[[#This Row],[customer_order_count]]=1,"New Customer","Repeat Customer")</f>
        <v>Repeat Customer</v>
      </c>
    </row>
    <row r="3771" spans="1:14">
      <c r="A3771" t="s">
        <v>1756</v>
      </c>
      <c r="B3771" s="1">
        <v>45425</v>
      </c>
      <c r="C3771" t="s">
        <v>1757</v>
      </c>
      <c r="D3771" t="s">
        <v>1758</v>
      </c>
      <c r="E3771" t="s">
        <v>21</v>
      </c>
      <c r="F3771" t="s">
        <v>79</v>
      </c>
      <c r="G3771" t="s">
        <v>200</v>
      </c>
      <c r="H3771">
        <v>1</v>
      </c>
      <c r="I3771" s="3">
        <v>115.99</v>
      </c>
      <c r="J3771" t="s">
        <v>16</v>
      </c>
      <c r="K3771" t="s">
        <v>17</v>
      </c>
      <c r="L3771" s="4">
        <f>Table4[[#This Row],[quantity]]*Table4[[#This Row],[unit_price]]</f>
        <v>115.99</v>
      </c>
      <c r="M3771">
        <f>COUNTIFS($C$2:$C$3934,Table4[[#This Row],[customer_id]])</f>
        <v>9</v>
      </c>
      <c r="N3771" t="str">
        <f>IF(Table4[[#This Row],[customer_order_count]]=1,"New Customer","Repeat Customer")</f>
        <v>Repeat Customer</v>
      </c>
    </row>
    <row r="3772" spans="1:14">
      <c r="A3772" t="s">
        <v>2946</v>
      </c>
      <c r="B3772" s="1">
        <v>45038</v>
      </c>
      <c r="C3772" t="s">
        <v>2947</v>
      </c>
      <c r="D3772" t="s">
        <v>513</v>
      </c>
      <c r="E3772" t="s">
        <v>21</v>
      </c>
      <c r="F3772" t="s">
        <v>56</v>
      </c>
      <c r="G3772" t="s">
        <v>210</v>
      </c>
      <c r="H3772">
        <v>2</v>
      </c>
      <c r="I3772" s="3">
        <v>116.06</v>
      </c>
      <c r="J3772" t="s">
        <v>16</v>
      </c>
      <c r="K3772" s="2" t="s">
        <v>5256</v>
      </c>
      <c r="L3772" s="4">
        <f>Table4[[#This Row],[quantity]]*Table4[[#This Row],[unit_price]]</f>
        <v>232.12</v>
      </c>
      <c r="M3772">
        <f>COUNTIFS($C$2:$C$3934,Table4[[#This Row],[customer_id]])</f>
        <v>3</v>
      </c>
      <c r="N3772" t="str">
        <f>IF(Table4[[#This Row],[customer_order_count]]=1,"New Customer","Repeat Customer")</f>
        <v>Repeat Customer</v>
      </c>
    </row>
    <row r="3773" spans="1:14">
      <c r="A3773" t="s">
        <v>1138</v>
      </c>
      <c r="B3773" s="1">
        <v>45628</v>
      </c>
      <c r="C3773" t="s">
        <v>188</v>
      </c>
      <c r="D3773" t="s">
        <v>189</v>
      </c>
      <c r="E3773" t="s">
        <v>21</v>
      </c>
      <c r="F3773" t="s">
        <v>56</v>
      </c>
      <c r="G3773" t="s">
        <v>422</v>
      </c>
      <c r="H3773">
        <v>2</v>
      </c>
      <c r="I3773" s="3">
        <v>116.16</v>
      </c>
      <c r="J3773" t="s">
        <v>24</v>
      </c>
      <c r="K3773" s="5" t="s">
        <v>17</v>
      </c>
      <c r="L3773" s="4">
        <f>Table4[[#This Row],[quantity]]*Table4[[#This Row],[unit_price]]</f>
        <v>232.32</v>
      </c>
      <c r="M3773">
        <f>COUNTIFS($C$2:$C$3934,Table4[[#This Row],[customer_id]])</f>
        <v>6</v>
      </c>
      <c r="N3773" t="str">
        <f>IF(Table4[[#This Row],[customer_order_count]]=1,"New Customer","Repeat Customer")</f>
        <v>Repeat Customer</v>
      </c>
    </row>
    <row r="3774" spans="1:14">
      <c r="A3774" t="s">
        <v>3124</v>
      </c>
      <c r="B3774" s="1">
        <v>45341</v>
      </c>
      <c r="C3774" t="s">
        <v>990</v>
      </c>
      <c r="D3774" t="s">
        <v>991</v>
      </c>
      <c r="E3774" t="s">
        <v>21</v>
      </c>
      <c r="F3774" t="s">
        <v>56</v>
      </c>
      <c r="G3774" t="s">
        <v>153</v>
      </c>
      <c r="H3774">
        <v>1</v>
      </c>
      <c r="I3774" s="3">
        <v>116.23</v>
      </c>
      <c r="J3774" t="s">
        <v>16</v>
      </c>
      <c r="K3774" t="s">
        <v>30</v>
      </c>
      <c r="L3774" s="4">
        <f>Table4[[#This Row],[quantity]]*Table4[[#This Row],[unit_price]]</f>
        <v>116.23</v>
      </c>
      <c r="M3774">
        <f>COUNTIFS($C$2:$C$3934,Table4[[#This Row],[customer_id]])</f>
        <v>5</v>
      </c>
      <c r="N3774" t="str">
        <f>IF(Table4[[#This Row],[customer_order_count]]=1,"New Customer","Repeat Customer")</f>
        <v>Repeat Customer</v>
      </c>
    </row>
    <row r="3775" spans="1:14">
      <c r="A3775" t="s">
        <v>5012</v>
      </c>
      <c r="B3775" s="1">
        <v>44989</v>
      </c>
      <c r="C3775" t="s">
        <v>568</v>
      </c>
      <c r="D3775" t="s">
        <v>569</v>
      </c>
      <c r="E3775" t="s">
        <v>21</v>
      </c>
      <c r="F3775" t="s">
        <v>56</v>
      </c>
      <c r="G3775" t="s">
        <v>75</v>
      </c>
      <c r="H3775">
        <v>1</v>
      </c>
      <c r="I3775" s="3">
        <v>116.26</v>
      </c>
      <c r="J3775" t="s">
        <v>16</v>
      </c>
      <c r="K3775" t="s">
        <v>30</v>
      </c>
      <c r="L3775" s="4">
        <f>Table4[[#This Row],[quantity]]*Table4[[#This Row],[unit_price]]</f>
        <v>116.26</v>
      </c>
      <c r="M3775">
        <f>COUNTIFS($C$2:$C$3934,Table4[[#This Row],[customer_id]])</f>
        <v>4</v>
      </c>
      <c r="N3775" t="str">
        <f>IF(Table4[[#This Row],[customer_order_count]]=1,"New Customer","Repeat Customer")</f>
        <v>Repeat Customer</v>
      </c>
    </row>
    <row r="3776" spans="1:14">
      <c r="A3776" t="s">
        <v>3119</v>
      </c>
      <c r="B3776" s="1">
        <v>45443</v>
      </c>
      <c r="C3776" t="s">
        <v>1490</v>
      </c>
      <c r="D3776" t="s">
        <v>261</v>
      </c>
      <c r="E3776" t="s">
        <v>21</v>
      </c>
      <c r="F3776" t="s">
        <v>56</v>
      </c>
      <c r="G3776" t="s">
        <v>57</v>
      </c>
      <c r="H3776">
        <v>2</v>
      </c>
      <c r="I3776" s="3">
        <v>116.26</v>
      </c>
      <c r="J3776" t="s">
        <v>85</v>
      </c>
      <c r="K3776" s="2" t="s">
        <v>5256</v>
      </c>
      <c r="L3776" s="4">
        <f>Table4[[#This Row],[quantity]]*Table4[[#This Row],[unit_price]]</f>
        <v>232.52</v>
      </c>
      <c r="M3776">
        <f>COUNTIFS($C$2:$C$3934,Table4[[#This Row],[customer_id]])</f>
        <v>5</v>
      </c>
      <c r="N3776" t="str">
        <f>IF(Table4[[#This Row],[customer_order_count]]=1,"New Customer","Repeat Customer")</f>
        <v>Repeat Customer</v>
      </c>
    </row>
    <row r="3777" spans="1:14">
      <c r="A3777" t="s">
        <v>2255</v>
      </c>
      <c r="B3777" s="1">
        <v>45155</v>
      </c>
      <c r="C3777" t="s">
        <v>955</v>
      </c>
      <c r="D3777" t="s">
        <v>956</v>
      </c>
      <c r="E3777" t="s">
        <v>21</v>
      </c>
      <c r="F3777" t="s">
        <v>56</v>
      </c>
      <c r="G3777" t="s">
        <v>118</v>
      </c>
      <c r="H3777">
        <v>2</v>
      </c>
      <c r="I3777" s="3">
        <v>116.28</v>
      </c>
      <c r="J3777" t="s">
        <v>16</v>
      </c>
      <c r="K3777" s="5" t="s">
        <v>35</v>
      </c>
      <c r="L3777" s="4">
        <f>Table4[[#This Row],[quantity]]*Table4[[#This Row],[unit_price]]</f>
        <v>232.56</v>
      </c>
      <c r="M3777">
        <f>COUNTIFS($C$2:$C$3934,Table4[[#This Row],[customer_id]])</f>
        <v>5</v>
      </c>
      <c r="N3777" t="str">
        <f>IF(Table4[[#This Row],[customer_order_count]]=1,"New Customer","Repeat Customer")</f>
        <v>Repeat Customer</v>
      </c>
    </row>
    <row r="3778" spans="1:14">
      <c r="A3778" t="s">
        <v>3092</v>
      </c>
      <c r="B3778" s="1">
        <v>45329</v>
      </c>
      <c r="C3778" t="s">
        <v>1648</v>
      </c>
      <c r="D3778" t="s">
        <v>1208</v>
      </c>
      <c r="E3778" t="s">
        <v>61</v>
      </c>
      <c r="F3778" t="s">
        <v>56</v>
      </c>
      <c r="G3778" t="s">
        <v>254</v>
      </c>
      <c r="H3778">
        <v>1</v>
      </c>
      <c r="I3778" s="3">
        <v>116.4</v>
      </c>
      <c r="J3778" t="s">
        <v>16</v>
      </c>
      <c r="K3778" t="s">
        <v>35</v>
      </c>
      <c r="L3778" s="4">
        <f>Table4[[#This Row],[quantity]]*Table4[[#This Row],[unit_price]]</f>
        <v>116.4</v>
      </c>
      <c r="M3778">
        <f>COUNTIFS($C$2:$C$3934,Table4[[#This Row],[customer_id]])</f>
        <v>6</v>
      </c>
      <c r="N3778" t="str">
        <f>IF(Table4[[#This Row],[customer_order_count]]=1,"New Customer","Repeat Customer")</f>
        <v>Repeat Customer</v>
      </c>
    </row>
    <row r="3779" spans="1:14">
      <c r="A3779" t="s">
        <v>1104</v>
      </c>
      <c r="B3779" s="1">
        <v>44965</v>
      </c>
      <c r="C3779" t="s">
        <v>1105</v>
      </c>
      <c r="D3779" t="s">
        <v>609</v>
      </c>
      <c r="E3779" t="s">
        <v>21</v>
      </c>
      <c r="F3779" t="s">
        <v>79</v>
      </c>
      <c r="G3779" t="s">
        <v>166</v>
      </c>
      <c r="H3779">
        <v>1</v>
      </c>
      <c r="I3779" s="3">
        <v>116.42</v>
      </c>
      <c r="J3779" t="s">
        <v>85</v>
      </c>
      <c r="K3779" t="s">
        <v>35</v>
      </c>
      <c r="L3779" s="4">
        <f>Table4[[#This Row],[quantity]]*Table4[[#This Row],[unit_price]]</f>
        <v>116.42</v>
      </c>
      <c r="M3779">
        <f>COUNTIFS($C$2:$C$3934,Table4[[#This Row],[customer_id]])</f>
        <v>6</v>
      </c>
      <c r="N3779" t="str">
        <f>IF(Table4[[#This Row],[customer_order_count]]=1,"New Customer","Repeat Customer")</f>
        <v>Repeat Customer</v>
      </c>
    </row>
    <row r="3780" spans="1:14">
      <c r="A3780" t="s">
        <v>1830</v>
      </c>
      <c r="B3780" s="1">
        <v>45403</v>
      </c>
      <c r="C3780" t="s">
        <v>1831</v>
      </c>
      <c r="D3780" t="s">
        <v>1832</v>
      </c>
      <c r="E3780" t="s">
        <v>21</v>
      </c>
      <c r="F3780" t="s">
        <v>56</v>
      </c>
      <c r="G3780" t="s">
        <v>153</v>
      </c>
      <c r="H3780">
        <v>1</v>
      </c>
      <c r="I3780" s="3">
        <v>116.52</v>
      </c>
      <c r="J3780" t="s">
        <v>16</v>
      </c>
      <c r="K3780" t="s">
        <v>30</v>
      </c>
      <c r="L3780" s="4">
        <f>Table4[[#This Row],[quantity]]*Table4[[#This Row],[unit_price]]</f>
        <v>116.52</v>
      </c>
      <c r="M3780">
        <f>COUNTIFS($C$2:$C$3934,Table4[[#This Row],[customer_id]])</f>
        <v>5</v>
      </c>
      <c r="N3780" t="str">
        <f>IF(Table4[[#This Row],[customer_order_count]]=1,"New Customer","Repeat Customer")</f>
        <v>Repeat Customer</v>
      </c>
    </row>
    <row r="3781" spans="1:14">
      <c r="A3781" t="s">
        <v>2617</v>
      </c>
      <c r="B3781" s="1">
        <v>45313</v>
      </c>
      <c r="C3781" t="s">
        <v>2239</v>
      </c>
      <c r="D3781" t="s">
        <v>95</v>
      </c>
      <c r="E3781" t="s">
        <v>21</v>
      </c>
      <c r="F3781" t="s">
        <v>79</v>
      </c>
      <c r="G3781" t="s">
        <v>200</v>
      </c>
      <c r="H3781">
        <v>1</v>
      </c>
      <c r="I3781" s="3">
        <v>116.54</v>
      </c>
      <c r="J3781" t="s">
        <v>16</v>
      </c>
      <c r="K3781" t="s">
        <v>17</v>
      </c>
      <c r="L3781" s="4">
        <f>Table4[[#This Row],[quantity]]*Table4[[#This Row],[unit_price]]</f>
        <v>116.54</v>
      </c>
      <c r="M3781">
        <f>COUNTIFS($C$2:$C$3934,Table4[[#This Row],[customer_id]])</f>
        <v>10</v>
      </c>
      <c r="N3781" t="str">
        <f>IF(Table4[[#This Row],[customer_order_count]]=1,"New Customer","Repeat Customer")</f>
        <v>Repeat Customer</v>
      </c>
    </row>
    <row r="3782" spans="1:14">
      <c r="A3782" t="s">
        <v>2959</v>
      </c>
      <c r="B3782" s="1">
        <v>45054</v>
      </c>
      <c r="C3782" t="s">
        <v>172</v>
      </c>
      <c r="D3782" t="s">
        <v>173</v>
      </c>
      <c r="E3782" t="s">
        <v>61</v>
      </c>
      <c r="F3782" t="s">
        <v>56</v>
      </c>
      <c r="G3782" t="s">
        <v>57</v>
      </c>
      <c r="H3782">
        <v>1</v>
      </c>
      <c r="I3782" s="3">
        <v>116.55</v>
      </c>
      <c r="J3782" t="s">
        <v>16</v>
      </c>
      <c r="K3782" t="s">
        <v>40</v>
      </c>
      <c r="L3782" s="4">
        <f>Table4[[#This Row],[quantity]]*Table4[[#This Row],[unit_price]]</f>
        <v>116.55</v>
      </c>
      <c r="M3782">
        <f>COUNTIFS($C$2:$C$3934,Table4[[#This Row],[customer_id]])</f>
        <v>3</v>
      </c>
      <c r="N3782" t="str">
        <f>IF(Table4[[#This Row],[customer_order_count]]=1,"New Customer","Repeat Customer")</f>
        <v>Repeat Customer</v>
      </c>
    </row>
    <row r="3783" spans="1:14">
      <c r="A3783" t="s">
        <v>3648</v>
      </c>
      <c r="B3783" s="1">
        <v>45064</v>
      </c>
      <c r="C3783" t="s">
        <v>1397</v>
      </c>
      <c r="D3783" t="s">
        <v>383</v>
      </c>
      <c r="E3783" t="s">
        <v>44</v>
      </c>
      <c r="F3783" t="s">
        <v>56</v>
      </c>
      <c r="G3783" t="s">
        <v>153</v>
      </c>
      <c r="H3783">
        <v>1</v>
      </c>
      <c r="I3783" s="3">
        <v>116.58</v>
      </c>
      <c r="J3783" t="s">
        <v>16</v>
      </c>
      <c r="K3783" t="s">
        <v>17</v>
      </c>
      <c r="L3783" s="4">
        <f>Table4[[#This Row],[quantity]]*Table4[[#This Row],[unit_price]]</f>
        <v>116.58</v>
      </c>
      <c r="M3783">
        <f>COUNTIFS($C$2:$C$3934,Table4[[#This Row],[customer_id]])</f>
        <v>9</v>
      </c>
      <c r="N3783" t="str">
        <f>IF(Table4[[#This Row],[customer_order_count]]=1,"New Customer","Repeat Customer")</f>
        <v>Repeat Customer</v>
      </c>
    </row>
    <row r="3784" spans="1:14">
      <c r="A3784" t="s">
        <v>915</v>
      </c>
      <c r="B3784" s="1">
        <v>45649</v>
      </c>
      <c r="C3784" t="s">
        <v>916</v>
      </c>
      <c r="D3784" t="s">
        <v>917</v>
      </c>
      <c r="E3784" t="s">
        <v>21</v>
      </c>
      <c r="F3784" t="s">
        <v>79</v>
      </c>
      <c r="G3784" t="s">
        <v>200</v>
      </c>
      <c r="H3784">
        <v>1</v>
      </c>
      <c r="I3784" s="3">
        <v>116.66</v>
      </c>
      <c r="J3784" t="s">
        <v>16</v>
      </c>
      <c r="K3784" t="s">
        <v>17</v>
      </c>
      <c r="L3784" s="4">
        <f>Table4[[#This Row],[quantity]]*Table4[[#This Row],[unit_price]]</f>
        <v>116.66</v>
      </c>
      <c r="M3784">
        <f>COUNTIFS($C$2:$C$3934,Table4[[#This Row],[customer_id]])</f>
        <v>3</v>
      </c>
      <c r="N3784" t="str">
        <f>IF(Table4[[#This Row],[customer_order_count]]=1,"New Customer","Repeat Customer")</f>
        <v>Repeat Customer</v>
      </c>
    </row>
    <row r="3785" spans="1:14">
      <c r="A3785" t="s">
        <v>2553</v>
      </c>
      <c r="B3785" s="1">
        <v>45010</v>
      </c>
      <c r="C3785" t="s">
        <v>2554</v>
      </c>
      <c r="D3785" t="s">
        <v>1517</v>
      </c>
      <c r="E3785" t="s">
        <v>106</v>
      </c>
      <c r="F3785" t="s">
        <v>79</v>
      </c>
      <c r="G3785" t="s">
        <v>204</v>
      </c>
      <c r="H3785">
        <v>3</v>
      </c>
      <c r="I3785" s="3">
        <v>116.66</v>
      </c>
      <c r="J3785" t="s">
        <v>16</v>
      </c>
      <c r="K3785" s="2" t="s">
        <v>5256</v>
      </c>
      <c r="L3785" s="4">
        <f>Table4[[#This Row],[quantity]]*Table4[[#This Row],[unit_price]]</f>
        <v>349.98</v>
      </c>
      <c r="M3785">
        <f>COUNTIFS($C$2:$C$3934,Table4[[#This Row],[customer_id]])</f>
        <v>1</v>
      </c>
      <c r="N3785" t="str">
        <f>IF(Table4[[#This Row],[customer_order_count]]=1,"New Customer","Repeat Customer")</f>
        <v>New Customer</v>
      </c>
    </row>
    <row r="3786" spans="1:14">
      <c r="A3786" t="s">
        <v>5214</v>
      </c>
      <c r="B3786" s="1">
        <v>44955</v>
      </c>
      <c r="C3786" t="s">
        <v>3277</v>
      </c>
      <c r="D3786" t="s">
        <v>1156</v>
      </c>
      <c r="E3786" t="s">
        <v>44</v>
      </c>
      <c r="F3786" t="s">
        <v>56</v>
      </c>
      <c r="G3786" t="s">
        <v>75</v>
      </c>
      <c r="H3786">
        <v>2</v>
      </c>
      <c r="I3786" s="3">
        <v>116.71</v>
      </c>
      <c r="J3786" t="s">
        <v>16</v>
      </c>
      <c r="K3786" s="5" t="s">
        <v>17</v>
      </c>
      <c r="L3786" s="4">
        <f>Table4[[#This Row],[quantity]]*Table4[[#This Row],[unit_price]]</f>
        <v>233.42</v>
      </c>
      <c r="M3786">
        <f>COUNTIFS($C$2:$C$3934,Table4[[#This Row],[customer_id]])</f>
        <v>2</v>
      </c>
      <c r="N3786" t="str">
        <f>IF(Table4[[#This Row],[customer_order_count]]=1,"New Customer","Repeat Customer")</f>
        <v>Repeat Customer</v>
      </c>
    </row>
    <row r="3787" spans="1:14">
      <c r="A3787" t="s">
        <v>4515</v>
      </c>
      <c r="B3787" s="1">
        <v>45336</v>
      </c>
      <c r="C3787" t="s">
        <v>1152</v>
      </c>
      <c r="D3787" t="s">
        <v>1153</v>
      </c>
      <c r="E3787" t="s">
        <v>21</v>
      </c>
      <c r="F3787" t="s">
        <v>56</v>
      </c>
      <c r="G3787" t="s">
        <v>153</v>
      </c>
      <c r="H3787">
        <v>2</v>
      </c>
      <c r="I3787" s="3">
        <v>116.75</v>
      </c>
      <c r="J3787" t="s">
        <v>16</v>
      </c>
      <c r="K3787" t="s">
        <v>30</v>
      </c>
      <c r="L3787" s="4">
        <f>Table4[[#This Row],[quantity]]*Table4[[#This Row],[unit_price]]</f>
        <v>233.5</v>
      </c>
      <c r="M3787">
        <f>COUNTIFS($C$2:$C$3934,Table4[[#This Row],[customer_id]])</f>
        <v>4</v>
      </c>
      <c r="N3787" t="str">
        <f>IF(Table4[[#This Row],[customer_order_count]]=1,"New Customer","Repeat Customer")</f>
        <v>Repeat Customer</v>
      </c>
    </row>
    <row r="3788" spans="1:14">
      <c r="A3788" t="s">
        <v>3784</v>
      </c>
      <c r="B3788" s="1">
        <v>45391</v>
      </c>
      <c r="C3788" t="s">
        <v>185</v>
      </c>
      <c r="D3788" t="s">
        <v>186</v>
      </c>
      <c r="E3788" t="s">
        <v>21</v>
      </c>
      <c r="F3788" t="s">
        <v>79</v>
      </c>
      <c r="G3788" t="s">
        <v>80</v>
      </c>
      <c r="H3788">
        <v>2</v>
      </c>
      <c r="I3788" s="3">
        <v>117.03</v>
      </c>
      <c r="J3788" t="s">
        <v>16</v>
      </c>
      <c r="K3788" t="s">
        <v>30</v>
      </c>
      <c r="L3788" s="4">
        <f>Table4[[#This Row],[quantity]]*Table4[[#This Row],[unit_price]]</f>
        <v>234.06</v>
      </c>
      <c r="M3788">
        <f>COUNTIFS($C$2:$C$3934,Table4[[#This Row],[customer_id]])</f>
        <v>4</v>
      </c>
      <c r="N3788" t="str">
        <f>IF(Table4[[#This Row],[customer_order_count]]=1,"New Customer","Repeat Customer")</f>
        <v>Repeat Customer</v>
      </c>
    </row>
    <row r="3789" spans="1:14">
      <c r="A3789" t="s">
        <v>4160</v>
      </c>
      <c r="B3789" s="1">
        <v>45125</v>
      </c>
      <c r="C3789" t="s">
        <v>551</v>
      </c>
      <c r="D3789" t="s">
        <v>220</v>
      </c>
      <c r="E3789" t="s">
        <v>21</v>
      </c>
      <c r="F3789" t="s">
        <v>56</v>
      </c>
      <c r="G3789" t="s">
        <v>57</v>
      </c>
      <c r="H3789">
        <v>1</v>
      </c>
      <c r="I3789" s="3">
        <v>117.08</v>
      </c>
      <c r="J3789" t="s">
        <v>16</v>
      </c>
      <c r="K3789" t="s">
        <v>17</v>
      </c>
      <c r="L3789" s="4">
        <f>Table4[[#This Row],[quantity]]*Table4[[#This Row],[unit_price]]</f>
        <v>117.08</v>
      </c>
      <c r="M3789">
        <f>COUNTIFS($C$2:$C$3934,Table4[[#This Row],[customer_id]])</f>
        <v>8</v>
      </c>
      <c r="N3789" t="str">
        <f>IF(Table4[[#This Row],[customer_order_count]]=1,"New Customer","Repeat Customer")</f>
        <v>Repeat Customer</v>
      </c>
    </row>
    <row r="3790" spans="1:14">
      <c r="A3790" t="s">
        <v>5102</v>
      </c>
      <c r="B3790" s="1">
        <v>44959</v>
      </c>
      <c r="C3790" t="s">
        <v>2275</v>
      </c>
      <c r="D3790" t="s">
        <v>582</v>
      </c>
      <c r="E3790" t="s">
        <v>21</v>
      </c>
      <c r="F3790" t="s">
        <v>56</v>
      </c>
      <c r="G3790" t="s">
        <v>422</v>
      </c>
      <c r="H3790">
        <v>1</v>
      </c>
      <c r="I3790" s="3">
        <v>117.23</v>
      </c>
      <c r="J3790" t="s">
        <v>16</v>
      </c>
      <c r="K3790" t="s">
        <v>35</v>
      </c>
      <c r="L3790" s="4">
        <f>Table4[[#This Row],[quantity]]*Table4[[#This Row],[unit_price]]</f>
        <v>117.23</v>
      </c>
      <c r="M3790">
        <f>COUNTIFS($C$2:$C$3934,Table4[[#This Row],[customer_id]])</f>
        <v>5</v>
      </c>
      <c r="N3790" t="str">
        <f>IF(Table4[[#This Row],[customer_order_count]]=1,"New Customer","Repeat Customer")</f>
        <v>Repeat Customer</v>
      </c>
    </row>
    <row r="3791" spans="1:14">
      <c r="A3791" t="s">
        <v>3904</v>
      </c>
      <c r="B3791" s="1">
        <v>45108</v>
      </c>
      <c r="C3791" t="s">
        <v>1246</v>
      </c>
      <c r="D3791" t="s">
        <v>947</v>
      </c>
      <c r="E3791" t="s">
        <v>21</v>
      </c>
      <c r="F3791" t="s">
        <v>56</v>
      </c>
      <c r="G3791" t="s">
        <v>118</v>
      </c>
      <c r="H3791">
        <v>2</v>
      </c>
      <c r="I3791" s="3">
        <v>117.42</v>
      </c>
      <c r="J3791" t="s">
        <v>16</v>
      </c>
      <c r="K3791" t="s">
        <v>40</v>
      </c>
      <c r="L3791" s="4">
        <f>Table4[[#This Row],[quantity]]*Table4[[#This Row],[unit_price]]</f>
        <v>234.84</v>
      </c>
      <c r="M3791">
        <f>COUNTIFS($C$2:$C$3934,Table4[[#This Row],[customer_id]])</f>
        <v>8</v>
      </c>
      <c r="N3791" t="str">
        <f>IF(Table4[[#This Row],[customer_order_count]]=1,"New Customer","Repeat Customer")</f>
        <v>Repeat Customer</v>
      </c>
    </row>
    <row r="3792" spans="1:14">
      <c r="A3792" t="s">
        <v>4553</v>
      </c>
      <c r="B3792" s="1">
        <v>45168</v>
      </c>
      <c r="C3792" t="s">
        <v>312</v>
      </c>
      <c r="D3792" t="s">
        <v>313</v>
      </c>
      <c r="E3792" t="s">
        <v>21</v>
      </c>
      <c r="F3792" t="s">
        <v>79</v>
      </c>
      <c r="G3792" t="s">
        <v>541</v>
      </c>
      <c r="H3792">
        <v>1</v>
      </c>
      <c r="I3792" s="3">
        <v>118.07</v>
      </c>
      <c r="J3792" t="s">
        <v>16</v>
      </c>
      <c r="K3792" t="s">
        <v>35</v>
      </c>
      <c r="L3792" s="4">
        <f>Table4[[#This Row],[quantity]]*Table4[[#This Row],[unit_price]]</f>
        <v>118.07</v>
      </c>
      <c r="M3792">
        <f>COUNTIFS($C$2:$C$3934,Table4[[#This Row],[customer_id]])</f>
        <v>7</v>
      </c>
      <c r="N3792" t="str">
        <f>IF(Table4[[#This Row],[customer_order_count]]=1,"New Customer","Repeat Customer")</f>
        <v>Repeat Customer</v>
      </c>
    </row>
    <row r="3793" spans="1:14">
      <c r="A3793" t="s">
        <v>2061</v>
      </c>
      <c r="B3793" s="1">
        <v>45207</v>
      </c>
      <c r="C3793" t="s">
        <v>69</v>
      </c>
      <c r="D3793" t="s">
        <v>820</v>
      </c>
      <c r="E3793" t="s">
        <v>21</v>
      </c>
      <c r="F3793" t="s">
        <v>79</v>
      </c>
      <c r="G3793" t="s">
        <v>200</v>
      </c>
      <c r="H3793">
        <v>1</v>
      </c>
      <c r="I3793" s="3">
        <v>118.36</v>
      </c>
      <c r="J3793" t="s">
        <v>16</v>
      </c>
      <c r="K3793" s="2" t="s">
        <v>5256</v>
      </c>
      <c r="L3793" s="4">
        <f>Table4[[#This Row],[quantity]]*Table4[[#This Row],[unit_price]]</f>
        <v>118.36</v>
      </c>
      <c r="M3793">
        <f>COUNTIFS($C$2:$C$3934,Table4[[#This Row],[customer_id]])</f>
        <v>8</v>
      </c>
      <c r="N3793" t="str">
        <f>IF(Table4[[#This Row],[customer_order_count]]=1,"New Customer","Repeat Customer")</f>
        <v>Repeat Customer</v>
      </c>
    </row>
    <row r="3794" spans="1:14">
      <c r="A3794" t="s">
        <v>2001</v>
      </c>
      <c r="B3794" s="1">
        <v>45458</v>
      </c>
      <c r="C3794" t="s">
        <v>2002</v>
      </c>
      <c r="D3794" t="s">
        <v>612</v>
      </c>
      <c r="E3794" t="s">
        <v>21</v>
      </c>
      <c r="F3794" t="s">
        <v>56</v>
      </c>
      <c r="G3794" t="s">
        <v>210</v>
      </c>
      <c r="H3794">
        <v>3</v>
      </c>
      <c r="I3794" s="3">
        <v>118.45</v>
      </c>
      <c r="J3794" t="s">
        <v>16</v>
      </c>
      <c r="K3794" s="5" t="s">
        <v>17</v>
      </c>
      <c r="L3794" s="4">
        <f>Table4[[#This Row],[quantity]]*Table4[[#This Row],[unit_price]]</f>
        <v>355.35</v>
      </c>
      <c r="M3794">
        <f>COUNTIFS($C$2:$C$3934,Table4[[#This Row],[customer_id]])</f>
        <v>5</v>
      </c>
      <c r="N3794" t="str">
        <f>IF(Table4[[#This Row],[customer_order_count]]=1,"New Customer","Repeat Customer")</f>
        <v>Repeat Customer</v>
      </c>
    </row>
    <row r="3795" spans="1:14">
      <c r="A3795" t="s">
        <v>1382</v>
      </c>
      <c r="B3795" s="1">
        <v>45301</v>
      </c>
      <c r="C3795" t="s">
        <v>983</v>
      </c>
      <c r="D3795" t="s">
        <v>237</v>
      </c>
      <c r="E3795" t="s">
        <v>44</v>
      </c>
      <c r="F3795" t="s">
        <v>56</v>
      </c>
      <c r="G3795" t="s">
        <v>118</v>
      </c>
      <c r="H3795">
        <v>1</v>
      </c>
      <c r="I3795" s="3">
        <v>118.49</v>
      </c>
      <c r="J3795" t="s">
        <v>16</v>
      </c>
      <c r="K3795" s="2" t="s">
        <v>5256</v>
      </c>
      <c r="L3795" s="4">
        <f>Table4[[#This Row],[quantity]]*Table4[[#This Row],[unit_price]]</f>
        <v>118.49</v>
      </c>
      <c r="M3795">
        <f>COUNTIFS($C$2:$C$3934,Table4[[#This Row],[customer_id]])</f>
        <v>7</v>
      </c>
      <c r="N3795" t="str">
        <f>IF(Table4[[#This Row],[customer_order_count]]=1,"New Customer","Repeat Customer")</f>
        <v>Repeat Customer</v>
      </c>
    </row>
    <row r="3796" spans="1:14">
      <c r="A3796" t="s">
        <v>2377</v>
      </c>
      <c r="B3796" s="1">
        <v>45025</v>
      </c>
      <c r="C3796" t="s">
        <v>2378</v>
      </c>
      <c r="D3796" t="s">
        <v>2379</v>
      </c>
      <c r="E3796" t="s">
        <v>21</v>
      </c>
      <c r="F3796" t="s">
        <v>56</v>
      </c>
      <c r="G3796" t="s">
        <v>75</v>
      </c>
      <c r="H3796">
        <v>2</v>
      </c>
      <c r="I3796" s="3">
        <v>118.51</v>
      </c>
      <c r="J3796" t="s">
        <v>16</v>
      </c>
      <c r="K3796" s="5" t="s">
        <v>35</v>
      </c>
      <c r="L3796" s="4">
        <f>Table4[[#This Row],[quantity]]*Table4[[#This Row],[unit_price]]</f>
        <v>237.02</v>
      </c>
      <c r="M3796">
        <f>COUNTIFS($C$2:$C$3934,Table4[[#This Row],[customer_id]])</f>
        <v>3</v>
      </c>
      <c r="N3796" t="str">
        <f>IF(Table4[[#This Row],[customer_order_count]]=1,"New Customer","Repeat Customer")</f>
        <v>Repeat Customer</v>
      </c>
    </row>
    <row r="3797" spans="1:14">
      <c r="A3797" t="s">
        <v>2598</v>
      </c>
      <c r="B3797" s="1">
        <v>45368</v>
      </c>
      <c r="C3797" t="s">
        <v>853</v>
      </c>
      <c r="D3797" t="s">
        <v>854</v>
      </c>
      <c r="E3797" t="s">
        <v>21</v>
      </c>
      <c r="F3797" t="s">
        <v>56</v>
      </c>
      <c r="G3797" t="s">
        <v>75</v>
      </c>
      <c r="H3797">
        <v>1</v>
      </c>
      <c r="I3797" s="3">
        <v>118.67</v>
      </c>
      <c r="J3797" t="s">
        <v>24</v>
      </c>
      <c r="K3797" t="s">
        <v>40</v>
      </c>
      <c r="L3797" s="4">
        <f>Table4[[#This Row],[quantity]]*Table4[[#This Row],[unit_price]]</f>
        <v>118.67</v>
      </c>
      <c r="M3797">
        <f>COUNTIFS($C$2:$C$3934,Table4[[#This Row],[customer_id]])</f>
        <v>9</v>
      </c>
      <c r="N3797" t="str">
        <f>IF(Table4[[#This Row],[customer_order_count]]=1,"New Customer","Repeat Customer")</f>
        <v>Repeat Customer</v>
      </c>
    </row>
    <row r="3798" spans="1:14">
      <c r="A3798" t="s">
        <v>2404</v>
      </c>
      <c r="B3798" s="1">
        <v>45201</v>
      </c>
      <c r="C3798" t="s">
        <v>2157</v>
      </c>
      <c r="D3798" t="s">
        <v>576</v>
      </c>
      <c r="E3798" t="s">
        <v>44</v>
      </c>
      <c r="F3798" t="s">
        <v>79</v>
      </c>
      <c r="G3798" t="s">
        <v>80</v>
      </c>
      <c r="H3798">
        <v>1</v>
      </c>
      <c r="I3798" s="3">
        <v>118.74</v>
      </c>
      <c r="J3798" t="s">
        <v>16</v>
      </c>
      <c r="K3798" t="s">
        <v>40</v>
      </c>
      <c r="L3798" s="4">
        <f>Table4[[#This Row],[quantity]]*Table4[[#This Row],[unit_price]]</f>
        <v>118.74</v>
      </c>
      <c r="M3798">
        <f>COUNTIFS($C$2:$C$3934,Table4[[#This Row],[customer_id]])</f>
        <v>4</v>
      </c>
      <c r="N3798" t="str">
        <f>IF(Table4[[#This Row],[customer_order_count]]=1,"New Customer","Repeat Customer")</f>
        <v>Repeat Customer</v>
      </c>
    </row>
    <row r="3799" spans="1:14">
      <c r="A3799" t="s">
        <v>399</v>
      </c>
      <c r="B3799" s="1">
        <v>45179</v>
      </c>
      <c r="C3799" t="s">
        <v>400</v>
      </c>
      <c r="D3799" t="s">
        <v>365</v>
      </c>
      <c r="E3799" t="s">
        <v>21</v>
      </c>
      <c r="F3799" t="s">
        <v>79</v>
      </c>
      <c r="G3799" t="s">
        <v>200</v>
      </c>
      <c r="H3799">
        <v>1</v>
      </c>
      <c r="I3799" s="3">
        <v>118.8</v>
      </c>
      <c r="J3799" t="s">
        <v>24</v>
      </c>
      <c r="K3799" t="s">
        <v>30</v>
      </c>
      <c r="L3799" s="4">
        <f>Table4[[#This Row],[quantity]]*Table4[[#This Row],[unit_price]]</f>
        <v>118.8</v>
      </c>
      <c r="M3799">
        <f>COUNTIFS($C$2:$C$3934,Table4[[#This Row],[customer_id]])</f>
        <v>7</v>
      </c>
      <c r="N3799" t="str">
        <f>IF(Table4[[#This Row],[customer_order_count]]=1,"New Customer","Repeat Customer")</f>
        <v>Repeat Customer</v>
      </c>
    </row>
    <row r="3800" spans="1:14">
      <c r="A3800" t="s">
        <v>3631</v>
      </c>
      <c r="B3800" s="1">
        <v>45257</v>
      </c>
      <c r="C3800" t="s">
        <v>488</v>
      </c>
      <c r="D3800" t="s">
        <v>52</v>
      </c>
      <c r="E3800" t="s">
        <v>21</v>
      </c>
      <c r="F3800" t="s">
        <v>79</v>
      </c>
      <c r="G3800" t="s">
        <v>398</v>
      </c>
      <c r="H3800">
        <v>1</v>
      </c>
      <c r="I3800" s="3">
        <v>118.82</v>
      </c>
      <c r="J3800" t="s">
        <v>85</v>
      </c>
      <c r="K3800" t="s">
        <v>30</v>
      </c>
      <c r="L3800" s="4">
        <f>Table4[[#This Row],[quantity]]*Table4[[#This Row],[unit_price]]</f>
        <v>118.82</v>
      </c>
      <c r="M3800">
        <f>COUNTIFS($C$2:$C$3934,Table4[[#This Row],[customer_id]])</f>
        <v>4</v>
      </c>
      <c r="N3800" t="str">
        <f>IF(Table4[[#This Row],[customer_order_count]]=1,"New Customer","Repeat Customer")</f>
        <v>Repeat Customer</v>
      </c>
    </row>
    <row r="3801" spans="1:14">
      <c r="A3801" t="s">
        <v>1141</v>
      </c>
      <c r="B3801" s="1">
        <v>45442</v>
      </c>
      <c r="C3801" t="s">
        <v>1142</v>
      </c>
      <c r="D3801" t="s">
        <v>758</v>
      </c>
      <c r="E3801" t="s">
        <v>21</v>
      </c>
      <c r="F3801" t="s">
        <v>56</v>
      </c>
      <c r="G3801" t="s">
        <v>422</v>
      </c>
      <c r="H3801">
        <v>1</v>
      </c>
      <c r="I3801" s="3">
        <v>118.83</v>
      </c>
      <c r="J3801" t="s">
        <v>85</v>
      </c>
      <c r="K3801" t="s">
        <v>30</v>
      </c>
      <c r="L3801" s="4">
        <f>Table4[[#This Row],[quantity]]*Table4[[#This Row],[unit_price]]</f>
        <v>118.83</v>
      </c>
      <c r="M3801">
        <f>COUNTIFS($C$2:$C$3934,Table4[[#This Row],[customer_id]])</f>
        <v>3</v>
      </c>
      <c r="N3801" t="str">
        <f>IF(Table4[[#This Row],[customer_order_count]]=1,"New Customer","Repeat Customer")</f>
        <v>Repeat Customer</v>
      </c>
    </row>
    <row r="3802" spans="1:14">
      <c r="A3802" t="s">
        <v>2747</v>
      </c>
      <c r="B3802" s="1">
        <v>45051</v>
      </c>
      <c r="C3802" t="s">
        <v>2457</v>
      </c>
      <c r="D3802" t="s">
        <v>1065</v>
      </c>
      <c r="E3802" t="s">
        <v>21</v>
      </c>
      <c r="F3802" t="s">
        <v>56</v>
      </c>
      <c r="G3802" t="s">
        <v>422</v>
      </c>
      <c r="H3802">
        <v>5</v>
      </c>
      <c r="I3802" s="3">
        <v>118.89</v>
      </c>
      <c r="J3802" t="s">
        <v>16</v>
      </c>
      <c r="K3802" t="s">
        <v>35</v>
      </c>
      <c r="L3802" s="4">
        <f>Table4[[#This Row],[quantity]]*Table4[[#This Row],[unit_price]]</f>
        <v>594.45000000000005</v>
      </c>
      <c r="M3802">
        <f>COUNTIFS($C$2:$C$3934,Table4[[#This Row],[customer_id]])</f>
        <v>3</v>
      </c>
      <c r="N3802" t="str">
        <f>IF(Table4[[#This Row],[customer_order_count]]=1,"New Customer","Repeat Customer")</f>
        <v>Repeat Customer</v>
      </c>
    </row>
    <row r="3803" spans="1:14">
      <c r="A3803" t="s">
        <v>4768</v>
      </c>
      <c r="B3803" s="1">
        <v>45512</v>
      </c>
      <c r="C3803" t="s">
        <v>1197</v>
      </c>
      <c r="D3803" t="s">
        <v>152</v>
      </c>
      <c r="E3803" t="s">
        <v>21</v>
      </c>
      <c r="F3803" t="s">
        <v>56</v>
      </c>
      <c r="G3803" t="s">
        <v>153</v>
      </c>
      <c r="H3803">
        <v>1</v>
      </c>
      <c r="I3803" s="3">
        <v>119.14</v>
      </c>
      <c r="J3803" t="s">
        <v>16</v>
      </c>
      <c r="K3803" t="s">
        <v>17</v>
      </c>
      <c r="L3803" s="4">
        <f>Table4[[#This Row],[quantity]]*Table4[[#This Row],[unit_price]]</f>
        <v>119.14</v>
      </c>
      <c r="M3803">
        <f>COUNTIFS($C$2:$C$3934,Table4[[#This Row],[customer_id]])</f>
        <v>3</v>
      </c>
      <c r="N3803" t="str">
        <f>IF(Table4[[#This Row],[customer_order_count]]=1,"New Customer","Repeat Customer")</f>
        <v>Repeat Customer</v>
      </c>
    </row>
    <row r="3804" spans="1:14">
      <c r="A3804" t="s">
        <v>858</v>
      </c>
      <c r="B3804" s="1">
        <v>45208</v>
      </c>
      <c r="C3804" t="s">
        <v>859</v>
      </c>
      <c r="D3804" t="s">
        <v>444</v>
      </c>
      <c r="E3804" t="s">
        <v>21</v>
      </c>
      <c r="F3804" t="s">
        <v>56</v>
      </c>
      <c r="G3804" t="s">
        <v>422</v>
      </c>
      <c r="H3804">
        <v>1</v>
      </c>
      <c r="I3804" s="3">
        <v>119.15</v>
      </c>
      <c r="J3804" t="s">
        <v>16</v>
      </c>
      <c r="K3804" t="s">
        <v>35</v>
      </c>
      <c r="L3804" s="4">
        <f>Table4[[#This Row],[quantity]]*Table4[[#This Row],[unit_price]]</f>
        <v>119.15</v>
      </c>
      <c r="M3804">
        <f>COUNTIFS($C$2:$C$3934,Table4[[#This Row],[customer_id]])</f>
        <v>4</v>
      </c>
      <c r="N3804" t="str">
        <f>IF(Table4[[#This Row],[customer_order_count]]=1,"New Customer","Repeat Customer")</f>
        <v>Repeat Customer</v>
      </c>
    </row>
    <row r="3805" spans="1:14">
      <c r="A3805" t="s">
        <v>3599</v>
      </c>
      <c r="B3805" s="1">
        <v>44946</v>
      </c>
      <c r="C3805" t="s">
        <v>1291</v>
      </c>
      <c r="D3805" t="s">
        <v>1292</v>
      </c>
      <c r="E3805" t="s">
        <v>21</v>
      </c>
      <c r="F3805" t="s">
        <v>79</v>
      </c>
      <c r="G3805" t="s">
        <v>80</v>
      </c>
      <c r="H3805">
        <v>3</v>
      </c>
      <c r="I3805" s="3">
        <v>119.29</v>
      </c>
      <c r="J3805" t="s">
        <v>16</v>
      </c>
      <c r="K3805" t="s">
        <v>17</v>
      </c>
      <c r="L3805" s="4">
        <f>Table4[[#This Row],[quantity]]*Table4[[#This Row],[unit_price]]</f>
        <v>357.87</v>
      </c>
      <c r="M3805">
        <f>COUNTIFS($C$2:$C$3934,Table4[[#This Row],[customer_id]])</f>
        <v>6</v>
      </c>
      <c r="N3805" t="str">
        <f>IF(Table4[[#This Row],[customer_order_count]]=1,"New Customer","Repeat Customer")</f>
        <v>Repeat Customer</v>
      </c>
    </row>
    <row r="3806" spans="1:14">
      <c r="A3806" t="s">
        <v>3720</v>
      </c>
      <c r="B3806" s="1">
        <v>45171</v>
      </c>
      <c r="C3806" t="s">
        <v>2279</v>
      </c>
      <c r="D3806" t="s">
        <v>237</v>
      </c>
      <c r="E3806" t="s">
        <v>21</v>
      </c>
      <c r="F3806" t="s">
        <v>79</v>
      </c>
      <c r="G3806" t="s">
        <v>230</v>
      </c>
      <c r="H3806">
        <v>2</v>
      </c>
      <c r="I3806" s="3">
        <v>119.49</v>
      </c>
      <c r="J3806" t="s">
        <v>16</v>
      </c>
      <c r="K3806" t="s">
        <v>40</v>
      </c>
      <c r="L3806" s="4">
        <f>Table4[[#This Row],[quantity]]*Table4[[#This Row],[unit_price]]</f>
        <v>238.98</v>
      </c>
      <c r="M3806">
        <f>COUNTIFS($C$2:$C$3934,Table4[[#This Row],[customer_id]])</f>
        <v>5</v>
      </c>
      <c r="N3806" t="str">
        <f>IF(Table4[[#This Row],[customer_order_count]]=1,"New Customer","Repeat Customer")</f>
        <v>Repeat Customer</v>
      </c>
    </row>
    <row r="3807" spans="1:14">
      <c r="A3807" t="s">
        <v>2599</v>
      </c>
      <c r="B3807" s="1">
        <v>44972</v>
      </c>
      <c r="C3807" t="s">
        <v>1074</v>
      </c>
      <c r="D3807" t="s">
        <v>281</v>
      </c>
      <c r="E3807" t="s">
        <v>21</v>
      </c>
      <c r="F3807" t="s">
        <v>56</v>
      </c>
      <c r="G3807" t="s">
        <v>210</v>
      </c>
      <c r="H3807">
        <v>2</v>
      </c>
      <c r="I3807" s="3">
        <v>119.54</v>
      </c>
      <c r="J3807" t="s">
        <v>16</v>
      </c>
      <c r="K3807" t="s">
        <v>40</v>
      </c>
      <c r="L3807" s="4">
        <f>Table4[[#This Row],[quantity]]*Table4[[#This Row],[unit_price]]</f>
        <v>239.08</v>
      </c>
      <c r="M3807">
        <f>COUNTIFS($C$2:$C$3934,Table4[[#This Row],[customer_id]])</f>
        <v>6</v>
      </c>
      <c r="N3807" t="str">
        <f>IF(Table4[[#This Row],[customer_order_count]]=1,"New Customer","Repeat Customer")</f>
        <v>Repeat Customer</v>
      </c>
    </row>
    <row r="3808" spans="1:14">
      <c r="A3808" t="s">
        <v>1408</v>
      </c>
      <c r="B3808" s="1">
        <v>45038</v>
      </c>
      <c r="C3808" t="s">
        <v>1355</v>
      </c>
      <c r="D3808" t="s">
        <v>138</v>
      </c>
      <c r="E3808" t="s">
        <v>21</v>
      </c>
      <c r="F3808" t="s">
        <v>79</v>
      </c>
      <c r="G3808" t="s">
        <v>204</v>
      </c>
      <c r="H3808">
        <v>1</v>
      </c>
      <c r="I3808" s="3">
        <v>119.61</v>
      </c>
      <c r="J3808" t="s">
        <v>16</v>
      </c>
      <c r="K3808" t="s">
        <v>35</v>
      </c>
      <c r="L3808" s="4">
        <f>Table4[[#This Row],[quantity]]*Table4[[#This Row],[unit_price]]</f>
        <v>119.61</v>
      </c>
      <c r="M3808">
        <f>COUNTIFS($C$2:$C$3934,Table4[[#This Row],[customer_id]])</f>
        <v>4</v>
      </c>
      <c r="N3808" t="str">
        <f>IF(Table4[[#This Row],[customer_order_count]]=1,"New Customer","Repeat Customer")</f>
        <v>Repeat Customer</v>
      </c>
    </row>
    <row r="3809" spans="1:14">
      <c r="A3809" t="s">
        <v>3893</v>
      </c>
      <c r="B3809" s="1">
        <v>44961</v>
      </c>
      <c r="C3809" t="s">
        <v>431</v>
      </c>
      <c r="D3809" t="s">
        <v>432</v>
      </c>
      <c r="E3809" t="s">
        <v>21</v>
      </c>
      <c r="F3809" t="s">
        <v>79</v>
      </c>
      <c r="G3809" t="s">
        <v>230</v>
      </c>
      <c r="H3809">
        <v>1</v>
      </c>
      <c r="I3809" s="3">
        <v>119.65</v>
      </c>
      <c r="J3809" t="s">
        <v>16</v>
      </c>
      <c r="K3809" t="s">
        <v>30</v>
      </c>
      <c r="L3809" s="4">
        <f>Table4[[#This Row],[quantity]]*Table4[[#This Row],[unit_price]]</f>
        <v>119.65</v>
      </c>
      <c r="M3809">
        <f>COUNTIFS($C$2:$C$3934,Table4[[#This Row],[customer_id]])</f>
        <v>7</v>
      </c>
      <c r="N3809" t="str">
        <f>IF(Table4[[#This Row],[customer_order_count]]=1,"New Customer","Repeat Customer")</f>
        <v>Repeat Customer</v>
      </c>
    </row>
    <row r="3810" spans="1:14">
      <c r="A3810" t="s">
        <v>546</v>
      </c>
      <c r="B3810" s="1">
        <v>45628</v>
      </c>
      <c r="C3810" t="s">
        <v>547</v>
      </c>
      <c r="D3810" t="s">
        <v>510</v>
      </c>
      <c r="E3810" t="s">
        <v>21</v>
      </c>
      <c r="F3810" t="s">
        <v>56</v>
      </c>
      <c r="G3810" t="s">
        <v>422</v>
      </c>
      <c r="H3810">
        <v>1</v>
      </c>
      <c r="I3810" s="3">
        <v>119.79</v>
      </c>
      <c r="J3810" t="s">
        <v>16</v>
      </c>
      <c r="K3810" t="s">
        <v>30</v>
      </c>
      <c r="L3810" s="4">
        <f>Table4[[#This Row],[quantity]]*Table4[[#This Row],[unit_price]]</f>
        <v>119.79</v>
      </c>
      <c r="M3810">
        <f>COUNTIFS($C$2:$C$3934,Table4[[#This Row],[customer_id]])</f>
        <v>4</v>
      </c>
      <c r="N3810" t="str">
        <f>IF(Table4[[#This Row],[customer_order_count]]=1,"New Customer","Repeat Customer")</f>
        <v>Repeat Customer</v>
      </c>
    </row>
    <row r="3811" spans="1:14">
      <c r="A3811" t="s">
        <v>4897</v>
      </c>
      <c r="B3811" s="1">
        <v>45184</v>
      </c>
      <c r="C3811" t="s">
        <v>3361</v>
      </c>
      <c r="D3811" t="s">
        <v>327</v>
      </c>
      <c r="E3811" t="s">
        <v>21</v>
      </c>
      <c r="F3811" t="s">
        <v>56</v>
      </c>
      <c r="G3811" t="s">
        <v>422</v>
      </c>
      <c r="H3811">
        <v>2</v>
      </c>
      <c r="I3811" s="3">
        <v>119.99</v>
      </c>
      <c r="J3811" t="s">
        <v>16</v>
      </c>
      <c r="K3811" t="s">
        <v>35</v>
      </c>
      <c r="L3811" s="4">
        <f>Table4[[#This Row],[quantity]]*Table4[[#This Row],[unit_price]]</f>
        <v>239.98</v>
      </c>
      <c r="M3811">
        <f>COUNTIFS($C$2:$C$3934,Table4[[#This Row],[customer_id]])</f>
        <v>6</v>
      </c>
      <c r="N3811" t="str">
        <f>IF(Table4[[#This Row],[customer_order_count]]=1,"New Customer","Repeat Customer")</f>
        <v>Repeat Customer</v>
      </c>
    </row>
    <row r="3812" spans="1:14">
      <c r="A3812" t="s">
        <v>594</v>
      </c>
      <c r="B3812" s="1">
        <v>45077</v>
      </c>
      <c r="C3812" t="s">
        <v>164</v>
      </c>
      <c r="D3812" t="s">
        <v>165</v>
      </c>
      <c r="E3812" t="s">
        <v>44</v>
      </c>
      <c r="F3812" t="s">
        <v>79</v>
      </c>
      <c r="G3812" t="s">
        <v>96</v>
      </c>
      <c r="H3812">
        <v>1</v>
      </c>
      <c r="I3812" s="3">
        <v>120.31</v>
      </c>
      <c r="J3812" t="s">
        <v>16</v>
      </c>
      <c r="K3812" t="s">
        <v>17</v>
      </c>
      <c r="L3812" s="4">
        <f>Table4[[#This Row],[quantity]]*Table4[[#This Row],[unit_price]]</f>
        <v>120.31</v>
      </c>
      <c r="M3812">
        <f>COUNTIFS($C$2:$C$3934,Table4[[#This Row],[customer_id]])</f>
        <v>6</v>
      </c>
      <c r="N3812" t="str">
        <f>IF(Table4[[#This Row],[customer_order_count]]=1,"New Customer","Repeat Customer")</f>
        <v>Repeat Customer</v>
      </c>
    </row>
    <row r="3813" spans="1:14">
      <c r="A3813" t="s">
        <v>4575</v>
      </c>
      <c r="B3813" s="1">
        <v>45450</v>
      </c>
      <c r="C3813" t="s">
        <v>999</v>
      </c>
      <c r="D3813" t="s">
        <v>1000</v>
      </c>
      <c r="E3813" t="s">
        <v>21</v>
      </c>
      <c r="F3813" t="s">
        <v>79</v>
      </c>
      <c r="G3813" t="s">
        <v>166</v>
      </c>
      <c r="H3813">
        <v>2</v>
      </c>
      <c r="I3813" s="3">
        <v>120.5</v>
      </c>
      <c r="J3813" t="s">
        <v>16</v>
      </c>
      <c r="K3813" t="s">
        <v>35</v>
      </c>
      <c r="L3813" s="4">
        <f>Table4[[#This Row],[quantity]]*Table4[[#This Row],[unit_price]]</f>
        <v>241</v>
      </c>
      <c r="M3813">
        <f>COUNTIFS($C$2:$C$3934,Table4[[#This Row],[customer_id]])</f>
        <v>5</v>
      </c>
      <c r="N3813" t="str">
        <f>IF(Table4[[#This Row],[customer_order_count]]=1,"New Customer","Repeat Customer")</f>
        <v>Repeat Customer</v>
      </c>
    </row>
    <row r="3814" spans="1:14">
      <c r="A3814" t="s">
        <v>3672</v>
      </c>
      <c r="B3814" s="1">
        <v>45289</v>
      </c>
      <c r="C3814" t="s">
        <v>3127</v>
      </c>
      <c r="D3814" t="s">
        <v>3128</v>
      </c>
      <c r="E3814" t="s">
        <v>21</v>
      </c>
      <c r="F3814" t="s">
        <v>79</v>
      </c>
      <c r="G3814" t="s">
        <v>166</v>
      </c>
      <c r="H3814">
        <v>2</v>
      </c>
      <c r="I3814" s="3">
        <v>120.6</v>
      </c>
      <c r="J3814" t="s">
        <v>85</v>
      </c>
      <c r="K3814" t="s">
        <v>17</v>
      </c>
      <c r="L3814" s="4">
        <f>Table4[[#This Row],[quantity]]*Table4[[#This Row],[unit_price]]</f>
        <v>241.2</v>
      </c>
      <c r="M3814">
        <f>COUNTIFS($C$2:$C$3934,Table4[[#This Row],[customer_id]])</f>
        <v>5</v>
      </c>
      <c r="N3814" t="str">
        <f>IF(Table4[[#This Row],[customer_order_count]]=1,"New Customer","Repeat Customer")</f>
        <v>Repeat Customer</v>
      </c>
    </row>
    <row r="3815" spans="1:14">
      <c r="A3815" t="s">
        <v>3875</v>
      </c>
      <c r="B3815" s="1">
        <v>45018</v>
      </c>
      <c r="C3815" t="s">
        <v>1108</v>
      </c>
      <c r="D3815" t="s">
        <v>372</v>
      </c>
      <c r="E3815" t="s">
        <v>44</v>
      </c>
      <c r="F3815" t="s">
        <v>79</v>
      </c>
      <c r="G3815" t="s">
        <v>541</v>
      </c>
      <c r="H3815">
        <v>2</v>
      </c>
      <c r="I3815" s="3">
        <v>121.54</v>
      </c>
      <c r="J3815" t="s">
        <v>16</v>
      </c>
      <c r="K3815" t="s">
        <v>30</v>
      </c>
      <c r="L3815" s="4">
        <f>Table4[[#This Row],[quantity]]*Table4[[#This Row],[unit_price]]</f>
        <v>243.08</v>
      </c>
      <c r="M3815">
        <f>COUNTIFS($C$2:$C$3934,Table4[[#This Row],[customer_id]])</f>
        <v>3</v>
      </c>
      <c r="N3815" t="str">
        <f>IF(Table4[[#This Row],[customer_order_count]]=1,"New Customer","Repeat Customer")</f>
        <v>Repeat Customer</v>
      </c>
    </row>
    <row r="3816" spans="1:14">
      <c r="A3816" t="s">
        <v>3499</v>
      </c>
      <c r="B3816" s="1">
        <v>45449</v>
      </c>
      <c r="C3816" t="s">
        <v>419</v>
      </c>
      <c r="D3816" t="s">
        <v>420</v>
      </c>
      <c r="E3816" t="s">
        <v>21</v>
      </c>
      <c r="F3816" t="s">
        <v>79</v>
      </c>
      <c r="G3816" t="s">
        <v>200</v>
      </c>
      <c r="H3816">
        <v>1</v>
      </c>
      <c r="I3816" s="3">
        <v>121.86</v>
      </c>
      <c r="J3816" t="s">
        <v>16</v>
      </c>
      <c r="K3816" t="s">
        <v>17</v>
      </c>
      <c r="L3816" s="4">
        <f>Table4[[#This Row],[quantity]]*Table4[[#This Row],[unit_price]]</f>
        <v>121.86</v>
      </c>
      <c r="M3816">
        <f>COUNTIFS($C$2:$C$3934,Table4[[#This Row],[customer_id]])</f>
        <v>5</v>
      </c>
      <c r="N3816" t="str">
        <f>IF(Table4[[#This Row],[customer_order_count]]=1,"New Customer","Repeat Customer")</f>
        <v>Repeat Customer</v>
      </c>
    </row>
    <row r="3817" spans="1:14">
      <c r="A3817" t="s">
        <v>4065</v>
      </c>
      <c r="B3817" s="1">
        <v>45356</v>
      </c>
      <c r="C3817" t="s">
        <v>1934</v>
      </c>
      <c r="D3817" t="s">
        <v>1935</v>
      </c>
      <c r="E3817" t="s">
        <v>44</v>
      </c>
      <c r="F3817" t="s">
        <v>79</v>
      </c>
      <c r="G3817" t="s">
        <v>230</v>
      </c>
      <c r="H3817">
        <v>1</v>
      </c>
      <c r="I3817" s="3">
        <v>121.87</v>
      </c>
      <c r="J3817" t="s">
        <v>16</v>
      </c>
      <c r="K3817" t="s">
        <v>35</v>
      </c>
      <c r="L3817" s="4">
        <f>Table4[[#This Row],[quantity]]*Table4[[#This Row],[unit_price]]</f>
        <v>121.87</v>
      </c>
      <c r="M3817">
        <f>COUNTIFS($C$2:$C$3934,Table4[[#This Row],[customer_id]])</f>
        <v>5</v>
      </c>
      <c r="N3817" t="str">
        <f>IF(Table4[[#This Row],[customer_order_count]]=1,"New Customer","Repeat Customer")</f>
        <v>Repeat Customer</v>
      </c>
    </row>
    <row r="3818" spans="1:14">
      <c r="A3818" t="s">
        <v>732</v>
      </c>
      <c r="B3818" s="1">
        <v>45484</v>
      </c>
      <c r="C3818" t="s">
        <v>733</v>
      </c>
      <c r="D3818" t="s">
        <v>734</v>
      </c>
      <c r="E3818" t="s">
        <v>21</v>
      </c>
      <c r="F3818" t="s">
        <v>79</v>
      </c>
      <c r="G3818" t="s">
        <v>541</v>
      </c>
      <c r="H3818">
        <v>5</v>
      </c>
      <c r="I3818" s="3">
        <v>121.92</v>
      </c>
      <c r="J3818" t="s">
        <v>16</v>
      </c>
      <c r="K3818" t="s">
        <v>40</v>
      </c>
      <c r="L3818" s="4">
        <f>Table4[[#This Row],[quantity]]*Table4[[#This Row],[unit_price]]</f>
        <v>609.6</v>
      </c>
      <c r="M3818">
        <f>COUNTIFS($C$2:$C$3934,Table4[[#This Row],[customer_id]])</f>
        <v>5</v>
      </c>
      <c r="N3818" t="str">
        <f>IF(Table4[[#This Row],[customer_order_count]]=1,"New Customer","Repeat Customer")</f>
        <v>Repeat Customer</v>
      </c>
    </row>
    <row r="3819" spans="1:14">
      <c r="A3819" t="s">
        <v>3488</v>
      </c>
      <c r="B3819" s="1">
        <v>45604</v>
      </c>
      <c r="C3819" t="s">
        <v>551</v>
      </c>
      <c r="D3819" t="s">
        <v>220</v>
      </c>
      <c r="E3819" t="s">
        <v>21</v>
      </c>
      <c r="F3819" t="s">
        <v>79</v>
      </c>
      <c r="G3819" t="s">
        <v>200</v>
      </c>
      <c r="H3819">
        <v>1</v>
      </c>
      <c r="I3819" s="3">
        <v>122.04</v>
      </c>
      <c r="J3819" t="s">
        <v>24</v>
      </c>
      <c r="K3819" t="s">
        <v>40</v>
      </c>
      <c r="L3819" s="4">
        <f>Table4[[#This Row],[quantity]]*Table4[[#This Row],[unit_price]]</f>
        <v>122.04</v>
      </c>
      <c r="M3819">
        <f>COUNTIFS($C$2:$C$3934,Table4[[#This Row],[customer_id]])</f>
        <v>8</v>
      </c>
      <c r="N3819" t="str">
        <f>IF(Table4[[#This Row],[customer_order_count]]=1,"New Customer","Repeat Customer")</f>
        <v>Repeat Customer</v>
      </c>
    </row>
    <row r="3820" spans="1:14">
      <c r="A3820" t="s">
        <v>1969</v>
      </c>
      <c r="B3820" s="1">
        <v>45135</v>
      </c>
      <c r="C3820" t="s">
        <v>219</v>
      </c>
      <c r="D3820" t="s">
        <v>220</v>
      </c>
      <c r="E3820" t="s">
        <v>21</v>
      </c>
      <c r="F3820" t="s">
        <v>79</v>
      </c>
      <c r="G3820" t="s">
        <v>200</v>
      </c>
      <c r="H3820">
        <v>2</v>
      </c>
      <c r="I3820" s="3">
        <v>122.21</v>
      </c>
      <c r="J3820" t="s">
        <v>16</v>
      </c>
      <c r="K3820" t="s">
        <v>35</v>
      </c>
      <c r="L3820" s="4">
        <f>Table4[[#This Row],[quantity]]*Table4[[#This Row],[unit_price]]</f>
        <v>244.42</v>
      </c>
      <c r="M3820">
        <f>COUNTIFS($C$2:$C$3934,Table4[[#This Row],[customer_id]])</f>
        <v>8</v>
      </c>
      <c r="N3820" t="str">
        <f>IF(Table4[[#This Row],[customer_order_count]]=1,"New Customer","Repeat Customer")</f>
        <v>Repeat Customer</v>
      </c>
    </row>
    <row r="3821" spans="1:14">
      <c r="A3821" t="s">
        <v>3521</v>
      </c>
      <c r="B3821" s="1">
        <v>45251</v>
      </c>
      <c r="C3821" t="s">
        <v>1218</v>
      </c>
      <c r="D3821" t="s">
        <v>869</v>
      </c>
      <c r="E3821" t="s">
        <v>21</v>
      </c>
      <c r="F3821" t="s">
        <v>79</v>
      </c>
      <c r="G3821" t="s">
        <v>200</v>
      </c>
      <c r="H3821">
        <v>1</v>
      </c>
      <c r="I3821" s="3">
        <v>122.24</v>
      </c>
      <c r="J3821" t="s">
        <v>16</v>
      </c>
      <c r="K3821" t="s">
        <v>30</v>
      </c>
      <c r="L3821" s="4">
        <f>Table4[[#This Row],[quantity]]*Table4[[#This Row],[unit_price]]</f>
        <v>122.24</v>
      </c>
      <c r="M3821">
        <f>COUNTIFS($C$2:$C$3934,Table4[[#This Row],[customer_id]])</f>
        <v>4</v>
      </c>
      <c r="N3821" t="str">
        <f>IF(Table4[[#This Row],[customer_order_count]]=1,"New Customer","Repeat Customer")</f>
        <v>Repeat Customer</v>
      </c>
    </row>
    <row r="3822" spans="1:14">
      <c r="A3822" t="s">
        <v>5071</v>
      </c>
      <c r="B3822" s="1">
        <v>45357</v>
      </c>
      <c r="C3822" t="s">
        <v>3660</v>
      </c>
      <c r="D3822" t="s">
        <v>950</v>
      </c>
      <c r="E3822" t="s">
        <v>21</v>
      </c>
      <c r="F3822" t="s">
        <v>79</v>
      </c>
      <c r="G3822" t="s">
        <v>80</v>
      </c>
      <c r="H3822">
        <v>1</v>
      </c>
      <c r="I3822" s="3">
        <v>122.7</v>
      </c>
      <c r="J3822" t="s">
        <v>16</v>
      </c>
      <c r="K3822" t="s">
        <v>35</v>
      </c>
      <c r="L3822" s="4">
        <f>Table4[[#This Row],[quantity]]*Table4[[#This Row],[unit_price]]</f>
        <v>122.7</v>
      </c>
      <c r="M3822">
        <f>COUNTIFS($C$2:$C$3934,Table4[[#This Row],[customer_id]])</f>
        <v>3</v>
      </c>
      <c r="N3822" t="str">
        <f>IF(Table4[[#This Row],[customer_order_count]]=1,"New Customer","Repeat Customer")</f>
        <v>Repeat Customer</v>
      </c>
    </row>
    <row r="3823" spans="1:14">
      <c r="A3823" t="s">
        <v>3533</v>
      </c>
      <c r="B3823" s="1">
        <v>45145</v>
      </c>
      <c r="C3823" t="s">
        <v>1853</v>
      </c>
      <c r="D3823" t="s">
        <v>145</v>
      </c>
      <c r="E3823" t="s">
        <v>44</v>
      </c>
      <c r="F3823" t="s">
        <v>79</v>
      </c>
      <c r="G3823" t="s">
        <v>80</v>
      </c>
      <c r="H3823">
        <v>2</v>
      </c>
      <c r="I3823" s="3">
        <v>123.09</v>
      </c>
      <c r="J3823" t="s">
        <v>16</v>
      </c>
      <c r="K3823" t="s">
        <v>40</v>
      </c>
      <c r="L3823" s="4">
        <f>Table4[[#This Row],[quantity]]*Table4[[#This Row],[unit_price]]</f>
        <v>246.18</v>
      </c>
      <c r="M3823">
        <f>COUNTIFS($C$2:$C$3934,Table4[[#This Row],[customer_id]])</f>
        <v>3</v>
      </c>
      <c r="N3823" t="str">
        <f>IF(Table4[[#This Row],[customer_order_count]]=1,"New Customer","Repeat Customer")</f>
        <v>Repeat Customer</v>
      </c>
    </row>
    <row r="3824" spans="1:14">
      <c r="A3824" t="s">
        <v>4276</v>
      </c>
      <c r="B3824" s="1">
        <v>45074</v>
      </c>
      <c r="C3824" t="s">
        <v>183</v>
      </c>
      <c r="D3824" t="s">
        <v>857</v>
      </c>
      <c r="E3824" t="s">
        <v>21</v>
      </c>
      <c r="F3824" t="s">
        <v>79</v>
      </c>
      <c r="G3824" t="s">
        <v>96</v>
      </c>
      <c r="H3824">
        <v>3</v>
      </c>
      <c r="I3824" s="3">
        <v>123.3</v>
      </c>
      <c r="J3824" t="s">
        <v>16</v>
      </c>
      <c r="K3824" t="s">
        <v>40</v>
      </c>
      <c r="L3824" s="4">
        <f>Table4[[#This Row],[quantity]]*Table4[[#This Row],[unit_price]]</f>
        <v>369.9</v>
      </c>
      <c r="M3824">
        <f>COUNTIFS($C$2:$C$3934,Table4[[#This Row],[customer_id]])</f>
        <v>7</v>
      </c>
      <c r="N3824" t="str">
        <f>IF(Table4[[#This Row],[customer_order_count]]=1,"New Customer","Repeat Customer")</f>
        <v>Repeat Customer</v>
      </c>
    </row>
    <row r="3825" spans="1:14">
      <c r="A3825" t="s">
        <v>1199</v>
      </c>
      <c r="B3825" s="1">
        <v>45000</v>
      </c>
      <c r="C3825" t="s">
        <v>1200</v>
      </c>
      <c r="D3825" t="s">
        <v>452</v>
      </c>
      <c r="E3825" t="s">
        <v>21</v>
      </c>
      <c r="F3825" t="s">
        <v>79</v>
      </c>
      <c r="G3825" t="s">
        <v>166</v>
      </c>
      <c r="H3825">
        <v>2</v>
      </c>
      <c r="I3825" s="3">
        <v>123.6</v>
      </c>
      <c r="J3825" t="s">
        <v>16</v>
      </c>
      <c r="K3825" t="s">
        <v>17</v>
      </c>
      <c r="L3825" s="4">
        <f>Table4[[#This Row],[quantity]]*Table4[[#This Row],[unit_price]]</f>
        <v>247.2</v>
      </c>
      <c r="M3825">
        <f>COUNTIFS($C$2:$C$3934,Table4[[#This Row],[customer_id]])</f>
        <v>4</v>
      </c>
      <c r="N3825" t="str">
        <f>IF(Table4[[#This Row],[customer_order_count]]=1,"New Customer","Repeat Customer")</f>
        <v>Repeat Customer</v>
      </c>
    </row>
    <row r="3826" spans="1:14">
      <c r="A3826" t="s">
        <v>4550</v>
      </c>
      <c r="B3826" s="1">
        <v>45335</v>
      </c>
      <c r="C3826" t="s">
        <v>155</v>
      </c>
      <c r="D3826" t="s">
        <v>99</v>
      </c>
      <c r="E3826" t="s">
        <v>21</v>
      </c>
      <c r="F3826" t="s">
        <v>79</v>
      </c>
      <c r="G3826" t="s">
        <v>200</v>
      </c>
      <c r="H3826">
        <v>1</v>
      </c>
      <c r="I3826" s="3">
        <v>123.73</v>
      </c>
      <c r="J3826" t="s">
        <v>16</v>
      </c>
      <c r="K3826" t="s">
        <v>40</v>
      </c>
      <c r="L3826" s="4">
        <f>Table4[[#This Row],[quantity]]*Table4[[#This Row],[unit_price]]</f>
        <v>123.73</v>
      </c>
      <c r="M3826">
        <f>COUNTIFS($C$2:$C$3934,Table4[[#This Row],[customer_id]])</f>
        <v>6</v>
      </c>
      <c r="N3826" t="str">
        <f>IF(Table4[[#This Row],[customer_order_count]]=1,"New Customer","Repeat Customer")</f>
        <v>Repeat Customer</v>
      </c>
    </row>
    <row r="3827" spans="1:14">
      <c r="A3827" t="s">
        <v>1317</v>
      </c>
      <c r="B3827" s="1">
        <v>45418</v>
      </c>
      <c r="C3827" t="s">
        <v>1318</v>
      </c>
      <c r="D3827" t="s">
        <v>1027</v>
      </c>
      <c r="E3827" t="s">
        <v>44</v>
      </c>
      <c r="F3827" t="s">
        <v>79</v>
      </c>
      <c r="G3827" t="s">
        <v>204</v>
      </c>
      <c r="H3827">
        <v>1</v>
      </c>
      <c r="I3827" s="3">
        <v>124.03</v>
      </c>
      <c r="J3827" t="s">
        <v>24</v>
      </c>
      <c r="K3827" t="s">
        <v>30</v>
      </c>
      <c r="L3827" s="4">
        <f>Table4[[#This Row],[quantity]]*Table4[[#This Row],[unit_price]]</f>
        <v>124.03</v>
      </c>
      <c r="M3827">
        <f>COUNTIFS($C$2:$C$3934,Table4[[#This Row],[customer_id]])</f>
        <v>5</v>
      </c>
      <c r="N3827" t="str">
        <f>IF(Table4[[#This Row],[customer_order_count]]=1,"New Customer","Repeat Customer")</f>
        <v>Repeat Customer</v>
      </c>
    </row>
    <row r="3828" spans="1:14">
      <c r="A3828" t="s">
        <v>1946</v>
      </c>
      <c r="B3828" s="1">
        <v>45286</v>
      </c>
      <c r="C3828" t="s">
        <v>466</v>
      </c>
      <c r="D3828" t="s">
        <v>467</v>
      </c>
      <c r="E3828" t="s">
        <v>44</v>
      </c>
      <c r="F3828" t="s">
        <v>79</v>
      </c>
      <c r="G3828" t="s">
        <v>230</v>
      </c>
      <c r="H3828">
        <v>1</v>
      </c>
      <c r="I3828" s="3">
        <v>124.25</v>
      </c>
      <c r="J3828" t="s">
        <v>16</v>
      </c>
      <c r="K3828" t="s">
        <v>17</v>
      </c>
      <c r="L3828" s="4">
        <f>Table4[[#This Row],[quantity]]*Table4[[#This Row],[unit_price]]</f>
        <v>124.25</v>
      </c>
      <c r="M3828">
        <f>COUNTIFS($C$2:$C$3934,Table4[[#This Row],[customer_id]])</f>
        <v>5</v>
      </c>
      <c r="N3828" t="str">
        <f>IF(Table4[[#This Row],[customer_order_count]]=1,"New Customer","Repeat Customer")</f>
        <v>Repeat Customer</v>
      </c>
    </row>
    <row r="3829" spans="1:14">
      <c r="A3829" t="s">
        <v>2902</v>
      </c>
      <c r="B3829" s="1">
        <v>44973</v>
      </c>
      <c r="C3829" t="s">
        <v>2903</v>
      </c>
      <c r="D3829" t="s">
        <v>1736</v>
      </c>
      <c r="E3829" t="s">
        <v>44</v>
      </c>
      <c r="F3829" t="s">
        <v>79</v>
      </c>
      <c r="G3829" t="s">
        <v>96</v>
      </c>
      <c r="H3829">
        <v>1</v>
      </c>
      <c r="I3829" s="3">
        <v>124.62</v>
      </c>
      <c r="J3829" t="s">
        <v>16</v>
      </c>
      <c r="K3829" t="s">
        <v>17</v>
      </c>
      <c r="L3829" s="4">
        <f>Table4[[#This Row],[quantity]]*Table4[[#This Row],[unit_price]]</f>
        <v>124.62</v>
      </c>
      <c r="M3829">
        <f>COUNTIFS($C$2:$C$3934,Table4[[#This Row],[customer_id]])</f>
        <v>3</v>
      </c>
      <c r="N3829" t="str">
        <f>IF(Table4[[#This Row],[customer_order_count]]=1,"New Customer","Repeat Customer")</f>
        <v>Repeat Customer</v>
      </c>
    </row>
    <row r="3830" spans="1:14">
      <c r="A3830" t="s">
        <v>5109</v>
      </c>
      <c r="B3830" s="1">
        <v>45200</v>
      </c>
      <c r="C3830" t="s">
        <v>1008</v>
      </c>
      <c r="D3830" t="s">
        <v>425</v>
      </c>
      <c r="E3830" t="s">
        <v>21</v>
      </c>
      <c r="F3830" t="s">
        <v>79</v>
      </c>
      <c r="G3830" t="s">
        <v>204</v>
      </c>
      <c r="H3830">
        <v>1</v>
      </c>
      <c r="I3830" s="3">
        <v>124.62</v>
      </c>
      <c r="J3830" t="s">
        <v>24</v>
      </c>
      <c r="K3830" t="s">
        <v>40</v>
      </c>
      <c r="L3830" s="4">
        <f>Table4[[#This Row],[quantity]]*Table4[[#This Row],[unit_price]]</f>
        <v>124.62</v>
      </c>
      <c r="M3830">
        <f>COUNTIFS($C$2:$C$3934,Table4[[#This Row],[customer_id]])</f>
        <v>7</v>
      </c>
      <c r="N3830" t="str">
        <f>IF(Table4[[#This Row],[customer_order_count]]=1,"New Customer","Repeat Customer")</f>
        <v>Repeat Customer</v>
      </c>
    </row>
    <row r="3831" spans="1:14">
      <c r="A3831" t="s">
        <v>2106</v>
      </c>
      <c r="B3831" s="1">
        <v>45499</v>
      </c>
      <c r="C3831" t="s">
        <v>1240</v>
      </c>
      <c r="D3831" t="s">
        <v>1241</v>
      </c>
      <c r="E3831" t="s">
        <v>21</v>
      </c>
      <c r="F3831" t="s">
        <v>79</v>
      </c>
      <c r="G3831" t="s">
        <v>541</v>
      </c>
      <c r="H3831">
        <v>1</v>
      </c>
      <c r="I3831" s="3">
        <v>124.8</v>
      </c>
      <c r="J3831" t="s">
        <v>16</v>
      </c>
      <c r="K3831" t="s">
        <v>35</v>
      </c>
      <c r="L3831" s="4">
        <f>Table4[[#This Row],[quantity]]*Table4[[#This Row],[unit_price]]</f>
        <v>124.8</v>
      </c>
      <c r="M3831">
        <f>COUNTIFS($C$2:$C$3934,Table4[[#This Row],[customer_id]])</f>
        <v>12</v>
      </c>
      <c r="N3831" t="str">
        <f>IF(Table4[[#This Row],[customer_order_count]]=1,"New Customer","Repeat Customer")</f>
        <v>Repeat Customer</v>
      </c>
    </row>
    <row r="3832" spans="1:14">
      <c r="A3832" t="s">
        <v>4938</v>
      </c>
      <c r="B3832" s="1">
        <v>45272</v>
      </c>
      <c r="C3832" t="s">
        <v>1492</v>
      </c>
      <c r="D3832" t="s">
        <v>1070</v>
      </c>
      <c r="E3832" t="s">
        <v>44</v>
      </c>
      <c r="F3832" t="s">
        <v>79</v>
      </c>
      <c r="G3832" t="s">
        <v>230</v>
      </c>
      <c r="H3832">
        <v>1</v>
      </c>
      <c r="I3832" s="3">
        <v>125.01</v>
      </c>
      <c r="J3832" t="s">
        <v>16</v>
      </c>
      <c r="K3832" t="s">
        <v>17</v>
      </c>
      <c r="L3832" s="4">
        <f>Table4[[#This Row],[quantity]]*Table4[[#This Row],[unit_price]]</f>
        <v>125.01</v>
      </c>
      <c r="M3832">
        <f>COUNTIFS($C$2:$C$3934,Table4[[#This Row],[customer_id]])</f>
        <v>5</v>
      </c>
      <c r="N3832" t="str">
        <f>IF(Table4[[#This Row],[customer_order_count]]=1,"New Customer","Repeat Customer")</f>
        <v>Repeat Customer</v>
      </c>
    </row>
    <row r="3833" spans="1:14">
      <c r="A3833" t="s">
        <v>2925</v>
      </c>
      <c r="B3833" s="1">
        <v>45212</v>
      </c>
      <c r="C3833" t="s">
        <v>1616</v>
      </c>
      <c r="D3833" t="s">
        <v>544</v>
      </c>
      <c r="E3833" t="s">
        <v>21</v>
      </c>
      <c r="F3833" t="s">
        <v>79</v>
      </c>
      <c r="G3833" t="s">
        <v>230</v>
      </c>
      <c r="H3833">
        <v>2</v>
      </c>
      <c r="I3833" s="3">
        <v>125.41</v>
      </c>
      <c r="J3833" t="s">
        <v>24</v>
      </c>
      <c r="K3833" t="s">
        <v>30</v>
      </c>
      <c r="L3833" s="4">
        <f>Table4[[#This Row],[quantity]]*Table4[[#This Row],[unit_price]]</f>
        <v>250.82</v>
      </c>
      <c r="M3833">
        <f>COUNTIFS($C$2:$C$3934,Table4[[#This Row],[customer_id]])</f>
        <v>5</v>
      </c>
      <c r="N3833" t="str">
        <f>IF(Table4[[#This Row],[customer_order_count]]=1,"New Customer","Repeat Customer")</f>
        <v>Repeat Customer</v>
      </c>
    </row>
    <row r="3834" spans="1:14">
      <c r="A3834" t="s">
        <v>4115</v>
      </c>
      <c r="B3834" s="1">
        <v>45301</v>
      </c>
      <c r="C3834" t="s">
        <v>1814</v>
      </c>
      <c r="D3834" t="s">
        <v>1453</v>
      </c>
      <c r="E3834" t="s">
        <v>21</v>
      </c>
      <c r="F3834" t="s">
        <v>79</v>
      </c>
      <c r="G3834" t="s">
        <v>230</v>
      </c>
      <c r="H3834">
        <v>1</v>
      </c>
      <c r="I3834" s="3">
        <v>125.43</v>
      </c>
      <c r="J3834" t="s">
        <v>16</v>
      </c>
      <c r="K3834" t="s">
        <v>17</v>
      </c>
      <c r="L3834" s="4">
        <f>Table4[[#This Row],[quantity]]*Table4[[#This Row],[unit_price]]</f>
        <v>125.43</v>
      </c>
      <c r="M3834">
        <f>COUNTIFS($C$2:$C$3934,Table4[[#This Row],[customer_id]])</f>
        <v>8</v>
      </c>
      <c r="N3834" t="str">
        <f>IF(Table4[[#This Row],[customer_order_count]]=1,"New Customer","Repeat Customer")</f>
        <v>Repeat Customer</v>
      </c>
    </row>
    <row r="3835" spans="1:14">
      <c r="A3835" t="s">
        <v>4805</v>
      </c>
      <c r="B3835" s="1">
        <v>45029</v>
      </c>
      <c r="C3835" t="s">
        <v>675</v>
      </c>
      <c r="D3835" t="s">
        <v>769</v>
      </c>
      <c r="E3835" t="s">
        <v>21</v>
      </c>
      <c r="F3835" t="s">
        <v>79</v>
      </c>
      <c r="G3835" t="s">
        <v>204</v>
      </c>
      <c r="H3835">
        <v>1</v>
      </c>
      <c r="I3835" s="3">
        <v>125.53</v>
      </c>
      <c r="J3835" t="s">
        <v>16</v>
      </c>
      <c r="K3835" t="s">
        <v>30</v>
      </c>
      <c r="L3835" s="4">
        <f>Table4[[#This Row],[quantity]]*Table4[[#This Row],[unit_price]]</f>
        <v>125.53</v>
      </c>
      <c r="M3835">
        <f>COUNTIFS($C$2:$C$3934,Table4[[#This Row],[customer_id]])</f>
        <v>4</v>
      </c>
      <c r="N3835" t="str">
        <f>IF(Table4[[#This Row],[customer_order_count]]=1,"New Customer","Repeat Customer")</f>
        <v>Repeat Customer</v>
      </c>
    </row>
    <row r="3836" spans="1:14">
      <c r="A3836" t="s">
        <v>3989</v>
      </c>
      <c r="B3836" s="1">
        <v>45360</v>
      </c>
      <c r="C3836" t="s">
        <v>504</v>
      </c>
      <c r="D3836" t="s">
        <v>505</v>
      </c>
      <c r="E3836" t="s">
        <v>21</v>
      </c>
      <c r="F3836" t="s">
        <v>79</v>
      </c>
      <c r="G3836" t="s">
        <v>80</v>
      </c>
      <c r="H3836">
        <v>1</v>
      </c>
      <c r="I3836" s="3">
        <v>125.87</v>
      </c>
      <c r="J3836" t="s">
        <v>16</v>
      </c>
      <c r="K3836" t="s">
        <v>17</v>
      </c>
      <c r="L3836" s="4">
        <f>Table4[[#This Row],[quantity]]*Table4[[#This Row],[unit_price]]</f>
        <v>125.87</v>
      </c>
      <c r="M3836">
        <f>COUNTIFS($C$2:$C$3934,Table4[[#This Row],[customer_id]])</f>
        <v>3</v>
      </c>
      <c r="N3836" t="str">
        <f>IF(Table4[[#This Row],[customer_order_count]]=1,"New Customer","Repeat Customer")</f>
        <v>Repeat Customer</v>
      </c>
    </row>
    <row r="3837" spans="1:14">
      <c r="A3837" t="s">
        <v>2840</v>
      </c>
      <c r="B3837" s="1">
        <v>45579</v>
      </c>
      <c r="C3837" t="s">
        <v>2376</v>
      </c>
      <c r="D3837" t="s">
        <v>1818</v>
      </c>
      <c r="E3837" t="s">
        <v>44</v>
      </c>
      <c r="F3837" t="s">
        <v>79</v>
      </c>
      <c r="G3837" t="s">
        <v>166</v>
      </c>
      <c r="H3837">
        <v>1</v>
      </c>
      <c r="I3837" s="3">
        <v>126.18</v>
      </c>
      <c r="J3837" t="s">
        <v>16</v>
      </c>
      <c r="K3837" t="s">
        <v>35</v>
      </c>
      <c r="L3837" s="4">
        <f>Table4[[#This Row],[quantity]]*Table4[[#This Row],[unit_price]]</f>
        <v>126.18</v>
      </c>
      <c r="M3837">
        <f>COUNTIFS($C$2:$C$3934,Table4[[#This Row],[customer_id]])</f>
        <v>4</v>
      </c>
      <c r="N3837" t="str">
        <f>IF(Table4[[#This Row],[customer_order_count]]=1,"New Customer","Repeat Customer")</f>
        <v>Repeat Customer</v>
      </c>
    </row>
    <row r="3838" spans="1:14">
      <c r="A3838" t="s">
        <v>1424</v>
      </c>
      <c r="B3838" s="1">
        <v>44962</v>
      </c>
      <c r="C3838" t="s">
        <v>1425</v>
      </c>
      <c r="D3838" t="s">
        <v>519</v>
      </c>
      <c r="E3838" t="s">
        <v>21</v>
      </c>
      <c r="F3838" t="s">
        <v>79</v>
      </c>
      <c r="G3838" t="s">
        <v>204</v>
      </c>
      <c r="H3838">
        <v>1</v>
      </c>
      <c r="I3838" s="3">
        <v>126.55</v>
      </c>
      <c r="J3838" t="s">
        <v>16</v>
      </c>
      <c r="K3838" t="s">
        <v>40</v>
      </c>
      <c r="L3838" s="4">
        <f>Table4[[#This Row],[quantity]]*Table4[[#This Row],[unit_price]]</f>
        <v>126.55</v>
      </c>
      <c r="M3838">
        <f>COUNTIFS($C$2:$C$3934,Table4[[#This Row],[customer_id]])</f>
        <v>5</v>
      </c>
      <c r="N3838" t="str">
        <f>IF(Table4[[#This Row],[customer_order_count]]=1,"New Customer","Repeat Customer")</f>
        <v>Repeat Customer</v>
      </c>
    </row>
    <row r="3839" spans="1:14">
      <c r="A3839" t="s">
        <v>2423</v>
      </c>
      <c r="B3839" s="1">
        <v>45497</v>
      </c>
      <c r="C3839" t="s">
        <v>2424</v>
      </c>
      <c r="D3839" t="s">
        <v>646</v>
      </c>
      <c r="E3839" t="s">
        <v>21</v>
      </c>
      <c r="F3839" t="s">
        <v>79</v>
      </c>
      <c r="G3839" t="s">
        <v>80</v>
      </c>
      <c r="H3839">
        <v>1</v>
      </c>
      <c r="I3839" s="3">
        <v>126.58</v>
      </c>
      <c r="J3839" t="s">
        <v>255</v>
      </c>
      <c r="K3839" t="s">
        <v>35</v>
      </c>
      <c r="L3839" s="4">
        <f>Table4[[#This Row],[quantity]]*Table4[[#This Row],[unit_price]]</f>
        <v>126.58</v>
      </c>
      <c r="M3839">
        <f>COUNTIFS($C$2:$C$3934,Table4[[#This Row],[customer_id]])</f>
        <v>6</v>
      </c>
      <c r="N3839" t="str">
        <f>IF(Table4[[#This Row],[customer_order_count]]=1,"New Customer","Repeat Customer")</f>
        <v>Repeat Customer</v>
      </c>
    </row>
    <row r="3840" spans="1:14">
      <c r="A3840" t="s">
        <v>101</v>
      </c>
      <c r="B3840" s="1">
        <v>45225</v>
      </c>
      <c r="C3840" t="s">
        <v>102</v>
      </c>
      <c r="D3840" s="2" t="s">
        <v>5257</v>
      </c>
      <c r="E3840" t="s">
        <v>21</v>
      </c>
      <c r="F3840" t="s">
        <v>79</v>
      </c>
      <c r="G3840" t="s">
        <v>96</v>
      </c>
      <c r="H3840">
        <v>5</v>
      </c>
      <c r="I3840" s="3">
        <v>126.65</v>
      </c>
      <c r="J3840" t="s">
        <v>16</v>
      </c>
      <c r="K3840" t="s">
        <v>30</v>
      </c>
      <c r="L3840" s="4">
        <f>Table4[[#This Row],[quantity]]*Table4[[#This Row],[unit_price]]</f>
        <v>633.25</v>
      </c>
      <c r="M3840">
        <f>COUNTIFS($C$2:$C$3934,Table4[[#This Row],[customer_id]])</f>
        <v>6</v>
      </c>
      <c r="N3840" t="str">
        <f>IF(Table4[[#This Row],[customer_order_count]]=1,"New Customer","Repeat Customer")</f>
        <v>Repeat Customer</v>
      </c>
    </row>
    <row r="3841" spans="1:14">
      <c r="A3841" t="s">
        <v>2273</v>
      </c>
      <c r="B3841" s="1">
        <v>45383</v>
      </c>
      <c r="C3841" t="s">
        <v>690</v>
      </c>
      <c r="D3841" s="5" t="s">
        <v>281</v>
      </c>
      <c r="E3841" t="s">
        <v>21</v>
      </c>
      <c r="F3841" t="s">
        <v>79</v>
      </c>
      <c r="G3841" t="s">
        <v>230</v>
      </c>
      <c r="H3841">
        <v>1</v>
      </c>
      <c r="I3841" s="3">
        <v>127.07</v>
      </c>
      <c r="J3841" t="s">
        <v>16</v>
      </c>
      <c r="K3841" s="2" t="s">
        <v>5256</v>
      </c>
      <c r="L3841" s="4">
        <f>Table4[[#This Row],[quantity]]*Table4[[#This Row],[unit_price]]</f>
        <v>127.07</v>
      </c>
      <c r="M3841">
        <f>COUNTIFS($C$2:$C$3934,Table4[[#This Row],[customer_id]])</f>
        <v>5</v>
      </c>
      <c r="N3841" t="str">
        <f>IF(Table4[[#This Row],[customer_order_count]]=1,"New Customer","Repeat Customer")</f>
        <v>Repeat Customer</v>
      </c>
    </row>
    <row r="3842" spans="1:14">
      <c r="A3842" t="s">
        <v>4084</v>
      </c>
      <c r="B3842" s="1">
        <v>45203</v>
      </c>
      <c r="C3842" t="s">
        <v>51</v>
      </c>
      <c r="D3842" t="s">
        <v>52</v>
      </c>
      <c r="E3842" t="s">
        <v>21</v>
      </c>
      <c r="F3842" t="s">
        <v>79</v>
      </c>
      <c r="G3842" t="s">
        <v>204</v>
      </c>
      <c r="H3842">
        <v>1</v>
      </c>
      <c r="I3842" s="3">
        <v>127.19</v>
      </c>
      <c r="J3842" t="s">
        <v>16</v>
      </c>
      <c r="K3842" s="5" t="s">
        <v>30</v>
      </c>
      <c r="L3842" s="4">
        <f>Table4[[#This Row],[quantity]]*Table4[[#This Row],[unit_price]]</f>
        <v>127.19</v>
      </c>
      <c r="M3842">
        <f>COUNTIFS($C$2:$C$3934,Table4[[#This Row],[customer_id]])</f>
        <v>9</v>
      </c>
      <c r="N3842" t="str">
        <f>IF(Table4[[#This Row],[customer_order_count]]=1,"New Customer","Repeat Customer")</f>
        <v>Repeat Customer</v>
      </c>
    </row>
    <row r="3843" spans="1:14">
      <c r="A3843" t="s">
        <v>4158</v>
      </c>
      <c r="B3843" s="1">
        <v>44962</v>
      </c>
      <c r="C3843" t="s">
        <v>1587</v>
      </c>
      <c r="D3843" t="s">
        <v>1588</v>
      </c>
      <c r="E3843" t="s">
        <v>21</v>
      </c>
      <c r="F3843" t="s">
        <v>79</v>
      </c>
      <c r="G3843" t="s">
        <v>80</v>
      </c>
      <c r="H3843">
        <v>3</v>
      </c>
      <c r="I3843" s="3">
        <v>127.33</v>
      </c>
      <c r="J3843" t="s">
        <v>16</v>
      </c>
      <c r="K3843" t="s">
        <v>35</v>
      </c>
      <c r="L3843" s="4">
        <f>Table4[[#This Row],[quantity]]*Table4[[#This Row],[unit_price]]</f>
        <v>381.99</v>
      </c>
      <c r="M3843">
        <f>COUNTIFS($C$2:$C$3934,Table4[[#This Row],[customer_id]])</f>
        <v>8</v>
      </c>
      <c r="N3843" t="str">
        <f>IF(Table4[[#This Row],[customer_order_count]]=1,"New Customer","Repeat Customer")</f>
        <v>Repeat Customer</v>
      </c>
    </row>
    <row r="3844" spans="1:14">
      <c r="A3844" t="s">
        <v>3444</v>
      </c>
      <c r="B3844" s="1">
        <v>45375</v>
      </c>
      <c r="C3844" t="s">
        <v>2160</v>
      </c>
      <c r="D3844" t="s">
        <v>1164</v>
      </c>
      <c r="E3844" t="s">
        <v>21</v>
      </c>
      <c r="F3844" t="s">
        <v>79</v>
      </c>
      <c r="G3844" t="s">
        <v>80</v>
      </c>
      <c r="H3844">
        <v>2</v>
      </c>
      <c r="I3844" s="3">
        <v>127.39</v>
      </c>
      <c r="J3844" t="s">
        <v>16</v>
      </c>
      <c r="K3844" t="s">
        <v>35</v>
      </c>
      <c r="L3844" s="4">
        <f>Table4[[#This Row],[quantity]]*Table4[[#This Row],[unit_price]]</f>
        <v>254.78</v>
      </c>
      <c r="M3844">
        <f>COUNTIFS($C$2:$C$3934,Table4[[#This Row],[customer_id]])</f>
        <v>4</v>
      </c>
      <c r="N3844" t="str">
        <f>IF(Table4[[#This Row],[customer_order_count]]=1,"New Customer","Repeat Customer")</f>
        <v>Repeat Customer</v>
      </c>
    </row>
    <row r="3845" spans="1:14">
      <c r="A3845" t="s">
        <v>1850</v>
      </c>
      <c r="B3845" s="1">
        <v>45447</v>
      </c>
      <c r="C3845" t="s">
        <v>1851</v>
      </c>
      <c r="D3845" t="s">
        <v>1000</v>
      </c>
      <c r="E3845" t="s">
        <v>21</v>
      </c>
      <c r="F3845" t="s">
        <v>79</v>
      </c>
      <c r="G3845" t="s">
        <v>541</v>
      </c>
      <c r="H3845">
        <v>1</v>
      </c>
      <c r="I3845" s="3">
        <v>127.45</v>
      </c>
      <c r="J3845" t="s">
        <v>16</v>
      </c>
      <c r="K3845" t="s">
        <v>35</v>
      </c>
      <c r="L3845" s="4">
        <f>Table4[[#This Row],[quantity]]*Table4[[#This Row],[unit_price]]</f>
        <v>127.45</v>
      </c>
      <c r="M3845">
        <f>COUNTIFS($C$2:$C$3934,Table4[[#This Row],[customer_id]])</f>
        <v>6</v>
      </c>
      <c r="N3845" t="str">
        <f>IF(Table4[[#This Row],[customer_order_count]]=1,"New Customer","Repeat Customer")</f>
        <v>Repeat Customer</v>
      </c>
    </row>
    <row r="3846" spans="1:14">
      <c r="A3846" t="s">
        <v>2269</v>
      </c>
      <c r="B3846" s="1">
        <v>45319</v>
      </c>
      <c r="C3846" t="s">
        <v>521</v>
      </c>
      <c r="D3846" t="s">
        <v>522</v>
      </c>
      <c r="E3846" t="s">
        <v>44</v>
      </c>
      <c r="F3846" t="s">
        <v>79</v>
      </c>
      <c r="G3846" t="s">
        <v>230</v>
      </c>
      <c r="H3846">
        <v>1</v>
      </c>
      <c r="I3846" s="3">
        <v>127.49</v>
      </c>
      <c r="J3846" t="s">
        <v>16</v>
      </c>
      <c r="K3846" t="s">
        <v>17</v>
      </c>
      <c r="L3846" s="4">
        <f>Table4[[#This Row],[quantity]]*Table4[[#This Row],[unit_price]]</f>
        <v>127.49</v>
      </c>
      <c r="M3846">
        <f>COUNTIFS($C$2:$C$3934,Table4[[#This Row],[customer_id]])</f>
        <v>5</v>
      </c>
      <c r="N3846" t="str">
        <f>IF(Table4[[#This Row],[customer_order_count]]=1,"New Customer","Repeat Customer")</f>
        <v>Repeat Customer</v>
      </c>
    </row>
    <row r="3847" spans="1:14">
      <c r="A3847" t="s">
        <v>2855</v>
      </c>
      <c r="B3847" s="1">
        <v>45559</v>
      </c>
      <c r="C3847" t="s">
        <v>2856</v>
      </c>
      <c r="D3847" t="s">
        <v>78</v>
      </c>
      <c r="E3847" t="s">
        <v>21</v>
      </c>
      <c r="F3847" t="s">
        <v>79</v>
      </c>
      <c r="G3847" t="s">
        <v>80</v>
      </c>
      <c r="H3847">
        <v>2</v>
      </c>
      <c r="I3847" s="3">
        <v>127.56</v>
      </c>
      <c r="J3847" t="s">
        <v>24</v>
      </c>
      <c r="K3847" t="s">
        <v>17</v>
      </c>
      <c r="L3847" s="4">
        <f>Table4[[#This Row],[quantity]]*Table4[[#This Row],[unit_price]]</f>
        <v>255.12</v>
      </c>
      <c r="M3847">
        <f>COUNTIFS($C$2:$C$3934,Table4[[#This Row],[customer_id]])</f>
        <v>2</v>
      </c>
      <c r="N3847" t="str">
        <f>IF(Table4[[#This Row],[customer_order_count]]=1,"New Customer","Repeat Customer")</f>
        <v>Repeat Customer</v>
      </c>
    </row>
    <row r="3848" spans="1:14">
      <c r="A3848" t="s">
        <v>3102</v>
      </c>
      <c r="B3848" s="1">
        <v>45237</v>
      </c>
      <c r="C3848" t="s">
        <v>2148</v>
      </c>
      <c r="D3848" t="s">
        <v>1419</v>
      </c>
      <c r="E3848" t="s">
        <v>44</v>
      </c>
      <c r="F3848" t="s">
        <v>79</v>
      </c>
      <c r="G3848" t="s">
        <v>166</v>
      </c>
      <c r="H3848">
        <v>1</v>
      </c>
      <c r="I3848" s="3">
        <v>128.11000000000001</v>
      </c>
      <c r="J3848" t="s">
        <v>85</v>
      </c>
      <c r="K3848" t="s">
        <v>40</v>
      </c>
      <c r="L3848" s="4">
        <f>Table4[[#This Row],[quantity]]*Table4[[#This Row],[unit_price]]</f>
        <v>128.11000000000001</v>
      </c>
      <c r="M3848">
        <f>COUNTIFS($C$2:$C$3934,Table4[[#This Row],[customer_id]])</f>
        <v>4</v>
      </c>
      <c r="N3848" t="str">
        <f>IF(Table4[[#This Row],[customer_order_count]]=1,"New Customer","Repeat Customer")</f>
        <v>Repeat Customer</v>
      </c>
    </row>
    <row r="3849" spans="1:14">
      <c r="A3849" t="s">
        <v>2087</v>
      </c>
      <c r="B3849" s="1">
        <v>45331</v>
      </c>
      <c r="C3849" t="s">
        <v>2088</v>
      </c>
      <c r="D3849" t="s">
        <v>435</v>
      </c>
      <c r="E3849" t="s">
        <v>21</v>
      </c>
      <c r="F3849" t="s">
        <v>79</v>
      </c>
      <c r="G3849" t="s">
        <v>96</v>
      </c>
      <c r="H3849">
        <v>1</v>
      </c>
      <c r="I3849" s="3">
        <v>128.69999999999999</v>
      </c>
      <c r="J3849" t="s">
        <v>255</v>
      </c>
      <c r="K3849" t="s">
        <v>30</v>
      </c>
      <c r="L3849" s="4">
        <f>Table4[[#This Row],[quantity]]*Table4[[#This Row],[unit_price]]</f>
        <v>128.69999999999999</v>
      </c>
      <c r="M3849">
        <f>COUNTIFS($C$2:$C$3934,Table4[[#This Row],[customer_id]])</f>
        <v>9</v>
      </c>
      <c r="N3849" t="str">
        <f>IF(Table4[[#This Row],[customer_order_count]]=1,"New Customer","Repeat Customer")</f>
        <v>Repeat Customer</v>
      </c>
    </row>
    <row r="3850" spans="1:14">
      <c r="A3850" t="s">
        <v>4579</v>
      </c>
      <c r="B3850" s="1">
        <v>45159</v>
      </c>
      <c r="C3850" t="s">
        <v>565</v>
      </c>
      <c r="D3850" t="s">
        <v>566</v>
      </c>
      <c r="E3850" t="s">
        <v>44</v>
      </c>
      <c r="F3850" t="s">
        <v>79</v>
      </c>
      <c r="G3850" t="s">
        <v>96</v>
      </c>
      <c r="H3850">
        <v>2</v>
      </c>
      <c r="I3850" s="3">
        <v>128.88999999999999</v>
      </c>
      <c r="J3850" t="s">
        <v>16</v>
      </c>
      <c r="K3850" t="s">
        <v>35</v>
      </c>
      <c r="L3850" s="4">
        <f>Table4[[#This Row],[quantity]]*Table4[[#This Row],[unit_price]]</f>
        <v>257.77999999999997</v>
      </c>
      <c r="M3850">
        <f>COUNTIFS($C$2:$C$3934,Table4[[#This Row],[customer_id]])</f>
        <v>5</v>
      </c>
      <c r="N3850" t="str">
        <f>IF(Table4[[#This Row],[customer_order_count]]=1,"New Customer","Repeat Customer")</f>
        <v>Repeat Customer</v>
      </c>
    </row>
    <row r="3851" spans="1:14">
      <c r="A3851" t="s">
        <v>3242</v>
      </c>
      <c r="B3851" s="1">
        <v>45481</v>
      </c>
      <c r="C3851" t="s">
        <v>1318</v>
      </c>
      <c r="D3851" t="s">
        <v>1027</v>
      </c>
      <c r="E3851" t="s">
        <v>44</v>
      </c>
      <c r="F3851" t="s">
        <v>79</v>
      </c>
      <c r="G3851" t="s">
        <v>166</v>
      </c>
      <c r="H3851">
        <v>1</v>
      </c>
      <c r="I3851" s="3">
        <v>128.99</v>
      </c>
      <c r="J3851" t="s">
        <v>24</v>
      </c>
      <c r="K3851" s="2" t="s">
        <v>5256</v>
      </c>
      <c r="L3851" s="4">
        <f>Table4[[#This Row],[quantity]]*Table4[[#This Row],[unit_price]]</f>
        <v>128.99</v>
      </c>
      <c r="M3851">
        <f>COUNTIFS($C$2:$C$3934,Table4[[#This Row],[customer_id]])</f>
        <v>5</v>
      </c>
      <c r="N3851" t="str">
        <f>IF(Table4[[#This Row],[customer_order_count]]=1,"New Customer","Repeat Customer")</f>
        <v>Repeat Customer</v>
      </c>
    </row>
    <row r="3852" spans="1:14">
      <c r="A3852" t="s">
        <v>2114</v>
      </c>
      <c r="B3852" s="1">
        <v>44972</v>
      </c>
      <c r="C3852" t="s">
        <v>838</v>
      </c>
      <c r="D3852" t="s">
        <v>839</v>
      </c>
      <c r="E3852" t="s">
        <v>44</v>
      </c>
      <c r="F3852" t="s">
        <v>79</v>
      </c>
      <c r="G3852" t="s">
        <v>166</v>
      </c>
      <c r="H3852">
        <v>1</v>
      </c>
      <c r="I3852" s="3">
        <v>129.09</v>
      </c>
      <c r="J3852" t="s">
        <v>16</v>
      </c>
      <c r="K3852" s="5" t="s">
        <v>35</v>
      </c>
      <c r="L3852" s="4">
        <f>Table4[[#This Row],[quantity]]*Table4[[#This Row],[unit_price]]</f>
        <v>129.09</v>
      </c>
      <c r="M3852">
        <f>COUNTIFS($C$2:$C$3934,Table4[[#This Row],[customer_id]])</f>
        <v>5</v>
      </c>
      <c r="N3852" t="str">
        <f>IF(Table4[[#This Row],[customer_order_count]]=1,"New Customer","Repeat Customer")</f>
        <v>Repeat Customer</v>
      </c>
    </row>
    <row r="3853" spans="1:14">
      <c r="A3853" t="s">
        <v>4401</v>
      </c>
      <c r="B3853" s="1">
        <v>45435</v>
      </c>
      <c r="C3853" t="s">
        <v>2139</v>
      </c>
      <c r="D3853" t="s">
        <v>2140</v>
      </c>
      <c r="E3853" t="s">
        <v>21</v>
      </c>
      <c r="F3853" t="s">
        <v>79</v>
      </c>
      <c r="G3853" t="s">
        <v>166</v>
      </c>
      <c r="H3853">
        <v>1</v>
      </c>
      <c r="I3853" s="3">
        <v>129.41999999999999</v>
      </c>
      <c r="J3853" t="s">
        <v>16</v>
      </c>
      <c r="K3853" t="s">
        <v>17</v>
      </c>
      <c r="L3853" s="4">
        <f>Table4[[#This Row],[quantity]]*Table4[[#This Row],[unit_price]]</f>
        <v>129.41999999999999</v>
      </c>
      <c r="M3853">
        <f>COUNTIFS($C$2:$C$3934,Table4[[#This Row],[customer_id]])</f>
        <v>6</v>
      </c>
      <c r="N3853" t="str">
        <f>IF(Table4[[#This Row],[customer_order_count]]=1,"New Customer","Repeat Customer")</f>
        <v>Repeat Customer</v>
      </c>
    </row>
    <row r="3854" spans="1:14">
      <c r="A3854" t="s">
        <v>3478</v>
      </c>
      <c r="B3854" s="1">
        <v>45596</v>
      </c>
      <c r="C3854" t="s">
        <v>3262</v>
      </c>
      <c r="D3854" t="s">
        <v>1938</v>
      </c>
      <c r="E3854" t="s">
        <v>21</v>
      </c>
      <c r="F3854" t="s">
        <v>79</v>
      </c>
      <c r="G3854" t="s">
        <v>541</v>
      </c>
      <c r="H3854">
        <v>1</v>
      </c>
      <c r="I3854" s="3">
        <v>129.57</v>
      </c>
      <c r="J3854" t="s">
        <v>16</v>
      </c>
      <c r="K3854" t="s">
        <v>35</v>
      </c>
      <c r="L3854" s="4">
        <f>Table4[[#This Row],[quantity]]*Table4[[#This Row],[unit_price]]</f>
        <v>129.57</v>
      </c>
      <c r="M3854">
        <f>COUNTIFS($C$2:$C$3934,Table4[[#This Row],[customer_id]])</f>
        <v>7</v>
      </c>
      <c r="N3854" t="str">
        <f>IF(Table4[[#This Row],[customer_order_count]]=1,"New Customer","Repeat Customer")</f>
        <v>Repeat Customer</v>
      </c>
    </row>
    <row r="3855" spans="1:14">
      <c r="A3855" t="s">
        <v>1719</v>
      </c>
      <c r="B3855" s="1">
        <v>45016</v>
      </c>
      <c r="C3855" t="s">
        <v>752</v>
      </c>
      <c r="D3855" s="2" t="s">
        <v>5257</v>
      </c>
      <c r="E3855" t="s">
        <v>21</v>
      </c>
      <c r="F3855" t="s">
        <v>79</v>
      </c>
      <c r="G3855" t="s">
        <v>166</v>
      </c>
      <c r="H3855">
        <v>1</v>
      </c>
      <c r="I3855" s="3">
        <v>129.57</v>
      </c>
      <c r="J3855" t="s">
        <v>16</v>
      </c>
      <c r="K3855" s="2" t="s">
        <v>5256</v>
      </c>
      <c r="L3855" s="4">
        <f>Table4[[#This Row],[quantity]]*Table4[[#This Row],[unit_price]]</f>
        <v>129.57</v>
      </c>
      <c r="M3855">
        <f>COUNTIFS($C$2:$C$3934,Table4[[#This Row],[customer_id]])</f>
        <v>7</v>
      </c>
      <c r="N3855" t="str">
        <f>IF(Table4[[#This Row],[customer_order_count]]=1,"New Customer","Repeat Customer")</f>
        <v>Repeat Customer</v>
      </c>
    </row>
    <row r="3856" spans="1:14">
      <c r="A3856" t="s">
        <v>1268</v>
      </c>
      <c r="B3856" s="1">
        <v>45627</v>
      </c>
      <c r="C3856" t="s">
        <v>1269</v>
      </c>
      <c r="D3856" s="5" t="s">
        <v>359</v>
      </c>
      <c r="E3856" t="s">
        <v>21</v>
      </c>
      <c r="F3856" t="s">
        <v>79</v>
      </c>
      <c r="G3856" t="s">
        <v>200</v>
      </c>
      <c r="H3856">
        <v>2</v>
      </c>
      <c r="I3856" s="3">
        <v>129.86000000000001</v>
      </c>
      <c r="J3856" t="s">
        <v>16</v>
      </c>
      <c r="K3856" s="5" t="s">
        <v>40</v>
      </c>
      <c r="L3856" s="4">
        <f>Table4[[#This Row],[quantity]]*Table4[[#This Row],[unit_price]]</f>
        <v>259.72000000000003</v>
      </c>
      <c r="M3856">
        <f>COUNTIFS($C$2:$C$3934,Table4[[#This Row],[customer_id]])</f>
        <v>6</v>
      </c>
      <c r="N3856" t="str">
        <f>IF(Table4[[#This Row],[customer_order_count]]=1,"New Customer","Repeat Customer")</f>
        <v>Repeat Customer</v>
      </c>
    </row>
    <row r="3857" spans="1:14">
      <c r="A3857" t="s">
        <v>3701</v>
      </c>
      <c r="B3857" s="1">
        <v>45263</v>
      </c>
      <c r="C3857" t="s">
        <v>1136</v>
      </c>
      <c r="D3857" t="s">
        <v>525</v>
      </c>
      <c r="E3857" t="s">
        <v>44</v>
      </c>
      <c r="F3857" t="s">
        <v>79</v>
      </c>
      <c r="G3857" t="s">
        <v>398</v>
      </c>
      <c r="H3857">
        <v>1</v>
      </c>
      <c r="I3857" s="3">
        <v>130.03</v>
      </c>
      <c r="J3857" t="s">
        <v>16</v>
      </c>
      <c r="K3857" t="s">
        <v>35</v>
      </c>
      <c r="L3857" s="4">
        <f>Table4[[#This Row],[quantity]]*Table4[[#This Row],[unit_price]]</f>
        <v>130.03</v>
      </c>
      <c r="M3857">
        <f>COUNTIFS($C$2:$C$3934,Table4[[#This Row],[customer_id]])</f>
        <v>8</v>
      </c>
      <c r="N3857" t="str">
        <f>IF(Table4[[#This Row],[customer_order_count]]=1,"New Customer","Repeat Customer")</f>
        <v>Repeat Customer</v>
      </c>
    </row>
    <row r="3858" spans="1:14">
      <c r="A3858" t="s">
        <v>982</v>
      </c>
      <c r="B3858" s="1">
        <v>45053</v>
      </c>
      <c r="C3858" t="s">
        <v>983</v>
      </c>
      <c r="D3858" t="s">
        <v>237</v>
      </c>
      <c r="E3858" t="s">
        <v>44</v>
      </c>
      <c r="F3858" t="s">
        <v>79</v>
      </c>
      <c r="G3858" t="s">
        <v>96</v>
      </c>
      <c r="H3858">
        <v>3</v>
      </c>
      <c r="I3858" s="3">
        <v>130.06</v>
      </c>
      <c r="J3858" t="s">
        <v>16</v>
      </c>
      <c r="K3858" t="s">
        <v>30</v>
      </c>
      <c r="L3858" s="4">
        <f>Table4[[#This Row],[quantity]]*Table4[[#This Row],[unit_price]]</f>
        <v>390.18</v>
      </c>
      <c r="M3858">
        <f>COUNTIFS($C$2:$C$3934,Table4[[#This Row],[customer_id]])</f>
        <v>7</v>
      </c>
      <c r="N3858" t="str">
        <f>IF(Table4[[#This Row],[customer_order_count]]=1,"New Customer","Repeat Customer")</f>
        <v>Repeat Customer</v>
      </c>
    </row>
    <row r="3859" spans="1:14">
      <c r="A3859" t="s">
        <v>4187</v>
      </c>
      <c r="B3859" s="1">
        <v>45326</v>
      </c>
      <c r="C3859" t="s">
        <v>1532</v>
      </c>
      <c r="D3859" t="s">
        <v>1533</v>
      </c>
      <c r="E3859" t="s">
        <v>44</v>
      </c>
      <c r="F3859" t="s">
        <v>79</v>
      </c>
      <c r="G3859" t="s">
        <v>96</v>
      </c>
      <c r="H3859">
        <v>1</v>
      </c>
      <c r="I3859" s="3">
        <v>130.75</v>
      </c>
      <c r="J3859" t="s">
        <v>16</v>
      </c>
      <c r="K3859" t="s">
        <v>17</v>
      </c>
      <c r="L3859" s="4">
        <f>Table4[[#This Row],[quantity]]*Table4[[#This Row],[unit_price]]</f>
        <v>130.75</v>
      </c>
      <c r="M3859">
        <f>COUNTIFS($C$2:$C$3934,Table4[[#This Row],[customer_id]])</f>
        <v>9</v>
      </c>
      <c r="N3859" t="str">
        <f>IF(Table4[[#This Row],[customer_order_count]]=1,"New Customer","Repeat Customer")</f>
        <v>Repeat Customer</v>
      </c>
    </row>
    <row r="3860" spans="1:14">
      <c r="A3860" t="s">
        <v>3248</v>
      </c>
      <c r="B3860" s="1">
        <v>45086</v>
      </c>
      <c r="C3860" t="s">
        <v>3249</v>
      </c>
      <c r="D3860" t="s">
        <v>519</v>
      </c>
      <c r="E3860" t="s">
        <v>21</v>
      </c>
      <c r="F3860" t="s">
        <v>79</v>
      </c>
      <c r="G3860" t="s">
        <v>166</v>
      </c>
      <c r="H3860">
        <v>1</v>
      </c>
      <c r="I3860" s="3">
        <v>130.97999999999999</v>
      </c>
      <c r="J3860" t="s">
        <v>16</v>
      </c>
      <c r="K3860" t="s">
        <v>17</v>
      </c>
      <c r="L3860" s="4">
        <f>Table4[[#This Row],[quantity]]*Table4[[#This Row],[unit_price]]</f>
        <v>130.97999999999999</v>
      </c>
      <c r="M3860">
        <f>COUNTIFS($C$2:$C$3934,Table4[[#This Row],[customer_id]])</f>
        <v>1</v>
      </c>
      <c r="N3860" t="str">
        <f>IF(Table4[[#This Row],[customer_order_count]]=1,"New Customer","Repeat Customer")</f>
        <v>New Customer</v>
      </c>
    </row>
    <row r="3861" spans="1:14">
      <c r="A3861" t="s">
        <v>2720</v>
      </c>
      <c r="B3861" s="1">
        <v>45412</v>
      </c>
      <c r="C3861" t="s">
        <v>1636</v>
      </c>
      <c r="D3861" t="s">
        <v>956</v>
      </c>
      <c r="E3861" t="s">
        <v>21</v>
      </c>
      <c r="F3861" t="s">
        <v>79</v>
      </c>
      <c r="G3861" t="s">
        <v>166</v>
      </c>
      <c r="H3861">
        <v>2</v>
      </c>
      <c r="I3861" s="3">
        <v>131.29</v>
      </c>
      <c r="J3861" t="s">
        <v>255</v>
      </c>
      <c r="K3861" t="s">
        <v>40</v>
      </c>
      <c r="L3861" s="4">
        <f>Table4[[#This Row],[quantity]]*Table4[[#This Row],[unit_price]]</f>
        <v>262.58</v>
      </c>
      <c r="M3861">
        <f>COUNTIFS($C$2:$C$3934,Table4[[#This Row],[customer_id]])</f>
        <v>5</v>
      </c>
      <c r="N3861" t="str">
        <f>IF(Table4[[#This Row],[customer_order_count]]=1,"New Customer","Repeat Customer")</f>
        <v>Repeat Customer</v>
      </c>
    </row>
    <row r="3862" spans="1:14">
      <c r="A3862" t="s">
        <v>2417</v>
      </c>
      <c r="B3862" s="1">
        <v>45018</v>
      </c>
      <c r="C3862" t="s">
        <v>900</v>
      </c>
      <c r="D3862" t="s">
        <v>857</v>
      </c>
      <c r="E3862" t="s">
        <v>21</v>
      </c>
      <c r="F3862" t="s">
        <v>79</v>
      </c>
      <c r="G3862" t="s">
        <v>541</v>
      </c>
      <c r="H3862">
        <v>1</v>
      </c>
      <c r="I3862" s="3">
        <v>131.34</v>
      </c>
      <c r="J3862" t="s">
        <v>16</v>
      </c>
      <c r="K3862" s="2" t="s">
        <v>5256</v>
      </c>
      <c r="L3862" s="4">
        <f>Table4[[#This Row],[quantity]]*Table4[[#This Row],[unit_price]]</f>
        <v>131.34</v>
      </c>
      <c r="M3862">
        <f>COUNTIFS($C$2:$C$3934,Table4[[#This Row],[customer_id]])</f>
        <v>6</v>
      </c>
      <c r="N3862" t="str">
        <f>IF(Table4[[#This Row],[customer_order_count]]=1,"New Customer","Repeat Customer")</f>
        <v>Repeat Customer</v>
      </c>
    </row>
    <row r="3863" spans="1:14">
      <c r="A3863" t="s">
        <v>2707</v>
      </c>
      <c r="B3863" s="1">
        <v>45372</v>
      </c>
      <c r="C3863" t="s">
        <v>713</v>
      </c>
      <c r="D3863" t="s">
        <v>714</v>
      </c>
      <c r="E3863" t="s">
        <v>21</v>
      </c>
      <c r="F3863" t="s">
        <v>79</v>
      </c>
      <c r="G3863" t="s">
        <v>200</v>
      </c>
      <c r="H3863">
        <v>1</v>
      </c>
      <c r="I3863" s="3">
        <v>131.43</v>
      </c>
      <c r="J3863" t="s">
        <v>16</v>
      </c>
      <c r="K3863" s="5" t="s">
        <v>40</v>
      </c>
      <c r="L3863" s="4">
        <f>Table4[[#This Row],[quantity]]*Table4[[#This Row],[unit_price]]</f>
        <v>131.43</v>
      </c>
      <c r="M3863">
        <f>COUNTIFS($C$2:$C$3934,Table4[[#This Row],[customer_id]])</f>
        <v>6</v>
      </c>
      <c r="N3863" t="str">
        <f>IF(Table4[[#This Row],[customer_order_count]]=1,"New Customer","Repeat Customer")</f>
        <v>Repeat Customer</v>
      </c>
    </row>
    <row r="3864" spans="1:14">
      <c r="A3864" t="s">
        <v>2449</v>
      </c>
      <c r="B3864" s="1">
        <v>45458</v>
      </c>
      <c r="C3864" t="s">
        <v>1148</v>
      </c>
      <c r="D3864" t="s">
        <v>857</v>
      </c>
      <c r="E3864" t="s">
        <v>21</v>
      </c>
      <c r="F3864" t="s">
        <v>79</v>
      </c>
      <c r="G3864" t="s">
        <v>541</v>
      </c>
      <c r="H3864">
        <v>2</v>
      </c>
      <c r="I3864" s="3">
        <v>132.28</v>
      </c>
      <c r="J3864" t="s">
        <v>16</v>
      </c>
      <c r="K3864" t="s">
        <v>35</v>
      </c>
      <c r="L3864" s="4">
        <f>Table4[[#This Row],[quantity]]*Table4[[#This Row],[unit_price]]</f>
        <v>264.56</v>
      </c>
      <c r="M3864">
        <f>COUNTIFS($C$2:$C$3934,Table4[[#This Row],[customer_id]])</f>
        <v>8</v>
      </c>
      <c r="N3864" t="str">
        <f>IF(Table4[[#This Row],[customer_order_count]]=1,"New Customer","Repeat Customer")</f>
        <v>Repeat Customer</v>
      </c>
    </row>
    <row r="3865" spans="1:14">
      <c r="A3865" t="s">
        <v>4094</v>
      </c>
      <c r="B3865" s="1">
        <v>45342</v>
      </c>
      <c r="C3865" t="s">
        <v>1499</v>
      </c>
      <c r="D3865" t="s">
        <v>1500</v>
      </c>
      <c r="E3865" t="s">
        <v>44</v>
      </c>
      <c r="F3865" t="s">
        <v>79</v>
      </c>
      <c r="G3865" t="s">
        <v>200</v>
      </c>
      <c r="H3865">
        <v>2</v>
      </c>
      <c r="I3865" s="3">
        <v>132.61000000000001</v>
      </c>
      <c r="J3865" t="s">
        <v>16</v>
      </c>
      <c r="K3865" t="s">
        <v>17</v>
      </c>
      <c r="L3865" s="4">
        <f>Table4[[#This Row],[quantity]]*Table4[[#This Row],[unit_price]]</f>
        <v>265.22000000000003</v>
      </c>
      <c r="M3865">
        <f>COUNTIFS($C$2:$C$3934,Table4[[#This Row],[customer_id]])</f>
        <v>6</v>
      </c>
      <c r="N3865" t="str">
        <f>IF(Table4[[#This Row],[customer_order_count]]=1,"New Customer","Repeat Customer")</f>
        <v>Repeat Customer</v>
      </c>
    </row>
    <row r="3866" spans="1:14">
      <c r="A3866" t="s">
        <v>1541</v>
      </c>
      <c r="B3866" s="1">
        <v>45236</v>
      </c>
      <c r="C3866" t="s">
        <v>148</v>
      </c>
      <c r="D3866" t="s">
        <v>149</v>
      </c>
      <c r="E3866" t="s">
        <v>21</v>
      </c>
      <c r="F3866" t="s">
        <v>79</v>
      </c>
      <c r="G3866" t="s">
        <v>204</v>
      </c>
      <c r="H3866">
        <v>4</v>
      </c>
      <c r="I3866" s="3">
        <v>133.03</v>
      </c>
      <c r="J3866" t="s">
        <v>16</v>
      </c>
      <c r="K3866" t="s">
        <v>30</v>
      </c>
      <c r="L3866" s="4">
        <f>Table4[[#This Row],[quantity]]*Table4[[#This Row],[unit_price]]</f>
        <v>532.12</v>
      </c>
      <c r="M3866">
        <f>COUNTIFS($C$2:$C$3934,Table4[[#This Row],[customer_id]])</f>
        <v>6</v>
      </c>
      <c r="N3866" t="str">
        <f>IF(Table4[[#This Row],[customer_order_count]]=1,"New Customer","Repeat Customer")</f>
        <v>Repeat Customer</v>
      </c>
    </row>
    <row r="3867" spans="1:14">
      <c r="A3867" t="s">
        <v>2977</v>
      </c>
      <c r="B3867" s="1">
        <v>45139</v>
      </c>
      <c r="C3867" t="s">
        <v>2110</v>
      </c>
      <c r="D3867" t="s">
        <v>2111</v>
      </c>
      <c r="E3867" t="s">
        <v>21</v>
      </c>
      <c r="F3867" t="s">
        <v>79</v>
      </c>
      <c r="G3867" t="s">
        <v>80</v>
      </c>
      <c r="H3867">
        <v>1</v>
      </c>
      <c r="I3867" s="3">
        <v>133.34</v>
      </c>
      <c r="J3867" t="s">
        <v>16</v>
      </c>
      <c r="K3867" t="s">
        <v>35</v>
      </c>
      <c r="L3867" s="4">
        <f>Table4[[#This Row],[quantity]]*Table4[[#This Row],[unit_price]]</f>
        <v>133.34</v>
      </c>
      <c r="M3867">
        <f>COUNTIFS($C$2:$C$3934,Table4[[#This Row],[customer_id]])</f>
        <v>5</v>
      </c>
      <c r="N3867" t="str">
        <f>IF(Table4[[#This Row],[customer_order_count]]=1,"New Customer","Repeat Customer")</f>
        <v>Repeat Customer</v>
      </c>
    </row>
    <row r="3868" spans="1:14">
      <c r="A3868" t="s">
        <v>3283</v>
      </c>
      <c r="B3868" s="1">
        <v>45532</v>
      </c>
      <c r="C3868" t="s">
        <v>3053</v>
      </c>
      <c r="D3868" t="s">
        <v>854</v>
      </c>
      <c r="E3868" t="s">
        <v>21</v>
      </c>
      <c r="F3868" t="s">
        <v>79</v>
      </c>
      <c r="G3868" t="s">
        <v>541</v>
      </c>
      <c r="H3868">
        <v>1</v>
      </c>
      <c r="I3868" s="3">
        <v>133.78</v>
      </c>
      <c r="J3868" t="s">
        <v>16</v>
      </c>
      <c r="K3868" t="s">
        <v>17</v>
      </c>
      <c r="L3868" s="4">
        <f>Table4[[#This Row],[quantity]]*Table4[[#This Row],[unit_price]]</f>
        <v>133.78</v>
      </c>
      <c r="M3868">
        <f>COUNTIFS($C$2:$C$3934,Table4[[#This Row],[customer_id]])</f>
        <v>3</v>
      </c>
      <c r="N3868" t="str">
        <f>IF(Table4[[#This Row],[customer_order_count]]=1,"New Customer","Repeat Customer")</f>
        <v>Repeat Customer</v>
      </c>
    </row>
    <row r="3869" spans="1:14">
      <c r="A3869" t="s">
        <v>1289</v>
      </c>
      <c r="B3869" s="1">
        <v>45042</v>
      </c>
      <c r="C3869" t="s">
        <v>228</v>
      </c>
      <c r="D3869" t="s">
        <v>229</v>
      </c>
      <c r="E3869" t="s">
        <v>21</v>
      </c>
      <c r="F3869" t="s">
        <v>79</v>
      </c>
      <c r="G3869" t="s">
        <v>200</v>
      </c>
      <c r="H3869">
        <v>3</v>
      </c>
      <c r="I3869" s="3">
        <v>134.08000000000001</v>
      </c>
      <c r="J3869" t="s">
        <v>16</v>
      </c>
      <c r="K3869" t="s">
        <v>35</v>
      </c>
      <c r="L3869" s="4">
        <f>Table4[[#This Row],[quantity]]*Table4[[#This Row],[unit_price]]</f>
        <v>402.24</v>
      </c>
      <c r="M3869">
        <f>COUNTIFS($C$2:$C$3934,Table4[[#This Row],[customer_id]])</f>
        <v>5</v>
      </c>
      <c r="N3869" t="str">
        <f>IF(Table4[[#This Row],[customer_order_count]]=1,"New Customer","Repeat Customer")</f>
        <v>Repeat Customer</v>
      </c>
    </row>
    <row r="3870" spans="1:14">
      <c r="A3870" t="s">
        <v>4496</v>
      </c>
      <c r="B3870" s="1">
        <v>45128</v>
      </c>
      <c r="C3870" t="s">
        <v>537</v>
      </c>
      <c r="D3870" s="2" t="s">
        <v>5257</v>
      </c>
      <c r="E3870" t="s">
        <v>21</v>
      </c>
      <c r="F3870" t="s">
        <v>79</v>
      </c>
      <c r="G3870" t="s">
        <v>541</v>
      </c>
      <c r="H3870">
        <v>3</v>
      </c>
      <c r="I3870" s="3">
        <v>134.16999999999999</v>
      </c>
      <c r="J3870" t="s">
        <v>255</v>
      </c>
      <c r="K3870" t="s">
        <v>30</v>
      </c>
      <c r="L3870" s="4">
        <f>Table4[[#This Row],[quantity]]*Table4[[#This Row],[unit_price]]</f>
        <v>402.51</v>
      </c>
      <c r="M3870">
        <f>COUNTIFS($C$2:$C$3934,Table4[[#This Row],[customer_id]])</f>
        <v>9</v>
      </c>
      <c r="N3870" t="str">
        <f>IF(Table4[[#This Row],[customer_order_count]]=1,"New Customer","Repeat Customer")</f>
        <v>Repeat Customer</v>
      </c>
    </row>
    <row r="3871" spans="1:14">
      <c r="A3871" t="s">
        <v>3667</v>
      </c>
      <c r="B3871" s="1">
        <v>45392</v>
      </c>
      <c r="C3871" t="s">
        <v>733</v>
      </c>
      <c r="D3871" s="5" t="s">
        <v>734</v>
      </c>
      <c r="E3871" t="s">
        <v>21</v>
      </c>
      <c r="F3871" t="s">
        <v>79</v>
      </c>
      <c r="G3871" t="s">
        <v>204</v>
      </c>
      <c r="H3871">
        <v>2</v>
      </c>
      <c r="I3871" s="3">
        <v>134.29</v>
      </c>
      <c r="J3871" t="s">
        <v>16</v>
      </c>
      <c r="K3871" t="s">
        <v>30</v>
      </c>
      <c r="L3871" s="4">
        <f>Table4[[#This Row],[quantity]]*Table4[[#This Row],[unit_price]]</f>
        <v>268.58</v>
      </c>
      <c r="M3871">
        <f>COUNTIFS($C$2:$C$3934,Table4[[#This Row],[customer_id]])</f>
        <v>5</v>
      </c>
      <c r="N3871" t="str">
        <f>IF(Table4[[#This Row],[customer_order_count]]=1,"New Customer","Repeat Customer")</f>
        <v>Repeat Customer</v>
      </c>
    </row>
    <row r="3872" spans="1:14">
      <c r="A3872" t="s">
        <v>1878</v>
      </c>
      <c r="B3872" s="1">
        <v>45118</v>
      </c>
      <c r="C3872" t="s">
        <v>416</v>
      </c>
      <c r="D3872" t="s">
        <v>417</v>
      </c>
      <c r="E3872" t="s">
        <v>21</v>
      </c>
      <c r="F3872" t="s">
        <v>79</v>
      </c>
      <c r="G3872" t="s">
        <v>398</v>
      </c>
      <c r="H3872">
        <v>1</v>
      </c>
      <c r="I3872" s="3">
        <v>134.37</v>
      </c>
      <c r="J3872" t="s">
        <v>16</v>
      </c>
      <c r="K3872" t="s">
        <v>30</v>
      </c>
      <c r="L3872" s="4">
        <f>Table4[[#This Row],[quantity]]*Table4[[#This Row],[unit_price]]</f>
        <v>134.37</v>
      </c>
      <c r="M3872">
        <f>COUNTIFS($C$2:$C$3934,Table4[[#This Row],[customer_id]])</f>
        <v>6</v>
      </c>
      <c r="N3872" t="str">
        <f>IF(Table4[[#This Row],[customer_order_count]]=1,"New Customer","Repeat Customer")</f>
        <v>Repeat Customer</v>
      </c>
    </row>
    <row r="3873" spans="1:14">
      <c r="A3873" t="s">
        <v>3236</v>
      </c>
      <c r="B3873" s="1">
        <v>45505</v>
      </c>
      <c r="C3873" t="s">
        <v>2104</v>
      </c>
      <c r="D3873" t="s">
        <v>1674</v>
      </c>
      <c r="E3873" t="s">
        <v>21</v>
      </c>
      <c r="F3873" t="s">
        <v>79</v>
      </c>
      <c r="G3873" t="s">
        <v>200</v>
      </c>
      <c r="H3873">
        <v>2</v>
      </c>
      <c r="I3873" s="3">
        <v>134.43</v>
      </c>
      <c r="J3873" t="s">
        <v>16</v>
      </c>
      <c r="K3873" t="s">
        <v>30</v>
      </c>
      <c r="L3873" s="4">
        <f>Table4[[#This Row],[quantity]]*Table4[[#This Row],[unit_price]]</f>
        <v>268.86</v>
      </c>
      <c r="M3873">
        <f>COUNTIFS($C$2:$C$3934,Table4[[#This Row],[customer_id]])</f>
        <v>7</v>
      </c>
      <c r="N3873" t="str">
        <f>IF(Table4[[#This Row],[customer_order_count]]=1,"New Customer","Repeat Customer")</f>
        <v>Repeat Customer</v>
      </c>
    </row>
    <row r="3874" spans="1:14">
      <c r="A3874" t="s">
        <v>2298</v>
      </c>
      <c r="B3874" s="1">
        <v>45632</v>
      </c>
      <c r="C3874" t="s">
        <v>961</v>
      </c>
      <c r="D3874" t="s">
        <v>962</v>
      </c>
      <c r="E3874" t="s">
        <v>21</v>
      </c>
      <c r="F3874" t="s">
        <v>79</v>
      </c>
      <c r="G3874" t="s">
        <v>204</v>
      </c>
      <c r="H3874">
        <v>1</v>
      </c>
      <c r="I3874" s="3">
        <v>134.47999999999999</v>
      </c>
      <c r="J3874" t="s">
        <v>16</v>
      </c>
      <c r="K3874" t="s">
        <v>40</v>
      </c>
      <c r="L3874" s="4">
        <f>Table4[[#This Row],[quantity]]*Table4[[#This Row],[unit_price]]</f>
        <v>134.47999999999999</v>
      </c>
      <c r="M3874">
        <f>COUNTIFS($C$2:$C$3934,Table4[[#This Row],[customer_id]])</f>
        <v>6</v>
      </c>
      <c r="N3874" t="str">
        <f>IF(Table4[[#This Row],[customer_order_count]]=1,"New Customer","Repeat Customer")</f>
        <v>Repeat Customer</v>
      </c>
    </row>
    <row r="3875" spans="1:14">
      <c r="A3875" t="s">
        <v>3062</v>
      </c>
      <c r="B3875" s="1">
        <v>44967</v>
      </c>
      <c r="C3875" t="s">
        <v>3063</v>
      </c>
      <c r="D3875" t="s">
        <v>659</v>
      </c>
      <c r="E3875" t="s">
        <v>21</v>
      </c>
      <c r="F3875" t="s">
        <v>79</v>
      </c>
      <c r="G3875" t="s">
        <v>398</v>
      </c>
      <c r="H3875">
        <v>2</v>
      </c>
      <c r="I3875" s="3">
        <v>134.74</v>
      </c>
      <c r="J3875" t="s">
        <v>16</v>
      </c>
      <c r="K3875" t="s">
        <v>40</v>
      </c>
      <c r="L3875" s="4">
        <f>Table4[[#This Row],[quantity]]*Table4[[#This Row],[unit_price]]</f>
        <v>269.48</v>
      </c>
      <c r="M3875">
        <f>COUNTIFS($C$2:$C$3934,Table4[[#This Row],[customer_id]])</f>
        <v>5</v>
      </c>
      <c r="N3875" t="str">
        <f>IF(Table4[[#This Row],[customer_order_count]]=1,"New Customer","Repeat Customer")</f>
        <v>Repeat Customer</v>
      </c>
    </row>
    <row r="3876" spans="1:14">
      <c r="A3876" t="s">
        <v>93</v>
      </c>
      <c r="B3876" s="1">
        <v>45571</v>
      </c>
      <c r="C3876" t="s">
        <v>94</v>
      </c>
      <c r="D3876" t="s">
        <v>95</v>
      </c>
      <c r="E3876" t="s">
        <v>21</v>
      </c>
      <c r="F3876" t="s">
        <v>79</v>
      </c>
      <c r="G3876" t="s">
        <v>96</v>
      </c>
      <c r="H3876">
        <v>3</v>
      </c>
      <c r="I3876" s="3">
        <v>134.85</v>
      </c>
      <c r="J3876" t="s">
        <v>16</v>
      </c>
      <c r="K3876" t="s">
        <v>40</v>
      </c>
      <c r="L3876" s="4">
        <f>Table4[[#This Row],[quantity]]*Table4[[#This Row],[unit_price]]</f>
        <v>404.54999999999995</v>
      </c>
      <c r="M3876">
        <f>COUNTIFS($C$2:$C$3934,Table4[[#This Row],[customer_id]])</f>
        <v>4</v>
      </c>
      <c r="N3876" t="str">
        <f>IF(Table4[[#This Row],[customer_order_count]]=1,"New Customer","Repeat Customer")</f>
        <v>Repeat Customer</v>
      </c>
    </row>
    <row r="3877" spans="1:14">
      <c r="A3877" t="s">
        <v>2951</v>
      </c>
      <c r="B3877" s="1">
        <v>45316</v>
      </c>
      <c r="C3877" t="s">
        <v>2952</v>
      </c>
      <c r="D3877" t="s">
        <v>2953</v>
      </c>
      <c r="E3877" t="s">
        <v>21</v>
      </c>
      <c r="F3877" t="s">
        <v>79</v>
      </c>
      <c r="G3877" t="s">
        <v>166</v>
      </c>
      <c r="H3877">
        <v>4</v>
      </c>
      <c r="I3877" s="3">
        <v>135.19</v>
      </c>
      <c r="J3877" t="s">
        <v>16</v>
      </c>
      <c r="K3877" t="s">
        <v>40</v>
      </c>
      <c r="L3877" s="4">
        <f>Table4[[#This Row],[quantity]]*Table4[[#This Row],[unit_price]]</f>
        <v>540.76</v>
      </c>
      <c r="M3877">
        <f>COUNTIFS($C$2:$C$3934,Table4[[#This Row],[customer_id]])</f>
        <v>4</v>
      </c>
      <c r="N3877" t="str">
        <f>IF(Table4[[#This Row],[customer_order_count]]=1,"New Customer","Repeat Customer")</f>
        <v>Repeat Customer</v>
      </c>
    </row>
    <row r="3878" spans="1:14">
      <c r="A3878" t="s">
        <v>3406</v>
      </c>
      <c r="B3878" s="1">
        <v>45462</v>
      </c>
      <c r="C3878" t="s">
        <v>2355</v>
      </c>
      <c r="D3878" t="s">
        <v>2356</v>
      </c>
      <c r="E3878" t="s">
        <v>44</v>
      </c>
      <c r="F3878" t="s">
        <v>79</v>
      </c>
      <c r="G3878" t="s">
        <v>80</v>
      </c>
      <c r="H3878">
        <v>2</v>
      </c>
      <c r="I3878" s="3">
        <v>135.47999999999999</v>
      </c>
      <c r="J3878" t="s">
        <v>16</v>
      </c>
      <c r="K3878" t="s">
        <v>35</v>
      </c>
      <c r="L3878" s="4">
        <f>Table4[[#This Row],[quantity]]*Table4[[#This Row],[unit_price]]</f>
        <v>270.95999999999998</v>
      </c>
      <c r="M3878">
        <f>COUNTIFS($C$2:$C$3934,Table4[[#This Row],[customer_id]])</f>
        <v>4</v>
      </c>
      <c r="N3878" t="str">
        <f>IF(Table4[[#This Row],[customer_order_count]]=1,"New Customer","Repeat Customer")</f>
        <v>Repeat Customer</v>
      </c>
    </row>
    <row r="3879" spans="1:14">
      <c r="A3879" t="s">
        <v>3576</v>
      </c>
      <c r="B3879" s="1">
        <v>45152</v>
      </c>
      <c r="C3879" t="s">
        <v>1082</v>
      </c>
      <c r="D3879" t="s">
        <v>380</v>
      </c>
      <c r="E3879" t="s">
        <v>21</v>
      </c>
      <c r="F3879" t="s">
        <v>79</v>
      </c>
      <c r="G3879" t="s">
        <v>80</v>
      </c>
      <c r="H3879">
        <v>1</v>
      </c>
      <c r="I3879" s="3">
        <v>135.84</v>
      </c>
      <c r="J3879" t="s">
        <v>16</v>
      </c>
      <c r="K3879" t="s">
        <v>35</v>
      </c>
      <c r="L3879" s="4">
        <f>Table4[[#This Row],[quantity]]*Table4[[#This Row],[unit_price]]</f>
        <v>135.84</v>
      </c>
      <c r="M3879">
        <f>COUNTIFS($C$2:$C$3934,Table4[[#This Row],[customer_id]])</f>
        <v>5</v>
      </c>
      <c r="N3879" t="str">
        <f>IF(Table4[[#This Row],[customer_order_count]]=1,"New Customer","Repeat Customer")</f>
        <v>Repeat Customer</v>
      </c>
    </row>
    <row r="3880" spans="1:14">
      <c r="A3880" t="s">
        <v>4049</v>
      </c>
      <c r="B3880" s="1">
        <v>45061</v>
      </c>
      <c r="C3880" t="s">
        <v>939</v>
      </c>
      <c r="D3880" t="s">
        <v>525</v>
      </c>
      <c r="E3880" t="s">
        <v>21</v>
      </c>
      <c r="F3880" t="s">
        <v>79</v>
      </c>
      <c r="G3880" t="s">
        <v>96</v>
      </c>
      <c r="H3880">
        <v>3</v>
      </c>
      <c r="I3880" s="3">
        <v>135.85</v>
      </c>
      <c r="J3880" t="s">
        <v>16</v>
      </c>
      <c r="K3880" t="s">
        <v>35</v>
      </c>
      <c r="L3880" s="4">
        <f>Table4[[#This Row],[quantity]]*Table4[[#This Row],[unit_price]]</f>
        <v>407.54999999999995</v>
      </c>
      <c r="M3880">
        <f>COUNTIFS($C$2:$C$3934,Table4[[#This Row],[customer_id]])</f>
        <v>3</v>
      </c>
      <c r="N3880" t="str">
        <f>IF(Table4[[#This Row],[customer_order_count]]=1,"New Customer","Repeat Customer")</f>
        <v>Repeat Customer</v>
      </c>
    </row>
    <row r="3881" spans="1:14">
      <c r="A3881" t="s">
        <v>4911</v>
      </c>
      <c r="B3881" s="1">
        <v>45434</v>
      </c>
      <c r="C3881" t="s">
        <v>469</v>
      </c>
      <c r="D3881" t="s">
        <v>428</v>
      </c>
      <c r="E3881" t="s">
        <v>21</v>
      </c>
      <c r="F3881" t="s">
        <v>79</v>
      </c>
      <c r="G3881" t="s">
        <v>230</v>
      </c>
      <c r="H3881">
        <v>2</v>
      </c>
      <c r="I3881" s="3">
        <v>136.03</v>
      </c>
      <c r="J3881" t="s">
        <v>16</v>
      </c>
      <c r="K3881" t="s">
        <v>35</v>
      </c>
      <c r="L3881" s="4">
        <f>Table4[[#This Row],[quantity]]*Table4[[#This Row],[unit_price]]</f>
        <v>272.06</v>
      </c>
      <c r="M3881">
        <f>COUNTIFS($C$2:$C$3934,Table4[[#This Row],[customer_id]])</f>
        <v>8</v>
      </c>
      <c r="N3881" t="str">
        <f>IF(Table4[[#This Row],[customer_order_count]]=1,"New Customer","Repeat Customer")</f>
        <v>Repeat Customer</v>
      </c>
    </row>
    <row r="3882" spans="1:14">
      <c r="A3882" t="s">
        <v>3926</v>
      </c>
      <c r="B3882" s="1">
        <v>45157</v>
      </c>
      <c r="C3882" t="s">
        <v>2531</v>
      </c>
      <c r="D3882" t="s">
        <v>372</v>
      </c>
      <c r="E3882" t="s">
        <v>21</v>
      </c>
      <c r="F3882" t="s">
        <v>79</v>
      </c>
      <c r="G3882" t="s">
        <v>230</v>
      </c>
      <c r="H3882">
        <v>1</v>
      </c>
      <c r="I3882" s="3">
        <v>136.82</v>
      </c>
      <c r="J3882" t="s">
        <v>16</v>
      </c>
      <c r="K3882" t="s">
        <v>17</v>
      </c>
      <c r="L3882" s="4">
        <f>Table4[[#This Row],[quantity]]*Table4[[#This Row],[unit_price]]</f>
        <v>136.82</v>
      </c>
      <c r="M3882">
        <f>COUNTIFS($C$2:$C$3934,Table4[[#This Row],[customer_id]])</f>
        <v>7</v>
      </c>
      <c r="N3882" t="str">
        <f>IF(Table4[[#This Row],[customer_order_count]]=1,"New Customer","Repeat Customer")</f>
        <v>Repeat Customer</v>
      </c>
    </row>
    <row r="3883" spans="1:14">
      <c r="A3883" t="s">
        <v>4117</v>
      </c>
      <c r="B3883" s="1">
        <v>45277</v>
      </c>
      <c r="C3883" t="s">
        <v>930</v>
      </c>
      <c r="D3883" t="s">
        <v>931</v>
      </c>
      <c r="E3883" t="s">
        <v>21</v>
      </c>
      <c r="F3883" t="s">
        <v>79</v>
      </c>
      <c r="G3883" t="s">
        <v>200</v>
      </c>
      <c r="H3883">
        <v>3</v>
      </c>
      <c r="I3883" s="3">
        <v>137.03</v>
      </c>
      <c r="J3883" t="s">
        <v>85</v>
      </c>
      <c r="K3883" t="s">
        <v>17</v>
      </c>
      <c r="L3883" s="4">
        <f>Table4[[#This Row],[quantity]]*Table4[[#This Row],[unit_price]]</f>
        <v>411.09000000000003</v>
      </c>
      <c r="M3883">
        <f>COUNTIFS($C$2:$C$3934,Table4[[#This Row],[customer_id]])</f>
        <v>6</v>
      </c>
      <c r="N3883" t="str">
        <f>IF(Table4[[#This Row],[customer_order_count]]=1,"New Customer","Repeat Customer")</f>
        <v>Repeat Customer</v>
      </c>
    </row>
    <row r="3884" spans="1:14">
      <c r="A3884" t="s">
        <v>1849</v>
      </c>
      <c r="B3884" s="1">
        <v>45003</v>
      </c>
      <c r="C3884" t="s">
        <v>371</v>
      </c>
      <c r="D3884" t="s">
        <v>372</v>
      </c>
      <c r="E3884" t="s">
        <v>21</v>
      </c>
      <c r="F3884" t="s">
        <v>79</v>
      </c>
      <c r="G3884" t="s">
        <v>200</v>
      </c>
      <c r="H3884">
        <v>2</v>
      </c>
      <c r="I3884" s="3">
        <v>137.25</v>
      </c>
      <c r="J3884" t="s">
        <v>16</v>
      </c>
      <c r="K3884" t="s">
        <v>17</v>
      </c>
      <c r="L3884" s="4">
        <f>Table4[[#This Row],[quantity]]*Table4[[#This Row],[unit_price]]</f>
        <v>274.5</v>
      </c>
      <c r="M3884">
        <f>COUNTIFS($C$2:$C$3934,Table4[[#This Row],[customer_id]])</f>
        <v>4</v>
      </c>
      <c r="N3884" t="str">
        <f>IF(Table4[[#This Row],[customer_order_count]]=1,"New Customer","Repeat Customer")</f>
        <v>Repeat Customer</v>
      </c>
    </row>
    <row r="3885" spans="1:14">
      <c r="A3885" t="s">
        <v>1135</v>
      </c>
      <c r="B3885" s="1">
        <v>45353</v>
      </c>
      <c r="C3885" t="s">
        <v>1136</v>
      </c>
      <c r="D3885" t="s">
        <v>525</v>
      </c>
      <c r="E3885" t="s">
        <v>44</v>
      </c>
      <c r="F3885" t="s">
        <v>79</v>
      </c>
      <c r="G3885" t="s">
        <v>96</v>
      </c>
      <c r="H3885">
        <v>1</v>
      </c>
      <c r="I3885" s="3">
        <v>137.6</v>
      </c>
      <c r="J3885" t="s">
        <v>16</v>
      </c>
      <c r="K3885" t="s">
        <v>30</v>
      </c>
      <c r="L3885" s="4">
        <f>Table4[[#This Row],[quantity]]*Table4[[#This Row],[unit_price]]</f>
        <v>137.6</v>
      </c>
      <c r="M3885">
        <f>COUNTIFS($C$2:$C$3934,Table4[[#This Row],[customer_id]])</f>
        <v>8</v>
      </c>
      <c r="N3885" t="str">
        <f>IF(Table4[[#This Row],[customer_order_count]]=1,"New Customer","Repeat Customer")</f>
        <v>Repeat Customer</v>
      </c>
    </row>
    <row r="3886" spans="1:14">
      <c r="A3886" t="s">
        <v>1574</v>
      </c>
      <c r="B3886" s="1">
        <v>45104</v>
      </c>
      <c r="C3886" t="s">
        <v>1575</v>
      </c>
      <c r="D3886" t="s">
        <v>449</v>
      </c>
      <c r="E3886" t="s">
        <v>44</v>
      </c>
      <c r="F3886" t="s">
        <v>79</v>
      </c>
      <c r="G3886" t="s">
        <v>80</v>
      </c>
      <c r="H3886">
        <v>1</v>
      </c>
      <c r="I3886" s="3">
        <v>137.63</v>
      </c>
      <c r="J3886" t="s">
        <v>24</v>
      </c>
      <c r="K3886" t="s">
        <v>40</v>
      </c>
      <c r="L3886" s="4">
        <f>Table4[[#This Row],[quantity]]*Table4[[#This Row],[unit_price]]</f>
        <v>137.63</v>
      </c>
      <c r="M3886">
        <f>COUNTIFS($C$2:$C$3934,Table4[[#This Row],[customer_id]])</f>
        <v>5</v>
      </c>
      <c r="N3886" t="str">
        <f>IF(Table4[[#This Row],[customer_order_count]]=1,"New Customer","Repeat Customer")</f>
        <v>Repeat Customer</v>
      </c>
    </row>
    <row r="3887" spans="1:14">
      <c r="A3887" t="s">
        <v>3710</v>
      </c>
      <c r="B3887" s="1">
        <v>45414</v>
      </c>
      <c r="C3887" t="s">
        <v>850</v>
      </c>
      <c r="D3887" t="s">
        <v>851</v>
      </c>
      <c r="E3887" t="s">
        <v>21</v>
      </c>
      <c r="F3887" t="s">
        <v>79</v>
      </c>
      <c r="G3887" t="s">
        <v>204</v>
      </c>
      <c r="H3887">
        <v>1</v>
      </c>
      <c r="I3887" s="3">
        <v>137.63999999999999</v>
      </c>
      <c r="J3887" t="s">
        <v>16</v>
      </c>
      <c r="K3887" t="s">
        <v>17</v>
      </c>
      <c r="L3887" s="4">
        <f>Table4[[#This Row],[quantity]]*Table4[[#This Row],[unit_price]]</f>
        <v>137.63999999999999</v>
      </c>
      <c r="M3887">
        <f>COUNTIFS($C$2:$C$3934,Table4[[#This Row],[customer_id]])</f>
        <v>9</v>
      </c>
      <c r="N3887" t="str">
        <f>IF(Table4[[#This Row],[customer_order_count]]=1,"New Customer","Repeat Customer")</f>
        <v>Repeat Customer</v>
      </c>
    </row>
    <row r="3888" spans="1:14">
      <c r="A3888" t="s">
        <v>2535</v>
      </c>
      <c r="B3888" s="1">
        <v>45007</v>
      </c>
      <c r="C3888" t="s">
        <v>2536</v>
      </c>
      <c r="D3888" t="s">
        <v>1514</v>
      </c>
      <c r="E3888" t="s">
        <v>21</v>
      </c>
      <c r="F3888" t="s">
        <v>79</v>
      </c>
      <c r="G3888" t="s">
        <v>398</v>
      </c>
      <c r="H3888">
        <v>3</v>
      </c>
      <c r="I3888" s="3">
        <v>137.94</v>
      </c>
      <c r="J3888" t="s">
        <v>24</v>
      </c>
      <c r="K3888" t="s">
        <v>30</v>
      </c>
      <c r="L3888" s="4">
        <f>Table4[[#This Row],[quantity]]*Table4[[#This Row],[unit_price]]</f>
        <v>413.82</v>
      </c>
      <c r="M3888">
        <f>COUNTIFS($C$2:$C$3934,Table4[[#This Row],[customer_id]])</f>
        <v>5</v>
      </c>
      <c r="N3888" t="str">
        <f>IF(Table4[[#This Row],[customer_order_count]]=1,"New Customer","Repeat Customer")</f>
        <v>Repeat Customer</v>
      </c>
    </row>
    <row r="3889" spans="1:14">
      <c r="A3889" t="s">
        <v>4035</v>
      </c>
      <c r="B3889" s="1">
        <v>44934</v>
      </c>
      <c r="C3889" t="s">
        <v>2214</v>
      </c>
      <c r="D3889" t="s">
        <v>2215</v>
      </c>
      <c r="E3889" t="s">
        <v>21</v>
      </c>
      <c r="F3889" t="s">
        <v>79</v>
      </c>
      <c r="G3889" t="s">
        <v>398</v>
      </c>
      <c r="H3889">
        <v>1</v>
      </c>
      <c r="I3889" s="3">
        <v>138.03</v>
      </c>
      <c r="J3889" t="s">
        <v>16</v>
      </c>
      <c r="K3889" t="s">
        <v>17</v>
      </c>
      <c r="L3889" s="4">
        <f>Table4[[#This Row],[quantity]]*Table4[[#This Row],[unit_price]]</f>
        <v>138.03</v>
      </c>
      <c r="M3889">
        <f>COUNTIFS($C$2:$C$3934,Table4[[#This Row],[customer_id]])</f>
        <v>5</v>
      </c>
      <c r="N3889" t="str">
        <f>IF(Table4[[#This Row],[customer_order_count]]=1,"New Customer","Repeat Customer")</f>
        <v>Repeat Customer</v>
      </c>
    </row>
    <row r="3890" spans="1:14">
      <c r="A3890" t="s">
        <v>4988</v>
      </c>
      <c r="B3890" s="1">
        <v>45196</v>
      </c>
      <c r="C3890" t="s">
        <v>861</v>
      </c>
      <c r="D3890" t="s">
        <v>787</v>
      </c>
      <c r="E3890" t="s">
        <v>21</v>
      </c>
      <c r="F3890" t="s">
        <v>79</v>
      </c>
      <c r="G3890" t="s">
        <v>541</v>
      </c>
      <c r="H3890">
        <v>1</v>
      </c>
      <c r="I3890" s="3">
        <v>138.15</v>
      </c>
      <c r="J3890" t="s">
        <v>16</v>
      </c>
      <c r="K3890" t="s">
        <v>40</v>
      </c>
      <c r="L3890" s="4">
        <f>Table4[[#This Row],[quantity]]*Table4[[#This Row],[unit_price]]</f>
        <v>138.15</v>
      </c>
      <c r="M3890">
        <f>COUNTIFS($C$2:$C$3934,Table4[[#This Row],[customer_id]])</f>
        <v>9</v>
      </c>
      <c r="N3890" t="str">
        <f>IF(Table4[[#This Row],[customer_order_count]]=1,"New Customer","Repeat Customer")</f>
        <v>Repeat Customer</v>
      </c>
    </row>
    <row r="3891" spans="1:14">
      <c r="A3891" t="s">
        <v>4269</v>
      </c>
      <c r="B3891" s="1">
        <v>45399</v>
      </c>
      <c r="C3891" t="s">
        <v>937</v>
      </c>
      <c r="D3891" s="2" t="s">
        <v>5257</v>
      </c>
      <c r="E3891" t="s">
        <v>21</v>
      </c>
      <c r="F3891" t="s">
        <v>79</v>
      </c>
      <c r="G3891" t="s">
        <v>230</v>
      </c>
      <c r="H3891">
        <v>1</v>
      </c>
      <c r="I3891" s="3">
        <v>138.35</v>
      </c>
      <c r="J3891" t="s">
        <v>16</v>
      </c>
      <c r="K3891" t="s">
        <v>30</v>
      </c>
      <c r="L3891" s="4">
        <f>Table4[[#This Row],[quantity]]*Table4[[#This Row],[unit_price]]</f>
        <v>138.35</v>
      </c>
      <c r="M3891">
        <f>COUNTIFS($C$2:$C$3934,Table4[[#This Row],[customer_id]])</f>
        <v>7</v>
      </c>
      <c r="N3891" t="str">
        <f>IF(Table4[[#This Row],[customer_order_count]]=1,"New Customer","Repeat Customer")</f>
        <v>Repeat Customer</v>
      </c>
    </row>
    <row r="3892" spans="1:14">
      <c r="A3892" t="s">
        <v>4044</v>
      </c>
      <c r="B3892" s="1">
        <v>45629</v>
      </c>
      <c r="C3892" t="s">
        <v>1148</v>
      </c>
      <c r="D3892" s="5" t="s">
        <v>857</v>
      </c>
      <c r="E3892" t="s">
        <v>21</v>
      </c>
      <c r="F3892" t="s">
        <v>79</v>
      </c>
      <c r="G3892" t="s">
        <v>541</v>
      </c>
      <c r="H3892">
        <v>1</v>
      </c>
      <c r="I3892" s="3">
        <v>138.80000000000001</v>
      </c>
      <c r="J3892" t="s">
        <v>16</v>
      </c>
      <c r="K3892" t="s">
        <v>30</v>
      </c>
      <c r="L3892" s="4">
        <f>Table4[[#This Row],[quantity]]*Table4[[#This Row],[unit_price]]</f>
        <v>138.80000000000001</v>
      </c>
      <c r="M3892">
        <f>COUNTIFS($C$2:$C$3934,Table4[[#This Row],[customer_id]])</f>
        <v>8</v>
      </c>
      <c r="N3892" t="str">
        <f>IF(Table4[[#This Row],[customer_order_count]]=1,"New Customer","Repeat Customer")</f>
        <v>Repeat Customer</v>
      </c>
    </row>
    <row r="3893" spans="1:14">
      <c r="A3893" t="s">
        <v>723</v>
      </c>
      <c r="B3893" s="1">
        <v>45411</v>
      </c>
      <c r="C3893" t="s">
        <v>724</v>
      </c>
      <c r="D3893" t="s">
        <v>725</v>
      </c>
      <c r="E3893" t="s">
        <v>44</v>
      </c>
      <c r="F3893" t="s">
        <v>79</v>
      </c>
      <c r="G3893" t="s">
        <v>200</v>
      </c>
      <c r="H3893">
        <v>2</v>
      </c>
      <c r="I3893" s="3">
        <v>139.18</v>
      </c>
      <c r="J3893" t="s">
        <v>16</v>
      </c>
      <c r="K3893" t="s">
        <v>17</v>
      </c>
      <c r="L3893" s="4">
        <f>Table4[[#This Row],[quantity]]*Table4[[#This Row],[unit_price]]</f>
        <v>278.36</v>
      </c>
      <c r="M3893">
        <f>COUNTIFS($C$2:$C$3934,Table4[[#This Row],[customer_id]])</f>
        <v>5</v>
      </c>
      <c r="N3893" t="str">
        <f>IF(Table4[[#This Row],[customer_order_count]]=1,"New Customer","Repeat Customer")</f>
        <v>Repeat Customer</v>
      </c>
    </row>
    <row r="3894" spans="1:14">
      <c r="A3894" t="s">
        <v>4392</v>
      </c>
      <c r="B3894" s="1">
        <v>45535</v>
      </c>
      <c r="C3894" t="s">
        <v>288</v>
      </c>
      <c r="D3894" t="s">
        <v>289</v>
      </c>
      <c r="E3894" t="s">
        <v>21</v>
      </c>
      <c r="F3894" t="s">
        <v>79</v>
      </c>
      <c r="G3894" t="s">
        <v>230</v>
      </c>
      <c r="H3894">
        <v>1</v>
      </c>
      <c r="I3894" s="3">
        <v>139.49</v>
      </c>
      <c r="J3894" t="s">
        <v>16</v>
      </c>
      <c r="K3894" t="s">
        <v>17</v>
      </c>
      <c r="L3894" s="4">
        <f>Table4[[#This Row],[quantity]]*Table4[[#This Row],[unit_price]]</f>
        <v>139.49</v>
      </c>
      <c r="M3894">
        <f>COUNTIFS($C$2:$C$3934,Table4[[#This Row],[customer_id]])</f>
        <v>6</v>
      </c>
      <c r="N3894" t="str">
        <f>IF(Table4[[#This Row],[customer_order_count]]=1,"New Customer","Repeat Customer")</f>
        <v>Repeat Customer</v>
      </c>
    </row>
    <row r="3895" spans="1:14">
      <c r="A3895" t="s">
        <v>2226</v>
      </c>
      <c r="B3895" s="1">
        <v>45617</v>
      </c>
      <c r="C3895" t="s">
        <v>1881</v>
      </c>
      <c r="D3895" t="s">
        <v>491</v>
      </c>
      <c r="E3895" t="s">
        <v>21</v>
      </c>
      <c r="F3895" t="s">
        <v>79</v>
      </c>
      <c r="G3895" t="s">
        <v>200</v>
      </c>
      <c r="H3895">
        <v>1</v>
      </c>
      <c r="I3895" s="3">
        <v>139.69999999999999</v>
      </c>
      <c r="J3895" t="s">
        <v>16</v>
      </c>
      <c r="K3895" t="s">
        <v>30</v>
      </c>
      <c r="L3895" s="4">
        <f>Table4[[#This Row],[quantity]]*Table4[[#This Row],[unit_price]]</f>
        <v>139.69999999999999</v>
      </c>
      <c r="M3895">
        <f>COUNTIFS($C$2:$C$3934,Table4[[#This Row],[customer_id]])</f>
        <v>4</v>
      </c>
      <c r="N3895" t="str">
        <f>IF(Table4[[#This Row],[customer_order_count]]=1,"New Customer","Repeat Customer")</f>
        <v>Repeat Customer</v>
      </c>
    </row>
    <row r="3896" spans="1:14">
      <c r="A3896" t="s">
        <v>2169</v>
      </c>
      <c r="B3896" s="1">
        <v>45630</v>
      </c>
      <c r="C3896" t="s">
        <v>2170</v>
      </c>
      <c r="D3896" t="s">
        <v>2171</v>
      </c>
      <c r="E3896" t="s">
        <v>21</v>
      </c>
      <c r="F3896" t="s">
        <v>79</v>
      </c>
      <c r="G3896" t="s">
        <v>204</v>
      </c>
      <c r="H3896">
        <v>3</v>
      </c>
      <c r="I3896" s="3">
        <v>140.19</v>
      </c>
      <c r="J3896" t="s">
        <v>24</v>
      </c>
      <c r="K3896" t="s">
        <v>30</v>
      </c>
      <c r="L3896" s="4">
        <f>Table4[[#This Row],[quantity]]*Table4[[#This Row],[unit_price]]</f>
        <v>420.57</v>
      </c>
      <c r="M3896">
        <f>COUNTIFS($C$2:$C$3934,Table4[[#This Row],[customer_id]])</f>
        <v>5</v>
      </c>
      <c r="N3896" t="str">
        <f>IF(Table4[[#This Row],[customer_order_count]]=1,"New Customer","Repeat Customer")</f>
        <v>Repeat Customer</v>
      </c>
    </row>
    <row r="3897" spans="1:14">
      <c r="A3897" t="s">
        <v>5006</v>
      </c>
      <c r="B3897" s="1">
        <v>45628</v>
      </c>
      <c r="C3897" t="s">
        <v>5007</v>
      </c>
      <c r="D3897" t="s">
        <v>1935</v>
      </c>
      <c r="E3897" t="s">
        <v>21</v>
      </c>
      <c r="F3897" t="s">
        <v>79</v>
      </c>
      <c r="G3897" t="s">
        <v>80</v>
      </c>
      <c r="H3897">
        <v>2</v>
      </c>
      <c r="I3897" s="3">
        <v>140.44999999999999</v>
      </c>
      <c r="J3897" t="s">
        <v>16</v>
      </c>
      <c r="K3897" s="2" t="s">
        <v>5256</v>
      </c>
      <c r="L3897" s="4">
        <f>Table4[[#This Row],[quantity]]*Table4[[#This Row],[unit_price]]</f>
        <v>280.89999999999998</v>
      </c>
      <c r="M3897">
        <f>COUNTIFS($C$2:$C$3934,Table4[[#This Row],[customer_id]])</f>
        <v>1</v>
      </c>
      <c r="N3897" t="str">
        <f>IF(Table4[[#This Row],[customer_order_count]]=1,"New Customer","Repeat Customer")</f>
        <v>New Customer</v>
      </c>
    </row>
    <row r="3898" spans="1:14">
      <c r="A3898" t="s">
        <v>3706</v>
      </c>
      <c r="B3898" s="1">
        <v>45583</v>
      </c>
      <c r="C3898" t="s">
        <v>649</v>
      </c>
      <c r="D3898" t="s">
        <v>650</v>
      </c>
      <c r="E3898" t="s">
        <v>21</v>
      </c>
      <c r="F3898" t="s">
        <v>79</v>
      </c>
      <c r="G3898" t="s">
        <v>80</v>
      </c>
      <c r="H3898">
        <v>2</v>
      </c>
      <c r="I3898" s="3">
        <v>140.59</v>
      </c>
      <c r="J3898" t="s">
        <v>16</v>
      </c>
      <c r="K3898" s="5" t="s">
        <v>40</v>
      </c>
      <c r="L3898" s="4">
        <f>Table4[[#This Row],[quantity]]*Table4[[#This Row],[unit_price]]</f>
        <v>281.18</v>
      </c>
      <c r="M3898">
        <f>COUNTIFS($C$2:$C$3934,Table4[[#This Row],[customer_id]])</f>
        <v>7</v>
      </c>
      <c r="N3898" t="str">
        <f>IF(Table4[[#This Row],[customer_order_count]]=1,"New Customer","Repeat Customer")</f>
        <v>Repeat Customer</v>
      </c>
    </row>
    <row r="3899" spans="1:14">
      <c r="A3899" t="s">
        <v>1641</v>
      </c>
      <c r="B3899" s="1">
        <v>45198</v>
      </c>
      <c r="C3899" t="s">
        <v>1309</v>
      </c>
      <c r="D3899" t="s">
        <v>1310</v>
      </c>
      <c r="E3899" t="s">
        <v>21</v>
      </c>
      <c r="F3899" t="s">
        <v>79</v>
      </c>
      <c r="G3899" t="s">
        <v>80</v>
      </c>
      <c r="H3899">
        <v>2</v>
      </c>
      <c r="I3899" s="3">
        <v>140.72</v>
      </c>
      <c r="J3899" t="s">
        <v>16</v>
      </c>
      <c r="K3899" t="s">
        <v>17</v>
      </c>
      <c r="L3899" s="4">
        <f>Table4[[#This Row],[quantity]]*Table4[[#This Row],[unit_price]]</f>
        <v>281.44</v>
      </c>
      <c r="M3899">
        <f>COUNTIFS($C$2:$C$3934,Table4[[#This Row],[customer_id]])</f>
        <v>5</v>
      </c>
      <c r="N3899" t="str">
        <f>IF(Table4[[#This Row],[customer_order_count]]=1,"New Customer","Repeat Customer")</f>
        <v>Repeat Customer</v>
      </c>
    </row>
    <row r="3900" spans="1:14">
      <c r="A3900" t="s">
        <v>2075</v>
      </c>
      <c r="B3900" s="1">
        <v>45572</v>
      </c>
      <c r="C3900" t="s">
        <v>864</v>
      </c>
      <c r="D3900" t="s">
        <v>88</v>
      </c>
      <c r="E3900" t="s">
        <v>61</v>
      </c>
      <c r="F3900" t="s">
        <v>79</v>
      </c>
      <c r="G3900" t="s">
        <v>204</v>
      </c>
      <c r="H3900">
        <v>1</v>
      </c>
      <c r="I3900" s="3">
        <v>140.88999999999999</v>
      </c>
      <c r="J3900" t="s">
        <v>24</v>
      </c>
      <c r="K3900" t="s">
        <v>17</v>
      </c>
      <c r="L3900" s="4">
        <f>Table4[[#This Row],[quantity]]*Table4[[#This Row],[unit_price]]</f>
        <v>140.88999999999999</v>
      </c>
      <c r="M3900">
        <f>COUNTIFS($C$2:$C$3934,Table4[[#This Row],[customer_id]])</f>
        <v>5</v>
      </c>
      <c r="N3900" t="str">
        <f>IF(Table4[[#This Row],[customer_order_count]]=1,"New Customer","Repeat Customer")</f>
        <v>Repeat Customer</v>
      </c>
    </row>
    <row r="3901" spans="1:14">
      <c r="A3901" t="s">
        <v>3095</v>
      </c>
      <c r="B3901" s="1">
        <v>45147</v>
      </c>
      <c r="C3901" t="s">
        <v>3096</v>
      </c>
      <c r="D3901" t="s">
        <v>1208</v>
      </c>
      <c r="E3901" t="s">
        <v>61</v>
      </c>
      <c r="F3901" t="s">
        <v>79</v>
      </c>
      <c r="G3901" t="s">
        <v>200</v>
      </c>
      <c r="H3901">
        <v>1</v>
      </c>
      <c r="I3901" s="3">
        <v>141.27000000000001</v>
      </c>
      <c r="J3901" t="s">
        <v>16</v>
      </c>
      <c r="K3901" t="s">
        <v>30</v>
      </c>
      <c r="L3901" s="4">
        <f>Table4[[#This Row],[quantity]]*Table4[[#This Row],[unit_price]]</f>
        <v>141.27000000000001</v>
      </c>
      <c r="M3901">
        <f>COUNTIFS($C$2:$C$3934,Table4[[#This Row],[customer_id]])</f>
        <v>3</v>
      </c>
      <c r="N3901" t="str">
        <f>IF(Table4[[#This Row],[customer_order_count]]=1,"New Customer","Repeat Customer")</f>
        <v>Repeat Customer</v>
      </c>
    </row>
    <row r="3902" spans="1:14">
      <c r="A3902" t="s">
        <v>4423</v>
      </c>
      <c r="B3902" s="1">
        <v>45128</v>
      </c>
      <c r="C3902" t="s">
        <v>1486</v>
      </c>
      <c r="D3902" t="s">
        <v>1241</v>
      </c>
      <c r="E3902" t="s">
        <v>44</v>
      </c>
      <c r="F3902" t="s">
        <v>79</v>
      </c>
      <c r="G3902" t="s">
        <v>204</v>
      </c>
      <c r="H3902">
        <v>5</v>
      </c>
      <c r="I3902" s="3">
        <v>141.43</v>
      </c>
      <c r="J3902" t="s">
        <v>16</v>
      </c>
      <c r="K3902" t="s">
        <v>35</v>
      </c>
      <c r="L3902" s="4">
        <f>Table4[[#This Row],[quantity]]*Table4[[#This Row],[unit_price]]</f>
        <v>707.15000000000009</v>
      </c>
      <c r="M3902">
        <f>COUNTIFS($C$2:$C$3934,Table4[[#This Row],[customer_id]])</f>
        <v>4</v>
      </c>
      <c r="N3902" t="str">
        <f>IF(Table4[[#This Row],[customer_order_count]]=1,"New Customer","Repeat Customer")</f>
        <v>Repeat Customer</v>
      </c>
    </row>
    <row r="3903" spans="1:14">
      <c r="A3903" t="s">
        <v>3139</v>
      </c>
      <c r="B3903" s="1">
        <v>44950</v>
      </c>
      <c r="C3903" t="s">
        <v>1120</v>
      </c>
      <c r="D3903" t="s">
        <v>1121</v>
      </c>
      <c r="E3903" t="s">
        <v>21</v>
      </c>
      <c r="F3903" t="s">
        <v>79</v>
      </c>
      <c r="G3903" t="s">
        <v>200</v>
      </c>
      <c r="H3903">
        <v>1</v>
      </c>
      <c r="I3903" s="3">
        <v>141.75</v>
      </c>
      <c r="J3903" t="s">
        <v>16</v>
      </c>
      <c r="K3903" t="s">
        <v>17</v>
      </c>
      <c r="L3903" s="4">
        <f>Table4[[#This Row],[quantity]]*Table4[[#This Row],[unit_price]]</f>
        <v>141.75</v>
      </c>
      <c r="M3903">
        <f>COUNTIFS($C$2:$C$3934,Table4[[#This Row],[customer_id]])</f>
        <v>4</v>
      </c>
      <c r="N3903" t="str">
        <f>IF(Table4[[#This Row],[customer_order_count]]=1,"New Customer","Repeat Customer")</f>
        <v>Repeat Customer</v>
      </c>
    </row>
    <row r="3904" spans="1:14">
      <c r="A3904" t="s">
        <v>5194</v>
      </c>
      <c r="B3904" s="1">
        <v>45198</v>
      </c>
      <c r="C3904" t="s">
        <v>2612</v>
      </c>
      <c r="D3904" t="s">
        <v>881</v>
      </c>
      <c r="E3904" t="s">
        <v>21</v>
      </c>
      <c r="F3904" t="s">
        <v>79</v>
      </c>
      <c r="G3904" t="s">
        <v>230</v>
      </c>
      <c r="H3904">
        <v>1</v>
      </c>
      <c r="I3904" s="3">
        <v>141.84</v>
      </c>
      <c r="J3904" t="s">
        <v>16</v>
      </c>
      <c r="K3904" t="s">
        <v>17</v>
      </c>
      <c r="L3904" s="4">
        <f>Table4[[#This Row],[quantity]]*Table4[[#This Row],[unit_price]]</f>
        <v>141.84</v>
      </c>
      <c r="M3904">
        <f>COUNTIFS($C$2:$C$3934,Table4[[#This Row],[customer_id]])</f>
        <v>3</v>
      </c>
      <c r="N3904" t="str">
        <f>IF(Table4[[#This Row],[customer_order_count]]=1,"New Customer","Repeat Customer")</f>
        <v>Repeat Customer</v>
      </c>
    </row>
    <row r="3905" spans="1:14">
      <c r="A3905" t="s">
        <v>176</v>
      </c>
      <c r="B3905" s="1">
        <v>45464</v>
      </c>
      <c r="C3905" t="s">
        <v>177</v>
      </c>
      <c r="D3905" t="s">
        <v>178</v>
      </c>
      <c r="E3905" t="s">
        <v>21</v>
      </c>
      <c r="F3905" t="s">
        <v>79</v>
      </c>
      <c r="G3905" t="s">
        <v>96</v>
      </c>
      <c r="H3905">
        <v>2</v>
      </c>
      <c r="I3905" s="3">
        <v>142.03</v>
      </c>
      <c r="J3905" t="s">
        <v>16</v>
      </c>
      <c r="K3905" t="s">
        <v>35</v>
      </c>
      <c r="L3905" s="4">
        <f>Table4[[#This Row],[quantity]]*Table4[[#This Row],[unit_price]]</f>
        <v>284.06</v>
      </c>
      <c r="M3905">
        <f>COUNTIFS($C$2:$C$3934,Table4[[#This Row],[customer_id]])</f>
        <v>6</v>
      </c>
      <c r="N3905" t="str">
        <f>IF(Table4[[#This Row],[customer_order_count]]=1,"New Customer","Repeat Customer")</f>
        <v>Repeat Customer</v>
      </c>
    </row>
    <row r="3906" spans="1:14">
      <c r="A3906" t="s">
        <v>4390</v>
      </c>
      <c r="B3906" s="1">
        <v>45492</v>
      </c>
      <c r="C3906" t="s">
        <v>1799</v>
      </c>
      <c r="D3906" t="s">
        <v>186</v>
      </c>
      <c r="E3906" t="s">
        <v>21</v>
      </c>
      <c r="F3906" t="s">
        <v>79</v>
      </c>
      <c r="G3906" t="s">
        <v>398</v>
      </c>
      <c r="H3906">
        <v>1</v>
      </c>
      <c r="I3906" s="3">
        <v>142.72999999999999</v>
      </c>
      <c r="J3906" t="s">
        <v>16</v>
      </c>
      <c r="K3906" t="s">
        <v>40</v>
      </c>
      <c r="L3906" s="4">
        <f>Table4[[#This Row],[quantity]]*Table4[[#This Row],[unit_price]]</f>
        <v>142.72999999999999</v>
      </c>
      <c r="M3906">
        <f>COUNTIFS($C$2:$C$3934,Table4[[#This Row],[customer_id]])</f>
        <v>4</v>
      </c>
      <c r="N3906" t="str">
        <f>IF(Table4[[#This Row],[customer_order_count]]=1,"New Customer","Repeat Customer")</f>
        <v>Repeat Customer</v>
      </c>
    </row>
    <row r="3907" spans="1:14">
      <c r="A3907" t="s">
        <v>4147</v>
      </c>
      <c r="B3907" s="1">
        <v>45070</v>
      </c>
      <c r="C3907" t="s">
        <v>451</v>
      </c>
      <c r="D3907" t="s">
        <v>452</v>
      </c>
      <c r="E3907" t="s">
        <v>44</v>
      </c>
      <c r="F3907" t="s">
        <v>79</v>
      </c>
      <c r="G3907" t="s">
        <v>80</v>
      </c>
      <c r="H3907">
        <v>2</v>
      </c>
      <c r="I3907" s="3">
        <v>143.1</v>
      </c>
      <c r="J3907" t="s">
        <v>16</v>
      </c>
      <c r="K3907" t="s">
        <v>40</v>
      </c>
      <c r="L3907" s="4">
        <f>Table4[[#This Row],[quantity]]*Table4[[#This Row],[unit_price]]</f>
        <v>286.2</v>
      </c>
      <c r="M3907">
        <f>COUNTIFS($C$2:$C$3934,Table4[[#This Row],[customer_id]])</f>
        <v>8</v>
      </c>
      <c r="N3907" t="str">
        <f>IF(Table4[[#This Row],[customer_order_count]]=1,"New Customer","Repeat Customer")</f>
        <v>Repeat Customer</v>
      </c>
    </row>
    <row r="3908" spans="1:14">
      <c r="A3908" t="s">
        <v>3113</v>
      </c>
      <c r="B3908" s="1">
        <v>45244</v>
      </c>
      <c r="C3908" t="s">
        <v>155</v>
      </c>
      <c r="D3908" t="s">
        <v>99</v>
      </c>
      <c r="E3908" t="s">
        <v>21</v>
      </c>
      <c r="F3908" t="s">
        <v>79</v>
      </c>
      <c r="G3908" t="s">
        <v>204</v>
      </c>
      <c r="H3908">
        <v>1</v>
      </c>
      <c r="I3908" s="3">
        <v>143.35</v>
      </c>
      <c r="J3908" t="s">
        <v>16</v>
      </c>
      <c r="K3908" t="s">
        <v>30</v>
      </c>
      <c r="L3908" s="4">
        <f>Table4[[#This Row],[quantity]]*Table4[[#This Row],[unit_price]]</f>
        <v>143.35</v>
      </c>
      <c r="M3908">
        <f>COUNTIFS($C$2:$C$3934,Table4[[#This Row],[customer_id]])</f>
        <v>6</v>
      </c>
      <c r="N3908" t="str">
        <f>IF(Table4[[#This Row],[customer_order_count]]=1,"New Customer","Repeat Customer")</f>
        <v>Repeat Customer</v>
      </c>
    </row>
    <row r="3909" spans="1:14">
      <c r="A3909" t="s">
        <v>3673</v>
      </c>
      <c r="B3909" s="1">
        <v>45161</v>
      </c>
      <c r="C3909" t="s">
        <v>921</v>
      </c>
      <c r="D3909" t="s">
        <v>181</v>
      </c>
      <c r="E3909" t="s">
        <v>21</v>
      </c>
      <c r="F3909" t="s">
        <v>79</v>
      </c>
      <c r="G3909" t="s">
        <v>96</v>
      </c>
      <c r="H3909">
        <v>2</v>
      </c>
      <c r="I3909" s="3">
        <v>143.88</v>
      </c>
      <c r="J3909" t="s">
        <v>16</v>
      </c>
      <c r="K3909" t="s">
        <v>35</v>
      </c>
      <c r="L3909" s="4">
        <f>Table4[[#This Row],[quantity]]*Table4[[#This Row],[unit_price]]</f>
        <v>287.76</v>
      </c>
      <c r="M3909">
        <f>COUNTIFS($C$2:$C$3934,Table4[[#This Row],[customer_id]])</f>
        <v>6</v>
      </c>
      <c r="N3909" t="str">
        <f>IF(Table4[[#This Row],[customer_order_count]]=1,"New Customer","Repeat Customer")</f>
        <v>Repeat Customer</v>
      </c>
    </row>
    <row r="3910" spans="1:14">
      <c r="A3910" t="s">
        <v>1165</v>
      </c>
      <c r="B3910" s="1">
        <v>45062</v>
      </c>
      <c r="C3910" t="s">
        <v>1166</v>
      </c>
      <c r="D3910" t="s">
        <v>292</v>
      </c>
      <c r="E3910" t="s">
        <v>21</v>
      </c>
      <c r="F3910" t="s">
        <v>79</v>
      </c>
      <c r="G3910" t="s">
        <v>230</v>
      </c>
      <c r="H3910">
        <v>2</v>
      </c>
      <c r="I3910" s="3">
        <v>144.61000000000001</v>
      </c>
      <c r="J3910" t="s">
        <v>16</v>
      </c>
      <c r="K3910" t="s">
        <v>17</v>
      </c>
      <c r="L3910" s="4">
        <f>Table4[[#This Row],[quantity]]*Table4[[#This Row],[unit_price]]</f>
        <v>289.22000000000003</v>
      </c>
      <c r="M3910">
        <f>COUNTIFS($C$2:$C$3934,Table4[[#This Row],[customer_id]])</f>
        <v>6</v>
      </c>
      <c r="N3910" t="str">
        <f>IF(Table4[[#This Row],[customer_order_count]]=1,"New Customer","Repeat Customer")</f>
        <v>Repeat Customer</v>
      </c>
    </row>
    <row r="3911" spans="1:14">
      <c r="A3911" t="s">
        <v>694</v>
      </c>
      <c r="B3911" s="1">
        <v>45195</v>
      </c>
      <c r="C3911" t="s">
        <v>424</v>
      </c>
      <c r="D3911" t="s">
        <v>425</v>
      </c>
      <c r="E3911" t="s">
        <v>21</v>
      </c>
      <c r="F3911" t="s">
        <v>79</v>
      </c>
      <c r="G3911" t="s">
        <v>398</v>
      </c>
      <c r="H3911">
        <v>1</v>
      </c>
      <c r="I3911" s="3">
        <v>144.77000000000001</v>
      </c>
      <c r="J3911" t="s">
        <v>16</v>
      </c>
      <c r="K3911" t="s">
        <v>35</v>
      </c>
      <c r="L3911" s="4">
        <f>Table4[[#This Row],[quantity]]*Table4[[#This Row],[unit_price]]</f>
        <v>144.77000000000001</v>
      </c>
      <c r="M3911">
        <f>COUNTIFS($C$2:$C$3934,Table4[[#This Row],[customer_id]])</f>
        <v>7</v>
      </c>
      <c r="N3911" t="str">
        <f>IF(Table4[[#This Row],[customer_order_count]]=1,"New Customer","Repeat Customer")</f>
        <v>Repeat Customer</v>
      </c>
    </row>
    <row r="3912" spans="1:14">
      <c r="A3912" t="s">
        <v>1106</v>
      </c>
      <c r="B3912" s="1">
        <v>45624</v>
      </c>
      <c r="C3912" t="s">
        <v>257</v>
      </c>
      <c r="D3912" t="s">
        <v>131</v>
      </c>
      <c r="E3912" t="s">
        <v>44</v>
      </c>
      <c r="F3912" t="s">
        <v>79</v>
      </c>
      <c r="G3912" t="s">
        <v>541</v>
      </c>
      <c r="H3912">
        <v>4</v>
      </c>
      <c r="I3912" s="3">
        <v>144.88</v>
      </c>
      <c r="J3912" t="s">
        <v>16</v>
      </c>
      <c r="K3912" t="s">
        <v>35</v>
      </c>
      <c r="L3912" s="4">
        <f>Table4[[#This Row],[quantity]]*Table4[[#This Row],[unit_price]]</f>
        <v>579.52</v>
      </c>
      <c r="M3912">
        <f>COUNTIFS($C$2:$C$3934,Table4[[#This Row],[customer_id]])</f>
        <v>5</v>
      </c>
      <c r="N3912" t="str">
        <f>IF(Table4[[#This Row],[customer_order_count]]=1,"New Customer","Repeat Customer")</f>
        <v>Repeat Customer</v>
      </c>
    </row>
    <row r="3913" spans="1:14">
      <c r="A3913" t="s">
        <v>2632</v>
      </c>
      <c r="B3913" s="1">
        <v>45156</v>
      </c>
      <c r="C3913" t="s">
        <v>1040</v>
      </c>
      <c r="D3913" t="s">
        <v>962</v>
      </c>
      <c r="E3913" t="s">
        <v>61</v>
      </c>
      <c r="F3913" t="s">
        <v>79</v>
      </c>
      <c r="G3913" t="s">
        <v>398</v>
      </c>
      <c r="H3913">
        <v>1</v>
      </c>
      <c r="I3913" s="3">
        <v>145.1</v>
      </c>
      <c r="J3913" t="s">
        <v>16</v>
      </c>
      <c r="K3913" t="s">
        <v>30</v>
      </c>
      <c r="L3913" s="4">
        <f>Table4[[#This Row],[quantity]]*Table4[[#This Row],[unit_price]]</f>
        <v>145.1</v>
      </c>
      <c r="M3913">
        <f>COUNTIFS($C$2:$C$3934,Table4[[#This Row],[customer_id]])</f>
        <v>3</v>
      </c>
      <c r="N3913" t="str">
        <f>IF(Table4[[#This Row],[customer_order_count]]=1,"New Customer","Repeat Customer")</f>
        <v>Repeat Customer</v>
      </c>
    </row>
    <row r="3914" spans="1:14">
      <c r="A3914" t="s">
        <v>3613</v>
      </c>
      <c r="B3914" s="1">
        <v>45590</v>
      </c>
      <c r="C3914" t="s">
        <v>1921</v>
      </c>
      <c r="D3914" t="s">
        <v>1922</v>
      </c>
      <c r="E3914" t="s">
        <v>21</v>
      </c>
      <c r="F3914" t="s">
        <v>79</v>
      </c>
      <c r="G3914" t="s">
        <v>230</v>
      </c>
      <c r="H3914">
        <v>2</v>
      </c>
      <c r="I3914" s="3">
        <v>145.47</v>
      </c>
      <c r="J3914" t="s">
        <v>16</v>
      </c>
      <c r="K3914" t="s">
        <v>35</v>
      </c>
      <c r="L3914" s="4">
        <f>Table4[[#This Row],[quantity]]*Table4[[#This Row],[unit_price]]</f>
        <v>290.94</v>
      </c>
      <c r="M3914">
        <f>COUNTIFS($C$2:$C$3934,Table4[[#This Row],[customer_id]])</f>
        <v>5</v>
      </c>
      <c r="N3914" t="str">
        <f>IF(Table4[[#This Row],[customer_order_count]]=1,"New Customer","Repeat Customer")</f>
        <v>Repeat Customer</v>
      </c>
    </row>
    <row r="3915" spans="1:14">
      <c r="A3915" t="s">
        <v>2401</v>
      </c>
      <c r="B3915" s="1">
        <v>44930</v>
      </c>
      <c r="C3915" t="s">
        <v>1973</v>
      </c>
      <c r="D3915" t="s">
        <v>797</v>
      </c>
      <c r="E3915" t="s">
        <v>21</v>
      </c>
      <c r="F3915" t="s">
        <v>79</v>
      </c>
      <c r="G3915" t="s">
        <v>230</v>
      </c>
      <c r="H3915">
        <v>1</v>
      </c>
      <c r="I3915" s="3">
        <v>145.86000000000001</v>
      </c>
      <c r="J3915" t="s">
        <v>16</v>
      </c>
      <c r="K3915" t="s">
        <v>30</v>
      </c>
      <c r="L3915" s="4">
        <f>Table4[[#This Row],[quantity]]*Table4[[#This Row],[unit_price]]</f>
        <v>145.86000000000001</v>
      </c>
      <c r="M3915">
        <f>COUNTIFS($C$2:$C$3934,Table4[[#This Row],[customer_id]])</f>
        <v>5</v>
      </c>
      <c r="N3915" t="str">
        <f>IF(Table4[[#This Row],[customer_order_count]]=1,"New Customer","Repeat Customer")</f>
        <v>Repeat Customer</v>
      </c>
    </row>
    <row r="3916" spans="1:14">
      <c r="A3916" t="s">
        <v>2616</v>
      </c>
      <c r="B3916" s="1">
        <v>45656</v>
      </c>
      <c r="C3916" t="s">
        <v>1563</v>
      </c>
      <c r="D3916" t="s">
        <v>432</v>
      </c>
      <c r="E3916" t="s">
        <v>44</v>
      </c>
      <c r="F3916" t="s">
        <v>79</v>
      </c>
      <c r="G3916" t="s">
        <v>398</v>
      </c>
      <c r="H3916">
        <v>1</v>
      </c>
      <c r="I3916" s="3">
        <v>145.96</v>
      </c>
      <c r="J3916" t="s">
        <v>16</v>
      </c>
      <c r="K3916" t="s">
        <v>30</v>
      </c>
      <c r="L3916" s="4">
        <f>Table4[[#This Row],[quantity]]*Table4[[#This Row],[unit_price]]</f>
        <v>145.96</v>
      </c>
      <c r="M3916">
        <f>COUNTIFS($C$2:$C$3934,Table4[[#This Row],[customer_id]])</f>
        <v>3</v>
      </c>
      <c r="N3916" t="str">
        <f>IF(Table4[[#This Row],[customer_order_count]]=1,"New Customer","Repeat Customer")</f>
        <v>Repeat Customer</v>
      </c>
    </row>
    <row r="3917" spans="1:14">
      <c r="A3917" t="s">
        <v>2916</v>
      </c>
      <c r="B3917" s="1">
        <v>45630</v>
      </c>
      <c r="C3917" t="s">
        <v>1607</v>
      </c>
      <c r="D3917" t="s">
        <v>1336</v>
      </c>
      <c r="E3917" t="s">
        <v>106</v>
      </c>
      <c r="F3917" t="s">
        <v>79</v>
      </c>
      <c r="G3917" t="s">
        <v>204</v>
      </c>
      <c r="H3917">
        <v>2</v>
      </c>
      <c r="I3917" s="3">
        <v>145.97999999999999</v>
      </c>
      <c r="J3917" t="s">
        <v>16</v>
      </c>
      <c r="K3917" t="s">
        <v>17</v>
      </c>
      <c r="L3917" s="4">
        <f>Table4[[#This Row],[quantity]]*Table4[[#This Row],[unit_price]]</f>
        <v>291.95999999999998</v>
      </c>
      <c r="M3917">
        <f>COUNTIFS($C$2:$C$3934,Table4[[#This Row],[customer_id]])</f>
        <v>2</v>
      </c>
      <c r="N3917" t="str">
        <f>IF(Table4[[#This Row],[customer_order_count]]=1,"New Customer","Repeat Customer")</f>
        <v>Repeat Customer</v>
      </c>
    </row>
    <row r="3918" spans="1:14">
      <c r="A3918" t="s">
        <v>2120</v>
      </c>
      <c r="B3918" s="1">
        <v>45199</v>
      </c>
      <c r="C3918" t="s">
        <v>1717</v>
      </c>
      <c r="D3918" t="s">
        <v>573</v>
      </c>
      <c r="E3918" t="s">
        <v>21</v>
      </c>
      <c r="F3918" t="s">
        <v>79</v>
      </c>
      <c r="G3918" t="s">
        <v>204</v>
      </c>
      <c r="H3918">
        <v>2</v>
      </c>
      <c r="I3918" s="3">
        <v>146.05000000000001</v>
      </c>
      <c r="J3918" t="s">
        <v>16</v>
      </c>
      <c r="K3918" t="s">
        <v>40</v>
      </c>
      <c r="L3918" s="4">
        <f>Table4[[#This Row],[quantity]]*Table4[[#This Row],[unit_price]]</f>
        <v>292.10000000000002</v>
      </c>
      <c r="M3918">
        <f>COUNTIFS($C$2:$C$3934,Table4[[#This Row],[customer_id]])</f>
        <v>7</v>
      </c>
      <c r="N3918" t="str">
        <f>IF(Table4[[#This Row],[customer_order_count]]=1,"New Customer","Repeat Customer")</f>
        <v>Repeat Customer</v>
      </c>
    </row>
    <row r="3919" spans="1:14">
      <c r="A3919" t="s">
        <v>3210</v>
      </c>
      <c r="B3919" s="1">
        <v>45425</v>
      </c>
      <c r="C3919" t="s">
        <v>3211</v>
      </c>
      <c r="D3919" t="s">
        <v>950</v>
      </c>
      <c r="E3919" t="s">
        <v>21</v>
      </c>
      <c r="F3919" t="s">
        <v>79</v>
      </c>
      <c r="G3919" t="s">
        <v>398</v>
      </c>
      <c r="H3919">
        <v>2</v>
      </c>
      <c r="I3919" s="3">
        <v>146.05000000000001</v>
      </c>
      <c r="J3919" t="s">
        <v>16</v>
      </c>
      <c r="K3919" t="s">
        <v>40</v>
      </c>
      <c r="L3919" s="4">
        <f>Table4[[#This Row],[quantity]]*Table4[[#This Row],[unit_price]]</f>
        <v>292.10000000000002</v>
      </c>
      <c r="M3919">
        <f>COUNTIFS($C$2:$C$3934,Table4[[#This Row],[customer_id]])</f>
        <v>6</v>
      </c>
      <c r="N3919" t="str">
        <f>IF(Table4[[#This Row],[customer_order_count]]=1,"New Customer","Repeat Customer")</f>
        <v>Repeat Customer</v>
      </c>
    </row>
    <row r="3920" spans="1:14">
      <c r="A3920" t="s">
        <v>3168</v>
      </c>
      <c r="B3920" s="1">
        <v>44928</v>
      </c>
      <c r="C3920" t="s">
        <v>1894</v>
      </c>
      <c r="D3920" t="s">
        <v>145</v>
      </c>
      <c r="E3920" t="s">
        <v>21</v>
      </c>
      <c r="F3920" t="s">
        <v>79</v>
      </c>
      <c r="G3920" t="s">
        <v>398</v>
      </c>
      <c r="H3920">
        <v>1</v>
      </c>
      <c r="I3920" s="3">
        <v>146.13999999999999</v>
      </c>
      <c r="J3920" t="s">
        <v>16</v>
      </c>
      <c r="K3920" t="s">
        <v>35</v>
      </c>
      <c r="L3920" s="4">
        <f>Table4[[#This Row],[quantity]]*Table4[[#This Row],[unit_price]]</f>
        <v>146.13999999999999</v>
      </c>
      <c r="M3920">
        <f>COUNTIFS($C$2:$C$3934,Table4[[#This Row],[customer_id]])</f>
        <v>6</v>
      </c>
      <c r="N3920" t="str">
        <f>IF(Table4[[#This Row],[customer_order_count]]=1,"New Customer","Repeat Customer")</f>
        <v>Repeat Customer</v>
      </c>
    </row>
    <row r="3921" spans="1:14">
      <c r="A3921" t="s">
        <v>4607</v>
      </c>
      <c r="B3921" s="1">
        <v>45611</v>
      </c>
      <c r="C3921" t="s">
        <v>3053</v>
      </c>
      <c r="D3921" t="s">
        <v>854</v>
      </c>
      <c r="E3921" t="s">
        <v>21</v>
      </c>
      <c r="F3921" t="s">
        <v>79</v>
      </c>
      <c r="G3921" t="s">
        <v>80</v>
      </c>
      <c r="H3921">
        <v>2</v>
      </c>
      <c r="I3921" s="3">
        <v>146.24</v>
      </c>
      <c r="J3921" t="s">
        <v>16</v>
      </c>
      <c r="K3921" t="s">
        <v>35</v>
      </c>
      <c r="L3921" s="4">
        <f>Table4[[#This Row],[quantity]]*Table4[[#This Row],[unit_price]]</f>
        <v>292.48</v>
      </c>
      <c r="M3921">
        <f>COUNTIFS($C$2:$C$3934,Table4[[#This Row],[customer_id]])</f>
        <v>3</v>
      </c>
      <c r="N3921" t="str">
        <f>IF(Table4[[#This Row],[customer_order_count]]=1,"New Customer","Repeat Customer")</f>
        <v>Repeat Customer</v>
      </c>
    </row>
    <row r="3922" spans="1:14">
      <c r="A3922" t="s">
        <v>1651</v>
      </c>
      <c r="B3922" s="1">
        <v>45239</v>
      </c>
      <c r="C3922" t="s">
        <v>1280</v>
      </c>
      <c r="D3922" t="s">
        <v>299</v>
      </c>
      <c r="E3922" t="s">
        <v>61</v>
      </c>
      <c r="F3922" t="s">
        <v>79</v>
      </c>
      <c r="G3922" t="s">
        <v>204</v>
      </c>
      <c r="H3922">
        <v>2</v>
      </c>
      <c r="I3922" s="3">
        <v>146.55000000000001</v>
      </c>
      <c r="J3922" t="s">
        <v>16</v>
      </c>
      <c r="K3922" t="s">
        <v>40</v>
      </c>
      <c r="L3922" s="4">
        <f>Table4[[#This Row],[quantity]]*Table4[[#This Row],[unit_price]]</f>
        <v>293.10000000000002</v>
      </c>
      <c r="M3922">
        <f>COUNTIFS($C$2:$C$3934,Table4[[#This Row],[customer_id]])</f>
        <v>3</v>
      </c>
      <c r="N3922" t="str">
        <f>IF(Table4[[#This Row],[customer_order_count]]=1,"New Customer","Repeat Customer")</f>
        <v>Repeat Customer</v>
      </c>
    </row>
    <row r="3923" spans="1:14">
      <c r="A3923" t="s">
        <v>2011</v>
      </c>
      <c r="B3923" s="1">
        <v>45288</v>
      </c>
      <c r="C3923" t="s">
        <v>708</v>
      </c>
      <c r="D3923" t="s">
        <v>709</v>
      </c>
      <c r="E3923" t="s">
        <v>21</v>
      </c>
      <c r="F3923" t="s">
        <v>79</v>
      </c>
      <c r="G3923" t="s">
        <v>200</v>
      </c>
      <c r="H3923">
        <v>1</v>
      </c>
      <c r="I3923" s="3">
        <v>146.62</v>
      </c>
      <c r="J3923" t="s">
        <v>16</v>
      </c>
      <c r="K3923" t="s">
        <v>35</v>
      </c>
      <c r="L3923" s="4">
        <f>Table4[[#This Row],[quantity]]*Table4[[#This Row],[unit_price]]</f>
        <v>146.62</v>
      </c>
      <c r="M3923">
        <f>COUNTIFS($C$2:$C$3934,Table4[[#This Row],[customer_id]])</f>
        <v>7</v>
      </c>
      <c r="N3923" t="str">
        <f>IF(Table4[[#This Row],[customer_order_count]]=1,"New Customer","Repeat Customer")</f>
        <v>Repeat Customer</v>
      </c>
    </row>
    <row r="3924" spans="1:14">
      <c r="A3924" t="s">
        <v>5213</v>
      </c>
      <c r="B3924" s="1">
        <v>45258</v>
      </c>
      <c r="C3924" t="s">
        <v>949</v>
      </c>
      <c r="D3924" t="s">
        <v>950</v>
      </c>
      <c r="E3924" t="s">
        <v>21</v>
      </c>
      <c r="F3924" t="s">
        <v>79</v>
      </c>
      <c r="G3924" t="s">
        <v>166</v>
      </c>
      <c r="H3924">
        <v>1</v>
      </c>
      <c r="I3924" s="3">
        <v>146.69</v>
      </c>
      <c r="J3924" t="s">
        <v>16</v>
      </c>
      <c r="K3924" t="s">
        <v>30</v>
      </c>
      <c r="L3924" s="4">
        <f>Table4[[#This Row],[quantity]]*Table4[[#This Row],[unit_price]]</f>
        <v>146.69</v>
      </c>
      <c r="M3924">
        <f>COUNTIFS($C$2:$C$3934,Table4[[#This Row],[customer_id]])</f>
        <v>3</v>
      </c>
      <c r="N3924" t="str">
        <f>IF(Table4[[#This Row],[customer_order_count]]=1,"New Customer","Repeat Customer")</f>
        <v>Repeat Customer</v>
      </c>
    </row>
    <row r="3925" spans="1:14">
      <c r="A3925" t="s">
        <v>3297</v>
      </c>
      <c r="B3925" s="1">
        <v>45360</v>
      </c>
      <c r="C3925" t="s">
        <v>827</v>
      </c>
      <c r="D3925" t="s">
        <v>828</v>
      </c>
      <c r="E3925" t="s">
        <v>21</v>
      </c>
      <c r="F3925" t="s">
        <v>79</v>
      </c>
      <c r="G3925" t="s">
        <v>204</v>
      </c>
      <c r="H3925">
        <v>2</v>
      </c>
      <c r="I3925" s="3">
        <v>146.74</v>
      </c>
      <c r="J3925" t="s">
        <v>16</v>
      </c>
      <c r="K3925" t="s">
        <v>17</v>
      </c>
      <c r="L3925" s="4">
        <f>Table4[[#This Row],[quantity]]*Table4[[#This Row],[unit_price]]</f>
        <v>293.48</v>
      </c>
      <c r="M3925">
        <f>COUNTIFS($C$2:$C$3934,Table4[[#This Row],[customer_id]])</f>
        <v>6</v>
      </c>
      <c r="N3925" t="str">
        <f>IF(Table4[[#This Row],[customer_order_count]]=1,"New Customer","Repeat Customer")</f>
        <v>Repeat Customer</v>
      </c>
    </row>
    <row r="3926" spans="1:14">
      <c r="A3926" t="s">
        <v>4174</v>
      </c>
      <c r="B3926" s="1">
        <v>45008</v>
      </c>
      <c r="C3926" t="s">
        <v>1222</v>
      </c>
      <c r="D3926" t="s">
        <v>229</v>
      </c>
      <c r="E3926" t="s">
        <v>21</v>
      </c>
      <c r="F3926" t="s">
        <v>79</v>
      </c>
      <c r="G3926" t="s">
        <v>541</v>
      </c>
      <c r="H3926">
        <v>2</v>
      </c>
      <c r="I3926" s="3">
        <v>146.76</v>
      </c>
      <c r="J3926" t="s">
        <v>255</v>
      </c>
      <c r="K3926" s="2" t="s">
        <v>5256</v>
      </c>
      <c r="L3926" s="4">
        <f>Table4[[#This Row],[quantity]]*Table4[[#This Row],[unit_price]]</f>
        <v>293.52</v>
      </c>
      <c r="M3926">
        <f>COUNTIFS($C$2:$C$3934,Table4[[#This Row],[customer_id]])</f>
        <v>4</v>
      </c>
      <c r="N3926" t="str">
        <f>IF(Table4[[#This Row],[customer_order_count]]=1,"New Customer","Repeat Customer")</f>
        <v>Repeat Customer</v>
      </c>
    </row>
    <row r="3927" spans="1:14">
      <c r="A3927" t="s">
        <v>4584</v>
      </c>
      <c r="B3927" s="1">
        <v>45629</v>
      </c>
      <c r="C3927" t="s">
        <v>1263</v>
      </c>
      <c r="D3927" t="s">
        <v>1264</v>
      </c>
      <c r="E3927" t="s">
        <v>21</v>
      </c>
      <c r="F3927" t="s">
        <v>79</v>
      </c>
      <c r="G3927" t="s">
        <v>166</v>
      </c>
      <c r="H3927">
        <v>2</v>
      </c>
      <c r="I3927" s="3">
        <v>146.88999999999999</v>
      </c>
      <c r="J3927" t="s">
        <v>16</v>
      </c>
      <c r="K3927" s="5" t="s">
        <v>35</v>
      </c>
      <c r="L3927" s="4">
        <f>Table4[[#This Row],[quantity]]*Table4[[#This Row],[unit_price]]</f>
        <v>293.77999999999997</v>
      </c>
      <c r="M3927">
        <f>COUNTIFS($C$2:$C$3934,Table4[[#This Row],[customer_id]])</f>
        <v>5</v>
      </c>
      <c r="N3927" t="str">
        <f>IF(Table4[[#This Row],[customer_order_count]]=1,"New Customer","Repeat Customer")</f>
        <v>Repeat Customer</v>
      </c>
    </row>
    <row r="3928" spans="1:14">
      <c r="A3928" t="s">
        <v>4563</v>
      </c>
      <c r="B3928" s="1">
        <v>44993</v>
      </c>
      <c r="C3928" t="s">
        <v>1968</v>
      </c>
      <c r="D3928" t="s">
        <v>292</v>
      </c>
      <c r="E3928" t="s">
        <v>21</v>
      </c>
      <c r="F3928" t="s">
        <v>79</v>
      </c>
      <c r="G3928" t="s">
        <v>398</v>
      </c>
      <c r="H3928">
        <v>5</v>
      </c>
      <c r="I3928" s="3">
        <v>147.11000000000001</v>
      </c>
      <c r="J3928" t="s">
        <v>16</v>
      </c>
      <c r="K3928" t="s">
        <v>17</v>
      </c>
      <c r="L3928" s="4">
        <f>Table4[[#This Row],[quantity]]*Table4[[#This Row],[unit_price]]</f>
        <v>735.55000000000007</v>
      </c>
      <c r="M3928">
        <f>COUNTIFS($C$2:$C$3934,Table4[[#This Row],[customer_id]])</f>
        <v>6</v>
      </c>
      <c r="N3928" t="str">
        <f>IF(Table4[[#This Row],[customer_order_count]]=1,"New Customer","Repeat Customer")</f>
        <v>Repeat Customer</v>
      </c>
    </row>
    <row r="3929" spans="1:14">
      <c r="A3929" t="s">
        <v>3266</v>
      </c>
      <c r="B3929" s="1">
        <v>45315</v>
      </c>
      <c r="C3929" t="s">
        <v>2155</v>
      </c>
      <c r="D3929" t="s">
        <v>105</v>
      </c>
      <c r="E3929" t="s">
        <v>21</v>
      </c>
      <c r="F3929" t="s">
        <v>79</v>
      </c>
      <c r="G3929" t="s">
        <v>80</v>
      </c>
      <c r="H3929">
        <v>1</v>
      </c>
      <c r="I3929" s="3">
        <v>147.37</v>
      </c>
      <c r="J3929" t="s">
        <v>16</v>
      </c>
      <c r="K3929" t="s">
        <v>17</v>
      </c>
      <c r="L3929" s="4">
        <f>Table4[[#This Row],[quantity]]*Table4[[#This Row],[unit_price]]</f>
        <v>147.37</v>
      </c>
      <c r="M3929">
        <f>COUNTIFS($C$2:$C$3934,Table4[[#This Row],[customer_id]])</f>
        <v>5</v>
      </c>
      <c r="N3929" t="str">
        <f>IF(Table4[[#This Row],[customer_order_count]]=1,"New Customer","Repeat Customer")</f>
        <v>Repeat Customer</v>
      </c>
    </row>
    <row r="3930" spans="1:14">
      <c r="A3930" t="s">
        <v>3090</v>
      </c>
      <c r="B3930" s="1">
        <v>45481</v>
      </c>
      <c r="C3930" t="s">
        <v>240</v>
      </c>
      <c r="D3930" t="s">
        <v>241</v>
      </c>
      <c r="E3930" t="s">
        <v>21</v>
      </c>
      <c r="F3930" t="s">
        <v>79</v>
      </c>
      <c r="G3930" t="s">
        <v>541</v>
      </c>
      <c r="H3930">
        <v>1</v>
      </c>
      <c r="I3930" s="3">
        <v>147.44</v>
      </c>
      <c r="J3930" t="s">
        <v>16</v>
      </c>
      <c r="K3930" t="s">
        <v>40</v>
      </c>
      <c r="L3930" s="4">
        <f>Table4[[#This Row],[quantity]]*Table4[[#This Row],[unit_price]]</f>
        <v>147.44</v>
      </c>
      <c r="M3930">
        <f>COUNTIFS($C$2:$C$3934,Table4[[#This Row],[customer_id]])</f>
        <v>5</v>
      </c>
      <c r="N3930" t="str">
        <f>IF(Table4[[#This Row],[customer_order_count]]=1,"New Customer","Repeat Customer")</f>
        <v>Repeat Customer</v>
      </c>
    </row>
    <row r="3931" spans="1:14">
      <c r="A3931" t="s">
        <v>3966</v>
      </c>
      <c r="B3931" s="1">
        <v>45596</v>
      </c>
      <c r="C3931" t="s">
        <v>700</v>
      </c>
      <c r="D3931" t="s">
        <v>1264</v>
      </c>
      <c r="E3931" t="s">
        <v>21</v>
      </c>
      <c r="F3931" t="s">
        <v>79</v>
      </c>
      <c r="G3931" t="s">
        <v>96</v>
      </c>
      <c r="H3931">
        <v>2</v>
      </c>
      <c r="I3931" s="3">
        <v>148</v>
      </c>
      <c r="J3931" t="s">
        <v>16</v>
      </c>
      <c r="K3931" t="s">
        <v>40</v>
      </c>
      <c r="L3931" s="4">
        <f>Table4[[#This Row],[quantity]]*Table4[[#This Row],[unit_price]]</f>
        <v>296</v>
      </c>
      <c r="M3931">
        <f>COUNTIFS($C$2:$C$3934,Table4[[#This Row],[customer_id]])</f>
        <v>5</v>
      </c>
      <c r="N3931" t="str">
        <f>IF(Table4[[#This Row],[customer_order_count]]=1,"New Customer","Repeat Customer")</f>
        <v>Repeat Customer</v>
      </c>
    </row>
    <row r="3932" spans="1:14">
      <c r="A3932" t="s">
        <v>3919</v>
      </c>
      <c r="B3932" s="1">
        <v>45029</v>
      </c>
      <c r="C3932" t="s">
        <v>3920</v>
      </c>
      <c r="D3932" t="s">
        <v>1523</v>
      </c>
      <c r="E3932" t="s">
        <v>61</v>
      </c>
      <c r="F3932" t="s">
        <v>79</v>
      </c>
      <c r="G3932" t="s">
        <v>230</v>
      </c>
      <c r="H3932">
        <v>2</v>
      </c>
      <c r="I3932" s="3">
        <v>148.37</v>
      </c>
      <c r="J3932" t="s">
        <v>16</v>
      </c>
      <c r="K3932" t="s">
        <v>40</v>
      </c>
      <c r="L3932" s="4">
        <f>Table4[[#This Row],[quantity]]*Table4[[#This Row],[unit_price]]</f>
        <v>296.74</v>
      </c>
      <c r="M3932">
        <f>COUNTIFS($C$2:$C$3934,Table4[[#This Row],[customer_id]])</f>
        <v>3</v>
      </c>
      <c r="N3932" t="str">
        <f>IF(Table4[[#This Row],[customer_order_count]]=1,"New Customer","Repeat Customer")</f>
        <v>Repeat Customer</v>
      </c>
    </row>
    <row r="3933" spans="1:14">
      <c r="A3933" t="s">
        <v>418</v>
      </c>
      <c r="B3933" s="1">
        <v>45207</v>
      </c>
      <c r="C3933" t="s">
        <v>419</v>
      </c>
      <c r="D3933" t="s">
        <v>420</v>
      </c>
      <c r="E3933" t="s">
        <v>21</v>
      </c>
      <c r="F3933" t="s">
        <v>79</v>
      </c>
      <c r="G3933" t="s">
        <v>96</v>
      </c>
      <c r="H3933">
        <v>4</v>
      </c>
      <c r="I3933" s="3">
        <v>148.55000000000001</v>
      </c>
      <c r="J3933" t="s">
        <v>16</v>
      </c>
      <c r="K3933" s="2" t="s">
        <v>5256</v>
      </c>
      <c r="L3933" s="4">
        <f>Table4[[#This Row],[quantity]]*Table4[[#This Row],[unit_price]]</f>
        <v>594.20000000000005</v>
      </c>
      <c r="M3933">
        <f>COUNTIFS($C$2:$C$3934,Table4[[#This Row],[customer_id]])</f>
        <v>5</v>
      </c>
      <c r="N3933" t="str">
        <f>IF(Table4[[#This Row],[customer_order_count]]=1,"New Customer","Repeat Customer")</f>
        <v>Repeat Customer</v>
      </c>
    </row>
    <row r="3934" spans="1:14">
      <c r="A3934" t="s">
        <v>4977</v>
      </c>
      <c r="B3934" s="1">
        <v>45494</v>
      </c>
      <c r="C3934" t="s">
        <v>745</v>
      </c>
      <c r="D3934" t="s">
        <v>318</v>
      </c>
      <c r="E3934" t="s">
        <v>21</v>
      </c>
      <c r="F3934" t="s">
        <v>79</v>
      </c>
      <c r="G3934" t="s">
        <v>96</v>
      </c>
      <c r="H3934">
        <v>2</v>
      </c>
      <c r="I3934" s="3">
        <v>149.71</v>
      </c>
      <c r="J3934" t="s">
        <v>255</v>
      </c>
      <c r="K3934" s="5" t="s">
        <v>35</v>
      </c>
      <c r="L3934" s="4">
        <f>Table4[[#This Row],[quantity]]*Table4[[#This Row],[unit_price]]</f>
        <v>299.42</v>
      </c>
      <c r="M3934">
        <f>COUNTIFS($C$2:$C$3934,Table4[[#This Row],[customer_id]])</f>
        <v>4</v>
      </c>
      <c r="N3934" t="str">
        <f>IF(Table4[[#This Row],[customer_order_count]]=1,"New Customer","Repeat Customer")</f>
        <v>Repeat Customer</v>
      </c>
    </row>
    <row r="3935" spans="1:14">
      <c r="B3935"/>
    </row>
    <row r="3954" spans="4:4">
      <c r="D3954" s="1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A16" sqref="A16"/>
    </sheetView>
  </sheetViews>
  <sheetFormatPr defaultRowHeight="14.25"/>
  <cols>
    <col min="1" max="1" width="30" customWidth="1"/>
    <col min="2" max="2" width="20" customWidth="1"/>
    <col min="3" max="3" width="70" customWidth="1"/>
  </cols>
  <sheetData>
    <row r="1" spans="1:3" ht="17.649999999999999">
      <c r="A1" s="35" t="s">
        <v>5259</v>
      </c>
      <c r="B1" s="36"/>
      <c r="C1" s="36"/>
    </row>
    <row r="2" spans="1:3">
      <c r="A2" s="37" t="s">
        <v>5316</v>
      </c>
      <c r="B2" s="36"/>
      <c r="C2" s="36"/>
    </row>
    <row r="3" spans="1:3">
      <c r="A3" s="6"/>
      <c r="B3" s="6"/>
      <c r="C3" s="6"/>
    </row>
    <row r="4" spans="1:3" ht="15.4">
      <c r="A4" s="38" t="s">
        <v>5317</v>
      </c>
      <c r="B4" s="36"/>
      <c r="C4" s="36"/>
    </row>
    <row r="5" spans="1:3">
      <c r="A5" s="12" t="s">
        <v>5318</v>
      </c>
      <c r="B5" s="12" t="s">
        <v>5319</v>
      </c>
      <c r="C5" s="12" t="s">
        <v>5320</v>
      </c>
    </row>
    <row r="6" spans="1:3" ht="26.25" customHeight="1">
      <c r="A6" s="13" t="s">
        <v>5321</v>
      </c>
      <c r="B6" s="14" t="s">
        <v>5322</v>
      </c>
      <c r="C6" s="15"/>
    </row>
    <row r="7" spans="1:3" ht="26.25">
      <c r="A7" s="13" t="s">
        <v>5323</v>
      </c>
      <c r="B7" s="14" t="s">
        <v>5324</v>
      </c>
      <c r="C7" s="15"/>
    </row>
    <row r="8" spans="1:3" ht="26.25">
      <c r="A8" s="13" t="s">
        <v>5325</v>
      </c>
      <c r="B8" s="14" t="s">
        <v>5326</v>
      </c>
      <c r="C8" s="15" t="s">
        <v>5327</v>
      </c>
    </row>
    <row r="9" spans="1:3">
      <c r="A9" s="6"/>
      <c r="B9" s="6"/>
      <c r="C9" s="6"/>
    </row>
    <row r="10" spans="1:3">
      <c r="A10" s="6"/>
      <c r="B10" s="6"/>
      <c r="C10" s="6"/>
    </row>
    <row r="11" spans="1:3" ht="15.4">
      <c r="A11" s="38" t="s">
        <v>5328</v>
      </c>
      <c r="B11" s="36"/>
      <c r="C11" s="36"/>
    </row>
    <row r="12" spans="1:3">
      <c r="A12" s="16" t="s">
        <v>5329</v>
      </c>
      <c r="B12" s="16" t="s">
        <v>5330</v>
      </c>
      <c r="C12" s="16" t="s">
        <v>5320</v>
      </c>
    </row>
    <row r="13" spans="1:3">
      <c r="A13" s="17" t="s">
        <v>5331</v>
      </c>
      <c r="B13" s="18" t="s">
        <v>5332</v>
      </c>
      <c r="C13" s="19" t="s">
        <v>5333</v>
      </c>
    </row>
    <row r="14" spans="1:3" ht="25.5">
      <c r="A14" s="20" t="s">
        <v>5334</v>
      </c>
      <c r="B14" s="21" t="s">
        <v>5260</v>
      </c>
      <c r="C14" s="22" t="s">
        <v>5335</v>
      </c>
    </row>
    <row r="15" spans="1:3" ht="25.5">
      <c r="A15" s="17" t="s">
        <v>5336</v>
      </c>
      <c r="B15" s="18" t="s">
        <v>5260</v>
      </c>
      <c r="C15" s="19" t="s">
        <v>5337</v>
      </c>
    </row>
    <row r="16" spans="1:3" ht="38.25">
      <c r="A16" s="20" t="s">
        <v>5338</v>
      </c>
      <c r="B16" s="21" t="s">
        <v>5339</v>
      </c>
      <c r="C16" s="22" t="s">
        <v>5340</v>
      </c>
    </row>
    <row r="17" spans="1:3" ht="38.25">
      <c r="A17" s="17" t="s">
        <v>5341</v>
      </c>
      <c r="B17" s="18" t="s">
        <v>5342</v>
      </c>
      <c r="C17" s="19" t="s">
        <v>5343</v>
      </c>
    </row>
    <row r="18" spans="1:3">
      <c r="A18" s="20" t="s">
        <v>5344</v>
      </c>
      <c r="B18" s="21" t="s">
        <v>5345</v>
      </c>
      <c r="C18" s="22" t="s">
        <v>5346</v>
      </c>
    </row>
    <row r="19" spans="1:3">
      <c r="A19" s="17" t="s">
        <v>5347</v>
      </c>
      <c r="B19" s="18" t="s">
        <v>5348</v>
      </c>
      <c r="C19" s="19" t="s">
        <v>5349</v>
      </c>
    </row>
    <row r="20" spans="1:3" ht="25.5">
      <c r="A20" s="20" t="s">
        <v>5350</v>
      </c>
      <c r="B20" s="21" t="s">
        <v>5351</v>
      </c>
      <c r="C20" s="22" t="s">
        <v>5352</v>
      </c>
    </row>
    <row r="21" spans="1:3" ht="25.5">
      <c r="A21" s="17" t="s">
        <v>5353</v>
      </c>
      <c r="B21" s="18" t="s">
        <v>5354</v>
      </c>
      <c r="C21" s="19" t="s">
        <v>5355</v>
      </c>
    </row>
    <row r="22" spans="1:3" ht="25.5">
      <c r="A22" s="20" t="s">
        <v>5356</v>
      </c>
      <c r="B22" s="21" t="s">
        <v>5357</v>
      </c>
      <c r="C22" s="22" t="s">
        <v>5358</v>
      </c>
    </row>
    <row r="23" spans="1:3">
      <c r="A23" s="17" t="s">
        <v>5359</v>
      </c>
      <c r="B23" s="18" t="s">
        <v>5360</v>
      </c>
      <c r="C23" s="19" t="s">
        <v>5361</v>
      </c>
    </row>
    <row r="24" spans="1:3" ht="27" customHeight="1">
      <c r="A24" s="20" t="s">
        <v>5362</v>
      </c>
      <c r="B24" s="21" t="s">
        <v>5324</v>
      </c>
      <c r="C24" s="22" t="s">
        <v>5363</v>
      </c>
    </row>
  </sheetData>
  <mergeCells count="4">
    <mergeCell ref="A1:C1"/>
    <mergeCell ref="A2:C2"/>
    <mergeCell ref="A4:C4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44F5-02F7-4CDE-AB64-2E69F7775C11}">
  <dimension ref="B2:G44"/>
  <sheetViews>
    <sheetView tabSelected="1" zoomScale="36" zoomScaleNormal="98" workbookViewId="0">
      <selection activeCell="I16" sqref="I16:K22"/>
    </sheetView>
  </sheetViews>
  <sheetFormatPr defaultRowHeight="14.25"/>
  <cols>
    <col min="1" max="2" width="16.46484375" bestFit="1" customWidth="1"/>
    <col min="3" max="3" width="14.06640625" bestFit="1" customWidth="1"/>
    <col min="5" max="5" width="15.265625" bestFit="1" customWidth="1"/>
    <col min="6" max="6" width="14.06640625" bestFit="1" customWidth="1"/>
    <col min="7" max="7" width="15.53125" bestFit="1" customWidth="1"/>
  </cols>
  <sheetData>
    <row r="2" spans="2:6" ht="15.75">
      <c r="B2" s="39" t="s">
        <v>5264</v>
      </c>
      <c r="C2" s="39"/>
      <c r="E2" s="39" t="s">
        <v>5265</v>
      </c>
      <c r="F2" s="39"/>
    </row>
    <row r="3" spans="2:6">
      <c r="B3" s="7" t="s">
        <v>5261</v>
      </c>
      <c r="C3" t="s">
        <v>5263</v>
      </c>
      <c r="E3" s="7" t="s">
        <v>5261</v>
      </c>
      <c r="F3" t="s">
        <v>5263</v>
      </c>
    </row>
    <row r="4" spans="2:6">
      <c r="B4" s="9" t="s">
        <v>80</v>
      </c>
      <c r="C4" s="3">
        <v>11684.869166666671</v>
      </c>
      <c r="E4" s="9" t="s">
        <v>79</v>
      </c>
      <c r="F4" s="10">
        <v>79289.481733496999</v>
      </c>
    </row>
    <row r="5" spans="2:6">
      <c r="B5" s="9" t="s">
        <v>200</v>
      </c>
      <c r="C5" s="3">
        <v>11621.864659090908</v>
      </c>
      <c r="E5" s="9" t="s">
        <v>56</v>
      </c>
      <c r="F5" s="10">
        <v>61310.53360336207</v>
      </c>
    </row>
    <row r="6" spans="2:6">
      <c r="B6" s="9" t="s">
        <v>96</v>
      </c>
      <c r="C6" s="3">
        <v>10494.449565217392</v>
      </c>
      <c r="E6" s="9" t="s">
        <v>14</v>
      </c>
      <c r="F6" s="10">
        <v>48656.99694327265</v>
      </c>
    </row>
    <row r="7" spans="2:6">
      <c r="B7" s="9" t="s">
        <v>34</v>
      </c>
      <c r="C7" s="3">
        <v>10146.634298245612</v>
      </c>
      <c r="E7" s="9" t="s">
        <v>70</v>
      </c>
      <c r="F7" s="10">
        <v>43285.055887446651</v>
      </c>
    </row>
    <row r="8" spans="2:6">
      <c r="B8" s="9" t="s">
        <v>204</v>
      </c>
      <c r="C8" s="3">
        <v>9894.2857575757553</v>
      </c>
      <c r="E8" s="9" t="s">
        <v>22</v>
      </c>
      <c r="F8" s="10">
        <v>31240.433518669051</v>
      </c>
    </row>
    <row r="9" spans="2:6">
      <c r="B9" s="9" t="s">
        <v>254</v>
      </c>
      <c r="C9" s="3">
        <v>9605.9296666666651</v>
      </c>
      <c r="E9" s="9" t="s">
        <v>28</v>
      </c>
      <c r="F9" s="10">
        <v>23901.764242210753</v>
      </c>
    </row>
    <row r="10" spans="2:6">
      <c r="B10" s="9" t="s">
        <v>230</v>
      </c>
      <c r="C10" s="3">
        <v>9589.9761333333336</v>
      </c>
      <c r="E10" s="9" t="s">
        <v>66</v>
      </c>
      <c r="F10" s="10">
        <v>19157.95352042557</v>
      </c>
    </row>
    <row r="11" spans="2:6">
      <c r="B11" s="9" t="s">
        <v>62</v>
      </c>
      <c r="C11" s="3">
        <v>9483.7966336633672</v>
      </c>
      <c r="E11" s="9" t="s">
        <v>5262</v>
      </c>
      <c r="F11" s="10">
        <v>306842.21944888373</v>
      </c>
    </row>
    <row r="12" spans="2:6">
      <c r="B12" s="9" t="s">
        <v>166</v>
      </c>
      <c r="C12" s="3">
        <v>9186.6800000000021</v>
      </c>
    </row>
    <row r="13" spans="2:6">
      <c r="B13" s="9" t="s">
        <v>210</v>
      </c>
      <c r="C13" s="3">
        <v>9069.2396428571428</v>
      </c>
    </row>
    <row r="14" spans="2:6">
      <c r="B14" s="9" t="s">
        <v>5262</v>
      </c>
      <c r="C14" s="3">
        <v>100777.72552331684</v>
      </c>
    </row>
    <row r="16" spans="2:6" ht="15.75">
      <c r="B16" s="39" t="s">
        <v>5280</v>
      </c>
      <c r="C16" s="39"/>
      <c r="E16" s="39" t="s">
        <v>5285</v>
      </c>
      <c r="F16" s="39"/>
    </row>
    <row r="17" spans="2:7">
      <c r="B17" s="7" t="s">
        <v>5261</v>
      </c>
      <c r="C17" t="s">
        <v>5263</v>
      </c>
      <c r="E17" s="7" t="s">
        <v>5261</v>
      </c>
      <c r="F17" s="6" t="s">
        <v>5263</v>
      </c>
      <c r="G17" s="6" t="s">
        <v>5281</v>
      </c>
    </row>
    <row r="18" spans="2:7">
      <c r="B18" s="9" t="s">
        <v>5266</v>
      </c>
      <c r="C18" s="10">
        <v>157565.78060922452</v>
      </c>
      <c r="E18" s="9" t="s">
        <v>21</v>
      </c>
      <c r="F18" s="10">
        <v>229821.11389899367</v>
      </c>
      <c r="G18" s="8">
        <v>2926</v>
      </c>
    </row>
    <row r="19" spans="2:7">
      <c r="B19" s="11" t="s">
        <v>5267</v>
      </c>
      <c r="C19" s="10">
        <v>12576.920760400812</v>
      </c>
      <c r="E19" s="9" t="s">
        <v>44</v>
      </c>
      <c r="F19" s="10">
        <v>59797.737062095759</v>
      </c>
      <c r="G19" s="8">
        <v>784</v>
      </c>
    </row>
    <row r="20" spans="2:7">
      <c r="B20" s="11" t="s">
        <v>5268</v>
      </c>
      <c r="C20" s="10">
        <v>13438.694590459045</v>
      </c>
      <c r="E20" s="9" t="s">
        <v>61</v>
      </c>
      <c r="F20" s="10">
        <v>13856.288487794469</v>
      </c>
      <c r="G20" s="8">
        <v>182</v>
      </c>
    </row>
    <row r="21" spans="2:7">
      <c r="B21" s="11" t="s">
        <v>5269</v>
      </c>
      <c r="C21" s="10">
        <v>16241.606480263164</v>
      </c>
      <c r="E21" s="9" t="s">
        <v>106</v>
      </c>
      <c r="F21" s="10">
        <v>3367.0800000000004</v>
      </c>
      <c r="G21" s="8">
        <v>41</v>
      </c>
    </row>
    <row r="22" spans="2:7">
      <c r="B22" s="11" t="s">
        <v>5270</v>
      </c>
      <c r="C22" s="10">
        <v>12727.188686182057</v>
      </c>
      <c r="E22" s="9" t="s">
        <v>5262</v>
      </c>
      <c r="F22" s="10">
        <v>306842.21944888384</v>
      </c>
      <c r="G22" s="8">
        <v>3933</v>
      </c>
    </row>
    <row r="23" spans="2:7">
      <c r="B23" s="11" t="s">
        <v>5271</v>
      </c>
      <c r="C23" s="10">
        <v>14949.466015520473</v>
      </c>
    </row>
    <row r="24" spans="2:7">
      <c r="B24" s="11" t="s">
        <v>5272</v>
      </c>
      <c r="C24" s="10">
        <v>9447.584310344826</v>
      </c>
    </row>
    <row r="25" spans="2:7">
      <c r="B25" s="11" t="s">
        <v>5273</v>
      </c>
      <c r="C25" s="10">
        <v>12913.823603603603</v>
      </c>
    </row>
    <row r="26" spans="2:7">
      <c r="B26" s="11" t="s">
        <v>5274</v>
      </c>
      <c r="C26" s="10">
        <v>14167.219260305779</v>
      </c>
    </row>
    <row r="27" spans="2:7" ht="15.75">
      <c r="B27" s="11" t="s">
        <v>5275</v>
      </c>
      <c r="C27" s="10">
        <v>14114.101434835631</v>
      </c>
      <c r="E27" s="39" t="s">
        <v>5284</v>
      </c>
      <c r="F27" s="39"/>
    </row>
    <row r="28" spans="2:7">
      <c r="B28" s="11" t="s">
        <v>5276</v>
      </c>
      <c r="C28" s="10">
        <v>13900.837076504537</v>
      </c>
      <c r="E28" s="7" t="s">
        <v>5261</v>
      </c>
      <c r="F28" s="6" t="s">
        <v>5263</v>
      </c>
      <c r="G28" s="6" t="s">
        <v>5288</v>
      </c>
    </row>
    <row r="29" spans="2:7">
      <c r="B29" s="11" t="s">
        <v>5277</v>
      </c>
      <c r="C29" s="10">
        <v>12892.048390804599</v>
      </c>
      <c r="E29" s="9" t="s">
        <v>5286</v>
      </c>
      <c r="F29" s="10">
        <v>3427.88</v>
      </c>
      <c r="G29" s="8">
        <v>48</v>
      </c>
    </row>
    <row r="30" spans="2:7">
      <c r="B30" s="11" t="s">
        <v>5278</v>
      </c>
      <c r="C30" s="10">
        <v>10196.290000000001</v>
      </c>
      <c r="E30" s="9" t="s">
        <v>5287</v>
      </c>
      <c r="F30" s="10">
        <v>303414.33944888425</v>
      </c>
      <c r="G30" s="8">
        <v>3885</v>
      </c>
    </row>
    <row r="31" spans="2:7">
      <c r="B31" s="9" t="s">
        <v>5279</v>
      </c>
      <c r="C31" s="10">
        <v>149276.43883965921</v>
      </c>
      <c r="E31" s="9" t="s">
        <v>5262</v>
      </c>
      <c r="F31" s="10">
        <v>306842.21944888448</v>
      </c>
      <c r="G31" s="8">
        <v>3933</v>
      </c>
    </row>
    <row r="32" spans="2:7">
      <c r="B32" s="11" t="s">
        <v>5267</v>
      </c>
      <c r="C32" s="10">
        <v>11348.848859649122</v>
      </c>
    </row>
    <row r="33" spans="2:3">
      <c r="B33" s="11" t="s">
        <v>5268</v>
      </c>
      <c r="C33" s="10">
        <v>11352.147323943662</v>
      </c>
    </row>
    <row r="34" spans="2:3">
      <c r="B34" s="11" t="s">
        <v>5269</v>
      </c>
      <c r="C34" s="10">
        <v>12558.717928321681</v>
      </c>
    </row>
    <row r="35" spans="2:3">
      <c r="B35" s="11" t="s">
        <v>5270</v>
      </c>
      <c r="C35" s="10">
        <v>10886.723561731953</v>
      </c>
    </row>
    <row r="36" spans="2:3">
      <c r="B36" s="11" t="s">
        <v>5271</v>
      </c>
      <c r="C36" s="10">
        <v>14431.927279852989</v>
      </c>
    </row>
    <row r="37" spans="2:3">
      <c r="B37" s="11" t="s">
        <v>5272</v>
      </c>
      <c r="C37" s="10">
        <v>10747.391483025605</v>
      </c>
    </row>
    <row r="38" spans="2:3">
      <c r="B38" s="11" t="s">
        <v>5273</v>
      </c>
      <c r="C38" s="10">
        <v>12179.760095984107</v>
      </c>
    </row>
    <row r="39" spans="2:3">
      <c r="B39" s="11" t="s">
        <v>5274</v>
      </c>
      <c r="C39" s="10">
        <v>13702.969014758011</v>
      </c>
    </row>
    <row r="40" spans="2:3">
      <c r="B40" s="11" t="s">
        <v>5275</v>
      </c>
      <c r="C40" s="10">
        <v>10987.128410035373</v>
      </c>
    </row>
    <row r="41" spans="2:3">
      <c r="B41" s="11" t="s">
        <v>5276</v>
      </c>
      <c r="C41" s="10">
        <v>13284.377691312115</v>
      </c>
    </row>
    <row r="42" spans="2:3">
      <c r="B42" s="11" t="s">
        <v>5277</v>
      </c>
      <c r="C42" s="10">
        <v>13760.257191044606</v>
      </c>
    </row>
    <row r="43" spans="2:3">
      <c r="B43" s="11" t="s">
        <v>5278</v>
      </c>
      <c r="C43" s="10">
        <v>14036.189999999999</v>
      </c>
    </row>
    <row r="44" spans="2:3">
      <c r="B44" s="9" t="s">
        <v>5262</v>
      </c>
      <c r="C44" s="10">
        <v>306842.21944888378</v>
      </c>
    </row>
  </sheetData>
  <mergeCells count="5">
    <mergeCell ref="E2:F2"/>
    <mergeCell ref="B2:C2"/>
    <mergeCell ref="B16:C16"/>
    <mergeCell ref="E16:F16"/>
    <mergeCell ref="E27:F27"/>
  </mergeCells>
  <pageMargins left="0.7" right="0.7" top="0.75" bottom="0.75" header="0.3" footer="0.3"/>
  <pageSetup orientation="portrait" horizontalDpi="0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7D57-4D0E-4C2A-972E-F92507156BAD}">
  <dimension ref="B1:D13"/>
  <sheetViews>
    <sheetView workbookViewId="0">
      <selection activeCell="E23" sqref="E23"/>
    </sheetView>
  </sheetViews>
  <sheetFormatPr defaultRowHeight="14.25"/>
  <cols>
    <col min="2" max="2" width="12.265625" customWidth="1"/>
    <col min="3" max="3" width="15.06640625" customWidth="1"/>
    <col min="4" max="4" width="13.3984375" bestFit="1" customWidth="1"/>
  </cols>
  <sheetData>
    <row r="1" spans="2:4" ht="14.65" thickBot="1"/>
    <row r="2" spans="2:4" ht="15.75">
      <c r="B2" s="24" t="s">
        <v>5294</v>
      </c>
      <c r="C2" s="25"/>
      <c r="D2" s="26"/>
    </row>
    <row r="3" spans="2:4">
      <c r="B3" s="27" t="s">
        <v>5289</v>
      </c>
      <c r="C3" s="23"/>
      <c r="D3" s="28">
        <f>SUMIFS(Table4[revenue],Table4[order_status],"Completed")</f>
        <v>252227.71820806153</v>
      </c>
    </row>
    <row r="4" spans="2:4">
      <c r="B4" s="27" t="s">
        <v>5290</v>
      </c>
      <c r="C4" s="23"/>
      <c r="D4" s="29">
        <f>COUNTIF(Table4[order_status],"Completed")</f>
        <v>3220</v>
      </c>
    </row>
    <row r="5" spans="2:4">
      <c r="B5" s="27" t="s">
        <v>5291</v>
      </c>
      <c r="C5" s="23"/>
      <c r="D5" s="28">
        <f>D3:D3/D4</f>
        <v>78.331589505609173</v>
      </c>
    </row>
    <row r="6" spans="2:4">
      <c r="B6" s="27"/>
      <c r="C6" s="23"/>
      <c r="D6" s="29"/>
    </row>
    <row r="7" spans="2:4">
      <c r="B7" s="27" t="s">
        <v>5292</v>
      </c>
      <c r="C7" s="23"/>
      <c r="D7" s="28">
        <f>SUM(Table4[revenue])</f>
        <v>306842.21944888425</v>
      </c>
    </row>
    <row r="8" spans="2:4">
      <c r="B8" s="27" t="s">
        <v>5293</v>
      </c>
      <c r="C8" s="23"/>
      <c r="D8" s="30">
        <f>1-($D$3/$D$7)</f>
        <v>0.17798887434367794</v>
      </c>
    </row>
    <row r="9" spans="2:4">
      <c r="B9" s="27"/>
      <c r="C9" s="23"/>
      <c r="D9" s="29"/>
    </row>
    <row r="10" spans="2:4">
      <c r="B10" s="27"/>
      <c r="C10" s="23"/>
      <c r="D10" s="29"/>
    </row>
    <row r="11" spans="2:4" ht="15.75">
      <c r="B11" s="31" t="s">
        <v>5295</v>
      </c>
      <c r="C11" s="23"/>
      <c r="D11" s="29"/>
    </row>
    <row r="12" spans="2:4">
      <c r="B12" s="27" t="s">
        <v>5296</v>
      </c>
      <c r="C12" s="23"/>
      <c r="D12" s="29" t="s">
        <v>225</v>
      </c>
    </row>
    <row r="13" spans="2:4" ht="14.65" thickBot="1">
      <c r="B13" s="32" t="s">
        <v>5297</v>
      </c>
      <c r="C13" s="33"/>
      <c r="D13" s="34" t="str">
        <f>INDEX(Table4[customer_name],MATCH($D$12,Table4[customer_id],0))</f>
        <v>Fajar Anderson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AF53-48F4-4FC1-B220-63292848654D}">
  <dimension ref="A1"/>
  <sheetViews>
    <sheetView zoomScale="61" zoomScaleNormal="59" workbookViewId="0">
      <selection activeCell="J38" sqref="J38"/>
    </sheetView>
  </sheetViews>
  <sheetFormatPr defaultRowHeight="14.25"/>
  <cols>
    <col min="23" max="23" width="19.3984375" bestFit="1" customWidth="1"/>
    <col min="24" max="24" width="14.0664062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9ED-E6A9-4372-8F0F-BE632AB41EE0}">
  <dimension ref="A1:B26"/>
  <sheetViews>
    <sheetView zoomScale="114" zoomScaleNormal="53" workbookViewId="0">
      <selection activeCell="A40" sqref="A40"/>
    </sheetView>
  </sheetViews>
  <sheetFormatPr defaultRowHeight="14.25"/>
  <cols>
    <col min="1" max="1" width="90" style="6" customWidth="1"/>
    <col min="2" max="2" width="20" style="6" customWidth="1"/>
    <col min="3" max="3" width="9.06640625" style="6" customWidth="1"/>
    <col min="4" max="16384" width="9.06640625" style="6"/>
  </cols>
  <sheetData>
    <row r="1" spans="1:2" ht="17.649999999999999">
      <c r="A1" s="35" t="s">
        <v>5298</v>
      </c>
      <c r="B1" s="36"/>
    </row>
    <row r="2" spans="1:2">
      <c r="A2" s="37" t="s">
        <v>5299</v>
      </c>
      <c r="B2" s="36"/>
    </row>
    <row r="4" spans="1:2" ht="18" customHeight="1">
      <c r="A4" s="41" t="s">
        <v>5300</v>
      </c>
      <c r="B4" s="36"/>
    </row>
    <row r="5" spans="1:2" ht="48" customHeight="1">
      <c r="A5" s="40" t="s">
        <v>5301</v>
      </c>
      <c r="B5" s="36"/>
    </row>
    <row r="7" spans="1:2" ht="18" customHeight="1">
      <c r="A7" s="41" t="s">
        <v>5302</v>
      </c>
      <c r="B7" s="36"/>
    </row>
    <row r="8" spans="1:2" ht="48" customHeight="1">
      <c r="A8" s="40" t="s">
        <v>5303</v>
      </c>
      <c r="B8" s="36"/>
    </row>
    <row r="10" spans="1:2" ht="18" customHeight="1">
      <c r="A10" s="41" t="s">
        <v>5304</v>
      </c>
      <c r="B10" s="36"/>
    </row>
    <row r="11" spans="1:2" ht="48" customHeight="1">
      <c r="A11" s="40" t="s">
        <v>5305</v>
      </c>
      <c r="B11" s="36"/>
    </row>
    <row r="13" spans="1:2" ht="18" customHeight="1">
      <c r="A13" s="41" t="s">
        <v>5306</v>
      </c>
      <c r="B13" s="36"/>
    </row>
    <row r="14" spans="1:2" ht="48" customHeight="1">
      <c r="A14" s="40" t="s">
        <v>5307</v>
      </c>
      <c r="B14" s="36"/>
    </row>
    <row r="16" spans="1:2" ht="18" customHeight="1">
      <c r="A16" s="41" t="s">
        <v>5308</v>
      </c>
      <c r="B16" s="36"/>
    </row>
    <row r="17" spans="1:2" ht="48" customHeight="1">
      <c r="A17" s="40" t="s">
        <v>5309</v>
      </c>
      <c r="B17" s="36"/>
    </row>
    <row r="19" spans="1:2" ht="18" customHeight="1">
      <c r="A19" s="41" t="s">
        <v>5310</v>
      </c>
      <c r="B19" s="36"/>
    </row>
    <row r="20" spans="1:2" ht="48" customHeight="1">
      <c r="A20" s="40" t="s">
        <v>5311</v>
      </c>
      <c r="B20" s="36"/>
    </row>
    <row r="22" spans="1:2" ht="18" customHeight="1">
      <c r="A22" s="41" t="s">
        <v>5312</v>
      </c>
      <c r="B22" s="36"/>
    </row>
    <row r="23" spans="1:2" ht="48" customHeight="1">
      <c r="A23" s="40" t="s">
        <v>5313</v>
      </c>
      <c r="B23" s="36"/>
    </row>
    <row r="25" spans="1:2" ht="18" customHeight="1">
      <c r="A25" s="41" t="s">
        <v>5314</v>
      </c>
      <c r="B25" s="36"/>
    </row>
    <row r="26" spans="1:2" ht="48" customHeight="1">
      <c r="A26" s="40" t="s">
        <v>5315</v>
      </c>
      <c r="B26" s="36"/>
    </row>
  </sheetData>
  <mergeCells count="18">
    <mergeCell ref="A8:B8"/>
    <mergeCell ref="A1:B1"/>
    <mergeCell ref="A2:B2"/>
    <mergeCell ref="A4:B4"/>
    <mergeCell ref="A5:B5"/>
    <mergeCell ref="A7:B7"/>
    <mergeCell ref="A26:B26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cleaned_sales_data</vt:lpstr>
      <vt:lpstr>Cleaning Log</vt:lpstr>
      <vt:lpstr>pivot_tabels</vt:lpstr>
      <vt:lpstr>Summary</vt:lpstr>
      <vt:lpstr>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Alya Shandy</cp:lastModifiedBy>
  <dcterms:created xsi:type="dcterms:W3CDTF">2026-08-21T07:10:34Z</dcterms:created>
  <dcterms:modified xsi:type="dcterms:W3CDTF">2026-08-22T14:27:30Z</dcterms:modified>
</cp:coreProperties>
</file>